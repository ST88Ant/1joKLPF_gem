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fe1bd6ea6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대시보드" sheetId="1" r:id="R638ba4764bde4285"/>
    <x:sheet xmlns:r="http://schemas.openxmlformats.org/officeDocument/2006/relationships" name="01_상권랭킹" sheetId="2" r:id="R6c7182e562874554"/>
    <x:sheet xmlns:r="http://schemas.openxmlformats.org/officeDocument/2006/relationships" name="02_업종기회_TOP1000" sheetId="3" r:id="R1eb6acac0ff14eaa"/>
    <x:sheet xmlns:r="http://schemas.openxmlformats.org/officeDocument/2006/relationships" name="03_업종트렌드" sheetId="4" r:id="R71266aa2931c41e1"/>
    <x:sheet xmlns:r="http://schemas.openxmlformats.org/officeDocument/2006/relationships" name="04_EDA_품질점검" sheetId="5" r:id="Rb11f21a00b234940"/>
    <x:sheet xmlns:r="http://schemas.openxmlformats.org/officeDocument/2006/relationships" name="05_방법론" sheetId="6" r:id="R4c2331e7fa9d470d"/>
    <x:sheet xmlns:r="http://schemas.openxmlformats.org/officeDocument/2006/relationships" name="99_차트데이터" sheetId="7" r:id="R503ead274d07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"/>
    <x:numFmt numFmtId="203" formatCode="#,##0.0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20"/>
      <x:color rgb="FFFFFFFF"/>
      <x:name val="Carlito"/>
    </x:font>
    <x:font>
      <x:sz val="10"/>
      <x:color rgb="FF5F6B78"/>
      <x:name val="Carlito"/>
    </x:font>
    <x:font>
      <x:b/>
      <x:sz val="14"/>
      <x:color rgb="FF1F2937"/>
      <x:name val="Carlito"/>
    </x:font>
    <x:font>
      <x:b/>
      <x:sz val="12"/>
      <x:color rgb="FFFFFFFF"/>
      <x:name val="Carlito"/>
    </x:font>
    <x:font>
      <x:b/>
      <x:sz val="12"/>
      <x:color rgb="FF17324D"/>
      <x:name val="Carlito"/>
    </x:font>
    <x:font>
      <x:sz val="10"/>
      <x:color rgb="FF1F2937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B6F77"/>
      </x:patternFill>
    </x:fill>
    <x:fill>
      <x:patternFill patternType="solid">
        <x:fgColor rgb="FFFFF4D6"/>
      </x:patternFill>
    </x:fill>
    <x:fill>
      <x:patternFill patternType="solid">
        <x:fgColor rgb="FFF5F7FA"/>
      </x:patternFill>
    </x:fill>
    <x:fill>
      <x:patternFill patternType="solid">
        <x:fgColor rgb="FFEAF2F3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11" xfId="0" applyNumberFormat="1" applyFont="1" applyFill="1" applyBorder="1" applyAlignment="1">
      <x:alignment horizontal="center" wrapText="1"/>
    </x:xf>
    <x:xf numFmtId="0" fontId="6" fillId="6" borderId="12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4" xfId="0" applyNumberFormat="1" applyFont="1" applyFill="1" applyBorder="1" applyAlignment="1">
      <x:alignment horizontal="center" wrapText="1"/>
    </x:xf>
    <x:xf numFmtId="0" fontId="6" fillId="6" borderId="15" xfId="0" applyNumberFormat="1" applyFont="1" applyFill="1" applyBorder="1" applyAlignment="1">
      <x:alignment horizontal="center" wrapText="1"/>
    </x:xf>
    <x:xf numFmtId="0" fontId="6" fillId="6" borderId="16" xfId="0" applyNumberFormat="1" applyFont="1" applyFill="1" applyBorder="1" applyAlignment="1">
      <x:alignment horizontal="center" wrapText="1"/>
    </x:xf>
    <x:xf numFmtId="0" fontId="6" fillId="6" borderId="17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0" fontId="6" fillId="6" borderId="12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6" fillId="6" borderId="15" xfId="0" applyNumberFormat="1" applyFont="1" applyFill="1" applyBorder="1" applyAlignment="1">
      <x:alignment horizontal="center" vertical="center" wrapText="1"/>
    </x:xf>
    <x:xf numFmtId="0" fontId="6" fillId="6" borderId="16" xfId="0" applyNumberFormat="1" applyFont="1" applyFill="1" applyBorder="1" applyAlignment="1">
      <x:alignment horizontal="center" vertical="center" wrapText="1"/>
    </x:xf>
    <x:xf numFmtId="0" fontId="6" fillId="6" borderId="17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2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2f967b8314cbd" /><Relationship Type="http://schemas.openxmlformats.org/officeDocument/2006/relationships/theme" Target="/xl/theme/theme1.xml" Id="R4e008fa9b4ef4855" /><Relationship Type="http://schemas.openxmlformats.org/officeDocument/2006/relationships/sharedStrings" Target="/xl/sharedStrings.xml" Id="Rbd34adb66be846d6" /><Relationship Type="http://schemas.openxmlformats.org/officeDocument/2006/relationships/worksheet" Target="/xl/worksheets/sheet1.xml" Id="R638ba4764bde4285" /><Relationship Type="http://schemas.openxmlformats.org/officeDocument/2006/relationships/worksheet" Target="/xl/worksheets/sheet2.xml" Id="R6c7182e562874554" /><Relationship Type="http://schemas.openxmlformats.org/officeDocument/2006/relationships/worksheet" Target="/xl/worksheets/sheet3.xml" Id="R1eb6acac0ff14eaa" /><Relationship Type="http://schemas.openxmlformats.org/officeDocument/2006/relationships/worksheet" Target="/xl/worksheets/sheet4.xml" Id="R71266aa2931c41e1" /><Relationship Type="http://schemas.openxmlformats.org/officeDocument/2006/relationships/worksheet" Target="/xl/worksheets/sheet5.xml" Id="Rb11f21a00b234940" /><Relationship Type="http://schemas.openxmlformats.org/officeDocument/2006/relationships/worksheet" Target="/xl/worksheets/sheet6.xml" Id="R4c2331e7fa9d470d" /><Relationship Type="http://schemas.openxmlformats.org/officeDocument/2006/relationships/worksheet" Target="/xl/worksheets/sheet7.xml" Id="R503ead274d0744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9d07490052457b" /><Relationship Type="http://schemas.openxmlformats.org/officeDocument/2006/relationships/chart" Target="/xl/drawings/charts/chart2.xml" Id="Rb208e2008634449d" /><Relationship Type="http://schemas.openxmlformats.org/officeDocument/2006/relationships/chart" Target="/xl/drawings/charts/chart3.xml" Id="R5281dc305b584fea" /><Relationship Type="http://schemas.openxmlformats.org/officeDocument/2006/relationships/chart" Target="/xl/drawings/charts/chart4.xml" Id="R594fcd3b89944f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2025 Q4 총매출 상위 10개 상권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매출(억원)</c:v>
          </c:tx>
          <c:cat>
            <c:strRef>
              <c:f>'99_차트데이터'!$A$2:$A$11</c:f>
              <c:strCache>
                <c:ptCount val="0"/>
              </c:strCache>
            </c:strRef>
          </c:cat>
          <c:val>
            <c:numRef>
              <c:f>'99_차트데이터'!$B$2:$B$11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상권×업종 기회지수 TOP 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업종</c:v>
          </c:tx>
          <c:cat>
            <c:strRef>
              <c:f>'99_차트데이터'!$D$2:$D$16</c:f>
              <c:strCache>
                <c:ptCount val="0"/>
              </c:strCache>
            </c:strRef>
          </c:cat>
          <c:val>
            <c:numRef>
              <c:f>'99_차트데이터'!$E$2:$E$16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기회지수</c:v>
          </c:tx>
          <c:cat>
            <c:strRef>
              <c:f>'99_차트데이터'!$D$2:$D$16</c:f>
              <c:strCache>
                <c:ptCount val="0"/>
              </c:strCache>
            </c:strRef>
          </c:cat>
          <c:val>
            <c:numRef>
              <c:f>'99_차트데이터'!$F$2:$F$16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서울 전체 업종 YoY 상·하위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서울YoY</c:v>
          </c:tx>
          <c:cat>
            <c:strRef>
              <c:f>'99_차트데이터'!$H$2:$H$11</c:f>
              <c:strCache>
                <c:ptCount val="0"/>
              </c:strCache>
            </c:strRef>
          </c:cat>
          <c:val>
            <c:numRef>
              <c:f>'99_차트데이터'!$I$2:$I$11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서울 행정동 점포 추세</a:t>
            </a:r>
          </a:p>
        </c:rich>
      </c:tx>
    </c:title>
    <c:plotArea>
      <c:lineChart>
        <c:grouping val="standard"/>
        <c:ser>
          <c:idx val="0"/>
          <c:order val="0"/>
          <c:tx>
            <c:v>일반점포수</c:v>
          </c:tx>
          <c:marker>
            <c:symbol val="none"/>
          </c:marker>
          <c:cat>
            <c:strRef>
              <c:f>'99_차트데이터'!$K$2:$K$21</c:f>
              <c:strCache>
                <c:ptCount val="0"/>
              </c:strCache>
            </c:strRef>
          </c:cat>
          <c:val>
            <c:numRef>
              <c:f>'99_차트데이터'!$L$2:$L$21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유사업종점포수</c:v>
          </c:tx>
          <c:marker>
            <c:symbol val="none"/>
          </c:marker>
          <c:cat>
            <c:strRef>
              <c:f>'99_차트데이터'!$K$2:$K$21</c:f>
              <c:strCache>
                <c:ptCount val="0"/>
              </c:strCache>
            </c:strRef>
          </c:cat>
          <c:val>
            <c:numRef>
              <c:f>'99_차트데이터'!$M$2:$M$21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9d07490052457b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08e2008634449d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6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81dc305b584fea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4fcd3b89944f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rketRanking" displayName="MarketRanking" ref="A1:X1566" headerRowCount="1" totalsRowCount="0" totalsRowShown="0">
  <x:tableColumns count="24">
    <x:tableColumn id="1" name="상권코드"/>
    <x:tableColumn id="2" name="상권명"/>
    <x:tableColumn id="3" name="상권유형"/>
    <x:tableColumn id="4" name="자치구"/>
    <x:tableColumn id="5" name="행정동"/>
    <x:tableColumn id="6" name="면적㎡"/>
    <x:tableColumn id="7" name="Q4매출"/>
    <x:tableColumn id="8" name="매출건수"/>
    <x:tableColumn id="9" name="객단가"/>
    <x:tableColumn id="10" name="㎡당매출"/>
    <x:tableColumn id="11" name="직장인구"/>
    <x:tableColumn id="12" name="직장인구/ha"/>
    <x:tableColumn id="13" name="업종수"/>
    <x:tableColumn id="14" name="평일매출비중"/>
    <x:tableColumn id="15" name="주말매출비중"/>
    <x:tableColumn id="16" name="저녁매출비중"/>
    <x:tableColumn id="17" name="점심매출비중"/>
    <x:tableColumn id="18" name="2030매출비중"/>
    <x:tableColumn id="19" name="여성매출비중"/>
    <x:tableColumn id="20" name="상권DNA"/>
    <x:tableColumn id="21" name="최고기회지수"/>
    <x:tableColumn id="22" name="추천1순위업종"/>
    <x:tableColumn id="23" name="추천 TOP3"/>
    <x:tableColumn id="24" name="TOP5 평균점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portunityTop1000" displayName="OpportunityTop1000" ref="A1:AG1001" headerRowCount="1" totalsRowCount="0" totalsRowShown="0">
  <x:tableColumns count="33">
    <x:tableColumn id="1" name="상권코드"/>
    <x:tableColumn id="2" name="상권명"/>
    <x:tableColumn id="3" name="상권유형"/>
    <x:tableColumn id="4" name="자치구"/>
    <x:tableColumn id="5" name="행정동"/>
    <x:tableColumn id="6" name="업종코드"/>
    <x:tableColumn id="7" name="업종명"/>
    <x:tableColumn id="8" name="Q4매출"/>
    <x:tableColumn id="9" name="Q4건수"/>
    <x:tableColumn id="10" name="객단가"/>
    <x:tableColumn id="11" name="상권분기추세"/>
    <x:tableColumn id="12" name="서울업종YoY"/>
    <x:tableColumn id="13" name="서울4년CAGR"/>
    <x:tableColumn id="14" name="행정동유사업종점포수"/>
    <x:tableColumn id="15" name="행정동폐업점포수"/>
    <x:tableColumn id="16" name="폐업압력"/>
    <x:tableColumn id="17" name="프랜차이즈비중"/>
    <x:tableColumn id="18" name="점포수변화(21Q1→25Q4)"/>
    <x:tableColumn id="19" name="직장인구"/>
    <x:tableColumn id="20" name="직장인구/ha"/>
    <x:tableColumn id="21" name="평일매출비중"/>
    <x:tableColumn id="22" name="저녁매출비중"/>
    <x:tableColumn id="23" name="2030매출비중"/>
    <x:tableColumn id="24" name="여성매출비중"/>
    <x:tableColumn id="25" name="수요점수"/>
    <x:tableColumn id="26" name="모멘텀점수"/>
    <x:tableColumn id="27" name="서울추세점수"/>
    <x:tableColumn id="28" name="경쟁점수"/>
    <x:tableColumn id="29" name="안정성점수"/>
    <x:tableColumn id="30" name="직장수요점수"/>
    <x:tableColumn id="31" name="업종기회지수"/>
    <x:tableColumn id="32" name="등급"/>
    <x:tableColumn id="33" name="추천근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ustryTrend" displayName="IndustryTrend" ref="A1:J63" headerRowCount="1" totalsRowCount="0" totalsRowShown="0">
  <x:tableColumns count="10">
    <x:tableColumn id="1" name="업종코드"/>
    <x:tableColumn id="2" name="업종명"/>
    <x:tableColumn id="3" name="Q4상권매출"/>
    <x:tableColumn id="4" name="Q4매출건수"/>
    <x:tableColumn id="5" name="매출존재상권수"/>
    <x:tableColumn id="6" name="상권당평균매출"/>
    <x:tableColumn id="7" name="서울Q4매출"/>
    <x:tableColumn id="8" name="서울YoY"/>
    <x:tableColumn id="9" name="서울4년CAGR"/>
    <x:tableColumn id="10" name="서울추세점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5839274ec840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58d69f19ea4e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68f93367be47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527279f3f8469a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13" hidden="0" customWidth="1"/>
    <x:col min="5" max="5" width="17" hidden="0" customWidth="1"/>
    <x:col min="6" max="6" width="13" hidden="0" customWidth="1"/>
    <x:col min="7" max="7" width="17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52" t="str">
        <x:v>서울 상권분석 대시보드 | 2025 Q4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3">
      <x:c r="A3" s="57" t="str">
        <x:v>매출·직장인구·행정동 경쟁환경을 결합한 상권 탐색용 대시보드 | 전체 결과는 별도 CSV 제공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</x:row>
    <x:row r="5">
      <x:c r="A5" s="88" t="str">
        <x:v>2025 Q4 총 추정매출
24.4조원</x:v>
      </x:c>
      <x:c r="B5" s="89"/>
      <x:c r="C5" s="90"/>
      <x:c r="D5" s="88" t="str">
        <x:v>Q4 분석 상권
1,565개</x:v>
      </x:c>
      <x:c r="E5" s="89"/>
      <x:c r="F5" s="90"/>
      <x:c r="G5" s="88" t="str">
        <x:v>분석 업종
62개</x:v>
      </x:c>
      <x:c r="H5" s="89"/>
      <x:c r="I5" s="90"/>
      <x:c r="J5" s="88" t="str">
        <x:v>업종기회 분석 조합
21,333건</x:v>
      </x:c>
      <x:c r="K5" s="89"/>
      <x:c r="L5" s="90"/>
    </x:row>
    <x:row r="6">
      <x:c r="A6" s="91"/>
      <x:c r="B6" s="92"/>
      <x:c r="C6" s="93"/>
      <x:c r="D6" s="91"/>
      <x:c r="E6" s="92"/>
      <x:c r="F6" s="93"/>
      <x:c r="G6" s="91"/>
      <x:c r="H6" s="92"/>
      <x:c r="I6" s="93"/>
      <x:c r="J6" s="91"/>
      <x:c r="K6" s="92"/>
      <x:c r="L6" s="93"/>
    </x:row>
    <x:row r="7">
      <x:c r="A7" s="94"/>
      <x:c r="B7" s="95"/>
      <x:c r="C7" s="96"/>
      <x:c r="D7" s="94"/>
      <x:c r="E7" s="95"/>
      <x:c r="F7" s="96"/>
      <x:c r="G7" s="94"/>
      <x:c r="H7" s="95"/>
      <x:c r="I7" s="96"/>
      <x:c r="J7" s="94"/>
      <x:c r="K7" s="95"/>
      <x:c r="L7" s="96"/>
    </x:row>
    <x:row r="9">
      <x:c r="A9" s="135" t="str">
        <x:v>상권 선택 카드 (B11에서 상권코드를 선택)</x:v>
      </x:c>
      <x:c r="B9" s="135"/>
      <x:c r="C9" s="135"/>
      <x:c r="D9" s="135"/>
      <x:c r="E9" s="135"/>
      <x:c r="F9" s="135"/>
      <x:c r="G9" s="135"/>
      <x:c r="H9" s="135"/>
      <x:c r="I9" s="135"/>
      <x:c r="J9" s="135"/>
      <x:c r="K9" s="135"/>
      <x:c r="L9" s="135"/>
    </x:row>
    <x:row r="11">
      <x:c r="A11" s="159" t="str">
        <x:v>상권코드</x:v>
      </x:c>
      <x:c r="B11" s="160" t="str">
        <x:v>3120153</x:v>
      </x:c>
      <x:c r="C11" s="160"/>
      <x:c r="D11" s="160" t="str">
        <x:v>상권명</x:v>
      </x:c>
      <x:c r="E11" s="160" t="str">
        <x:f>VLOOKUP($B$11,'01_상권랭킹'!$A$2:$X$1566,2,FALSE)</x:f>
        <x:v>노량진역(노량진)</x:v>
      </x:c>
      <x:c r="F11" s="160"/>
      <x:c r="G11" s="160" t="str">
        <x:v>자치구 / 행정동</x:v>
      </x:c>
      <x:c r="H11" s="160" t="str">
        <x:f>VLOOKUP($B$11,'01_상권랭킹'!$A$2:$X$1566,4,FALSE)&amp;" / "&amp;VLOOKUP($B$11,'01_상권랭킹'!$A$2:$X$1566,5,FALSE)</x:f>
        <x:v>동작구 / 노량진1동</x:v>
      </x:c>
      <x:c r="I11" s="160"/>
      <x:c r="J11" s="160" t="str">
        <x:v>상권DNA</x:v>
      </x:c>
      <x:c r="K11" s="160" t="str">
        <x:f>VLOOKUP($B$11,'01_상권랭킹'!$A$2:$X$1566,20,FALSE)</x:f>
        <x:v>고매출밀도·2030소비</x:v>
      </x:c>
      <x:c r="L11" s="161"/>
    </x:row>
    <x:row r="12">
      <x:c r="A12" s="162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163"/>
    </x:row>
    <x:row r="13">
      <x:c r="A13" s="162" t="str">
        <x:v>Q4 매출</x:v>
      </x:c>
      <x:c r="B13" s="164" t="n">
        <x:f>VLOOKUP($B$11,'01_상권랭킹'!$A$2:$X$1566,7,FALSE)</x:f>
        <x:v>1261630232011</x:v>
      </x:c>
      <x:c r="C13" s="34" t="str">
        <x:v>객단가</x:v>
      </x:c>
      <x:c r="D13" s="164" t="n">
        <x:f>VLOOKUP($B$11,'01_상권랭킹'!$A$2:$X$1566,9,FALSE)</x:f>
        <x:v>73295.99788872382</x:v>
      </x:c>
      <x:c r="E13" s="34" t="str">
        <x:v>직장인구</x:v>
      </x:c>
      <x:c r="F13" s="164" t="n">
        <x:f>VLOOKUP($B$11,'01_상권랭킹'!$A$2:$X$1566,11,FALSE)</x:f>
        <x:v>5349</x:v>
      </x:c>
      <x:c r="G13" s="34" t="str">
        <x:v>직장인구/ha</x:v>
      </x:c>
      <x:c r="H13" s="165" t="n">
        <x:f>VLOOKUP($B$11,'01_상권랭킹'!$A$2:$X$1566,12,FALSE)</x:f>
        <x:v>120.5202038636763</x:v>
      </x:c>
      <x:c r="I13" s="34" t="str">
        <x:v>평일매출비중</x:v>
      </x:c>
      <x:c r="J13" s="166" t="n">
        <x:f>VLOOKUP($B$11,'01_상권랭킹'!$A$2:$X$1566,14,FALSE)</x:f>
        <x:v>0.620031608346224</x:v>
      </x:c>
      <x:c r="K13" s="34" t="str">
        <x:v>최고기회지수</x:v>
      </x:c>
      <x:c r="L13" s="167" t="n">
        <x:f>VLOOKUP($B$11,'01_상권랭킹'!$A$2:$X$1566,21,FALSE)</x:f>
        <x:v>92.27646248945452</x:v>
      </x:c>
    </x:row>
    <x:row r="14">
      <x:c r="A14" s="162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163"/>
    </x:row>
    <x:row r="15">
      <x:c r="A15" s="168" t="str">
        <x:v>추천 1순위</x:v>
      </x:c>
      <x:c r="B15" s="169" t="str">
        <x:f>VLOOKUP($B$11,'01_상권랭킹'!$A$2:$X$1566,22,FALSE)</x:f>
        <x:v>육류판매</x:v>
      </x:c>
      <x:c r="C15" s="169"/>
      <x:c r="D15" s="169"/>
      <x:c r="E15" s="169" t="str">
        <x:v>추천 TOP3</x:v>
      </x:c>
      <x:c r="F15" s="169" t="str">
        <x:f>VLOOKUP($B$11,'01_상권랭킹'!$A$2:$X$1566,23,FALSE)</x:f>
        <x:v>육류판매 / 예술학원 / 일식음식점</x:v>
      </x:c>
      <x:c r="G15" s="169"/>
      <x:c r="H15" s="169"/>
      <x:c r="I15" s="169"/>
      <x:c r="J15" s="169"/>
      <x:c r="K15" s="169"/>
      <x:c r="L15" s="170"/>
    </x:row>
    <x:row r="18">
      <x:c r="A18" s="183" t="str">
        <x:v>매출 상위 상권</x:v>
      </x:c>
      <x:c r="G18" s="183" t="str">
        <x:v>업종 기회지수 상위</x:v>
      </x:c>
    </x:row>
    <x:row r="35">
      <x:c r="A35" s="183" t="str">
        <x:v>서울 업종 YoY 상·하위</x:v>
      </x:c>
      <x:c r="G35" s="183" t="str">
        <x:v>행정동 점포 추세</x:v>
      </x:c>
    </x:row>
    <x:row r="52">
      <x:c r="A52" s="134" t="str">
        <x:v>분석에서 바로 읽히는 핵심 포인트</x:v>
      </x:c>
      <x:c r="B52" s="134"/>
      <x:c r="C52" s="134"/>
      <x:c r="D52" s="134"/>
      <x:c r="E52" s="134"/>
      <x:c r="F52" s="134"/>
      <x:c r="G52" s="134"/>
      <x:c r="H52" s="134"/>
      <x:c r="I52" s="134"/>
      <x:c r="J52" s="134"/>
      <x:c r="K52" s="134"/>
      <x:c r="L52" s="134"/>
    </x:row>
    <x:row r="53" ht="28" customHeight="1">
      <x:c r="A53" s="186" t="str">
        <x:v>• Q4 총매출 1위 상권은 노량진역(노량진)이며, 약 12,616억원입니다.</x:v>
      </x:c>
      <x:c r="B53" s="186"/>
      <x:c r="C53" s="186"/>
      <x:c r="D53" s="186"/>
      <x:c r="E53" s="186"/>
      <x:c r="F53" s="186"/>
      <x:c r="G53" s="186"/>
      <x:c r="H53" s="186"/>
      <x:c r="I53" s="186"/>
      <x:c r="J53" s="186"/>
      <x:c r="K53" s="186"/>
      <x:c r="L53" s="186"/>
    </x:row>
    <x:row r="54" ht="28" customHeight="1">
      <x:c r="A54" s="186" t="str">
        <x:v>• 기회지수 최고 조합은 노량진역(노량진) × 육류판매 (92.3점)입니다.</x:v>
      </x:c>
      <x:c r="B54" s="186"/>
      <x:c r="C54" s="186"/>
      <x:c r="D54" s="186"/>
      <x:c r="E54" s="186"/>
      <x:c r="F54" s="186"/>
      <x:c r="G54" s="186"/>
      <x:c r="H54" s="186"/>
      <x:c r="I54" s="186"/>
      <x:c r="J54" s="186"/>
      <x:c r="K54" s="186"/>
      <x:c r="L54" s="186"/>
    </x:row>
    <x:row r="55" ht="28" customHeight="1">
      <x:c r="A55" s="186" t="str">
        <x:v>• 서울 업종 YoY 최고는 육류판매 (23.5%), 최저는 부동산중개업 (-32.4%)입니다.</x:v>
      </x:c>
      <x:c r="B55" s="186"/>
      <x:c r="C55" s="186"/>
      <x:c r="D55" s="186"/>
      <x:c r="E55" s="186"/>
      <x:c r="F55" s="186"/>
      <x:c r="G55" s="186"/>
      <x:c r="H55" s="186"/>
      <x:c r="I55" s="186"/>
      <x:c r="J55" s="186"/>
      <x:c r="K55" s="186"/>
      <x:c r="L55" s="186"/>
    </x:row>
    <x:row r="56" ht="28" customHeight="1">
      <x:c r="A56" s="186" t="str">
        <x:v>• 행정동 일반점포 수는 20211 567,412개 → 20254 580,341개로 2.3% 변했습니다.</x:v>
      </x:c>
      <x:c r="B56" s="186"/>
      <x:c r="C56" s="186"/>
      <x:c r="D56" s="186"/>
      <x:c r="E56" s="186"/>
      <x:c r="F56" s="186"/>
      <x:c r="G56" s="186"/>
      <x:c r="H56" s="186"/>
      <x:c r="I56" s="186"/>
      <x:c r="J56" s="186"/>
      <x:c r="K56" s="186"/>
      <x:c r="L56" s="186"/>
    </x:row>
    <x:row r="57" ht="28" customHeight="1">
      <x:c r="A57" s="186" t="str">
        <x:v>• 경쟁·폐업 지표는 행정동 단위이므로 '해당 상권 내부 점포수'로 해석하면 안 됩니다. 다음 단계에서는 점포-상권 데이터로 교체하는 것이 우선입니다.</x:v>
      </x:c>
      <x:c r="B57" s="186"/>
      <x:c r="C57" s="186"/>
      <x:c r="D57" s="186"/>
      <x:c r="E57" s="186"/>
      <x:c r="F57" s="186"/>
      <x:c r="G57" s="186"/>
      <x:c r="H57" s="186"/>
      <x:c r="I57" s="186"/>
      <x:c r="J57" s="186"/>
      <x:c r="K57" s="186"/>
      <x:c r="L57" s="186"/>
    </x:row>
    <x:row r="59">
      <x:c r="A59" s="191" t="str">
        <x:v>사용법: ① B11에서 상권코드를 선택해 개별 상권을 확인 → ② 01_상권랭킹에서 자치구/상권유형 필터 → ③ 02_업종기회_TOP1000에서 자치구·업종·등급 필터로 후보를 좁히세요. 전체 21,333개 상권×업종 결과는 함께 제공한 CSV에서 확인할 수 있습니다.</x:v>
      </x:c>
      <x:c r="B59" s="191"/>
      <x:c r="C59" s="191"/>
      <x:c r="D59" s="191"/>
      <x:c r="E59" s="191"/>
      <x:c r="F59" s="191"/>
      <x:c r="G59" s="191"/>
      <x:c r="H59" s="191"/>
      <x:c r="I59" s="191"/>
      <x:c r="J59" s="191"/>
      <x:c r="K59" s="191"/>
      <x:c r="L59" s="191"/>
    </x:row>
    <x:row r="60">
      <x:c r="A60" s="191"/>
      <x:c r="B60" s="191"/>
      <x:c r="C60" s="191"/>
      <x:c r="D60" s="191"/>
      <x:c r="E60" s="191"/>
      <x:c r="F60" s="191"/>
      <x:c r="G60" s="191"/>
      <x:c r="H60" s="191"/>
      <x:c r="I60" s="191"/>
      <x:c r="J60" s="191"/>
      <x:c r="K60" s="191"/>
      <x:c r="L60" s="191"/>
    </x:row>
    <x:row r="61">
      <x:c r="A61" s="191"/>
      <x:c r="B61" s="191"/>
      <x:c r="C61" s="191"/>
      <x:c r="D61" s="191"/>
      <x:c r="E61" s="191"/>
      <x:c r="F61" s="191"/>
      <x:c r="G61" s="191"/>
      <x:c r="H61" s="191"/>
      <x:c r="I61" s="191"/>
      <x:c r="J61" s="191"/>
      <x:c r="K61" s="191"/>
      <x:c r="L61" s="191"/>
    </x:row>
  </x:sheetData>
  <x:mergeCells>
    <x:mergeCell ref="A1:L2"/>
    <x:mergeCell ref="A3:L3"/>
    <x:mergeCell ref="A5:C7"/>
    <x:mergeCell ref="D5:F7"/>
    <x:mergeCell ref="G5:I7"/>
    <x:mergeCell ref="J5:L7"/>
    <x:mergeCell ref="A9:L9"/>
    <x:mergeCell ref="K11:L11"/>
    <x:mergeCell ref="B15:D15"/>
    <x:mergeCell ref="F15:L15"/>
    <x:mergeCell ref="A52:L52"/>
    <x:mergeCell ref="A53:L53"/>
    <x:mergeCell ref="A54:L54"/>
    <x:mergeCell ref="A55:L55"/>
    <x:mergeCell ref="A56:L56"/>
    <x:mergeCell ref="A57:L57"/>
    <x:mergeCell ref="A59:L61"/>
  </x:mergeCells>
  <x:dataValidations count="1">
    <x:dataValidation type="list" sqref="B11">
      <x:formula1>'01_상권랭킹'!$A$2:$A$1566</x:formula1>
    </x:dataValidation>
  </x:dataValidations>
  <x:pageMargins left="0.7" right="0.7" top="0.75" bottom="0.75" header="0.3" footer="0.3"/>
  <x:drawing xmlns:r="http://schemas.openxmlformats.org/officeDocument/2006/relationships" r:id="R6d5839274ec84081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22" hidden="0" customWidth="1"/>
    <x:col min="21" max="21" width="13" hidden="0" customWidth="1"/>
    <x:col min="22" max="22" width="24" hidden="0" customWidth="1"/>
    <x:col min="23" max="23" width="24" hidden="0" customWidth="1"/>
    <x:col min="24" max="24" width="13" hidden="0" customWidth="1"/>
  </x:cols>
  <x:sheetData>
    <x:row r="1">
      <x:c r="A1" s="6" t="str">
        <x:v>상권코드</x:v>
      </x:c>
      <x:c r="B1" s="6" t="str">
        <x:v>상권명</x:v>
      </x:c>
      <x:c r="C1" s="6" t="str">
        <x:v>상권유형</x:v>
      </x:c>
      <x:c r="D1" s="6" t="str">
        <x:v>자치구</x:v>
      </x:c>
      <x:c r="E1" s="6" t="str">
        <x:v>행정동</x:v>
      </x:c>
      <x:c r="F1" s="6" t="str">
        <x:v>면적㎡</x:v>
      </x:c>
      <x:c r="G1" s="6" t="str">
        <x:v>Q4매출</x:v>
      </x:c>
      <x:c r="H1" s="6" t="str">
        <x:v>매출건수</x:v>
      </x:c>
      <x:c r="I1" s="6" t="str">
        <x:v>객단가</x:v>
      </x:c>
      <x:c r="J1" s="6" t="str">
        <x:v>㎡당매출</x:v>
      </x:c>
      <x:c r="K1" s="6" t="str">
        <x:v>직장인구</x:v>
      </x:c>
      <x:c r="L1" s="6" t="str">
        <x:v>직장인구/ha</x:v>
      </x:c>
      <x:c r="M1" s="6" t="str">
        <x:v>업종수</x:v>
      </x:c>
      <x:c r="N1" s="6" t="str">
        <x:v>평일매출비중</x:v>
      </x:c>
      <x:c r="O1" s="6" t="str">
        <x:v>주말매출비중</x:v>
      </x:c>
      <x:c r="P1" s="6" t="str">
        <x:v>저녁매출비중</x:v>
      </x:c>
      <x:c r="Q1" s="6" t="str">
        <x:v>점심매출비중</x:v>
      </x:c>
      <x:c r="R1" s="6" t="str">
        <x:v>2030매출비중</x:v>
      </x:c>
      <x:c r="S1" s="6" t="str">
        <x:v>여성매출비중</x:v>
      </x:c>
      <x:c r="T1" s="6" t="str">
        <x:v>상권DNA</x:v>
      </x:c>
      <x:c r="U1" s="6" t="str">
        <x:v>최고기회지수</x:v>
      </x:c>
      <x:c r="V1" s="6" t="str">
        <x:v>추천1순위업종</x:v>
      </x:c>
      <x:c r="W1" s="6" t="str">
        <x:v>추천 TOP3</x:v>
      </x:c>
      <x:c r="X1" s="6" t="str">
        <x:v>TOP5 평균점수</x:v>
      </x:c>
    </x:row>
    <x:row r="2">
      <x:c r="A2" t="str">
        <x:v>3120153</x:v>
      </x:c>
      <x:c r="B2" t="str">
        <x:v>노량진역(노량진)</x:v>
      </x:c>
      <x:c r="C2" t="str">
        <x:v>발달상권</x:v>
      </x:c>
      <x:c r="D2" t="str">
        <x:v>동작구</x:v>
      </x:c>
      <x:c r="E2" t="str">
        <x:v>노량진1동</x:v>
      </x:c>
      <x:c r="F2" s="12" t="n">
        <x:v>443826</x:v>
      </x:c>
      <x:c r="G2" s="12" t="n">
        <x:v>1261630232011</x:v>
      </x:c>
      <x:c r="H2" s="12" t="n">
        <x:v>17212812</x:v>
      </x:c>
      <x:c r="I2" s="12" t="n">
        <x:v>73295.99788872382</x:v>
      </x:c>
      <x:c r="J2" s="12" t="n">
        <x:v>2842623.532670461</x:v>
      </x:c>
      <x:c r="K2" s="12" t="n">
        <x:v>5349</x:v>
      </x:c>
      <x:c r="L2" s="12" t="n">
        <x:v>120.5202038636763</x:v>
      </x:c>
      <x:c r="M2" s="12" t="n">
        <x:v>37</x:v>
      </x:c>
      <x:c r="N2" s="14" t="n">
        <x:v>0.620031608346224</x:v>
      </x:c>
      <x:c r="O2" s="14" t="n">
        <x:v>0.37996839165377605</x:v>
      </x:c>
      <x:c r="P2" s="14" t="n">
        <x:v>0.39168212692662513</x:v>
      </x:c>
      <x:c r="Q2" s="14" t="n">
        <x:v>0.19810984484542757</x:v>
      </x:c>
      <x:c r="R2" s="14" t="n">
        <x:v>0.2747290423110105</x:v>
      </x:c>
      <x:c r="S2" s="14" t="n">
        <x:v>0.32160391345985306</x:v>
      </x:c>
      <x:c r="T2" t="str">
        <x:v>고매출밀도·2030소비</x:v>
      </x:c>
      <x:c r="U2" s="16" t="n">
        <x:v>92.27646248945452</x:v>
      </x:c>
      <x:c r="V2" t="str">
        <x:v>육류판매</x:v>
      </x:c>
      <x:c r="W2" t="str">
        <x:v>육류판매 / 예술학원 / 일식음식점</x:v>
      </x:c>
      <x:c r="X2" s="16" t="n">
        <x:v>80.85446719511981</x:v>
      </x:c>
    </x:row>
    <x:row r="3">
      <x:c r="A3" t="str">
        <x:v>3120131</x:v>
      </x:c>
      <x:c r="B3" t="str">
        <x:v>가산디지털단지</x:v>
      </x:c>
      <x:c r="C3" t="str">
        <x:v>발달상권</x:v>
      </x:c>
      <x:c r="D3" t="str">
        <x:v>금천구</x:v>
      </x:c>
      <x:c r="E3" t="str">
        <x:v>가산동</x:v>
      </x:c>
      <x:c r="F3" s="12" t="n">
        <x:v>1713620</x:v>
      </x:c>
      <x:c r="G3" s="12" t="n">
        <x:v>804376684466</x:v>
      </x:c>
      <x:c r="H3" s="12" t="n">
        <x:v>19015032</x:v>
      </x:c>
      <x:c r="I3" s="12" t="n">
        <x:v>42302.14729409869</x:v>
      </x:c>
      <x:c r="J3" s="12" t="n">
        <x:v>469402.01705512305</x:v>
      </x:c>
      <x:c r="K3" s="12" t="n">
        <x:v>104860</x:v>
      </x:c>
      <x:c r="L3" s="12" t="n">
        <x:v>611.9209626404921</x:v>
      </x:c>
      <x:c r="M3" s="12" t="n">
        <x:v>51</x:v>
      </x:c>
      <x:c r="N3" s="14" t="n">
        <x:v>0.6491132326313342</x:v>
      </x:c>
      <x:c r="O3" s="14" t="n">
        <x:v>0.35088676736866575</x:v>
      </x:c>
      <x:c r="P3" s="14" t="n">
        <x:v>0.2887498678957763</x:v>
      </x:c>
      <x:c r="Q3" s="14" t="n">
        <x:v>0.29722426787111283</x:v>
      </x:c>
      <x:c r="R3" s="14" t="n">
        <x:v>0.2737869108230085</x:v>
      </x:c>
      <x:c r="S3" s="14" t="n">
        <x:v>0.45919744306140775</x:v>
      </x:c>
      <x:c r="T3" t="str">
        <x:v>고매출밀도·직장밀집</x:v>
      </x:c>
      <x:c r="U3" s="16" t="n">
        <x:v>77.71589262386942</x:v>
      </x:c>
      <x:c r="V3" t="str">
        <x:v>피부관리실</x:v>
      </x:c>
      <x:c r="W3" t="str">
        <x:v>피부관리실 / 미용실 / 인테리어</x:v>
      </x:c>
      <x:c r="X3" s="16" t="n">
        <x:v>74.07844096311516</x:v>
      </x:c>
    </x:row>
    <x:row r="4">
      <x:c r="A4" t="str">
        <x:v>3120040</x:v>
      </x:c>
      <x:c r="B4" t="str">
        <x:v>용산전자상가(용산역)</x:v>
      </x:c>
      <x:c r="C4" t="str">
        <x:v>발달상권</x:v>
      </x:c>
      <x:c r="D4" t="str">
        <x:v>용산구</x:v>
      </x:c>
      <x:c r="E4" t="str">
        <x:v>한강로동</x:v>
      </x:c>
      <x:c r="F4" s="12" t="n">
        <x:v>365025</x:v>
      </x:c>
      <x:c r="G4" s="12" t="n">
        <x:v>668985024792</x:v>
      </x:c>
      <x:c r="H4" s="12" t="n">
        <x:v>3298753</x:v>
      </x:c>
      <x:c r="I4" s="12" t="n">
        <x:v>202799.3683649549</x:v>
      </x:c>
      <x:c r="J4" s="12" t="n">
        <x:v>1832710.1562687487</x:v>
      </x:c>
      <x:c r="K4" s="12" t="n">
        <x:v>15346</x:v>
      </x:c>
      <x:c r="L4" s="12" t="n">
        <x:v>420.4095609889734</x:v>
      </x:c>
      <x:c r="M4" s="12" t="n">
        <x:v>32</x:v>
      </x:c>
      <x:c r="N4" s="14" t="n">
        <x:v>0.8212126762490868</x:v>
      </x:c>
      <x:c r="O4" s="14" t="n">
        <x:v>0.1787873237509132</x:v>
      </x:c>
      <x:c r="P4" s="14" t="n">
        <x:v>0.19946641057845654</x:v>
      </x:c>
      <x:c r="Q4" s="14" t="n">
        <x:v>0.3353386152952384</x:v>
      </x:c>
      <x:c r="R4" s="14" t="n">
        <x:v>0.14430363545135433</x:v>
      </x:c>
      <x:c r="S4" s="14" t="n">
        <x:v>0.2642045390223115</x:v>
      </x:c>
      <x:c r="T4" t="str">
        <x:v>고매출밀도·직장밀집</x:v>
      </x:c>
      <x:c r="U4" s="16" t="n">
        <x:v>73.87773244920912</x:v>
      </x:c>
      <x:c r="V4" t="str">
        <x:v>반찬가게</x:v>
      </x:c>
      <x:c r="W4" t="str">
        <x:v>반찬가게 / 시계및귀금속 / 편의점</x:v>
      </x:c>
      <x:c r="X4" s="16" t="n">
        <x:v>68.09384687875104</x:v>
      </x:c>
    </x:row>
    <x:row r="5">
      <x:c r="A5" t="str">
        <x:v>3001492</x:v>
      </x:c>
      <x:c r="B5" t="str">
        <x:v>명동 남대문 북창동 다동 무교동 관광특구</x:v>
      </x:c>
      <x:c r="C5" t="str">
        <x:v>관광특구</x:v>
      </x:c>
      <x:c r="D5" t="str">
        <x:v>중구</x:v>
      </x:c>
      <x:c r="E5" t="str">
        <x:v>소공동</x:v>
      </x:c>
      <x:c r="F5" s="12" t="n">
        <x:v>983618</x:v>
      </x:c>
      <x:c r="G5" s="12" t="n">
        <x:v>537829815743</x:v>
      </x:c>
      <x:c r="H5" s="12" t="n">
        <x:v>15760017</x:v>
      </x:c>
      <x:c r="I5" s="12" t="n">
        <x:v>34126.220532820495</x:v>
      </x:c>
      <x:c r="J5" s="12" t="n">
        <x:v>546787.2850466339</x:v>
      </x:c>
      <x:c r="K5" s="12" t="n">
        <x:v>199667</x:v>
      </x:c>
      <x:c r="L5" s="12" t="n">
        <x:v>2029.9242185482574</x:v>
      </x:c>
      <x:c r="M5" s="12" t="n">
        <x:v>53</x:v>
      </x:c>
      <x:c r="N5" s="14" t="n">
        <x:v>0.8035852835491021</x:v>
      </x:c>
      <x:c r="O5" s="14" t="n">
        <x:v>0.1964147164508979</x:v>
      </x:c>
      <x:c r="P5" s="14" t="n">
        <x:v>0.3116199694404565</x:v>
      </x:c>
      <x:c r="Q5" s="14" t="n">
        <x:v>0.31031953926621303</x:v>
      </x:c>
      <x:c r="R5" s="14" t="n">
        <x:v>0.23036489349672606</x:v>
      </x:c>
      <x:c r="S5" s="14" t="n">
        <x:v>0.476419940309594</x:v>
      </x:c>
      <x:c r="T5" t="str">
        <x:v>직장밀집·고매출밀도</x:v>
      </x:c>
      <x:c r="U5" s="16" t="n">
        <x:v>91.1727771756019</x:v>
      </x:c>
      <x:c r="V5" t="str">
        <x:v>피부관리실</x:v>
      </x:c>
      <x:c r="W5" t="str">
        <x:v>피부관리실 / 애완동물 / 스포츠클럽</x:v>
      </x:c>
      <x:c r="X5" s="16" t="n">
        <x:v>85.39718796754711</x:v>
      </x:c>
    </x:row>
    <x:row r="6">
      <x:c r="A6" t="str">
        <x:v>3120231</x:v>
      </x:c>
      <x:c r="B6" t="str">
        <x:v>가락시장</x:v>
      </x:c>
      <x:c r="C6" t="str">
        <x:v>발달상권</x:v>
      </x:c>
      <x:c r="D6" t="str">
        <x:v>송파구</x:v>
      </x:c>
      <x:c r="E6" t="str">
        <x:v>가락1동</x:v>
      </x:c>
      <x:c r="F6" s="12" t="n">
        <x:v>615953</x:v>
      </x:c>
      <x:c r="G6" s="12" t="n">
        <x:v>459214405791</x:v>
      </x:c>
      <x:c r="H6" s="12" t="n">
        <x:v>6162968</x:v>
      </x:c>
      <x:c r="I6" s="12" t="n">
        <x:v>74511.89196357988</x:v>
      </x:c>
      <x:c r="J6" s="12" t="n">
        <x:v>745534.8148170396</x:v>
      </x:c>
      <x:c r="K6" s="12" t="n">
        <x:v>5755</x:v>
      </x:c>
      <x:c r="L6" s="12" t="n">
        <x:v>93.43245345018207</x:v>
      </x:c>
      <x:c r="M6" s="12" t="n">
        <x:v>10</x:v>
      </x:c>
      <x:c r="N6" s="14" t="n">
        <x:v>0.7932069618037642</x:v>
      </x:c>
      <x:c r="O6" s="14" t="n">
        <x:v>0.20679303819623582</x:v>
      </x:c>
      <x:c r="P6" s="14" t="n">
        <x:v>0.18547522807410427</x:v>
      </x:c>
      <x:c r="Q6" s="14" t="n">
        <x:v>0.15247352200197956</x:v>
      </x:c>
      <x:c r="R6" s="14" t="n">
        <x:v>0.11860129763173778</x:v>
      </x:c>
      <x:c r="S6" s="14" t="n">
        <x:v>0.3406034713057023</x:v>
      </x:c>
      <x:c r="T6" t="str">
        <x:v>고매출밀도·평일집중</x:v>
      </x:c>
      <x:c r="U6" s="16" t="n">
        <x:v>80.32339246350662</x:v>
      </x:c>
      <x:c r="V6" t="str">
        <x:v>한식음식점</x:v>
      </x:c>
      <x:c r="W6" t="str">
        <x:v>한식음식점 / 육류판매 / 커피-음료</x:v>
      </x:c>
      <x:c r="X6" s="16" t="n">
        <x:v>70.15493288220418</x:v>
      </x:c>
    </x:row>
    <x:row r="7">
      <x:c r="A7" t="str">
        <x:v>3120189</x:v>
      </x:c>
      <x:c r="B7" t="str">
        <x:v>강남역</x:v>
      </x:c>
      <x:c r="C7" t="str">
        <x:v>발달상권</x:v>
      </x:c>
      <x:c r="D7" t="str">
        <x:v>서초구</x:v>
      </x:c>
      <x:c r="E7" t="str">
        <x:v>서초2동</x:v>
      </x:c>
      <x:c r="F7" s="12" t="n">
        <x:v>617547</x:v>
      </x:c>
      <x:c r="G7" s="12" t="n">
        <x:v>418704504599</x:v>
      </x:c>
      <x:c r="H7" s="12" t="n">
        <x:v>11863132</x:v>
      </x:c>
      <x:c r="I7" s="12" t="n">
        <x:v>35294.60049833383</x:v>
      </x:c>
      <x:c r="J7" s="12" t="n">
        <x:v>678012.3692593438</x:v>
      </x:c>
      <x:c r="K7" s="12" t="n">
        <x:v>87191</x:v>
      </x:c>
      <x:c r="L7" s="12" t="n">
        <x:v>1411.89253611466</x:v>
      </x:c>
      <x:c r="M7" s="12" t="n">
        <x:v>49</x:v>
      </x:c>
      <x:c r="N7" s="14" t="n">
        <x:v>0.7854348237833251</x:v>
      </x:c>
      <x:c r="O7" s="14" t="n">
        <x:v>0.2145651762166749</x:v>
      </x:c>
      <x:c r="P7" s="14" t="n">
        <x:v>0.3508896438640104</x:v>
      </x:c>
      <x:c r="Q7" s="14" t="n">
        <x:v>0.2583748106665542</x:v>
      </x:c>
      <x:c r="R7" s="14" t="n">
        <x:v>0.4731195720994713</x:v>
      </x:c>
      <x:c r="S7" s="14" t="n">
        <x:v>0.5307688836374911</x:v>
      </x:c>
      <x:c r="T7" t="str">
        <x:v>직장밀집·고매출밀도</x:v>
      </x:c>
      <x:c r="U7" s="16" t="n">
        <x:v>79.84216677701387</x:v>
      </x:c>
      <x:c r="V7" t="str">
        <x:v>PC방</x:v>
      </x:c>
      <x:c r="W7" t="str">
        <x:v>PC방 / 당구장 / 서적</x:v>
      </x:c>
      <x:c r="X7" s="16" t="n">
        <x:v>75.93713694446502</x:v>
      </x:c>
    </x:row>
    <x:row r="8">
      <x:c r="A8" t="str">
        <x:v>3001495</x:v>
      </x:c>
      <x:c r="B8" t="str">
        <x:v>잠실 관광특구</x:v>
      </x:c>
      <x:c r="C8" t="str">
        <x:v>관광특구</x:v>
      </x:c>
      <x:c r="D8" t="str">
        <x:v>송파구</x:v>
      </x:c>
      <x:c r="E8" t="str">
        <x:v>방이2동</x:v>
      </x:c>
      <x:c r="F8" s="12" t="n">
        <x:v>2462734</x:v>
      </x:c>
      <x:c r="G8" s="12" t="n">
        <x:v>380932087468</x:v>
      </x:c>
      <x:c r="H8" s="12" t="n">
        <x:v>13411055</x:v>
      </x:c>
      <x:c r="I8" s="12" t="n">
        <x:v>28404.334145822235</x:v>
      </x:c>
      <x:c r="J8" s="12" t="n">
        <x:v>154678.53510285722</x:v>
      </x:c>
      <x:c r="K8" s="12" t="n">
        <x:v>137602</x:v>
      </x:c>
      <x:c r="L8" s="12" t="n">
        <x:v>558.7367535430136</x:v>
      </x:c>
      <x:c r="M8" s="12" t="n">
        <x:v>42</x:v>
      </x:c>
      <x:c r="N8" s="14" t="n">
        <x:v>0.6482171174769911</x:v>
      </x:c>
      <x:c r="O8" s="14" t="n">
        <x:v>0.35178288252300893</x:v>
      </x:c>
      <x:c r="P8" s="14" t="n">
        <x:v>0.4383837582231197</x:v>
      </x:c>
      <x:c r="Q8" s="14" t="n">
        <x:v>0.2209320740985618</x:v>
      </x:c>
      <x:c r="R8" s="14" t="n">
        <x:v>0.464902554610543</x:v>
      </x:c>
      <x:c r="S8" s="14" t="n">
        <x:v>0.5533705597292532</x:v>
      </x:c>
      <x:c r="T8" t="str">
        <x:v>2030소비·직장밀집</x:v>
      </x:c>
      <x:c r="U8" s="16" t="n">
        <x:v>84.24887796985401</x:v>
      </x:c>
      <x:c r="V8" t="str">
        <x:v>시계및귀금속</x:v>
      </x:c>
      <x:c r="W8" t="str">
        <x:v>시계및귀금속 / 가전제품 / 완구</x:v>
      </x:c>
      <x:c r="X8" s="16" t="n">
        <x:v>79.58703123546331</x:v>
      </x:c>
    </x:row>
    <x:row r="9">
      <x:c r="A9" t="str">
        <x:v>3120009</x:v>
      </x:c>
      <x:c r="B9" t="str">
        <x:v>종로3가역</x:v>
      </x:c>
      <x:c r="C9" t="str">
        <x:v>발달상권</x:v>
      </x:c>
      <x:c r="D9" t="str">
        <x:v>종로구</x:v>
      </x:c>
      <x:c r="E9" t="str">
        <x:v>종로1·2·3·4가동</x:v>
      </x:c>
      <x:c r="F9" s="12" t="n">
        <x:v>401520</x:v>
      </x:c>
      <x:c r="G9" s="12" t="n">
        <x:v>331319763982</x:v>
      </x:c>
      <x:c r="H9" s="12" t="n">
        <x:v>4714480</x:v>
      </x:c>
      <x:c r="I9" s="12" t="n">
        <x:v>70277.05366912151</x:v>
      </x:c>
      <x:c r="J9" s="12" t="n">
        <x:v>825163.7875622634</x:v>
      </x:c>
      <x:c r="K9" s="12" t="n">
        <x:v>21862</x:v>
      </x:c>
      <x:c r="L9" s="12" t="n">
        <x:v>544.4809723052401</x:v>
      </x:c>
      <x:c r="M9" s="12" t="n">
        <x:v>44</x:v>
      </x:c>
      <x:c r="N9" s="14" t="n">
        <x:v>0.7813012647113422</x:v>
      </x:c>
      <x:c r="O9" s="14" t="n">
        <x:v>0.2186987352886578</x:v>
      </x:c>
      <x:c r="P9" s="14" t="n">
        <x:v>0.28039567313903774</x:v>
      </x:c>
      <x:c r="Q9" s="14" t="n">
        <x:v>0.23850269988509665</x:v>
      </x:c>
      <x:c r="R9" s="14" t="n">
        <x:v>0.2547396610260332</x:v>
      </x:c>
      <x:c r="S9" s="14" t="n">
        <x:v>0.3687428899521894</x:v>
      </x:c>
      <x:c r="T9" t="str">
        <x:v>고매출밀도·직장밀집</x:v>
      </x:c>
      <x:c r="U9" s="16" t="n">
        <x:v>71.03350764381133</x:v>
      </x:c>
      <x:c r="V9" t="str">
        <x:v>미용실</x:v>
      </x:c>
      <x:c r="W9" t="str">
        <x:v>미용실 / 당구장 / 육류판매</x:v>
      </x:c>
      <x:c r="X9" s="16" t="n">
        <x:v>68.4198088163652</x:v>
      </x:c>
    </x:row>
    <x:row r="10">
      <x:c r="A10" t="str">
        <x:v>3120227</x:v>
      </x:c>
      <x:c r="B10" t="str">
        <x:v>잠실역</x:v>
      </x:c>
      <x:c r="C10" t="str">
        <x:v>발달상권</x:v>
      </x:c>
      <x:c r="D10" t="str">
        <x:v>송파구</x:v>
      </x:c>
      <x:c r="E10" t="str">
        <x:v>잠실6동</x:v>
      </x:c>
      <x:c r="F10" s="12" t="n">
        <x:v>526867</x:v>
      </x:c>
      <x:c r="G10" s="12" t="n">
        <x:v>321989991430</x:v>
      </x:c>
      <x:c r="H10" s="12" t="n">
        <x:v>11246552</x:v>
      </x:c>
      <x:c r="I10" s="12" t="n">
        <x:v>28630.107381355636</x:v>
      </x:c>
      <x:c r="J10" s="12" t="n">
        <x:v>611140.935814921</x:v>
      </x:c>
      <x:c r="K10" s="12" t="n">
        <x:v>110575</x:v>
      </x:c>
      <x:c r="L10" s="12" t="n">
        <x:v>2098.727003209539</x:v>
      </x:c>
      <x:c r="M10" s="12" t="n">
        <x:v>34</x:v>
      </x:c>
      <x:c r="N10" s="14" t="n">
        <x:v>0.652475041497286</x:v>
      </x:c>
      <x:c r="O10" s="14" t="n">
        <x:v>0.34752495850271403</x:v>
      </x:c>
      <x:c r="P10" s="14" t="n">
        <x:v>0.4011492307054533</x:v>
      </x:c>
      <x:c r="Q10" s="14" t="n">
        <x:v>0.2529583851885256</x:v>
      </x:c>
      <x:c r="R10" s="14" t="n">
        <x:v>0.4551254069363171</x:v>
      </x:c>
      <x:c r="S10" s="14" t="n">
        <x:v>0.5973451971870193</x:v>
      </x:c>
      <x:c r="T10" t="str">
        <x:v>직장밀집·고매출밀도</x:v>
      </x:c>
      <x:c r="U10" s="16" t="n">
        <x:v>81.06927849870851</x:v>
      </x:c>
      <x:c r="V10" t="str">
        <x:v>미용실</x:v>
      </x:c>
      <x:c r="W10" t="str">
        <x:v>미용실 / 한식음식점 / 가전제품</x:v>
      </x:c>
      <x:c r="X10" s="16" t="n">
        <x:v>78.79933875716719</x:v>
      </x:c>
    </x:row>
    <x:row r="11">
      <x:c r="A11" t="str">
        <x:v>3001494</x:v>
      </x:c>
      <x:c r="B11" t="str">
        <x:v>종로?청계 관광특구</x:v>
      </x:c>
      <x:c r="C11" t="str">
        <x:v>관광특구</x:v>
      </x:c>
      <x:c r="D11" t="str">
        <x:v>종로구</x:v>
      </x:c>
      <x:c r="E11" t="str">
        <x:v>종로1·2·3·4가동</x:v>
      </x:c>
      <x:c r="F11" s="12" t="n">
        <x:v>653127</x:v>
      </x:c>
      <x:c r="G11" s="12" t="n">
        <x:v>263865637195</x:v>
      </x:c>
      <x:c r="H11" s="12" t="n">
        <x:v>6909787</x:v>
      </x:c>
      <x:c r="I11" s="12" t="n">
        <x:v>38187.23170410318</x:v>
      </x:c>
      <x:c r="J11" s="12" t="n">
        <x:v>404003.5662206585</x:v>
      </x:c>
      <x:c r="K11" s="12" t="n">
        <x:v>46516</x:v>
      </x:c>
      <x:c r="L11" s="12" t="n">
        <x:v>712.2045176512379</x:v>
      </x:c>
      <x:c r="M11" s="12" t="n">
        <x:v>53</x:v>
      </x:c>
      <x:c r="N11" s="14" t="n">
        <x:v>0.7843251998973121</x:v>
      </x:c>
      <x:c r="O11" s="14" t="n">
        <x:v>0.2156748001026879</x:v>
      </x:c>
      <x:c r="P11" s="14" t="n">
        <x:v>0.31838219970611586</x:v>
      </x:c>
      <x:c r="Q11" s="14" t="n">
        <x:v>0.2833770011391877</x:v>
      </x:c>
      <x:c r="R11" s="14" t="n">
        <x:v>0.2357753339591688</x:v>
      </x:c>
      <x:c r="S11" s="14" t="n">
        <x:v>0.35716098309668726</x:v>
      </x:c>
      <x:c r="T11" t="str">
        <x:v>직장밀집·고매출밀도</x:v>
      </x:c>
      <x:c r="U11" s="16" t="n">
        <x:v>79.94582167133147</x:v>
      </x:c>
      <x:c r="V11" t="str">
        <x:v>운동/경기용품</x:v>
      </x:c>
      <x:c r="W11" t="str">
        <x:v>운동/경기용품 / 육류판매 / 애완동물</x:v>
      </x:c>
      <x:c r="X11" s="16" t="n">
        <x:v>75.77647359148378</x:v>
      </x:c>
    </x:row>
    <x:row r="12">
      <x:c r="A12" t="str">
        <x:v>3130231</x:v>
      </x:c>
      <x:c r="B12" t="str">
        <x:v>독산동 우시장</x:v>
      </x:c>
      <x:c r="C12" t="str">
        <x:v>전통시장</x:v>
      </x:c>
      <x:c r="D12" t="str">
        <x:v>금천구</x:v>
      </x:c>
      <x:c r="E12" t="str">
        <x:v>독산1동</x:v>
      </x:c>
      <x:c r="F12" s="12" t="n">
        <x:v>63392</x:v>
      </x:c>
      <x:c r="G12" s="12" t="n">
        <x:v>201694253289</x:v>
      </x:c>
      <x:c r="H12" s="12" t="n">
        <x:v>1764762</x:v>
      </x:c>
      <x:c r="I12" s="12" t="n">
        <x:v>114289.77578223012</x:v>
      </x:c>
      <x:c r="J12" s="12" t="n">
        <x:v>3181698.8466841243</x:v>
      </x:c>
      <x:c r="K12" s="12" t="n">
        <x:v>871</x:v>
      </x:c>
      <x:c r="L12" s="12" t="n">
        <x:v>137.39904088844017</x:v>
      </x:c>
      <x:c r="M12" s="12" t="n">
        <x:v>4</x:v>
      </x:c>
      <x:c r="N12" s="14" t="n">
        <x:v>0.8089972434276538</x:v>
      </x:c>
      <x:c r="O12" s="14" t="n">
        <x:v>0.1910027565723462</x:v>
      </x:c>
      <x:c r="P12" s="14" t="n">
        <x:v>0.07373421141895804</x:v>
      </x:c>
      <x:c r="Q12" s="14" t="n">
        <x:v>0.34712294717530434</x:v>
      </x:c>
      <x:c r="R12" s="14" t="n">
        <x:v>0.12825906705399845</x:v>
      </x:c>
      <x:c r="S12" s="14" t="n">
        <x:v>0.43989385333587405</x:v>
      </x:c>
      <x:c r="T12" t="str">
        <x:v>고매출밀도·평일집중</x:v>
      </x:c>
      <x:c r="U12" s="16" t="n">
        <x:v>71.39905545432592</x:v>
      </x:c>
      <x:c r="V12" t="str">
        <x:v>육류판매</x:v>
      </x:c>
      <x:c r="W12" t="str">
        <x:v>육류판매 / 한식음식점 / 호프-간이주점</x:v>
      </x:c>
      <x:c r="X12" s="16" t="n">
        <x:v>46.035469460287096</x:v>
      </x:c>
    </x:row>
    <x:row r="13">
      <x:c r="A13" t="str">
        <x:v>3120149</x:v>
      </x:c>
      <x:c r="B13" t="str">
        <x:v>여의도역(여의도)</x:v>
      </x:c>
      <x:c r="C13" t="str">
        <x:v>발달상권</x:v>
      </x:c>
      <x:c r="D13" t="str">
        <x:v>영등포구</x:v>
      </x:c>
      <x:c r="E13" t="str">
        <x:v>여의동</x:v>
      </x:c>
      <x:c r="F13" s="12" t="n">
        <x:v>598658</x:v>
      </x:c>
      <x:c r="G13" s="12" t="n">
        <x:v>199868991771</x:v>
      </x:c>
      <x:c r="H13" s="12" t="n">
        <x:v>6630376</x:v>
      </x:c>
      <x:c r="I13" s="12" t="n">
        <x:v>30144.443055868927</x:v>
      </x:c>
      <x:c r="J13" s="12" t="n">
        <x:v>333861.72367361665</x:v>
      </x:c>
      <x:c r="K13" s="12" t="n">
        <x:v>166492</x:v>
      </x:c>
      <x:c r="L13" s="12" t="n">
        <x:v>2781.087031326734</x:v>
      </x:c>
      <x:c r="M13" s="12" t="n">
        <x:v>45</x:v>
      </x:c>
      <x:c r="N13" s="14" t="n">
        <x:v>0.8641072859409856</x:v>
      </x:c>
      <x:c r="O13" s="14" t="n">
        <x:v>0.13589271405901437</x:v>
      </x:c>
      <x:c r="P13" s="14" t="n">
        <x:v>0.4070496216952671</x:v>
      </x:c>
      <x:c r="Q13" s="14" t="n">
        <x:v>0.3301329447521327</x:v>
      </x:c>
      <x:c r="R13" s="14" t="n">
        <x:v>0.279150165779219</x:v>
      </x:c>
      <x:c r="S13" s="14" t="n">
        <x:v>0.29980919047040727</x:v>
      </x:c>
      <x:c r="T13" t="str">
        <x:v>직장밀집·평일집중</x:v>
      </x:c>
      <x:c r="U13" s="16" t="n">
        <x:v>76.11563147681035</x:v>
      </x:c>
      <x:c r="V13" t="str">
        <x:v>미용실</x:v>
      </x:c>
      <x:c r="W13" t="str">
        <x:v>미용실 / 시계및귀금속 / 피부관리실</x:v>
      </x:c>
      <x:c r="X13" s="16" t="n">
        <x:v>74.13725469023942</x:v>
      </x:c>
    </x:row>
    <x:row r="14">
      <x:c r="A14" t="str">
        <x:v>3130094</x:v>
      </x:c>
      <x:c r="B14" t="str">
        <x:v>청량리청과물시장</x:v>
      </x:c>
      <x:c r="C14" t="str">
        <x:v>전통시장</x:v>
      </x:c>
      <x:c r="D14" t="str">
        <x:v>동대문구</x:v>
      </x:c>
      <x:c r="E14" t="str">
        <x:v>제기동</x:v>
      </x:c>
      <x:c r="F14" s="12" t="n">
        <x:v>28297</x:v>
      </x:c>
      <x:c r="G14" s="12" t="n">
        <x:v>197642358342</x:v>
      </x:c>
      <x:c r="H14" s="12" t="n">
        <x:v>10650846</x:v>
      </x:c>
      <x:c r="I14" s="12" t="n">
        <x:v>18556.49385429101</x:v>
      </x:c>
      <x:c r="J14" s="12" t="n">
        <x:v>6984569.33038838</x:v>
      </x:c>
      <x:c r="K14" s="12" t="n">
        <x:v>234</x:v>
      </x:c>
      <x:c r="L14" s="12" t="n">
        <x:v>82.69427854542884</x:v>
      </x:c>
      <x:c r="M14" s="12" t="n">
        <x:v>10</x:v>
      </x:c>
      <x:c r="N14" s="14" t="n">
        <x:v>0.6809376206294773</x:v>
      </x:c>
      <x:c r="O14" s="14" t="n">
        <x:v>0.31906237937052273</x:v>
      </x:c>
      <x:c r="P14" s="14" t="n">
        <x:v>0.1357164178165947</x:v>
      </x:c>
      <x:c r="Q14" s="14" t="n">
        <x:v>0.2908037115077585</x:v>
      </x:c>
      <x:c r="R14" s="14" t="n">
        <x:v>0.09560941209931112</x:v>
      </x:c>
      <x:c r="S14" s="14" t="n">
        <x:v>0.4680749336835901</x:v>
      </x:c>
      <x:c r="T14" t="str">
        <x:v>고매출밀도·여성소비</x:v>
      </x:c>
      <x:c r="U14" s="16" t="n">
        <x:v>71.18938230931107</x:v>
      </x:c>
      <x:c r="V14" t="str">
        <x:v>육류판매</x:v>
      </x:c>
      <x:c r="W14" t="str">
        <x:v>육류판매 / 청과상 / 한식음식점</x:v>
      </x:c>
      <x:c r="X14" s="16" t="n">
        <x:v>60.20025595664915</x:v>
      </x:c>
    </x:row>
    <x:row r="15">
      <x:c r="A15" t="str">
        <x:v>3130090</x:v>
      </x:c>
      <x:c r="B15" t="str">
        <x:v>청량리종합시장</x:v>
      </x:c>
      <x:c r="C15" t="str">
        <x:v>전통시장</x:v>
      </x:c>
      <x:c r="D15" t="str">
        <x:v>동대문구</x:v>
      </x:c>
      <x:c r="E15" t="str">
        <x:v>제기동</x:v>
      </x:c>
      <x:c r="F15" s="12" t="n">
        <x:v>24349</x:v>
      </x:c>
      <x:c r="G15" s="12" t="n">
        <x:v>193137391924</x:v>
      </x:c>
      <x:c r="H15" s="12" t="n">
        <x:v>7409406</x:v>
      </x:c>
      <x:c r="I15" s="12" t="n">
        <x:v>26066.514903353927</x:v>
      </x:c>
      <x:c r="J15" s="12" t="n">
        <x:v>7932046.1589387655</x:v>
      </x:c>
      <x:c r="K15" s="12" t="n">
        <x:v>139</x:v>
      </x:c>
      <x:c r="L15" s="12" t="n">
        <x:v>57.08653332785741</x:v>
      </x:c>
      <x:c r="M15" s="12" t="n">
        <x:v>7</x:v>
      </x:c>
      <x:c r="N15" s="14" t="n">
        <x:v>0.7093323158930781</x:v>
      </x:c>
      <x:c r="O15" s="14" t="n">
        <x:v>0.2906676841069219</x:v>
      </x:c>
      <x:c r="P15" s="14" t="n">
        <x:v>0.07114044390951843</x:v>
      </x:c>
      <x:c r="Q15" s="14" t="n">
        <x:v>0.33644905540906406</x:v>
      </x:c>
      <x:c r="R15" s="14" t="n">
        <x:v>0.04935203549166054</x:v>
      </x:c>
      <x:c r="S15" s="14" t="n">
        <x:v>0.5255803714536236</x:v>
      </x:c>
      <x:c r="T15" t="str">
        <x:v>고매출밀도·여성소비</x:v>
      </x:c>
      <x:c r="U15" s="16" t="n">
        <x:v>67.07214989791662</x:v>
      </x:c>
      <x:c r="V15" t="str">
        <x:v>육류판매</x:v>
      </x:c>
      <x:c r="W15" t="str">
        <x:v>육류판매 / 반찬가게 / 청과상</x:v>
      </x:c>
      <x:c r="X15" s="16" t="n">
        <x:v>61.54646667964479</x:v>
      </x:c>
    </x:row>
    <x:row r="16">
      <x:c r="A16" t="str">
        <x:v>3120145</x:v>
      </x:c>
      <x:c r="B16" t="str">
        <x:v>영등포역(영등포)</x:v>
      </x:c>
      <x:c r="C16" t="str">
        <x:v>발달상권</x:v>
      </x:c>
      <x:c r="D16" t="str">
        <x:v>영등포구</x:v>
      </x:c>
      <x:c r="E16" t="str">
        <x:v>영등포동</x:v>
      </x:c>
      <x:c r="F16" s="12" t="n">
        <x:v>404780</x:v>
      </x:c>
      <x:c r="G16" s="12" t="n">
        <x:v>161174542818</x:v>
      </x:c>
      <x:c r="H16" s="12" t="n">
        <x:v>4600785</x:v>
      </x:c>
      <x:c r="I16" s="12" t="n">
        <x:v>35031.965809747686</x:v>
      </x:c>
      <x:c r="J16" s="12" t="n">
        <x:v>398178.1284104946</x:v>
      </x:c>
      <x:c r="K16" s="12" t="n">
        <x:v>4867</x:v>
      </x:c>
      <x:c r="L16" s="12" t="n">
        <x:v>120.23815405899502</x:v>
      </x:c>
      <x:c r="M16" s="12" t="n">
        <x:v>45</x:v>
      </x:c>
      <x:c r="N16" s="14" t="n">
        <x:v>0.6669587580241285</x:v>
      </x:c>
      <x:c r="O16" s="14" t="n">
        <x:v>0.3330412419758715</x:v>
      </x:c>
      <x:c r="P16" s="14" t="n">
        <x:v>0.4573082226529415</x:v>
      </x:c>
      <x:c r="Q16" s="14" t="n">
        <x:v>0.19680388811040903</x:v>
      </x:c>
      <x:c r="R16" s="14" t="n">
        <x:v>0.42415045775061005</x:v>
      </x:c>
      <x:c r="S16" s="14" t="n">
        <x:v>0.4280911371959813</x:v>
      </x:c>
      <x:c r="T16" t="str">
        <x:v>고매출밀도·2030소비</x:v>
      </x:c>
      <x:c r="U16" s="16" t="n">
        <x:v>72.50901306144209</x:v>
      </x:c>
      <x:c r="V16" t="str">
        <x:v>가방</x:v>
      </x:c>
      <x:c r="W16" t="str">
        <x:v>가방 / 의약품 / 일식음식점</x:v>
      </x:c>
      <x:c r="X16" s="16" t="n">
        <x:v>69.89473500217325</x:v>
      </x:c>
    </x:row>
    <x:row r="17">
      <x:c r="A17" t="str">
        <x:v>3120103</x:v>
      </x:c>
      <x:c r="B17" t="str">
        <x:v>홍대입구역(홍대)</x:v>
      </x:c>
      <x:c r="C17" t="str">
        <x:v>발달상권</x:v>
      </x:c>
      <x:c r="D17" t="str">
        <x:v>마포구</x:v>
      </x:c>
      <x:c r="E17" t="str">
        <x:v>서교동</x:v>
      </x:c>
      <x:c r="F17" s="12" t="n">
        <x:v>461923</x:v>
      </x:c>
      <x:c r="G17" s="12" t="n">
        <x:v>159600840855</x:v>
      </x:c>
      <x:c r="H17" s="12" t="n">
        <x:v>5774133</x:v>
      </x:c>
      <x:c r="I17" s="12" t="n">
        <x:v>27640.65892749613</x:v>
      </x:c>
      <x:c r="J17" s="12" t="n">
        <x:v>345513.95114553726</x:v>
      </x:c>
      <x:c r="K17" s="12" t="n">
        <x:v>7185</x:v>
      </x:c>
      <x:c r="L17" s="12" t="n">
        <x:v>155.54540475360614</x:v>
      </x:c>
      <x:c r="M17" s="12" t="n">
        <x:v>46</x:v>
      </x:c>
      <x:c r="N17" s="14" t="n">
        <x:v>0.6463338804067982</x:v>
      </x:c>
      <x:c r="O17" s="14" t="n">
        <x:v>0.3536661195932018</x:v>
      </x:c>
      <x:c r="P17" s="14" t="n">
        <x:v>0.48296557222420905</x:v>
      </x:c>
      <x:c r="Q17" s="14" t="n">
        <x:v>0.15521123271841425</x:v>
      </x:c>
      <x:c r="R17" s="14" t="n">
        <x:v>0.657069425293787</x:v>
      </x:c>
      <x:c r="S17" s="14" t="n">
        <x:v>0.5433411689339687</x:v>
      </x:c>
      <x:c r="T17" t="str">
        <x:v>2030소비·고매출밀도</x:v>
      </x:c>
      <x:c r="U17" s="16" t="n">
        <x:v>72.82404046015678</x:v>
      </x:c>
      <x:c r="V17" t="str">
        <x:v>예술학원</x:v>
      </x:c>
      <x:c r="W17" t="str">
        <x:v>예술학원 / 서적 / 일식음식점</x:v>
      </x:c>
      <x:c r="X17" s="16" t="n">
        <x:v>69.13838327553881</x:v>
      </x:c>
    </x:row>
    <x:row r="18">
      <x:c r="A18" t="str">
        <x:v>3120188</x:v>
      </x:c>
      <x:c r="B18" t="str">
        <x:v>압구정역</x:v>
      </x:c>
      <x:c r="C18" t="str">
        <x:v>발달상권</x:v>
      </x:c>
      <x:c r="D18" t="str">
        <x:v>강남구</x:v>
      </x:c>
      <x:c r="E18" t="str">
        <x:v>신사동</x:v>
      </x:c>
      <x:c r="F18" s="12" t="n">
        <x:v>251746</x:v>
      </x:c>
      <x:c r="G18" s="12" t="n">
        <x:v>158670697269</x:v>
      </x:c>
      <x:c r="H18" s="12" t="n">
        <x:v>2027338</x:v>
      </x:c>
      <x:c r="I18" s="12" t="n">
        <x:v>78265.5370091223</x:v>
      </x:c>
      <x:c r="J18" s="12" t="n">
        <x:v>630280.9072199757</x:v>
      </x:c>
      <x:c r="K18" s="12" t="n">
        <x:v>14682</x:v>
      </x:c>
      <x:c r="L18" s="12" t="n">
        <x:v>583.2068831282324</x:v>
      </x:c>
      <x:c r="M18" s="12" t="n">
        <x:v>42</x:v>
      </x:c>
      <x:c r="N18" s="14" t="n">
        <x:v>0.8042597804789003</x:v>
      </x:c>
      <x:c r="O18" s="14" t="n">
        <x:v>0.1957402195210996</x:v>
      </x:c>
      <x:c r="P18" s="14" t="n">
        <x:v>0.24679917074172192</x:v>
      </x:c>
      <x:c r="Q18" s="14" t="n">
        <x:v>0.28723590690304673</x:v>
      </x:c>
      <x:c r="R18" s="14" t="n">
        <x:v>0.29155566983846753</x:v>
      </x:c>
      <x:c r="S18" s="14" t="n">
        <x:v>0.5448601525109115</x:v>
      </x:c>
      <x:c r="T18" t="str">
        <x:v>고매출밀도·직장밀집</x:v>
      </x:c>
      <x:c r="U18" s="16" t="n">
        <x:v>73.24697477330906</x:v>
      </x:c>
      <x:c r="V18" t="str">
        <x:v>핸드폰</x:v>
      </x:c>
      <x:c r="W18" t="str">
        <x:v>핸드폰 / 스포츠클럽 / 한식음식점</x:v>
      </x:c>
      <x:c r="X18" s="16" t="n">
        <x:v>70.73541064835419</x:v>
      </x:c>
    </x:row>
    <x:row r="19">
      <x:c r="A19" t="str">
        <x:v>3120225</x:v>
      </x:c>
      <x:c r="B19" t="str">
        <x:v>잠실새내역(신천)</x:v>
      </x:c>
      <x:c r="C19" t="str">
        <x:v>발달상권</x:v>
      </x:c>
      <x:c r="D19" t="str">
        <x:v>송파구</x:v>
      </x:c>
      <x:c r="E19" t="str">
        <x:v>잠실본동</x:v>
      </x:c>
      <x:c r="F19" s="12" t="n">
        <x:v>238047</x:v>
      </x:c>
      <x:c r="G19" s="12" t="n">
        <x:v>153024598233</x:v>
      </x:c>
      <x:c r="H19" s="12" t="n">
        <x:v>5177618</x:v>
      </x:c>
      <x:c r="I19" s="12" t="n">
        <x:v>29555.01897455548</x:v>
      </x:c>
      <x:c r="J19" s="12" t="n">
        <x:v>642833.5506559629</x:v>
      </x:c>
      <x:c r="K19" s="12" t="n">
        <x:v>12478</x:v>
      </x:c>
      <x:c r="L19" s="12" t="n">
        <x:v>524.1821993135809</x:v>
      </x:c>
      <x:c r="M19" s="12" t="n">
        <x:v>46</x:v>
      </x:c>
      <x:c r="N19" s="14" t="n">
        <x:v>0.7251970708462772</x:v>
      </x:c>
      <x:c r="O19" s="14" t="n">
        <x:v>0.27480292915372284</x:v>
      </x:c>
      <x:c r="P19" s="14" t="n">
        <x:v>0.3913637545175073</x:v>
      </x:c>
      <x:c r="Q19" s="14" t="n">
        <x:v>0.25050381085551104</x:v>
      </x:c>
      <x:c r="R19" s="14" t="n">
        <x:v>0.2747694868113864</x:v>
      </x:c>
      <x:c r="S19" s="14" t="n">
        <x:v>0.5037706127522155</x:v>
      </x:c>
      <x:c r="T19" t="str">
        <x:v>고매출밀도·직장밀집</x:v>
      </x:c>
      <x:c r="U19" s="16" t="n">
        <x:v>78.26458921009076</x:v>
      </x:c>
      <x:c r="V19" t="str">
        <x:v>일반의류</x:v>
      </x:c>
      <x:c r="W19" t="str">
        <x:v>일반의류 / 육류판매 / 일식음식점</x:v>
      </x:c>
      <x:c r="X19" s="16" t="n">
        <x:v>74.62890503494638</x:v>
      </x:c>
    </x:row>
    <x:row r="20">
      <x:c r="A20" t="str">
        <x:v>3001493</x:v>
      </x:c>
      <x:c r="B20" t="str">
        <x:v>동대문패션타운 관광특구</x:v>
      </x:c>
      <x:c r="C20" t="str">
        <x:v>관광특구</x:v>
      </x:c>
      <x:c r="D20" t="str">
        <x:v>중구</x:v>
      </x:c>
      <x:c r="E20" t="str">
        <x:v>광희동</x:v>
      </x:c>
      <x:c r="F20" s="12" t="n">
        <x:v>606058</x:v>
      </x:c>
      <x:c r="G20" s="12" t="n">
        <x:v>151636997858</x:v>
      </x:c>
      <x:c r="H20" s="12" t="n">
        <x:v>4447433</x:v>
      </x:c>
      <x:c r="I20" s="12" t="n">
        <x:v>34095.397920103576</x:v>
      </x:c>
      <x:c r="J20" s="12" t="n">
        <x:v>250202.12233482604</x:v>
      </x:c>
      <x:c r="K20" s="12" t="n">
        <x:v>33754</x:v>
      </x:c>
      <x:c r="L20" s="12" t="n">
        <x:v>556.9433948565978</x:v>
      </x:c>
      <x:c r="M20" s="12" t="n">
        <x:v>39</x:v>
      </x:c>
      <x:c r="N20" s="14" t="n">
        <x:v>0.7411307493718687</x:v>
      </x:c>
      <x:c r="O20" s="14" t="n">
        <x:v>0.2588692506281312</x:v>
      </x:c>
      <x:c r="P20" s="14" t="n">
        <x:v>0.3697381305616642</x:v>
      </x:c>
      <x:c r="Q20" s="14" t="n">
        <x:v>0.22720762944188252</x:v>
      </x:c>
      <x:c r="R20" s="14" t="n">
        <x:v>0.3382258260746369</x:v>
      </x:c>
      <x:c r="S20" s="14" t="n">
        <x:v>0.5126183176403413</x:v>
      </x:c>
      <x:c r="T20" t="str">
        <x:v>직장밀집·고매출밀도</x:v>
      </x:c>
      <x:c r="U20" s="16" t="n">
        <x:v>77.72942765396337</x:v>
      </x:c>
      <x:c r="V20" t="str">
        <x:v>철물점</x:v>
      </x:c>
      <x:c r="W20" t="str">
        <x:v>철물점 / 일반의류 / 미용실</x:v>
      </x:c>
      <x:c r="X20" s="16" t="n">
        <x:v>72.73432389609619</x:v>
      </x:c>
    </x:row>
    <x:row r="21">
      <x:c r="A21" t="str">
        <x:v>3120125</x:v>
      </x:c>
      <x:c r="B21" t="str">
        <x:v>구로역</x:v>
      </x:c>
      <x:c r="C21" t="str">
        <x:v>발달상권</x:v>
      </x:c>
      <x:c r="D21" t="str">
        <x:v>구로구</x:v>
      </x:c>
      <x:c r="E21" t="str">
        <x:v>구로2동</x:v>
      </x:c>
      <x:c r="F21" s="12" t="n">
        <x:v>657519</x:v>
      </x:c>
      <x:c r="G21" s="12" t="n">
        <x:v>147896546727</x:v>
      </x:c>
      <x:c r="H21" s="12" t="n">
        <x:v>2160244</x:v>
      </x:c>
      <x:c r="I21" s="12" t="n">
        <x:v>68462.88971384714</x:v>
      </x:c>
      <x:c r="J21" s="12" t="n">
        <x:v>224931.2137398311</x:v>
      </x:c>
      <x:c r="K21" s="12" t="n">
        <x:v>12431</x:v>
      </x:c>
      <x:c r="L21" s="12" t="n">
        <x:v>189.05917547629804</x:v>
      </x:c>
      <x:c r="M21" s="12" t="n">
        <x:v>37</x:v>
      </x:c>
      <x:c r="N21" s="14" t="n">
        <x:v>0.9408820329649805</x:v>
      </x:c>
      <x:c r="O21" s="14" t="n">
        <x:v>0.05911796703501945</x:v>
      </x:c>
      <x:c r="P21" s="14" t="n">
        <x:v>0.0990356740718006</x:v>
      </x:c>
      <x:c r="Q21" s="14" t="n">
        <x:v>0.3036490321163224</x:v>
      </x:c>
      <x:c r="R21" s="14" t="n">
        <x:v>0.08487888146010558</x:v>
      </x:c>
      <x:c r="S21" s="14" t="n">
        <x:v>0.20735639014349871</x:v>
      </x:c>
      <x:c r="T21" t="str">
        <x:v>평일집중·고매출밀도</x:v>
      </x:c>
      <x:c r="U21" s="16" t="n">
        <x:v>82.3943732030997</x:v>
      </x:c>
      <x:c r="V21" t="str">
        <x:v>스포츠클럽</x:v>
      </x:c>
      <x:c r="W21" t="str">
        <x:v>스포츠클럽 / 서적 / 인테리어</x:v>
      </x:c>
      <x:c r="X21" s="16" t="n">
        <x:v>76.36392724553188</x:v>
      </x:c>
    </x:row>
    <x:row r="22">
      <x:c r="A22" t="str">
        <x:v>3120197</x:v>
      </x:c>
      <x:c r="B22" t="str">
        <x:v>역삼역</x:v>
      </x:c>
      <x:c r="C22" t="str">
        <x:v>발달상권</x:v>
      </x:c>
      <x:c r="D22" t="str">
        <x:v>강남구</x:v>
      </x:c>
      <x:c r="E22" t="str">
        <x:v>역삼1동</x:v>
      </x:c>
      <x:c r="F22" s="12" t="n">
        <x:v>562807</x:v>
      </x:c>
      <x:c r="G22" s="12" t="n">
        <x:v>146792244536</x:v>
      </x:c>
      <x:c r="H22" s="12" t="n">
        <x:v>6484266</x:v>
      </x:c>
      <x:c r="I22" s="12" t="n">
        <x:v>22638.22066152129</x:v>
      </x:c>
      <x:c r="J22" s="12" t="n">
        <x:v>260821.63963134788</x:v>
      </x:c>
      <x:c r="K22" s="12" t="n">
        <x:v>84399</x:v>
      </x:c>
      <x:c r="L22" s="12" t="n">
        <x:v>1499.6082138281863</x:v>
      </x:c>
      <x:c r="M22" s="12" t="n">
        <x:v>49</x:v>
      </x:c>
      <x:c r="N22" s="14" t="n">
        <x:v>0.8625218438699547</x:v>
      </x:c>
      <x:c r="O22" s="14" t="n">
        <x:v>0.13747815613004533</x:v>
      </x:c>
      <x:c r="P22" s="14" t="n">
        <x:v>0.35534526318389775</x:v>
      </x:c>
      <x:c r="Q22" s="14" t="n">
        <x:v>0.3349977680458458</x:v>
      </x:c>
      <x:c r="R22" s="14" t="n">
        <x:v>0.3550232407286283</x:v>
      </x:c>
      <x:c r="S22" s="14" t="n">
        <x:v>0.334120194728487</x:v>
      </x:c>
      <x:c r="T22" t="str">
        <x:v>직장밀집·평일집중</x:v>
      </x:c>
      <x:c r="U22" s="16" t="n">
        <x:v>68.658972489553</x:v>
      </x:c>
      <x:c r="V22" t="str">
        <x:v>피부관리실</x:v>
      </x:c>
      <x:c r="W22" t="str">
        <x:v>피부관리실 / 스포츠클럽 / 의약품</x:v>
      </x:c>
      <x:c r="X22" s="16" t="n">
        <x:v>67.20458564206372</x:v>
      </x:c>
    </x:row>
    <x:row r="23">
      <x:c r="A23" t="str">
        <x:v>3120202</x:v>
      </x:c>
      <x:c r="B23" t="str">
        <x:v>압구정로데오역(압구정로데오)</x:v>
      </x:c>
      <x:c r="C23" t="str">
        <x:v>발달상권</x:v>
      </x:c>
      <x:c r="D23" t="str">
        <x:v>강남구</x:v>
      </x:c>
      <x:c r="E23" t="str">
        <x:v>압구정동</x:v>
      </x:c>
      <x:c r="F23" s="12" t="n">
        <x:v>265702</x:v>
      </x:c>
      <x:c r="G23" s="12" t="n">
        <x:v>146563142663</x:v>
      </x:c>
      <x:c r="H23" s="12" t="n">
        <x:v>1393391</x:v>
      </x:c>
      <x:c r="I23" s="12" t="n">
        <x:v>105184.50504058086</x:v>
      </x:c>
      <x:c r="J23" s="12" t="n">
        <x:v>551607.2241195024</x:v>
      </x:c>
      <x:c r="K23" s="12" t="n">
        <x:v>15957</x:v>
      </x:c>
      <x:c r="L23" s="12" t="n">
        <x:v>600.5600258936704</x:v>
      </x:c>
      <x:c r="M23" s="12" t="n">
        <x:v>42</x:v>
      </x:c>
      <x:c r="N23" s="14" t="n">
        <x:v>0.6333526938040613</x:v>
      </x:c>
      <x:c r="O23" s="14" t="n">
        <x:v>0.36664730619593866</x:v>
      </x:c>
      <x:c r="P23" s="14" t="n">
        <x:v>0.346447131123223</x:v>
      </x:c>
      <x:c r="Q23" s="14" t="n">
        <x:v>0.23336923766465237</x:v>
      </x:c>
      <x:c r="R23" s="14" t="n">
        <x:v>0.4284102876558417</x:v>
      </x:c>
      <x:c r="S23" s="14" t="n">
        <x:v>0.5568266910368496</x:v>
      </x:c>
      <x:c r="T23" t="str">
        <x:v>고매출밀도·직장밀집</x:v>
      </x:c>
      <x:c r="U23" s="16" t="n">
        <x:v>77.68470652485631</x:v>
      </x:c>
      <x:c r="V23" t="str">
        <x:v>시계및귀금속</x:v>
      </x:c>
      <x:c r="W23" t="str">
        <x:v>시계및귀금속 / 전자상거래업 / 세탁소</x:v>
      </x:c>
      <x:c r="X23" s="16" t="n">
        <x:v>74.03861130962471</x:v>
      </x:c>
    </x:row>
    <x:row r="24">
      <x:c r="A24" t="str">
        <x:v>3120178</x:v>
      </x:c>
      <x:c r="B24" t="str">
        <x:v>신사역</x:v>
      </x:c>
      <x:c r="C24" t="str">
        <x:v>발달상권</x:v>
      </x:c>
      <x:c r="D24" t="str">
        <x:v>서초구</x:v>
      </x:c>
      <x:c r="E24" t="str">
        <x:v>잠원동</x:v>
      </x:c>
      <x:c r="F24" s="12" t="n">
        <x:v>353066</x:v>
      </x:c>
      <x:c r="G24" s="12" t="n">
        <x:v>143606939759</x:v>
      </x:c>
      <x:c r="H24" s="12" t="n">
        <x:v>2500314</x:v>
      </x:c>
      <x:c r="I24" s="12" t="n">
        <x:v>57435.561997013174</x:v>
      </x:c>
      <x:c r="J24" s="12" t="n">
        <x:v>406742.4780607592</x:v>
      </x:c>
      <x:c r="K24" s="12" t="n">
        <x:v>19438</x:v>
      </x:c>
      <x:c r="L24" s="12" t="n">
        <x:v>550.5486226371273</x:v>
      </x:c>
      <x:c r="M24" s="12" t="n">
        <x:v>43</x:v>
      </x:c>
      <x:c r="N24" s="14" t="n">
        <x:v>0.8208911744852635</x:v>
      </x:c>
      <x:c r="O24" s="14" t="n">
        <x:v>0.17910882551473645</x:v>
      </x:c>
      <x:c r="P24" s="14" t="n">
        <x:v>0.3100919477689042</x:v>
      </x:c>
      <x:c r="Q24" s="14" t="n">
        <x:v>0.2934650354413587</x:v>
      </x:c>
      <x:c r="R24" s="14" t="n">
        <x:v>0.3990602491368002</x:v>
      </x:c>
      <x:c r="S24" s="14" t="n">
        <x:v>0.4976198218340031</x:v>
      </x:c>
      <x:c r="T24" t="str">
        <x:v>고매출밀도·직장밀집</x:v>
      </x:c>
      <x:c r="U24" s="16" t="n">
        <x:v>82.53239821191592</x:v>
      </x:c>
      <x:c r="V24" t="str">
        <x:v>당구장</x:v>
      </x:c>
      <x:c r="W24" t="str">
        <x:v>당구장 / 육류판매 / 애완동물</x:v>
      </x:c>
      <x:c r="X24" s="16" t="n">
        <x:v>78.38460452430202</x:v>
      </x:c>
    </x:row>
    <x:row r="25">
      <x:c r="A25" t="str">
        <x:v>3130024</x:v>
      </x:c>
      <x:c r="B25" t="str">
        <x:v>남대문시장(자유상가)</x:v>
      </x:c>
      <x:c r="C25" t="str">
        <x:v>전통시장</x:v>
      </x:c>
      <x:c r="D25" t="str">
        <x:v>중구</x:v>
      </x:c>
      <x:c r="E25" t="str">
        <x:v>회현동</x:v>
      </x:c>
      <x:c r="F25" s="12" t="n">
        <x:v>78068</x:v>
      </x:c>
      <x:c r="G25" s="12" t="n">
        <x:v>142248817266</x:v>
      </x:c>
      <x:c r="H25" s="12" t="n">
        <x:v>3592127</x:v>
      </x:c>
      <x:c r="I25" s="12" t="n">
        <x:v>39600.16370969066</x:v>
      </x:c>
      <x:c r="J25" s="12" t="n">
        <x:v>1822114.2755802635</x:v>
      </x:c>
      <x:c r="K25" s="12" t="n">
        <x:v>26964</x:v>
      </x:c>
      <x:c r="L25" s="12" t="n">
        <x:v>3453.9119741763593</x:v>
      </x:c>
      <x:c r="M25" s="12" t="n">
        <x:v>37</x:v>
      </x:c>
      <x:c r="N25" s="14" t="n">
        <x:v>0.8161837561566162</x:v>
      </x:c>
      <x:c r="O25" s="14" t="n">
        <x:v>0.1838162438433838</x:v>
      </x:c>
      <x:c r="P25" s="14" t="n">
        <x:v>0.10145172325063231</x:v>
      </x:c>
      <x:c r="Q25" s="14" t="n">
        <x:v>0.3603301643496422</x:v>
      </x:c>
      <x:c r="R25" s="14" t="n">
        <x:v>0.11894220982070713</x:v>
      </x:c>
      <x:c r="S25" s="14" t="n">
        <x:v>0.647373979516459</x:v>
      </x:c>
      <x:c r="T25" t="str">
        <x:v>직장밀집·고매출밀도</x:v>
      </x:c>
      <x:c r="U25" s="16" t="n">
        <x:v>75.17465886167413</x:v>
      </x:c>
      <x:c r="V25" t="str">
        <x:v>청과상</x:v>
      </x:c>
      <x:c r="W25" t="str">
        <x:v>청과상 / 육류판매 / 화초</x:v>
      </x:c>
      <x:c r="X25" s="16" t="n">
        <x:v>73.44150314224406</x:v>
      </x:c>
    </x:row>
    <x:row r="26">
      <x:c r="A26" t="str">
        <x:v>3120081</x:v>
      </x:c>
      <x:c r="B26" t="str">
        <x:v>노원역</x:v>
      </x:c>
      <x:c r="C26" t="str">
        <x:v>발달상권</x:v>
      </x:c>
      <x:c r="D26" t="str">
        <x:v>노원구</x:v>
      </x:c>
      <x:c r="E26" t="str">
        <x:v>상계2동</x:v>
      </x:c>
      <x:c r="F26" s="12" t="n">
        <x:v>267693</x:v>
      </x:c>
      <x:c r="G26" s="12" t="n">
        <x:v>137954343394</x:v>
      </x:c>
      <x:c r="H26" s="12" t="n">
        <x:v>4766774</x:v>
      </x:c>
      <x:c r="I26" s="12" t="n">
        <x:v>28940.818967712756</x:v>
      </x:c>
      <x:c r="J26" s="12" t="n">
        <x:v>515345.3523028245</x:v>
      </x:c>
      <x:c r="K26" s="12" t="n">
        <x:v>5934</x:v>
      </x:c>
      <x:c r="L26" s="12" t="n">
        <x:v>221.67184050386078</x:v>
      </x:c>
      <x:c r="M26" s="12" t="n">
        <x:v>49</x:v>
      </x:c>
      <x:c r="N26" s="14" t="n">
        <x:v>0.7384496387333804</x:v>
      </x:c>
      <x:c r="O26" s="14" t="n">
        <x:v>0.2615503612666196</x:v>
      </x:c>
      <x:c r="P26" s="14" t="n">
        <x:v>0.3809304373542876</x:v>
      </x:c>
      <x:c r="Q26" s="14" t="n">
        <x:v>0.2513146962178785</x:v>
      </x:c>
      <x:c r="R26" s="14" t="n">
        <x:v>0.3335928187020863</x:v>
      </x:c>
      <x:c r="S26" s="14" t="n">
        <x:v>0.5198610999087917</x:v>
      </x:c>
      <x:c r="T26" t="str">
        <x:v>고매출밀도·2030소비</x:v>
      </x:c>
      <x:c r="U26" s="16" t="n">
        <x:v>78.2193985780568</x:v>
      </x:c>
      <x:c r="V26" t="str">
        <x:v>서적</x:v>
      </x:c>
      <x:c r="W26" t="str">
        <x:v>서적 / 일반의류 / 화초</x:v>
      </x:c>
      <x:c r="X26" s="16" t="n">
        <x:v>74.42609905839736</x:v>
      </x:c>
    </x:row>
    <x:row r="27">
      <x:c r="A27" t="str">
        <x:v>3120208</x:v>
      </x:c>
      <x:c r="B27" t="str">
        <x:v>청담사거리(청담동명품거리)</x:v>
      </x:c>
      <x:c r="C27" t="str">
        <x:v>발달상권</x:v>
      </x:c>
      <x:c r="D27" t="str">
        <x:v>강남구</x:v>
      </x:c>
      <x:c r="E27" t="str">
        <x:v>청담동</x:v>
      </x:c>
      <x:c r="F27" s="12" t="n">
        <x:v>331337</x:v>
      </x:c>
      <x:c r="G27" s="12" t="n">
        <x:v>136685680076</x:v>
      </x:c>
      <x:c r="H27" s="12" t="n">
        <x:v>1035698</x:v>
      </x:c>
      <x:c r="I27" s="12" t="n">
        <x:v>131974.45594758316</x:v>
      </x:c>
      <x:c r="J27" s="12" t="n">
        <x:v>412527.66843425273</x:v>
      </x:c>
      <x:c r="K27" s="12" t="n">
        <x:v>18696</x:v>
      </x:c>
      <x:c r="L27" s="12" t="n">
        <x:v>564.259349242614</x:v>
      </x:c>
      <x:c r="M27" s="12" t="n">
        <x:v>39</x:v>
      </x:c>
      <x:c r="N27" s="14" t="n">
        <x:v>0.7593661142944028</x:v>
      </x:c>
      <x:c r="O27" s="14" t="n">
        <x:v>0.24063388570559713</x:v>
      </x:c>
      <x:c r="P27" s="14" t="n">
        <x:v>0.34670721396455173</x:v>
      </x:c>
      <x:c r="Q27" s="14" t="n">
        <x:v>0.25793295739097977</x:v>
      </x:c>
      <x:c r="R27" s="14" t="n">
        <x:v>0.33403632598245286</x:v>
      </x:c>
      <x:c r="S27" s="14" t="n">
        <x:v>0.49252222531700696</x:v>
      </x:c>
      <x:c r="T27" t="str">
        <x:v>고매출밀도·직장밀집</x:v>
      </x:c>
      <x:c r="U27" s="16" t="n">
        <x:v>74.46277902473685</x:v>
      </x:c>
      <x:c r="V27" t="str">
        <x:v>세탁소</x:v>
      </x:c>
      <x:c r="W27" t="str">
        <x:v>세탁소 / 애완동물 / 일반의원</x:v>
      </x:c>
      <x:c r="X27" s="16" t="n">
        <x:v>73.17403262925701</x:v>
      </x:c>
    </x:row>
    <x:row r="28">
      <x:c r="A28" t="str">
        <x:v>3120210</x:v>
      </x:c>
      <x:c r="B28" t="str">
        <x:v>선릉역</x:v>
      </x:c>
      <x:c r="C28" t="str">
        <x:v>발달상권</x:v>
      </x:c>
      <x:c r="D28" t="str">
        <x:v>강남구</x:v>
      </x:c>
      <x:c r="E28" t="str">
        <x:v>대치4동</x:v>
      </x:c>
      <x:c r="F28" s="12" t="n">
        <x:v>360434</x:v>
      </x:c>
      <x:c r="G28" s="12" t="n">
        <x:v>135129631643</x:v>
      </x:c>
      <x:c r="H28" s="12" t="n">
        <x:v>6025784</x:v>
      </x:c>
      <x:c r="I28" s="12" t="n">
        <x:v>22425.2365572679</x:v>
      </x:c>
      <x:c r="J28" s="12" t="n">
        <x:v>374908.1153359561</x:v>
      </x:c>
      <x:c r="K28" s="12" t="n">
        <x:v>59959</x:v>
      </x:c>
      <x:c r="L28" s="12" t="n">
        <x:v>1663.5223092161116</x:v>
      </x:c>
      <x:c r="M28" s="12" t="n">
        <x:v>45</x:v>
      </x:c>
      <x:c r="N28" s="14" t="n">
        <x:v>0.8295826690415394</x:v>
      </x:c>
      <x:c r="O28" s="14" t="n">
        <x:v>0.1704173309584606</x:v>
      </x:c>
      <x:c r="P28" s="14" t="n">
        <x:v>0.3954511894339805</x:v>
      </x:c>
      <x:c r="Q28" s="14" t="n">
        <x:v>0.3008074353698251</x:v>
      </x:c>
      <x:c r="R28" s="14" t="n">
        <x:v>0.3228800257464489</x:v>
      </x:c>
      <x:c r="S28" s="14" t="n">
        <x:v>0.3776626261945682</x:v>
      </x:c>
      <x:c r="T28" t="str">
        <x:v>직장밀집·고매출밀도</x:v>
      </x:c>
      <x:c r="U28" s="16" t="n">
        <x:v>80.05342323902951</x:v>
      </x:c>
      <x:c r="V28" t="str">
        <x:v>당구장</x:v>
      </x:c>
      <x:c r="W28" t="str">
        <x:v>당구장 / 예술학원 / 일식음식점</x:v>
      </x:c>
      <x:c r="X28" s="16" t="n">
        <x:v>74.39170487071613</x:v>
      </x:c>
    </x:row>
    <x:row r="29">
      <x:c r="A29" t="str">
        <x:v>3130093</x:v>
      </x:c>
      <x:c r="B29" t="str">
        <x:v>동서시장</x:v>
      </x:c>
      <x:c r="C29" t="str">
        <x:v>전통시장</x:v>
      </x:c>
      <x:c r="D29" t="str">
        <x:v>동대문구</x:v>
      </x:c>
      <x:c r="E29" t="str">
        <x:v>제기동</x:v>
      </x:c>
      <x:c r="F29" s="12" t="n">
        <x:v>4579</x:v>
      </x:c>
      <x:c r="G29" s="12" t="n">
        <x:v>131180614292</x:v>
      </x:c>
      <x:c r="H29" s="12" t="n">
        <x:v>6375182</x:v>
      </x:c>
      <x:c r="I29" s="12" t="n">
        <x:v>20576.763815056573</x:v>
      </x:c>
      <x:c r="J29" s="12" t="n">
        <x:v>28648310.611924</x:v>
      </x:c>
      <x:c r="K29" s="12" t="n">
        <x:v>25</x:v>
      </x:c>
      <x:c r="L29" s="12" t="n">
        <x:v>54.59707359685521</x:v>
      </x:c>
      <x:c r="M29" s="12" t="n">
        <x:v>1</x:v>
      </x:c>
      <x:c r="N29" s="14" t="n">
        <x:v>0.6466617432830035</x:v>
      </x:c>
      <x:c r="O29" s="14" t="n">
        <x:v>0.35333825671699653</x:v>
      </x:c>
      <x:c r="P29" s="14" t="n">
        <x:v>0.11537706403257036</x:v>
      </x:c>
      <x:c r="Q29" s="14" t="n">
        <x:v>0.3131799116411474</x:v>
      </x:c>
      <x:c r="R29" s="14" t="n">
        <x:v>0.09117829576842762</x:v>
      </x:c>
      <x:c r="S29" s="14" t="n">
        <x:v>0.4926127694611726</x:v>
      </x:c>
      <x:c r="T29" t="str">
        <x:v>고매출밀도·여성소비</x:v>
      </x:c>
      <x:c r="U29" s="16" t="n">
        <x:v>64.09483329253092</x:v>
      </x:c>
      <x:c r="V29" t="str">
        <x:v>청과상</x:v>
      </x:c>
      <x:c r="W29" t="str">
        <x:v>청과상</x:v>
      </x:c>
      <x:c r="X29" s="16" t="n">
        <x:v>64.09483329253092</x:v>
      </x:c>
    </x:row>
    <x:row r="30">
      <x:c r="A30" t="str">
        <x:v>3120187</x:v>
      </x:c>
      <x:c r="B30" t="str">
        <x:v>신논현역</x:v>
      </x:c>
      <x:c r="C30" t="str">
        <x:v>발달상권</x:v>
      </x:c>
      <x:c r="D30" t="str">
        <x:v>강남구</x:v>
      </x:c>
      <x:c r="E30" t="str">
        <x:v>논현1동</x:v>
      </x:c>
      <x:c r="F30" s="12" t="n">
        <x:v>382392</x:v>
      </x:c>
      <x:c r="G30" s="12" t="n">
        <x:v>129079516303</x:v>
      </x:c>
      <x:c r="H30" s="12" t="n">
        <x:v>3280430</x:v>
      </x:c>
      <x:c r="I30" s="12" t="n">
        <x:v>39348.3525949342</x:v>
      </x:c>
      <x:c r="J30" s="12" t="n">
        <x:v>337558.098242118</x:v>
      </x:c>
      <x:c r="K30" s="12" t="n">
        <x:v>25051</x:v>
      </x:c>
      <x:c r="L30" s="12" t="n">
        <x:v>655.1130776794494</x:v>
      </x:c>
      <x:c r="M30" s="12" t="n">
        <x:v>42</x:v>
      </x:c>
      <x:c r="N30" s="14" t="n">
        <x:v>0.765525580472782</x:v>
      </x:c>
      <x:c r="O30" s="14" t="n">
        <x:v>0.234474419527218</x:v>
      </x:c>
      <x:c r="P30" s="14" t="n">
        <x:v>0.4134071442422951</x:v>
      </x:c>
      <x:c r="Q30" s="14" t="n">
        <x:v>0.24115990412397076</x:v>
      </x:c>
      <x:c r="R30" s="14" t="n">
        <x:v>0.4452433918801745</x:v>
      </x:c>
      <x:c r="S30" s="14" t="n">
        <x:v>0.4903265281412355</x:v>
      </x:c>
      <x:c r="T30" t="str">
        <x:v>직장밀집·2030소비</x:v>
      </x:c>
      <x:c r="U30" s="16" t="n">
        <x:v>77.34521171764813</x:v>
      </x:c>
      <x:c r="V30" t="str">
        <x:v>화초</x:v>
      </x:c>
      <x:c r="W30" t="str">
        <x:v>화초 / 예술학원 / 일식음식점</x:v>
      </x:c>
      <x:c r="X30" s="16" t="n">
        <x:v>72.3106844907016</x:v>
      </x:c>
    </x:row>
    <x:row r="31">
      <x:c r="A31" t="str">
        <x:v>3120028</x:v>
      </x:c>
      <x:c r="B31" t="str">
        <x:v>명동(명동거리)</x:v>
      </x:c>
      <x:c r="C31" t="str">
        <x:v>발달상권</x:v>
      </x:c>
      <x:c r="D31" t="str">
        <x:v>중구</x:v>
      </x:c>
      <x:c r="E31" t="str">
        <x:v>명동</x:v>
      </x:c>
      <x:c r="F31" s="12" t="n">
        <x:v>221515</x:v>
      </x:c>
      <x:c r="G31" s="12" t="n">
        <x:v>127213318942</x:v>
      </x:c>
      <x:c r="H31" s="12" t="n">
        <x:v>4694076</x:v>
      </x:c>
      <x:c r="I31" s="12" t="n">
        <x:v>27100.82217288344</x:v>
      </x:c>
      <x:c r="J31" s="12" t="n">
        <x:v>574287.6055436427</x:v>
      </x:c>
      <x:c r="K31" s="12" t="n">
        <x:v>37526</x:v>
      </x:c>
      <x:c r="L31" s="12" t="n">
        <x:v>1694.0613502471615</x:v>
      </x:c>
      <x:c r="M31" s="12" t="n">
        <x:v>32</x:v>
      </x:c>
      <x:c r="N31" s="14" t="n">
        <x:v>0.7195036540295848</x:v>
      </x:c>
      <x:c r="O31" s="14" t="n">
        <x:v>0.2804963459704152</x:v>
      </x:c>
      <x:c r="P31" s="14" t="n">
        <x:v>0.4560437513421888</x:v>
      </x:c>
      <x:c r="Q31" s="14" t="n">
        <x:v>0.2572007541043532</x:v>
      </x:c>
      <x:c r="R31" s="14" t="n">
        <x:v>0.39491603811472864</x:v>
      </x:c>
      <x:c r="S31" s="14" t="n">
        <x:v>0.5227513566352244</x:v>
      </x:c>
      <x:c r="T31" t="str">
        <x:v>직장밀집·고매출밀도</x:v>
      </x:c>
      <x:c r="U31" s="16" t="n">
        <x:v>73.68207716913233</x:v>
      </x:c>
      <x:c r="V31" t="str">
        <x:v>피부관리실</x:v>
      </x:c>
      <x:c r="W31" t="str">
        <x:v>피부관리실 / 반찬가게 / 미용실</x:v>
      </x:c>
      <x:c r="X31" s="16" t="n">
        <x:v>71.2973860157247</x:v>
      </x:c>
    </x:row>
    <x:row r="32">
      <x:c r="A32" t="str">
        <x:v>3120117</x:v>
      </x:c>
      <x:c r="B32" t="str">
        <x:v>강서농산물도매시장</x:v>
      </x:c>
      <x:c r="C32" t="str">
        <x:v>발달상권</x:v>
      </x:c>
      <x:c r="D32" t="str">
        <x:v>강서구</x:v>
      </x:c>
      <x:c r="E32" t="str">
        <x:v>발산1동</x:v>
      </x:c>
      <x:c r="F32" s="12" t="n">
        <x:v>402585</x:v>
      </x:c>
      <x:c r="G32" s="12" t="n">
        <x:v>125026171634</x:v>
      </x:c>
      <x:c r="H32" s="12" t="n">
        <x:v>1655267</x:v>
      </x:c>
      <x:c r="I32" s="12" t="n">
        <x:v>75532.32900432378</x:v>
      </x:c>
      <x:c r="J32" s="12" t="n">
        <x:v>310558.4451333259</x:v>
      </x:c>
      <x:c r="K32" s="12" t="n">
        <x:v>754</x:v>
      </x:c>
      <x:c r="L32" s="12" t="n">
        <x:v>18.728964069699565</x:v>
      </x:c>
      <x:c r="M32" s="12" t="n">
        <x:v>6</x:v>
      </x:c>
      <x:c r="N32" s="14" t="n">
        <x:v>0.675759166995274</x:v>
      </x:c>
      <x:c r="O32" s="14" t="n">
        <x:v>0.32424083300472595</x:v>
      </x:c>
      <x:c r="P32" s="14" t="n">
        <x:v>0.19106300855895245</x:v>
      </x:c>
      <x:c r="Q32" s="14" t="n">
        <x:v>0.23202912370957546</x:v>
      </x:c>
      <x:c r="R32" s="14" t="n">
        <x:v>0.11649337899137292</x:v>
      </x:c>
      <x:c r="S32" s="14" t="n">
        <x:v>0.38151980520235595</x:v>
      </x:c>
      <x:c r="T32" t="str">
        <x:v>고매출밀도</x:v>
      </x:c>
      <x:c r="U32" s="16" t="n">
        <x:v>64.4278893046099</x:v>
      </x:c>
      <x:c r="V32" t="str">
        <x:v>육류판매</x:v>
      </x:c>
      <x:c r="W32" t="str">
        <x:v>육류판매 / 수산물판매 / 반찬가게</x:v>
      </x:c>
      <x:c r="X32" s="16" t="n">
        <x:v>58.5723634008314</x:v>
      </x:c>
    </x:row>
    <x:row r="33">
      <x:c r="A33" t="str">
        <x:v>3130092</x:v>
      </x:c>
      <x:c r="B33" t="str">
        <x:v>청량리농수산물시장</x:v>
      </x:c>
      <x:c r="C33" t="str">
        <x:v>전통시장</x:v>
      </x:c>
      <x:c r="D33" t="str">
        <x:v>동대문구</x:v>
      </x:c>
      <x:c r="E33" t="str">
        <x:v>제기동</x:v>
      </x:c>
      <x:c r="F33" s="12" t="n">
        <x:v>32477</x:v>
      </x:c>
      <x:c r="G33" s="12" t="n">
        <x:v>122534317651</x:v>
      </x:c>
      <x:c r="H33" s="12" t="n">
        <x:v>3544846</x:v>
      </x:c>
      <x:c r="I33" s="12" t="n">
        <x:v>34566.89448596638</x:v>
      </x:c>
      <x:c r="J33" s="12" t="n">
        <x:v>3772956.789450996</x:v>
      </x:c>
      <x:c r="K33" s="12" t="n">
        <x:v>178</x:v>
      </x:c>
      <x:c r="L33" s="12" t="n">
        <x:v>54.80801798195646</x:v>
      </x:c>
      <x:c r="M33" s="12" t="n">
        <x:v>7</x:v>
      </x:c>
      <x:c r="N33" s="14" t="n">
        <x:v>0.7612497921168189</x:v>
      </x:c>
      <x:c r="O33" s="14" t="n">
        <x:v>0.23875020788318113</x:v>
      </x:c>
      <x:c r="P33" s="14" t="n">
        <x:v>0.02881973070644655</x:v>
      </x:c>
      <x:c r="Q33" s="14" t="n">
        <x:v>0.2547060971187878</x:v>
      </x:c>
      <x:c r="R33" s="14" t="n">
        <x:v>0.05337507901768305</x:v>
      </x:c>
      <x:c r="S33" s="14" t="n">
        <x:v>0.5620415581955783</x:v>
      </x:c>
      <x:c r="T33" t="str">
        <x:v>고매출밀도·여성소비</x:v>
      </x:c>
      <x:c r="U33" s="16" t="n">
        <x:v>71.53302641418615</x:v>
      </x:c>
      <x:c r="V33" t="str">
        <x:v>청과상</x:v>
      </x:c>
      <x:c r="W33" t="str">
        <x:v>청과상 / 반찬가게 / 수산물판매</x:v>
      </x:c>
      <x:c r="X33" s="16" t="n">
        <x:v>56.4157978977241</x:v>
      </x:c>
    </x:row>
    <x:row r="34">
      <x:c r="A34" t="str">
        <x:v>3120173</x:v>
      </x:c>
      <x:c r="B34" t="str">
        <x:v>교대역(법원.검찰청)</x:v>
      </x:c>
      <x:c r="C34" t="str">
        <x:v>발달상권</x:v>
      </x:c>
      <x:c r="D34" t="str">
        <x:v>서초구</x:v>
      </x:c>
      <x:c r="E34" t="str">
        <x:v>서초1동</x:v>
      </x:c>
      <x:c r="F34" s="12" t="n">
        <x:v>396531</x:v>
      </x:c>
      <x:c r="G34" s="12" t="n">
        <x:v>121743996286</x:v>
      </x:c>
      <x:c r="H34" s="12" t="n">
        <x:v>3953543</x:v>
      </x:c>
      <x:c r="I34" s="12" t="n">
        <x:v>30793.6441531052</x:v>
      </x:c>
      <x:c r="J34" s="12" t="n">
        <x:v>307022.64460029604</x:v>
      </x:c>
      <x:c r="K34" s="12" t="n">
        <x:v>33675</x:v>
      </x:c>
      <x:c r="L34" s="12" t="n">
        <x:v>849.2400341965697</x:v>
      </x:c>
      <x:c r="M34" s="12" t="n">
        <x:v>44</x:v>
      </x:c>
      <x:c r="N34" s="14" t="n">
        <x:v>0.8573518687262193</x:v>
      </x:c>
      <x:c r="O34" s="14" t="n">
        <x:v>0.1426481312737807</x:v>
      </x:c>
      <x:c r="P34" s="14" t="n">
        <x:v>0.36797608842048224</x:v>
      </x:c>
      <x:c r="Q34" s="14" t="n">
        <x:v>0.3302671789460861</x:v>
      </x:c>
      <x:c r="R34" s="14" t="n">
        <x:v>0.2131128661494709</x:v>
      </x:c>
      <x:c r="S34" s="14" t="n">
        <x:v>0.37469702036753133</x:v>
      </x:c>
      <x:c r="T34" t="str">
        <x:v>직장밀집·평일집중</x:v>
      </x:c>
      <x:c r="U34" s="16" t="n">
        <x:v>80.93000704799576</x:v>
      </x:c>
      <x:c r="V34" t="str">
        <x:v>서적</x:v>
      </x:c>
      <x:c r="W34" t="str">
        <x:v>서적 / 일식음식점 / 중식음식점</x:v>
      </x:c>
      <x:c r="X34" s="16" t="n">
        <x:v>78.34566220952146</x:v>
      </x:c>
    </x:row>
    <x:row r="35">
      <x:c r="A35" t="str">
        <x:v>3120222</x:v>
      </x:c>
      <x:c r="B35" t="str">
        <x:v>삼성역</x:v>
      </x:c>
      <x:c r="C35" t="str">
        <x:v>발달상권</x:v>
      </x:c>
      <x:c r="D35" t="str">
        <x:v>강남구</x:v>
      </x:c>
      <x:c r="E35" t="str">
        <x:v>대치2동</x:v>
      </x:c>
      <x:c r="F35" s="12" t="n">
        <x:v>356337</x:v>
      </x:c>
      <x:c r="G35" s="12" t="n">
        <x:v>121106253132</x:v>
      </x:c>
      <x:c r="H35" s="12" t="n">
        <x:v>3802269</x:v>
      </x:c>
      <x:c r="I35" s="12" t="n">
        <x:v>31851.048185175747</x:v>
      </x:c>
      <x:c r="J35" s="12" t="n">
        <x:v>339864.37875382014</x:v>
      </x:c>
      <x:c r="K35" s="12" t="n">
        <x:v>109259</x:v>
      </x:c>
      <x:c r="L35" s="12" t="n">
        <x:v>3066.170507132293</x:v>
      </x:c>
      <x:c r="M35" s="12" t="n">
        <x:v>34</x:v>
      </x:c>
      <x:c r="N35" s="14" t="n">
        <x:v>0.7664119166236084</x:v>
      </x:c>
      <x:c r="O35" s="14" t="n">
        <x:v>0.2335880833763916</x:v>
      </x:c>
      <x:c r="P35" s="14" t="n">
        <x:v>0.35974800862275264</x:v>
      </x:c>
      <x:c r="Q35" s="14" t="n">
        <x:v>0.30091550055866356</x:v>
      </x:c>
      <x:c r="R35" s="14" t="n">
        <x:v>0.3186647109537462</x:v>
      </x:c>
      <x:c r="S35" s="14" t="n">
        <x:v>0.44394969305506166</x:v>
      </x:c>
      <x:c r="T35" t="str">
        <x:v>직장밀집·고매출밀도</x:v>
      </x:c>
      <x:c r="U35" s="16" t="n">
        <x:v>88.10223557350807</x:v>
      </x:c>
      <x:c r="V35" t="str">
        <x:v>인테리어</x:v>
      </x:c>
      <x:c r="W35" t="str">
        <x:v>인테리어 / 가방 / 화초</x:v>
      </x:c>
      <x:c r="X35" s="16" t="n">
        <x:v>79.67638240464855</x:v>
      </x:c>
    </x:row>
    <x:row r="36">
      <x:c r="A36" t="str">
        <x:v>3130088</x:v>
      </x:c>
      <x:c r="B36" t="str">
        <x:v>경동시장</x:v>
      </x:c>
      <x:c r="C36" t="str">
        <x:v>전통시장</x:v>
      </x:c>
      <x:c r="D36" t="str">
        <x:v>동대문구</x:v>
      </x:c>
      <x:c r="E36" t="str">
        <x:v>제기동</x:v>
      </x:c>
      <x:c r="F36" s="12" t="n">
        <x:v>21323</x:v>
      </x:c>
      <x:c r="G36" s="12" t="n">
        <x:v>117716714111</x:v>
      </x:c>
      <x:c r="H36" s="12" t="n">
        <x:v>4149730</x:v>
      </x:c>
      <x:c r="I36" s="12" t="n">
        <x:v>28367.31886435985</x:v>
      </x:c>
      <x:c r="J36" s="12" t="n">
        <x:v>5520645.036392627</x:v>
      </x:c>
      <x:c r="K36" s="12" t="n">
        <x:v>297</x:v>
      </x:c>
      <x:c r="L36" s="12" t="n">
        <x:v>139.2862167612437</x:v>
      </x:c>
      <x:c r="M36" s="12" t="n">
        <x:v>9</x:v>
      </x:c>
      <x:c r="N36" s="14" t="n">
        <x:v>0.7090831765767074</x:v>
      </x:c>
      <x:c r="O36" s="14" t="n">
        <x:v>0.29091682342329256</x:v>
      </x:c>
      <x:c r="P36" s="14" t="n">
        <x:v>0.04253020426886149</x:v>
      </x:c>
      <x:c r="Q36" s="14" t="n">
        <x:v>0.3827911937850234</x:v>
      </x:c>
      <x:c r="R36" s="14" t="n">
        <x:v>0.03424927093359343</x:v>
      </x:c>
      <x:c r="S36" s="14" t="n">
        <x:v>0.5875813017833514</x:v>
      </x:c>
      <x:c r="T36" t="str">
        <x:v>고매출밀도·여성소비</x:v>
      </x:c>
      <x:c r="U36" s="16" t="n">
        <x:v>72.64572990400086</x:v>
      </x:c>
      <x:c r="V36" t="str">
        <x:v>육류판매</x:v>
      </x:c>
      <x:c r="W36" t="str">
        <x:v>육류판매 / 청과상 / 반찬가게</x:v>
      </x:c>
      <x:c r="X36" s="16" t="n">
        <x:v>64.3414738109837</x:v>
      </x:c>
    </x:row>
    <x:row r="37">
      <x:c r="A37" t="str">
        <x:v>3120076</x:v>
      </x:c>
      <x:c r="B37" t="str">
        <x:v>수유역</x:v>
      </x:c>
      <x:c r="C37" t="str">
        <x:v>발달상권</x:v>
      </x:c>
      <x:c r="D37" t="str">
        <x:v>강북구</x:v>
      </x:c>
      <x:c r="E37" t="str">
        <x:v>수유3동</x:v>
      </x:c>
      <x:c r="F37" s="12" t="n">
        <x:v>297339</x:v>
      </x:c>
      <x:c r="G37" s="12" t="n">
        <x:v>114713553571</x:v>
      </x:c>
      <x:c r="H37" s="12" t="n">
        <x:v>4841661</x:v>
      </x:c>
      <x:c r="I37" s="12" t="n">
        <x:v>23693.01641957171</x:v>
      </x:c>
      <x:c r="J37" s="12" t="n">
        <x:v>385800.5628962228</x:v>
      </x:c>
      <x:c r="K37" s="12" t="n">
        <x:v>3443</x:v>
      </x:c>
      <x:c r="L37" s="12" t="n">
        <x:v>115.79375729386324</x:v>
      </x:c>
      <x:c r="M37" s="12" t="n">
        <x:v>42</x:v>
      </x:c>
      <x:c r="N37" s="14" t="n">
        <x:v>0.7393475359169859</x:v>
      </x:c>
      <x:c r="O37" s="14" t="n">
        <x:v>0.2606524640830142</x:v>
      </x:c>
      <x:c r="P37" s="14" t="n">
        <x:v>0.41014189334549667</x:v>
      </x:c>
      <x:c r="Q37" s="14" t="n">
        <x:v>0.18377133082144678</x:v>
      </x:c>
      <x:c r="R37" s="14" t="n">
        <x:v>0.3361398146831366</x:v>
      </x:c>
      <x:c r="S37" s="14" t="n">
        <x:v>0.45307145223107337</x:v>
      </x:c>
      <x:c r="T37" t="str">
        <x:v>고매출밀도·2030소비</x:v>
      </x:c>
      <x:c r="U37" s="16" t="n">
        <x:v>78.82112167084989</x:v>
      </x:c>
      <x:c r="V37" t="str">
        <x:v>화초</x:v>
      </x:c>
      <x:c r="W37" t="str">
        <x:v>화초 / 시계및귀금속 / 패스트푸드점</x:v>
      </x:c>
      <x:c r="X37" s="16" t="n">
        <x:v>72.22021335713552</x:v>
      </x:c>
    </x:row>
    <x:row r="38">
      <x:c r="A38" t="str">
        <x:v>3120006</x:v>
      </x:c>
      <x:c r="B38" t="str">
        <x:v>종각역</x:v>
      </x:c>
      <x:c r="C38" t="str">
        <x:v>발달상권</x:v>
      </x:c>
      <x:c r="D38" t="str">
        <x:v>종로구</x:v>
      </x:c>
      <x:c r="E38" t="str">
        <x:v>종로1·2·3·4가동</x:v>
      </x:c>
      <x:c r="F38" s="12" t="n">
        <x:v>270326</x:v>
      </x:c>
      <x:c r="G38" s="12" t="n">
        <x:v>113936049560</x:v>
      </x:c>
      <x:c r="H38" s="12" t="n">
        <x:v>4053105</x:v>
      </x:c>
      <x:c r="I38" s="12" t="n">
        <x:v>28110.80629788767</x:v>
      </x:c>
      <x:c r="J38" s="12" t="n">
        <x:v>421476.4749228709</x:v>
      </x:c>
      <x:c r="K38" s="12" t="n">
        <x:v>51748</x:v>
      </x:c>
      <x:c r="L38" s="12" t="n">
        <x:v>1914.2812752010534</x:v>
      </x:c>
      <x:c r="M38" s="12" t="n">
        <x:v>39</x:v>
      </x:c>
      <x:c r="N38" s="14" t="n">
        <x:v>0.820608858373341</x:v>
      </x:c>
      <x:c r="O38" s="14" t="n">
        <x:v>0.179391141626659</x:v>
      </x:c>
      <x:c r="P38" s="14" t="n">
        <x:v>0.5259245936242903</x:v>
      </x:c>
      <x:c r="Q38" s="14" t="n">
        <x:v>0.2553769076018156</x:v>
      </x:c>
      <x:c r="R38" s="14" t="n">
        <x:v>0.36760504317769677</x:v>
      </x:c>
      <x:c r="S38" s="14" t="n">
        <x:v>0.33821986056929954</x:v>
      </x:c>
      <x:c r="T38" t="str">
        <x:v>직장밀집·고매출밀도</x:v>
      </x:c>
      <x:c r="U38" s="16" t="n">
        <x:v>73.48506548009699</x:v>
      </x:c>
      <x:c r="V38" t="str">
        <x:v>피부관리실</x:v>
      </x:c>
      <x:c r="W38" t="str">
        <x:v>피부관리실 / 골프연습장 / 일식음식점</x:v>
      </x:c>
      <x:c r="X38" s="16" t="n">
        <x:v>70.30852402227401</x:v>
      </x:c>
    </x:row>
    <x:row r="39">
      <x:c r="A39" t="str">
        <x:v>3120129</x:v>
      </x:c>
      <x:c r="B39" t="str">
        <x:v>구로디지털단지</x:v>
      </x:c>
      <x:c r="C39" t="str">
        <x:v>발달상권</x:v>
      </x:c>
      <x:c r="D39" t="str">
        <x:v>구로구</x:v>
      </x:c>
      <x:c r="E39" t="str">
        <x:v>구로3동</x:v>
      </x:c>
      <x:c r="F39" s="12" t="n">
        <x:v>460289</x:v>
      </x:c>
      <x:c r="G39" s="12" t="n">
        <x:v>112852887507</x:v>
      </x:c>
      <x:c r="H39" s="12" t="n">
        <x:v>5035846</x:v>
      </x:c>
      <x:c r="I39" s="12" t="n">
        <x:v>22409.916329252323</x:v>
      </x:c>
      <x:c r="J39" s="12" t="n">
        <x:v>245178.32819598122</x:v>
      </x:c>
      <x:c r="K39" s="12" t="n">
        <x:v>56132</x:v>
      </x:c>
      <x:c r="L39" s="12" t="n">
        <x:v>1219.4947087590622</x:v>
      </x:c>
      <x:c r="M39" s="12" t="n">
        <x:v>40</x:v>
      </x:c>
      <x:c r="N39" s="14" t="n">
        <x:v>0.9165089756306363</x:v>
      </x:c>
      <x:c r="O39" s="14" t="n">
        <x:v>0.08349102436936373</x:v>
      </x:c>
      <x:c r="P39" s="14" t="n">
        <x:v>0.21362624981575784</x:v>
      </x:c>
      <x:c r="Q39" s="14" t="n">
        <x:v>0.49050893984938077</x:v>
      </x:c>
      <x:c r="R39" s="14" t="n">
        <x:v>0.2500524659969346</x:v>
      </x:c>
      <x:c r="S39" s="14" t="n">
        <x:v>0.26055527282964835</x:v>
      </x:c>
      <x:c r="T39" t="str">
        <x:v>직장밀집·평일집중</x:v>
      </x:c>
      <x:c r="U39" s="16" t="n">
        <x:v>75.91443251696288</x:v>
      </x:c>
      <x:c r="V39" t="str">
        <x:v>화초</x:v>
      </x:c>
      <x:c r="W39" t="str">
        <x:v>화초 / 일반의류 / 미용실</x:v>
      </x:c>
      <x:c r="X39" s="16" t="n">
        <x:v>71.56706967817911</x:v>
      </x:c>
    </x:row>
    <x:row r="40">
      <x:c r="A40" t="str">
        <x:v>3120219</x:v>
      </x:c>
      <x:c r="B40" t="str">
        <x:v>은마아파트</x:v>
      </x:c>
      <x:c r="C40" t="str">
        <x:v>발달상권</x:v>
      </x:c>
      <x:c r="D40" t="str">
        <x:v>강남구</x:v>
      </x:c>
      <x:c r="E40" t="str">
        <x:v>대치4동</x:v>
      </x:c>
      <x:c r="F40" s="12" t="n">
        <x:v>149660</x:v>
      </x:c>
      <x:c r="G40" s="12" t="n">
        <x:v>112039881782</x:v>
      </x:c>
      <x:c r="H40" s="12" t="n">
        <x:v>2939422</x:v>
      </x:c>
      <x:c r="I40" s="12" t="n">
        <x:v>38116.29693933025</x:v>
      </x:c>
      <x:c r="J40" s="12" t="n">
        <x:v>748629.4386075104</x:v>
      </x:c>
      <x:c r="K40" s="12" t="n">
        <x:v>10976</x:v>
      </x:c>
      <x:c r="L40" s="12" t="n">
        <x:v>733.3956969130028</x:v>
      </x:c>
      <x:c r="M40" s="12" t="n">
        <x:v>33</x:v>
      </x:c>
      <x:c r="N40" s="14" t="n">
        <x:v>0.7111172966339215</x:v>
      </x:c>
      <x:c r="O40" s="14" t="n">
        <x:v>0.2888827033660784</x:v>
      </x:c>
      <x:c r="P40" s="14" t="n">
        <x:v>0.4436141054460221</x:v>
      </x:c>
      <x:c r="Q40" s="14" t="n">
        <x:v>0.18054856550419776</x:v>
      </x:c>
      <x:c r="R40" s="14" t="n">
        <x:v>0.06361015966499335</x:v>
      </x:c>
      <x:c r="S40" s="14" t="n">
        <x:v>0.5397863958538749</x:v>
      </x:c>
      <x:c r="T40" t="str">
        <x:v>고매출밀도·직장밀집</x:v>
      </x:c>
      <x:c r="U40" s="16" t="n">
        <x:v>72.64820965740523</x:v>
      </x:c>
      <x:c r="V40" t="str">
        <x:v>일반의원</x:v>
      </x:c>
      <x:c r="W40" t="str">
        <x:v>일반의원 / 미용실 / 제과점</x:v>
      </x:c>
      <x:c r="X40" s="16" t="n">
        <x:v>68.88475884175776</x:v>
      </x:c>
    </x:row>
    <x:row r="41">
      <x:c r="A41" t="str">
        <x:v>3130087</x:v>
      </x:c>
      <x:c r="B41" t="str">
        <x:v>경동광성상가(경동시장)</x:v>
      </x:c>
      <x:c r="C41" t="str">
        <x:v>전통시장</x:v>
      </x:c>
      <x:c r="D41" t="str">
        <x:v>동대문구</x:v>
      </x:c>
      <x:c r="E41" t="str">
        <x:v>제기동</x:v>
      </x:c>
      <x:c r="F41" s="12" t="n">
        <x:v>20976</x:v>
      </x:c>
      <x:c r="G41" s="12" t="n">
        <x:v>111542581791</x:v>
      </x:c>
      <x:c r="H41" s="12" t="n">
        <x:v>2541042</x:v>
      </x:c>
      <x:c r="I41" s="12" t="n">
        <x:v>43896.39438899475</x:v>
      </x:c>
      <x:c r="J41" s="12" t="n">
        <x:v>5317628.803918764</x:v>
      </x:c>
      <x:c r="K41" s="12" t="n">
        <x:v>111</x:v>
      </x:c>
      <x:c r="L41" s="12" t="n">
        <x:v>52.91762013729977</x:v>
      </x:c>
      <x:c r="M41" s="12" t="n">
        <x:v>7</x:v>
      </x:c>
      <x:c r="N41" s="14" t="n">
        <x:v>0.720394307203346</x:v>
      </x:c>
      <x:c r="O41" s="14" t="n">
        <x:v>0.27960569279665404</x:v>
      </x:c>
      <x:c r="P41" s="14" t="n">
        <x:v>0.0362317887761684</x:v>
      </x:c>
      <x:c r="Q41" s="14" t="n">
        <x:v>0.295818339141782</x:v>
      </x:c>
      <x:c r="R41" s="14" t="n">
        <x:v>0.03994703354050859</x:v>
      </x:c>
      <x:c r="S41" s="14" t="n">
        <x:v>0.5483697213913272</x:v>
      </x:c>
      <x:c r="T41" t="str">
        <x:v>고매출밀도·여성소비</x:v>
      </x:c>
      <x:c r="U41" s="16" t="n">
        <x:v>72.46144481977362</x:v>
      </x:c>
      <x:c r="V41" t="str">
        <x:v>청과상</x:v>
      </x:c>
      <x:c r="W41" t="str">
        <x:v>청과상 / 반찬가게 / 육류판매</x:v>
      </x:c>
      <x:c r="X41" s="16" t="n">
        <x:v>60.813727754961675</x:v>
      </x:c>
    </x:row>
    <x:row r="42">
      <x:c r="A42" t="str">
        <x:v>3001496</x:v>
      </x:c>
      <x:c r="B42" t="str">
        <x:v>강남 마이스 관광특구</x:v>
      </x:c>
      <x:c r="C42" t="str">
        <x:v>관광특구</x:v>
      </x:c>
      <x:c r="D42" t="str">
        <x:v>강남구</x:v>
      </x:c>
      <x:c r="E42" t="str">
        <x:v>삼성1동</x:v>
      </x:c>
      <x:c r="F42" s="12" t="n">
        <x:v>237892</x:v>
      </x:c>
      <x:c r="G42" s="12" t="n">
        <x:v>111343238220</x:v>
      </x:c>
      <x:c r="H42" s="12" t="n">
        <x:v>3397024</x:v>
      </x:c>
      <x:c r="I42" s="12" t="n">
        <x:v>32776.700494315024</x:v>
      </x:c>
      <x:c r="J42" s="12" t="n">
        <x:v>468041.12042439426</x:v>
      </x:c>
      <x:c r="K42" s="12" t="n">
        <x:v>102032</x:v>
      </x:c>
      <x:c r="L42" s="12" t="n">
        <x:v>4289.005094748878</x:v>
      </x:c>
      <x:c r="M42" s="12" t="n">
        <x:v>28</x:v>
      </x:c>
      <x:c r="N42" s="14" t="n">
        <x:v>0.6986116319906687</x:v>
      </x:c>
      <x:c r="O42" s="14" t="n">
        <x:v>0.3013883680093313</x:v>
      </x:c>
      <x:c r="P42" s="14" t="n">
        <x:v>0.38253774904446103</x:v>
      </x:c>
      <x:c r="Q42" s="14" t="n">
        <x:v>0.2715750902830173</x:v>
      </x:c>
      <x:c r="R42" s="14" t="n">
        <x:v>0.3576386192875</x:v>
      </x:c>
      <x:c r="S42" s="14" t="n">
        <x:v>0.5091190779541889</x:v>
      </x:c>
      <x:c r="T42" t="str">
        <x:v>직장밀집·고매출밀도</x:v>
      </x:c>
      <x:c r="U42" s="16" t="n">
        <x:v>78.70565235444283</x:v>
      </x:c>
      <x:c r="V42" t="str">
        <x:v>완구</x:v>
      </x:c>
      <x:c r="W42" t="str">
        <x:v>완구 / 가방 / 화초</x:v>
      </x:c>
      <x:c r="X42" s="16" t="n">
        <x:v>76.75951984985672</x:v>
      </x:c>
    </x:row>
    <x:row r="43">
      <x:c r="A43" t="str">
        <x:v>3120185</x:v>
      </x:c>
      <x:c r="B43" t="str">
        <x:v>논현역</x:v>
      </x:c>
      <x:c r="C43" t="str">
        <x:v>발달상권</x:v>
      </x:c>
      <x:c r="D43" t="str">
        <x:v>강남구</x:v>
      </x:c>
      <x:c r="E43" t="str">
        <x:v>논현1동</x:v>
      </x:c>
      <x:c r="F43" s="12" t="n">
        <x:v>321182</x:v>
      </x:c>
      <x:c r="G43" s="12" t="n">
        <x:v>107953208328</x:v>
      </x:c>
      <x:c r="H43" s="12" t="n">
        <x:v>2235676</x:v>
      </x:c>
      <x:c r="I43" s="12" t="n">
        <x:v>48286.6069716721</x:v>
      </x:c>
      <x:c r="J43" s="12" t="n">
        <x:v>336112.26135960297</x:v>
      </x:c>
      <x:c r="K43" s="12" t="n">
        <x:v>16908</x:v>
      </x:c>
      <x:c r="L43" s="12" t="n">
        <x:v>526.4304973504119</x:v>
      </x:c>
      <x:c r="M43" s="12" t="n">
        <x:v>43</x:v>
      </x:c>
      <x:c r="N43" s="14" t="n">
        <x:v>0.8055647950153991</x:v>
      </x:c>
      <x:c r="O43" s="14" t="n">
        <x:v>0.19443520498460085</x:v>
      </x:c>
      <x:c r="P43" s="14" t="n">
        <x:v>0.282650201041647</x:v>
      </x:c>
      <x:c r="Q43" s="14" t="n">
        <x:v>0.28895387515693954</x:v>
      </x:c>
      <x:c r="R43" s="14" t="n">
        <x:v>0.3661007655550074</x:v>
      </x:c>
      <x:c r="S43" s="14" t="n">
        <x:v>0.48046052249238347</x:v>
      </x:c>
      <x:c r="T43" t="str">
        <x:v>직장밀집·고매출밀도</x:v>
      </x:c>
      <x:c r="U43" s="16" t="n">
        <x:v>69.40608859975677</x:v>
      </x:c>
      <x:c r="V43" t="str">
        <x:v>스포츠클럽</x:v>
      </x:c>
      <x:c r="W43" t="str">
        <x:v>스포츠클럽 / 가전제품 / 분식전문점</x:v>
      </x:c>
      <x:c r="X43" s="16" t="n">
        <x:v>67.99248693134962</x:v>
      </x:c>
    </x:row>
    <x:row r="44">
      <x:c r="A44" t="str">
        <x:v>3120200</x:v>
      </x:c>
      <x:c r="B44" t="str">
        <x:v>학동사거리</x:v>
      </x:c>
      <x:c r="C44" t="str">
        <x:v>발달상권</x:v>
      </x:c>
      <x:c r="D44" t="str">
        <x:v>강남구</x:v>
      </x:c>
      <x:c r="E44" t="str">
        <x:v>청담동</x:v>
      </x:c>
      <x:c r="F44" s="12" t="n">
        <x:v>266597</x:v>
      </x:c>
      <x:c r="G44" s="12" t="n">
        <x:v>107326234448</x:v>
      </x:c>
      <x:c r="H44" s="12" t="n">
        <x:v>955516</x:v>
      </x:c>
      <x:c r="I44" s="12" t="n">
        <x:v>112322.80197087229</x:v>
      </x:c>
      <x:c r="J44" s="12" t="n">
        <x:v>402578.55282692605</x:v>
      </x:c>
      <x:c r="K44" s="12" t="n">
        <x:v>19111</x:v>
      </x:c>
      <x:c r="L44" s="12" t="n">
        <x:v>716.8497770042422</x:v>
      </x:c>
      <x:c r="M44" s="12" t="n">
        <x:v>30</x:v>
      </x:c>
      <x:c r="N44" s="14" t="n">
        <x:v>0.747660088399713</x:v>
      </x:c>
      <x:c r="O44" s="14" t="n">
        <x:v>0.252339911600287</x:v>
      </x:c>
      <x:c r="P44" s="14" t="n">
        <x:v>0.3673112561132496</x:v>
      </x:c>
      <x:c r="Q44" s="14" t="n">
        <x:v>0.2515843543927034</x:v>
      </x:c>
      <x:c r="R44" s="14" t="n">
        <x:v>0.40015645752304985</x:v>
      </x:c>
      <x:c r="S44" s="14" t="n">
        <x:v>0.4889722786596651</x:v>
      </x:c>
      <x:c r="T44" t="str">
        <x:v>직장밀집·고매출밀도</x:v>
      </x:c>
      <x:c r="U44" s="16" t="n">
        <x:v>73.05221283279757</x:v>
      </x:c>
      <x:c r="V44" t="str">
        <x:v>안경</x:v>
      </x:c>
      <x:c r="W44" t="str">
        <x:v>안경 / 피부관리실 / 커피-음료</x:v>
      </x:c>
      <x:c r="X44" s="16" t="n">
        <x:v>70.16375557864176</x:v>
      </x:c>
    </x:row>
    <x:row r="45">
      <x:c r="A45" t="str">
        <x:v>3130246</x:v>
      </x:c>
      <x:c r="B45" t="str">
        <x:v>영등포청과시장(조광시장)</x:v>
      </x:c>
      <x:c r="C45" t="str">
        <x:v>전통시장</x:v>
      </x:c>
      <x:c r="D45" t="str">
        <x:v>영등포구</x:v>
      </x:c>
      <x:c r="E45" t="str">
        <x:v>당산1동</x:v>
      </x:c>
      <x:c r="F45" s="12" t="n">
        <x:v>96522</x:v>
      </x:c>
      <x:c r="G45" s="12" t="n">
        <x:v>107310423139</x:v>
      </x:c>
      <x:c r="H45" s="12" t="n">
        <x:v>1411954</x:v>
      </x:c>
      <x:c r="I45" s="12" t="n">
        <x:v>76001.35920787787</x:v>
      </x:c>
      <x:c r="J45" s="12" t="n">
        <x:v>1111771.6493545512</x:v>
      </x:c>
      <x:c r="K45" s="12" t="n">
        <x:v>544</x:v>
      </x:c>
      <x:c r="L45" s="12" t="n">
        <x:v>56.36020803547378</x:v>
      </x:c>
      <x:c r="M45" s="12" t="n">
        <x:v>15</x:v>
      </x:c>
      <x:c r="N45" s="14" t="n">
        <x:v>0.797715340961032</x:v>
      </x:c>
      <x:c r="O45" s="14" t="n">
        <x:v>0.20228465903896803</x:v>
      </x:c>
      <x:c r="P45" s="14" t="n">
        <x:v>0.18648284619173372</x:v>
      </x:c>
      <x:c r="Q45" s="14" t="n">
        <x:v>0.25125243163076444</x:v>
      </x:c>
      <x:c r="R45" s="14" t="n">
        <x:v>0.10931809548271731</x:v>
      </x:c>
      <x:c r="S45" s="14" t="n">
        <x:v>0.3524779169680989</x:v>
      </x:c>
      <x:c r="T45" t="str">
        <x:v>고매출밀도·평일집중</x:v>
      </x:c>
      <x:c r="U45" s="16" t="n">
        <x:v>67.51765033335037</x:v>
      </x:c>
      <x:c r="V45" t="str">
        <x:v>반찬가게</x:v>
      </x:c>
      <x:c r="W45" t="str">
        <x:v>반찬가게 / 미곡판매 / 일반의류</x:v>
      </x:c>
      <x:c r="X45" s="16" t="n">
        <x:v>61.596058122914734</x:v>
      </x:c>
    </x:row>
    <x:row r="46">
      <x:c r="A46" t="str">
        <x:v>3120215</x:v>
      </x:c>
      <x:c r="B46" t="str">
        <x:v>포스코사거리</x:v>
      </x:c>
      <x:c r="C46" t="str">
        <x:v>발달상권</x:v>
      </x:c>
      <x:c r="D46" t="str">
        <x:v>강남구</x:v>
      </x:c>
      <x:c r="E46" t="str">
        <x:v>삼성2동</x:v>
      </x:c>
      <x:c r="F46" s="12" t="n">
        <x:v>318626</x:v>
      </x:c>
      <x:c r="G46" s="12" t="n">
        <x:v>101110756722</x:v>
      </x:c>
      <x:c r="H46" s="12" t="n">
        <x:v>4199496</x:v>
      </x:c>
      <x:c r="I46" s="12" t="n">
        <x:v>24076.878921184827</x:v>
      </x:c>
      <x:c r="J46" s="12" t="n">
        <x:v>317333.6661854337</x:v>
      </x:c>
      <x:c r="K46" s="12" t="n">
        <x:v>94741</x:v>
      </x:c>
      <x:c r="L46" s="12" t="n">
        <x:v>2973.4233866664995</x:v>
      </x:c>
      <x:c r="M46" s="12" t="n">
        <x:v>45</x:v>
      </x:c>
      <x:c r="N46" s="14" t="n">
        <x:v>0.8785678335218265</x:v>
      </x:c>
      <x:c r="O46" s="14" t="n">
        <x:v>0.12143216647817345</x:v>
      </x:c>
      <x:c r="P46" s="14" t="n">
        <x:v>0.37649430124101846</x:v>
      </x:c>
      <x:c r="Q46" s="14" t="n">
        <x:v>0.3590560532131866</x:v>
      </x:c>
      <x:c r="R46" s="14" t="n">
        <x:v>0.2623712558589509</x:v>
      </x:c>
      <x:c r="S46" s="14" t="n">
        <x:v>0.25938810407788654</x:v>
      </x:c>
      <x:c r="T46" t="str">
        <x:v>직장밀집·평일집중</x:v>
      </x:c>
      <x:c r="U46" s="16" t="n">
        <x:v>79.83675338629487</x:v>
      </x:c>
      <x:c r="V46" t="str">
        <x:v>노래방</x:v>
      </x:c>
      <x:c r="W46" t="str">
        <x:v>노래방 / 서적 / 중식음식점</x:v>
      </x:c>
      <x:c r="X46" s="16" t="n">
        <x:v>77.17817484952975</x:v>
      </x:c>
    </x:row>
    <x:row r="47">
      <x:c r="A47" t="str">
        <x:v>3120031</x:v>
      </x:c>
      <x:c r="B47" t="str">
        <x:v>을지로3가역</x:v>
      </x:c>
      <x:c r="C47" t="str">
        <x:v>발달상권</x:v>
      </x:c>
      <x:c r="D47" t="str">
        <x:v>중구</x:v>
      </x:c>
      <x:c r="E47" t="str">
        <x:v>을지로동</x:v>
      </x:c>
      <x:c r="F47" s="12" t="n">
        <x:v>254774</x:v>
      </x:c>
      <x:c r="G47" s="12" t="n">
        <x:v>98965540383</x:v>
      </x:c>
      <x:c r="H47" s="12" t="n">
        <x:v>5166622</x:v>
      </x:c>
      <x:c r="I47" s="12" t="n">
        <x:v>19154.786315507503</x:v>
      </x:c>
      <x:c r="J47" s="12" t="n">
        <x:v>388444.42675861745</x:v>
      </x:c>
      <x:c r="K47" s="12" t="n">
        <x:v>13468</x:v>
      </x:c>
      <x:c r="L47" s="12" t="n">
        <x:v>528.6253699357078</x:v>
      </x:c>
      <x:c r="M47" s="12" t="n">
        <x:v>32</x:v>
      </x:c>
      <x:c r="N47" s="14" t="n">
        <x:v>0.8580040846377884</x:v>
      </x:c>
      <x:c r="O47" s="14" t="n">
        <x:v>0.14199591536221157</x:v>
      </x:c>
      <x:c r="P47" s="14" t="n">
        <x:v>0.3399867268625532</x:v>
      </x:c>
      <x:c r="Q47" s="14" t="n">
        <x:v>0.291784531133226</x:v>
      </x:c>
      <x:c r="R47" s="14" t="n">
        <x:v>0.3280094743015839</x:v>
      </x:c>
      <x:c r="S47" s="14" t="n">
        <x:v>0.3135106715420884</x:v>
      </x:c>
      <x:c r="T47" t="str">
        <x:v>고매출밀도·직장밀집</x:v>
      </x:c>
      <x:c r="U47" s="16" t="n">
        <x:v>79.84815987184237</x:v>
      </x:c>
      <x:c r="V47" t="str">
        <x:v>화초</x:v>
      </x:c>
      <x:c r="W47" t="str">
        <x:v>화초 / 치킨전문점 / 일식음식점</x:v>
      </x:c>
      <x:c r="X47" s="16" t="n">
        <x:v>76.09357948756795</x:v>
      </x:c>
    </x:row>
    <x:row r="48">
      <x:c r="A48" t="str">
        <x:v>3001491</x:v>
      </x:c>
      <x:c r="B48" t="str">
        <x:v>이태원 관광특구</x:v>
      </x:c>
      <x:c r="C48" t="str">
        <x:v>관광특구</x:v>
      </x:c>
      <x:c r="D48" t="str">
        <x:v>용산구</x:v>
      </x:c>
      <x:c r="E48" t="str">
        <x:v>이태원1동</x:v>
      </x:c>
      <x:c r="F48" s="12" t="n">
        <x:v>372565</x:v>
      </x:c>
      <x:c r="G48" s="12" t="n">
        <x:v>96748250708</x:v>
      </x:c>
      <x:c r="H48" s="12" t="n">
        <x:v>3137664</x:v>
      </x:c>
      <x:c r="I48" s="12" t="n">
        <x:v>30834.484096448825</x:v>
      </x:c>
      <x:c r="J48" s="12" t="n">
        <x:v>259681.53398198972</x:v>
      </x:c>
      <x:c r="K48" s="12" t="n">
        <x:v>35826</x:v>
      </x:c>
      <x:c r="L48" s="12" t="n">
        <x:v>961.6040154067075</x:v>
      </x:c>
      <x:c r="M48" s="12" t="n">
        <x:v>33</x:v>
      </x:c>
      <x:c r="N48" s="14" t="n">
        <x:v>0.5610427362022748</x:v>
      </x:c>
      <x:c r="O48" s="14" t="n">
        <x:v>0.4389572637977251</x:v>
      </x:c>
      <x:c r="P48" s="14" t="n">
        <x:v>0.4259095317740223</x:v>
      </x:c>
      <x:c r="Q48" s="14" t="n">
        <x:v>0.1568846609310831</x:v>
      </x:c>
      <x:c r="R48" s="14" t="n">
        <x:v>0.578048432770016</x:v>
      </x:c>
      <x:c r="S48" s="14" t="n">
        <x:v>0.3957334178739227</x:v>
      </x:c>
      <x:c r="T48" t="str">
        <x:v>2030소비·직장밀집</x:v>
      </x:c>
      <x:c r="U48" s="16" t="n">
        <x:v>77.79710700215507</x:v>
      </x:c>
      <x:c r="V48" t="str">
        <x:v>피부관리실</x:v>
      </x:c>
      <x:c r="W48" t="str">
        <x:v>피부관리실 / 분식전문점 / 세탁소</x:v>
      </x:c>
      <x:c r="X48" s="16" t="n">
        <x:v>76.06705171912559</x:v>
      </x:c>
    </x:row>
    <x:row r="49">
      <x:c r="A49" t="str">
        <x:v>3120094</x:v>
      </x:c>
      <x:c r="B49" t="str">
        <x:v>신촌역(신촌역, 신촌로터리)</x:v>
      </x:c>
      <x:c r="C49" t="str">
        <x:v>발달상권</x:v>
      </x:c>
      <x:c r="D49" t="str">
        <x:v>서대문구</x:v>
      </x:c>
      <x:c r="E49" t="str">
        <x:v>신촌동</x:v>
      </x:c>
      <x:c r="F49" s="12" t="n">
        <x:v>343829</x:v>
      </x:c>
      <x:c r="G49" s="12" t="n">
        <x:v>96431102614</x:v>
      </x:c>
      <x:c r="H49" s="12" t="n">
        <x:v>4247410</x:v>
      </x:c>
      <x:c r="I49" s="12" t="n">
        <x:v>22703.506987552413</x:v>
      </x:c>
      <x:c r="J49" s="12" t="n">
        <x:v>280462.3886117808</x:v>
      </x:c>
      <x:c r="K49" s="12" t="n">
        <x:v>2782</x:v>
      </x:c>
      <x:c r="L49" s="12" t="n">
        <x:v>80.91231397002579</x:v>
      </x:c>
      <x:c r="M49" s="12" t="n">
        <x:v>44</x:v>
      </x:c>
      <x:c r="N49" s="14" t="n">
        <x:v>0.7644119937429631</x:v>
      </x:c>
      <x:c r="O49" s="14" t="n">
        <x:v>0.2355880062570369</x:v>
      </x:c>
      <x:c r="P49" s="14" t="n">
        <x:v>0.417399913263632</x:v>
      </x:c>
      <x:c r="Q49" s="14" t="n">
        <x:v>0.2245162968390322</x:v>
      </x:c>
      <x:c r="R49" s="14" t="n">
        <x:v>0.44368744700828894</x:v>
      </x:c>
      <x:c r="S49" s="14" t="n">
        <x:v>0.4769933124701417</x:v>
      </x:c>
      <x:c r="T49" t="str">
        <x:v>2030소비·고매출밀도</x:v>
      </x:c>
      <x:c r="U49" s="16" t="n">
        <x:v>74.55161956956348</x:v>
      </x:c>
      <x:c r="V49" t="str">
        <x:v>인테리어</x:v>
      </x:c>
      <x:c r="W49" t="str">
        <x:v>인테리어 / 시계및귀금속 / 의약품</x:v>
      </x:c>
      <x:c r="X49" s="16" t="n">
        <x:v>68.95632014741314</x:v>
      </x:c>
    </x:row>
    <x:row r="50">
      <x:c r="A50" t="str">
        <x:v>3120037</x:v>
      </x:c>
      <x:c r="B50" t="str">
        <x:v>동대문역사문화공원역</x:v>
      </x:c>
      <x:c r="C50" t="str">
        <x:v>발달상권</x:v>
      </x:c>
      <x:c r="D50" t="str">
        <x:v>중구</x:v>
      </x:c>
      <x:c r="E50" t="str">
        <x:v>광희동</x:v>
      </x:c>
      <x:c r="F50" s="12" t="n">
        <x:v>370638</x:v>
      </x:c>
      <x:c r="G50" s="12" t="n">
        <x:v>91892947787</x:v>
      </x:c>
      <x:c r="H50" s="12" t="n">
        <x:v>3279567</x:v>
      </x:c>
      <x:c r="I50" s="12" t="n">
        <x:v>28019.84157878159</x:v>
      </x:c>
      <x:c r="J50" s="12" t="n">
        <x:v>247931.80350368822</x:v>
      </x:c>
      <x:c r="K50" s="12" t="n">
        <x:v>23881</x:v>
      </x:c>
      <x:c r="L50" s="12" t="n">
        <x:v>644.3214133467156</x:v>
      </x:c>
      <x:c r="M50" s="12" t="n">
        <x:v>39</x:v>
      </x:c>
      <x:c r="N50" s="14" t="n">
        <x:v>0.7044945252714858</x:v>
      </x:c>
      <x:c r="O50" s="14" t="n">
        <x:v>0.2955054747285142</x:v>
      </x:c>
      <x:c r="P50" s="14" t="n">
        <x:v>0.3792127659542745</x:v>
      </x:c>
      <x:c r="Q50" s="14" t="n">
        <x:v>0.2516437675674538</x:v>
      </x:c>
      <x:c r="R50" s="14" t="n">
        <x:v>0.3746644320824654</x:v>
      </x:c>
      <x:c r="S50" s="14" t="n">
        <x:v>0.38839455037102566</x:v>
      </x:c>
      <x:c r="T50" t="str">
        <x:v>직장밀집·2030소비</x:v>
      </x:c>
      <x:c r="U50" s="16" t="n">
        <x:v>74.80884213907918</x:v>
      </x:c>
      <x:c r="V50" t="str">
        <x:v>서적</x:v>
      </x:c>
      <x:c r="W50" t="str">
        <x:v>서적 / 스포츠클럽 / 미용실</x:v>
      </x:c>
      <x:c r="X50" s="16" t="n">
        <x:v>71.66854843246804</x:v>
      </x:c>
    </x:row>
    <x:row r="51">
      <x:c r="A51" t="str">
        <x:v>3120046</x:v>
      </x:c>
      <x:c r="B51" t="str">
        <x:v>이태원(이태원역)</x:v>
      </x:c>
      <x:c r="C51" t="str">
        <x:v>발달상권</x:v>
      </x:c>
      <x:c r="D51" t="str">
        <x:v>용산구</x:v>
      </x:c>
      <x:c r="E51" t="str">
        <x:v>이태원1동</x:v>
      </x:c>
      <x:c r="F51" s="12" t="n">
        <x:v>283429</x:v>
      </x:c>
      <x:c r="G51" s="12" t="n">
        <x:v>90790560761</x:v>
      </x:c>
      <x:c r="H51" s="12" t="n">
        <x:v>3035705</x:v>
      </x:c>
      <x:c r="I51" s="12" t="n">
        <x:v>29907.570320897452</x:v>
      </x:c>
      <x:c r="J51" s="12" t="n">
        <x:v>320329.1150905518</x:v>
      </x:c>
      <x:c r="K51" s="12" t="n">
        <x:v>22140</x:v>
      </x:c>
      <x:c r="L51" s="12" t="n">
        <x:v>781.1480123769975</x:v>
      </x:c>
      <x:c r="M51" s="12" t="n">
        <x:v>35</x:v>
      </x:c>
      <x:c r="N51" s="14" t="n">
        <x:v>0.5506252233709562</x:v>
      </x:c>
      <x:c r="O51" s="14" t="n">
        <x:v>0.44937477662904374</x:v>
      </x:c>
      <x:c r="P51" s="14" t="n">
        <x:v>0.4376968729448599</x:v>
      </x:c>
      <x:c r="Q51" s="14" t="n">
        <x:v>0.13183648576099138</x:v>
      </x:c>
      <x:c r="R51" s="14" t="n">
        <x:v>0.5949297235005322</x:v>
      </x:c>
      <x:c r="S51" s="14" t="n">
        <x:v>0.3706869951998005</x:v>
      </x:c>
      <x:c r="T51" t="str">
        <x:v>2030소비·직장밀집</x:v>
      </x:c>
      <x:c r="U51" s="16" t="n">
        <x:v>77.6934484655697</x:v>
      </x:c>
      <x:c r="V51" t="str">
        <x:v>피부관리실</x:v>
      </x:c>
      <x:c r="W51" t="str">
        <x:v>피부관리실 / 중식음식점 / 슈퍼마켓</x:v>
      </x:c>
      <x:c r="X51" s="16" t="n">
        <x:v>76.07234710196332</x:v>
      </x:c>
    </x:row>
    <x:row r="52">
      <x:c r="A52" t="str">
        <x:v>3120186</x:v>
      </x:c>
      <x:c r="B52" t="str">
        <x:v>가로수길</x:v>
      </x:c>
      <x:c r="C52" t="str">
        <x:v>발달상권</x:v>
      </x:c>
      <x:c r="D52" t="str">
        <x:v>강남구</x:v>
      </x:c>
      <x:c r="E52" t="str">
        <x:v>신사동</x:v>
      </x:c>
      <x:c r="F52" s="12" t="n">
        <x:v>256688</x:v>
      </x:c>
      <x:c r="G52" s="12" t="n">
        <x:v>90653880543</x:v>
      </x:c>
      <x:c r="H52" s="12" t="n">
        <x:v>1266198</x:v>
      </x:c>
      <x:c r="I52" s="12" t="n">
        <x:v>71595.34333729796</x:v>
      </x:c>
      <x:c r="J52" s="12" t="n">
        <x:v>353167.5829918033</x:v>
      </x:c>
      <x:c r="K52" s="12" t="n">
        <x:v>11262</x:v>
      </x:c>
      <x:c r="L52" s="12" t="n">
        <x:v>438.7427538490307</x:v>
      </x:c>
      <x:c r="M52" s="12" t="n">
        <x:v>39</x:v>
      </x:c>
      <x:c r="N52" s="14" t="n">
        <x:v>0.7326924688843763</x:v>
      </x:c>
      <x:c r="O52" s="14" t="n">
        <x:v>0.2673075311156236</x:v>
      </x:c>
      <x:c r="P52" s="14" t="n">
        <x:v>0.424076260913781</x:v>
      </x:c>
      <x:c r="Q52" s="14" t="n">
        <x:v>0.1958950121564461</x:v>
      </x:c>
      <x:c r="R52" s="14" t="n">
        <x:v>0.37591846395186035</x:v>
      </x:c>
      <x:c r="S52" s="14" t="n">
        <x:v>0.45032559941696043</x:v>
      </x:c>
      <x:c r="T52" t="str">
        <x:v>고매출밀도·직장밀집</x:v>
      </x:c>
      <x:c r="U52" s="16" t="n">
        <x:v>75.17903365978633</x:v>
      </x:c>
      <x:c r="V52" t="str">
        <x:v>서적</x:v>
      </x:c>
      <x:c r="W52" t="str">
        <x:v>서적 / 시계및귀금속 / 화초</x:v>
      </x:c>
      <x:c r="X52" s="16" t="n">
        <x:v>70.52363818524108</x:v>
      </x:c>
    </x:row>
    <x:row r="53">
      <x:c r="A53" t="str">
        <x:v>3120066</x:v>
      </x:c>
      <x:c r="B53" t="str">
        <x:v>장한평역(장한평)</x:v>
      </x:c>
      <x:c r="C53" t="str">
        <x:v>발달상권</x:v>
      </x:c>
      <x:c r="D53" t="str">
        <x:v>동대문구</x:v>
      </x:c>
      <x:c r="E53" t="str">
        <x:v>장안1동</x:v>
      </x:c>
      <x:c r="F53" s="12" t="n">
        <x:v>450074</x:v>
      </x:c>
      <x:c r="G53" s="12" t="n">
        <x:v>89176982087</x:v>
      </x:c>
      <x:c r="H53" s="12" t="n">
        <x:v>1859032</x:v>
      </x:c>
      <x:c r="I53" s="12" t="n">
        <x:v>47969.57883834167</x:v>
      </x:c>
      <x:c r="J53" s="12" t="n">
        <x:v>198138.48853077495</x:v>
      </x:c>
      <x:c r="K53" s="12" t="n">
        <x:v>7238</x:v>
      </x:c>
      <x:c r="L53" s="12" t="n">
        <x:v>160.81799881797215</x:v>
      </x:c>
      <x:c r="M53" s="12" t="n">
        <x:v>37</x:v>
      </x:c>
      <x:c r="N53" s="14" t="n">
        <x:v>0.8730181155945311</x:v>
      </x:c>
      <x:c r="O53" s="14" t="n">
        <x:v>0.12698188440546884</x:v>
      </x:c>
      <x:c r="P53" s="14" t="n">
        <x:v>0.20510341554456288</x:v>
      </x:c>
      <x:c r="Q53" s="14" t="n">
        <x:v>0.3316951352776496</x:v>
      </x:c>
      <x:c r="R53" s="14" t="n">
        <x:v>0.15875182468261362</x:v>
      </x:c>
      <x:c r="S53" s="14" t="n">
        <x:v>0.36947021116790085</x:v>
      </x:c>
      <x:c r="T53" t="str">
        <x:v>평일집중·고매출밀도</x:v>
      </x:c>
      <x:c r="U53" s="16" t="n">
        <x:v>73.43921639785124</x:v>
      </x:c>
      <x:c r="V53" t="str">
        <x:v>패스트푸드점</x:v>
      </x:c>
      <x:c r="W53" t="str">
        <x:v>패스트푸드점 / 당구장 / 의약품</x:v>
      </x:c>
      <x:c r="X53" s="16" t="n">
        <x:v>70.78046433519107</x:v>
      </x:c>
    </x:row>
    <x:row r="54">
      <x:c r="A54" t="str">
        <x:v>3120243</x:v>
      </x:c>
      <x:c r="B54" t="str">
        <x:v>천호역</x:v>
      </x:c>
      <x:c r="C54" t="str">
        <x:v>발달상권</x:v>
      </x:c>
      <x:c r="D54" t="str">
        <x:v>강동구</x:v>
      </x:c>
      <x:c r="E54" t="str">
        <x:v>천호2동</x:v>
      </x:c>
      <x:c r="F54" s="12" t="n">
        <x:v>215270</x:v>
      </x:c>
      <x:c r="G54" s="12" t="n">
        <x:v>88898156104</x:v>
      </x:c>
      <x:c r="H54" s="12" t="n">
        <x:v>2920173</x:v>
      </x:c>
      <x:c r="I54" s="12" t="n">
        <x:v>30442.770378330326</x:v>
      </x:c>
      <x:c r="J54" s="12" t="n">
        <x:v>412961.1934036327</x:v>
      </x:c>
      <x:c r="K54" s="12" t="n">
        <x:v>1986</x:v>
      </x:c>
      <x:c r="L54" s="12" t="n">
        <x:v>92.2562363543457</x:v>
      </x:c>
      <x:c r="M54" s="12" t="n">
        <x:v>41</x:v>
      </x:c>
      <x:c r="N54" s="14" t="n">
        <x:v>0.7209931646278097</x:v>
      </x:c>
      <x:c r="O54" s="14" t="n">
        <x:v>0.2790068353721903</x:v>
      </x:c>
      <x:c r="P54" s="14" t="n">
        <x:v>0.3420935916423538</x:v>
      </x:c>
      <x:c r="Q54" s="14" t="n">
        <x:v>0.2790619969325073</x:v>
      </x:c>
      <x:c r="R54" s="14" t="n">
        <x:v>0.289006006636891</x:v>
      </x:c>
      <x:c r="S54" s="14" t="n">
        <x:v>0.5359892128612558</x:v>
      </x:c>
      <x:c r="T54" t="str">
        <x:v>고매출밀도·여성소비</x:v>
      </x:c>
      <x:c r="U54" s="16" t="n">
        <x:v>73.27315084490718</x:v>
      </x:c>
      <x:c r="V54" t="str">
        <x:v>피부관리실</x:v>
      </x:c>
      <x:c r="W54" t="str">
        <x:v>피부관리실 / 의약품 / 시계및귀금속</x:v>
      </x:c>
      <x:c r="X54" s="16" t="n">
        <x:v>69.32247618796005</x:v>
      </x:c>
    </x:row>
    <x:row r="55">
      <x:c r="A55" t="str">
        <x:v>3120156</x:v>
      </x:c>
      <x:c r="B55" t="str">
        <x:v>총신대입구역(이수, 총신대)</x:v>
      </x:c>
      <x:c r="C55" t="str">
        <x:v>발달상권</x:v>
      </x:c>
      <x:c r="D55" t="str">
        <x:v>동작구</x:v>
      </x:c>
      <x:c r="E55" t="str">
        <x:v>사당2동</x:v>
      </x:c>
      <x:c r="F55" s="12" t="n">
        <x:v>246965</x:v>
      </x:c>
      <x:c r="G55" s="12" t="n">
        <x:v>82122784535</x:v>
      </x:c>
      <x:c r="H55" s="12" t="n">
        <x:v>2667506</x:v>
      </x:c>
      <x:c r="I55" s="12" t="n">
        <x:v>30786.35419564192</x:v>
      </x:c>
      <x:c r="J55" s="12" t="n">
        <x:v>332528.0284048347</x:v>
      </x:c>
      <x:c r="K55" s="12" t="n">
        <x:v>7436</x:v>
      </x:c>
      <x:c r="L55" s="12" t="n">
        <x:v>301.0952969044197</x:v>
      </x:c>
      <x:c r="M55" s="12" t="n">
        <x:v>42</x:v>
      </x:c>
      <x:c r="N55" s="14" t="n">
        <x:v>0.7649714166502233</x:v>
      </x:c>
      <x:c r="O55" s="14" t="n">
        <x:v>0.2350285833497767</x:v>
      </x:c>
      <x:c r="P55" s="14" t="n">
        <x:v>0.41472431924765835</x:v>
      </x:c>
      <x:c r="Q55" s="14" t="n">
        <x:v>0.24031404174549156</x:v>
      </x:c>
      <x:c r="R55" s="14" t="n">
        <x:v>0.31033364810150005</x:v>
      </x:c>
      <x:c r="S55" s="14" t="n">
        <x:v>0.513746957070347</x:v>
      </x:c>
      <x:c r="T55" t="str">
        <x:v>고매출밀도·직장밀집</x:v>
      </x:c>
      <x:c r="U55" s="16" t="n">
        <x:v>87.35350144875952</x:v>
      </x:c>
      <x:c r="V55" t="str">
        <x:v>당구장</x:v>
      </x:c>
      <x:c r="W55" t="str">
        <x:v>당구장 / 일반의류 / 의약품</x:v>
      </x:c>
      <x:c r="X55" s="16" t="n">
        <x:v>80.29426129589203</x:v>
      </x:c>
    </x:row>
    <x:row r="56">
      <x:c r="A56" t="str">
        <x:v>3120184</x:v>
      </x:c>
      <x:c r="B56" t="str">
        <x:v>포이사거리(삼호물산)</x:v>
      </x:c>
      <x:c r="C56" t="str">
        <x:v>발달상권</x:v>
      </x:c>
      <x:c r="D56" t="str">
        <x:v>서초구</x:v>
      </x:c>
      <x:c r="E56" t="str">
        <x:v>양재2동</x:v>
      </x:c>
      <x:c r="F56" s="12" t="n">
        <x:v>351949</x:v>
      </x:c>
      <x:c r="G56" s="12" t="n">
        <x:v>81079194026</x:v>
      </x:c>
      <x:c r="H56" s="12" t="n">
        <x:v>3478290</x:v>
      </x:c>
      <x:c r="I56" s="12" t="n">
        <x:v>23310.07306061312</x:v>
      </x:c>
      <x:c r="J56" s="12" t="n">
        <x:v>230371.9971529966</x:v>
      </x:c>
      <x:c r="K56" s="12" t="n">
        <x:v>15262</x:v>
      </x:c>
      <x:c r="L56" s="12" t="n">
        <x:v>433.64237432127953</x:v>
      </x:c>
      <x:c r="M56" s="12" t="n">
        <x:v>46</x:v>
      </x:c>
      <x:c r="N56" s="14" t="n">
        <x:v>0.8709476936630051</x:v>
      </x:c>
      <x:c r="O56" s="14" t="n">
        <x:v>0.1290523063369949</x:v>
      </x:c>
      <x:c r="P56" s="14" t="n">
        <x:v>0.23927287124707858</x:v>
      </x:c>
      <x:c r="Q56" s="14" t="n">
        <x:v>0.39517605960322477</x:v>
      </x:c>
      <x:c r="R56" s="14" t="n">
        <x:v>0.188400555660452</x:v>
      </x:c>
      <x:c r="S56" s="14" t="n">
        <x:v>0.27526734280120063</x:v>
      </x:c>
      <x:c r="T56" t="str">
        <x:v>평일집중·직장밀집</x:v>
      </x:c>
      <x:c r="U56" s="16" t="n">
        <x:v>81.39990732524107</x:v>
      </x:c>
      <x:c r="V56" t="str">
        <x:v>일반의원</x:v>
      </x:c>
      <x:c r="W56" t="str">
        <x:v>일반의원 / 네일숍 / 예술학원</x:v>
      </x:c>
      <x:c r="X56" s="16" t="n">
        <x:v>76.6435057508445</x:v>
      </x:c>
    </x:row>
    <x:row r="57">
      <x:c r="A57" t="str">
        <x:v>3130036</x:v>
      </x:c>
      <x:c r="B57" t="str">
        <x:v>중부시장(신중부시장)</x:v>
      </x:c>
      <x:c r="C57" t="str">
        <x:v>전통시장</x:v>
      </x:c>
      <x:c r="D57" t="str">
        <x:v>중구</x:v>
      </x:c>
      <x:c r="E57" t="str">
        <x:v>광희동</x:v>
      </x:c>
      <x:c r="F57" s="12" t="n">
        <x:v>92243</x:v>
      </x:c>
      <x:c r="G57" s="12" t="n">
        <x:v>80360890435</x:v>
      </x:c>
      <x:c r="H57" s="12" t="n">
        <x:v>1149423</x:v>
      </x:c>
      <x:c r="I57" s="12" t="n">
        <x:v>69914.11380753647</x:v>
      </x:c>
      <x:c r="J57" s="12" t="n">
        <x:v>871186.8698437822</x:v>
      </x:c>
      <x:c r="K57" s="12" t="n">
        <x:v>3023</x:v>
      </x:c>
      <x:c r="L57" s="12" t="n">
        <x:v>327.7213447090836</x:v>
      </x:c>
      <x:c r="M57" s="12" t="n">
        <x:v>15</x:v>
      </x:c>
      <x:c r="N57" s="14" t="n">
        <x:v>0.7816027944066173</x:v>
      </x:c>
      <x:c r="O57" s="14" t="n">
        <x:v>0.21839720559338274</x:v>
      </x:c>
      <x:c r="P57" s="14" t="n">
        <x:v>0.05911429454409081</x:v>
      </x:c>
      <x:c r="Q57" s="14" t="n">
        <x:v>0.23175227065289797</x:v>
      </x:c>
      <x:c r="R57" s="14" t="n">
        <x:v>0.0785103522229283</x:v>
      </x:c>
      <x:c r="S57" s="14" t="n">
        <x:v>0.5846583752453912</x:v>
      </x:c>
      <x:c r="T57" t="str">
        <x:v>고매출밀도·여성소비</x:v>
      </x:c>
      <x:c r="U57" s="16" t="n">
        <x:v>77.77241309806644</x:v>
      </x:c>
      <x:c r="V57" t="str">
        <x:v>청과상</x:v>
      </x:c>
      <x:c r="W57" t="str">
        <x:v>청과상 / 육류판매 / 조명용품</x:v>
      </x:c>
      <x:c r="X57" s="16" t="n">
        <x:v>69.99445155931461</x:v>
      </x:c>
    </x:row>
    <x:row r="58">
      <x:c r="A58" t="str">
        <x:v>3120179</x:v>
      </x:c>
      <x:c r="B58" t="str">
        <x:v>양재역</x:v>
      </x:c>
      <x:c r="C58" t="str">
        <x:v>발달상권</x:v>
      </x:c>
      <x:c r="D58" t="str">
        <x:v>서초구</x:v>
      </x:c>
      <x:c r="E58" t="str">
        <x:v>도곡1동</x:v>
      </x:c>
      <x:c r="F58" s="12" t="n">
        <x:v>348405</x:v>
      </x:c>
      <x:c r="G58" s="12" t="n">
        <x:v>79820238435</x:v>
      </x:c>
      <x:c r="H58" s="12" t="n">
        <x:v>2416293</x:v>
      </x:c>
      <x:c r="I58" s="12" t="n">
        <x:v>33034.17194644855</x:v>
      </x:c>
      <x:c r="J58" s="12" t="n">
        <x:v>229101.87406897146</x:v>
      </x:c>
      <x:c r="K58" s="12" t="n">
        <x:v>27837</x:v>
      </x:c>
      <x:c r="L58" s="12" t="n">
        <x:v>798.9839411030267</x:v>
      </x:c>
      <x:c r="M58" s="12" t="n">
        <x:v>44</x:v>
      </x:c>
      <x:c r="N58" s="14" t="n">
        <x:v>0.8541437525211021</x:v>
      </x:c>
      <x:c r="O58" s="14" t="n">
        <x:v>0.14585624747889792</x:v>
      </x:c>
      <x:c r="P58" s="14" t="n">
        <x:v>0.3748159857272669</x:v>
      </x:c>
      <x:c r="Q58" s="14" t="n">
        <x:v>0.32065363017980064</x:v>
      </x:c>
      <x:c r="R58" s="14" t="n">
        <x:v>0.2245367203781894</x:v>
      </x:c>
      <x:c r="S58" s="14" t="n">
        <x:v>0.33764939469514627</x:v>
      </x:c>
      <x:c r="T58" t="str">
        <x:v>직장밀집·평일집중</x:v>
      </x:c>
      <x:c r="U58" s="16" t="n">
        <x:v>82.28136372542616</x:v>
      </x:c>
      <x:c r="V58" t="str">
        <x:v>노래방</x:v>
      </x:c>
      <x:c r="W58" t="str">
        <x:v>노래방 / 일식음식점 / 예술학원</x:v>
      </x:c>
      <x:c r="X58" s="16" t="n">
        <x:v>79.71354610924479</x:v>
      </x:c>
    </x:row>
    <x:row r="59">
      <x:c r="A59" t="str">
        <x:v>3120148</x:v>
      </x:c>
      <x:c r="B59" t="str">
        <x:v>국회의사당역(국회의사당)</x:v>
      </x:c>
      <x:c r="C59" t="str">
        <x:v>발달상권</x:v>
      </x:c>
      <x:c r="D59" t="str">
        <x:v>영등포구</x:v>
      </x:c>
      <x:c r="E59" t="str">
        <x:v>여의동</x:v>
      </x:c>
      <x:c r="F59" s="12" t="n">
        <x:v>353915</x:v>
      </x:c>
      <x:c r="G59" s="12" t="n">
        <x:v>79624564896</x:v>
      </x:c>
      <x:c r="H59" s="12" t="n">
        <x:v>2790288</x:v>
      </x:c>
      <x:c r="I59" s="12" t="n">
        <x:v>28536.324886893395</x:v>
      </x:c>
      <x:c r="J59" s="12" t="n">
        <x:v>224982.17056637895</x:v>
      </x:c>
      <x:c r="K59" s="12" t="n">
        <x:v>75584</x:v>
      </x:c>
      <x:c r="L59" s="12" t="n">
        <x:v>2135.6540412245877</x:v>
      </x:c>
      <x:c r="M59" s="12" t="n">
        <x:v>33</x:v>
      </x:c>
      <x:c r="N59" s="14" t="n">
        <x:v>0.8730681045704812</x:v>
      </x:c>
      <x:c r="O59" s="14" t="n">
        <x:v>0.12693189542951874</x:v>
      </x:c>
      <x:c r="P59" s="14" t="n">
        <x:v>0.3998324435628951</x:v>
      </x:c>
      <x:c r="Q59" s="14" t="n">
        <x:v>0.4016350917304233</x:v>
      </x:c>
      <x:c r="R59" s="14" t="n">
        <x:v>0.2433123112610346</x:v>
      </x:c>
      <x:c r="S59" s="14" t="n">
        <x:v>0.248291150863082</x:v>
      </x:c>
      <x:c r="T59" t="str">
        <x:v>직장밀집·평일집중</x:v>
      </x:c>
      <x:c r="U59" s="16" t="n">
        <x:v>74.95678653905372</x:v>
      </x:c>
      <x:c r="V59" t="str">
        <x:v>인테리어</x:v>
      </x:c>
      <x:c r="W59" t="str">
        <x:v>인테리어 / 의약품 / 커피-음료</x:v>
      </x:c>
      <x:c r="X59" s="16" t="n">
        <x:v>69.53928351868339</x:v>
      </x:c>
    </x:row>
    <x:row r="60">
      <x:c r="A60" t="str">
        <x:v>3120053</x:v>
      </x:c>
      <x:c r="B60" t="str">
        <x:v>건대입구역(건대)</x:v>
      </x:c>
      <x:c r="C60" t="str">
        <x:v>발달상권</x:v>
      </x:c>
      <x:c r="D60" t="str">
        <x:v>광진구</x:v>
      </x:c>
      <x:c r="E60" t="str">
        <x:v>화양동</x:v>
      </x:c>
      <x:c r="F60" s="12" t="n">
        <x:v>275082</x:v>
      </x:c>
      <x:c r="G60" s="12" t="n">
        <x:v>78003493953</x:v>
      </x:c>
      <x:c r="H60" s="12" t="n">
        <x:v>3677675</x:v>
      </x:c>
      <x:c r="I60" s="12" t="n">
        <x:v>21210.001958574372</x:v>
      </x:c>
      <x:c r="J60" s="12" t="n">
        <x:v>283564.5151373045</x:v>
      </x:c>
      <x:c r="K60" s="12" t="n">
        <x:v>1689</x:v>
      </x:c>
      <x:c r="L60" s="12" t="n">
        <x:v>61.399873492267766</x:v>
      </x:c>
      <x:c r="M60" s="12" t="n">
        <x:v>36</x:v>
      </x:c>
      <x:c r="N60" s="14" t="n">
        <x:v>0.6992605824537199</x:v>
      </x:c>
      <x:c r="O60" s="14" t="n">
        <x:v>0.3007394175462801</x:v>
      </x:c>
      <x:c r="P60" s="14" t="n">
        <x:v>0.5092071336565095</x:v>
      </x:c>
      <x:c r="Q60" s="14" t="n">
        <x:v>0.17548280638874578</x:v>
      </x:c>
      <x:c r="R60" s="14" t="n">
        <x:v>0.5618414916440352</x:v>
      </x:c>
      <x:c r="S60" s="14" t="n">
        <x:v>0.5140948083705386</x:v>
      </x:c>
      <x:c r="T60" t="str">
        <x:v>2030소비·고매출밀도</x:v>
      </x:c>
      <x:c r="U60" s="16" t="n">
        <x:v>71.5232836022345</x:v>
      </x:c>
      <x:c r="V60" t="str">
        <x:v>의약품</x:v>
      </x:c>
      <x:c r="W60" t="str">
        <x:v>의약품 / 미용실 / 가전제품</x:v>
      </x:c>
      <x:c r="X60" s="16" t="n">
        <x:v>67.77116076566406</x:v>
      </x:c>
    </x:row>
    <x:row r="61">
      <x:c r="A61" t="str">
        <x:v>3120195</x:v>
      </x:c>
      <x:c r="B61" t="str">
        <x:v>성수대교남단</x:v>
      </x:c>
      <x:c r="C61" t="str">
        <x:v>발달상권</x:v>
      </x:c>
      <x:c r="D61" t="str">
        <x:v>강남구</x:v>
      </x:c>
      <x:c r="E61" t="str">
        <x:v>압구정동</x:v>
      </x:c>
      <x:c r="F61" s="12" t="n">
        <x:v>126830</x:v>
      </x:c>
      <x:c r="G61" s="12" t="n">
        <x:v>77781716934</x:v>
      </x:c>
      <x:c r="H61" s="12" t="n">
        <x:v>564841</x:v>
      </x:c>
      <x:c r="I61" s="12" t="n">
        <x:v>137705.50815893323</x:v>
      </x:c>
      <x:c r="J61" s="12" t="n">
        <x:v>613275.3838524008</x:v>
      </x:c>
      <x:c r="K61" s="12" t="n">
        <x:v>10838</x:v>
      </x:c>
      <x:c r="L61" s="12" t="n">
        <x:v>854.5296854056611</x:v>
      </x:c>
      <x:c r="M61" s="12" t="n">
        <x:v>28</x:v>
      </x:c>
      <x:c r="N61" s="14" t="n">
        <x:v>0.7359274112137587</x:v>
      </x:c>
      <x:c r="O61" s="14" t="n">
        <x:v>0.26407258878624124</x:v>
      </x:c>
      <x:c r="P61" s="14" t="n">
        <x:v>0.3212842443193271</x:v>
      </x:c>
      <x:c r="Q61" s="14" t="n">
        <x:v>0.2657830010687689</x:v>
      </x:c>
      <x:c r="R61" s="14" t="n">
        <x:v>0.40948476267277556</x:v>
      </x:c>
      <x:c r="S61" s="14" t="n">
        <x:v>0.5285009132272184</x:v>
      </x:c>
      <x:c r="T61" t="str">
        <x:v>고매출밀도·직장밀집</x:v>
      </x:c>
      <x:c r="U61" s="16" t="n">
        <x:v>70.25298144764749</x:v>
      </x:c>
      <x:c r="V61" t="str">
        <x:v>일반의류</x:v>
      </x:c>
      <x:c r="W61" t="str">
        <x:v>일반의류 / 미용실 / 피부관리실</x:v>
      </x:c>
      <x:c r="X61" s="16" t="n">
        <x:v>65.59275686365206</x:v>
      </x:c>
    </x:row>
    <x:row r="62">
      <x:c r="A62" t="str">
        <x:v>3120236</x:v>
      </x:c>
      <x:c r="B62" t="str">
        <x:v>장지역(가든파이브)</x:v>
      </x:c>
      <x:c r="C62" t="str">
        <x:v>발달상권</x:v>
      </x:c>
      <x:c r="D62" t="str">
        <x:v>송파구</x:v>
      </x:c>
      <x:c r="E62" t="str">
        <x:v>문정2동</x:v>
      </x:c>
      <x:c r="F62" s="12" t="n">
        <x:v>211338</x:v>
      </x:c>
      <x:c r="G62" s="12" t="n">
        <x:v>76390646881</x:v>
      </x:c>
      <x:c r="H62" s="12" t="n">
        <x:v>1878906</x:v>
      </x:c>
      <x:c r="I62" s="12" t="n">
        <x:v>40656.981712230416</x:v>
      </x:c>
      <x:c r="J62" s="12" t="n">
        <x:v>361461.9561129565</x:v>
      </x:c>
      <x:c r="K62" s="12" t="n">
        <x:v>12402</x:v>
      </x:c>
      <x:c r="L62" s="12" t="n">
        <x:v>586.832467421855</x:v>
      </x:c>
      <x:c r="M62" s="12" t="n">
        <x:v>43</x:v>
      </x:c>
      <x:c r="N62" s="14" t="n">
        <x:v>0.8434681792965141</x:v>
      </x:c>
      <x:c r="O62" s="14" t="n">
        <x:v>0.15653182070348595</x:v>
      </x:c>
      <x:c r="P62" s="14" t="n">
        <x:v>0.2038283237901568</x:v>
      </x:c>
      <x:c r="Q62" s="14" t="n">
        <x:v>0.36835620589565615</x:v>
      </x:c>
      <x:c r="R62" s="14" t="n">
        <x:v>0.26098117468564913</x:v>
      </x:c>
      <x:c r="S62" s="14" t="n">
        <x:v>0.29909734464734383</x:v>
      </x:c>
      <x:c r="T62" t="str">
        <x:v>직장밀집·고매출밀도</x:v>
      </x:c>
      <x:c r="U62" s="16" t="n">
        <x:v>74.4397370681357</x:v>
      </x:c>
      <x:c r="V62" t="str">
        <x:v>가방</x:v>
      </x:c>
      <x:c r="W62" t="str">
        <x:v>가방 / 조명용품 / 반찬가게</x:v>
      </x:c>
      <x:c r="X62" s="16" t="n">
        <x:v>69.75076022920624</x:v>
      </x:c>
    </x:row>
    <x:row r="63">
      <x:c r="A63" t="str">
        <x:v>3120159</x:v>
      </x:c>
      <x:c r="B63" t="str">
        <x:v>서울대입구역</x:v>
      </x:c>
      <x:c r="C63" t="str">
        <x:v>발달상권</x:v>
      </x:c>
      <x:c r="D63" t="str">
        <x:v>관악구</x:v>
      </x:c>
      <x:c r="E63" t="str">
        <x:v>청룡동</x:v>
      </x:c>
      <x:c r="F63" s="12" t="n">
        <x:v>235418</x:v>
      </x:c>
      <x:c r="G63" s="12" t="n">
        <x:v>75805638144</x:v>
      </x:c>
      <x:c r="H63" s="12" t="n">
        <x:v>2558083</x:v>
      </x:c>
      <x:c r="I63" s="12" t="n">
        <x:v>29633.76799892732</x:v>
      </x:c>
      <x:c r="J63" s="12" t="n">
        <x:v>322004.42678129964</x:v>
      </x:c>
      <x:c r="K63" s="12" t="n">
        <x:v>6550</x:v>
      </x:c>
      <x:c r="L63" s="12" t="n">
        <x:v>278.2285126880697</x:v>
      </x:c>
      <x:c r="M63" s="12" t="n">
        <x:v>43</x:v>
      </x:c>
      <x:c r="N63" s="14" t="n">
        <x:v>0.7375625913443402</x:v>
      </x:c>
      <x:c r="O63" s="14" t="n">
        <x:v>0.2624374086556598</x:v>
      </x:c>
      <x:c r="P63" s="14" t="n">
        <x:v>0.4317586373302043</x:v>
      </x:c>
      <x:c r="Q63" s="14" t="n">
        <x:v>0.2113758138354021</x:v>
      </x:c>
      <x:c r="R63" s="14" t="n">
        <x:v>0.4435613985483132</x:v>
      </x:c>
      <x:c r="S63" s="14" t="n">
        <x:v>0.4935182175886888</x:v>
      </x:c>
      <x:c r="T63" t="str">
        <x:v>2030소비·고매출밀도</x:v>
      </x:c>
      <x:c r="U63" s="16" t="n">
        <x:v>78.11889737050507</x:v>
      </x:c>
      <x:c r="V63" t="str">
        <x:v>일식음식점</x:v>
      </x:c>
      <x:c r="W63" t="str">
        <x:v>일식음식점 / 예술학원 / 시계및귀금속</x:v>
      </x:c>
      <x:c r="X63" s="16" t="n">
        <x:v>75.44696499174424</x:v>
      </x:c>
    </x:row>
    <x:row r="64">
      <x:c r="A64" t="str">
        <x:v>3120249</x:v>
      </x:c>
      <x:c r="B64" t="str">
        <x:v>고덕역</x:v>
      </x:c>
      <x:c r="C64" t="str">
        <x:v>발달상권</x:v>
      </x:c>
      <x:c r="D64" t="str">
        <x:v>강동구</x:v>
      </x:c>
      <x:c r="E64" t="str">
        <x:v>명일2동</x:v>
      </x:c>
      <x:c r="F64" s="12" t="n">
        <x:v>92407</x:v>
      </x:c>
      <x:c r="G64" s="12" t="n">
        <x:v>74885657119</x:v>
      </x:c>
      <x:c r="H64" s="12" t="n">
        <x:v>2118647</x:v>
      </x:c>
      <x:c r="I64" s="12" t="n">
        <x:v>35345.98124132996</x:v>
      </x:c>
      <x:c r="J64" s="12" t="n">
        <x:v>810389.441481706</x:v>
      </x:c>
      <x:c r="K64" s="12" t="n">
        <x:v>2311</x:v>
      </x:c>
      <x:c r="L64" s="12" t="n">
        <x:v>250.08927895072884</x:v>
      </x:c>
      <x:c r="M64" s="12" t="n">
        <x:v>32</x:v>
      </x:c>
      <x:c r="N64" s="14" t="n">
        <x:v>0.7567880610427471</x:v>
      </x:c>
      <x:c r="O64" s="14" t="n">
        <x:v>0.2432119389572529</x:v>
      </x:c>
      <x:c r="P64" s="14" t="n">
        <x:v>0.3813335738060134</x:v>
      </x:c>
      <x:c r="Q64" s="14" t="n">
        <x:v>0.2211460717729113</x:v>
      </x:c>
      <x:c r="R64" s="14" t="n">
        <x:v>0.1487037912520985</x:v>
      </x:c>
      <x:c r="S64" s="14" t="n">
        <x:v>0.5675597668517536</x:v>
      </x:c>
      <x:c r="T64" t="str">
        <x:v>고매출밀도·여성소비</x:v>
      </x:c>
      <x:c r="U64" s="16" t="n">
        <x:v>76.35815073982403</x:v>
      </x:c>
      <x:c r="V64" t="str">
        <x:v>일반의원</x:v>
      </x:c>
      <x:c r="W64" t="str">
        <x:v>일반의원 / 한식음식점 / 안경</x:v>
      </x:c>
      <x:c r="X64" s="16" t="n">
        <x:v>74.12027876995107</x:v>
      </x:c>
    </x:row>
    <x:row r="65">
      <x:c r="A65" t="str">
        <x:v>3120022</x:v>
      </x:c>
      <x:c r="B65" t="str">
        <x:v>북창동(시청역_6번)</x:v>
      </x:c>
      <x:c r="C65" t="str">
        <x:v>발달상권</x:v>
      </x:c>
      <x:c r="D65" t="str">
        <x:v>중구</x:v>
      </x:c>
      <x:c r="E65" t="str">
        <x:v>소공동</x:v>
      </x:c>
      <x:c r="F65" s="12" t="n">
        <x:v>108517</x:v>
      </x:c>
      <x:c r="G65" s="12" t="n">
        <x:v>74436258443</x:v>
      </x:c>
      <x:c r="H65" s="12" t="n">
        <x:v>1417661</x:v>
      </x:c>
      <x:c r="I65" s="12" t="n">
        <x:v>52506.38794676583</x:v>
      </x:c>
      <x:c r="J65" s="12" t="n">
        <x:v>685940.990287236</x:v>
      </x:c>
      <x:c r="K65" s="12" t="n">
        <x:v>21464</x:v>
      </x:c>
      <x:c r="L65" s="12" t="n">
        <x:v>1977.9389404425112</x:v>
      </x:c>
      <x:c r="M65" s="12" t="n">
        <x:v>23</x:v>
      </x:c>
      <x:c r="N65" s="14" t="n">
        <x:v>0.8117677280255934</x:v>
      </x:c>
      <x:c r="O65" s="14" t="n">
        <x:v>0.18823227197440667</x:v>
      </x:c>
      <x:c r="P65" s="14" t="n">
        <x:v>0.4573790639150758</x:v>
      </x:c>
      <x:c r="Q65" s="14" t="n">
        <x:v>0.2393794825359825</x:v>
      </x:c>
      <x:c r="R65" s="14" t="n">
        <x:v>0.19467331204048063</x:v>
      </x:c>
      <x:c r="S65" s="14" t="n">
        <x:v>0.2135238927299236</x:v>
      </x:c>
      <x:c r="T65" t="str">
        <x:v>직장밀집·고매출밀도</x:v>
      </x:c>
      <x:c r="U65" s="16" t="n">
        <x:v>72.31794747066272</x:v>
      </x:c>
      <x:c r="V65" t="str">
        <x:v>분식전문점</x:v>
      </x:c>
      <x:c r="W65" t="str">
        <x:v>분식전문점 / 치킨전문점 / 커피-음료</x:v>
      </x:c>
      <x:c r="X65" s="16" t="n">
        <x:v>68.30877115177529</x:v>
      </x:c>
    </x:row>
    <x:row r="66">
      <x:c r="A66" t="str">
        <x:v>3120003</x:v>
      </x:c>
      <x:c r="B66" t="str">
        <x:v>광화문역</x:v>
      </x:c>
      <x:c r="C66" t="str">
        <x:v>발달상권</x:v>
      </x:c>
      <x:c r="D66" t="str">
        <x:v>종로구</x:v>
      </x:c>
      <x:c r="E66" t="str">
        <x:v>사직동</x:v>
      </x:c>
      <x:c r="F66" s="12" t="n">
        <x:v>394522</x:v>
      </x:c>
      <x:c r="G66" s="12" t="n">
        <x:v>73758015706</x:v>
      </x:c>
      <x:c r="H66" s="12" t="n">
        <x:v>3008186</x:v>
      </x:c>
      <x:c r="I66" s="12" t="n">
        <x:v>24519.100782331945</x:v>
      </x:c>
      <x:c r="J66" s="12" t="n">
        <x:v>186955.39337730216</x:v>
      </x:c>
      <x:c r="K66" s="12" t="n">
        <x:v>43594</x:v>
      </x:c>
      <x:c r="L66" s="12" t="n">
        <x:v>1104.9827386051982</x:v>
      </x:c>
      <x:c r="M66" s="12" t="n">
        <x:v>36</x:v>
      </x:c>
      <x:c r="N66" s="14" t="n">
        <x:v>0.8436801345367256</x:v>
      </x:c>
      <x:c r="O66" s="14" t="n">
        <x:v>0.1563198654632744</x:v>
      </x:c>
      <x:c r="P66" s="14" t="n">
        <x:v>0.3847387384323514</x:v>
      </x:c>
      <x:c r="Q66" s="14" t="n">
        <x:v>0.38022514108549493</x:v>
      </x:c>
      <x:c r="R66" s="14" t="n">
        <x:v>0.266462482658698</x:v>
      </x:c>
      <x:c r="S66" s="14" t="n">
        <x:v>0.3342086519824143</x:v>
      </x:c>
      <x:c r="T66" t="str">
        <x:v>직장밀집·평일집중</x:v>
      </x:c>
      <x:c r="U66" s="16" t="n">
        <x:v>73.40171742934368</x:v>
      </x:c>
      <x:c r="V66" t="str">
        <x:v>중식음식점</x:v>
      </x:c>
      <x:c r="W66" t="str">
        <x:v>중식음식점 / 화초 / 일식음식점</x:v>
      </x:c>
      <x:c r="X66" s="16" t="n">
        <x:v>72.24430143537978</x:v>
      </x:c>
    </x:row>
    <x:row r="67">
      <x:c r="A67" t="str">
        <x:v>3120104</x:v>
      </x:c>
      <x:c r="B67" t="str">
        <x:v>연남동(홍대)</x:v>
      </x:c>
      <x:c r="C67" t="str">
        <x:v>발달상권</x:v>
      </x:c>
      <x:c r="D67" t="str">
        <x:v>마포구</x:v>
      </x:c>
      <x:c r="E67" t="str">
        <x:v>연남동</x:v>
      </x:c>
      <x:c r="F67" s="12" t="n">
        <x:v>437447</x:v>
      </x:c>
      <x:c r="G67" s="12" t="n">
        <x:v>70017778118</x:v>
      </x:c>
      <x:c r="H67" s="12" t="n">
        <x:v>2806936</x:v>
      </x:c>
      <x:c r="I67" s="12" t="n">
        <x:v>24944.55809395013</x:v>
      </x:c>
      <x:c r="J67" s="12" t="n">
        <x:v>160060.02582712876</x:v>
      </x:c>
      <x:c r="K67" s="12" t="n">
        <x:v>6380</x:v>
      </x:c>
      <x:c r="L67" s="12" t="n">
        <x:v>145.84623965874724</x:v>
      </x:c>
      <x:c r="M67" s="12" t="n">
        <x:v>43</x:v>
      </x:c>
      <x:c r="N67" s="14" t="n">
        <x:v>0.6727807580185117</x:v>
      </x:c>
      <x:c r="O67" s="14" t="n">
        <x:v>0.32721924198148833</x:v>
      </x:c>
      <x:c r="P67" s="14" t="n">
        <x:v>0.5269244743502559</x:v>
      </x:c>
      <x:c r="Q67" s="14" t="n">
        <x:v>0.18759727596416328</x:v>
      </x:c>
      <x:c r="R67" s="14" t="n">
        <x:v>0.5822165569764074</x:v>
      </x:c>
      <x:c r="S67" s="14" t="n">
        <x:v>0.5221438858055024</x:v>
      </x:c>
      <x:c r="T67" t="str">
        <x:v>2030소비·야간활성</x:v>
      </x:c>
      <x:c r="U67" s="16" t="n">
        <x:v>79.98958671202118</x:v>
      </x:c>
      <x:c r="V67" t="str">
        <x:v>당구장</x:v>
      </x:c>
      <x:c r="W67" t="str">
        <x:v>당구장 / 일반의원 / 육류판매</x:v>
      </x:c>
      <x:c r="X67" s="16" t="n">
        <x:v>72.76155729142087</x:v>
      </x:c>
    </x:row>
    <x:row r="68">
      <x:c r="A68" t="str">
        <x:v>3120229</x:v>
      </x:c>
      <x:c r="B68" t="str">
        <x:v>방이동먹자골목</x:v>
      </x:c>
      <x:c r="C68" t="str">
        <x:v>발달상권</x:v>
      </x:c>
      <x:c r="D68" t="str">
        <x:v>송파구</x:v>
      </x:c>
      <x:c r="E68" t="str">
        <x:v>방이2동</x:v>
      </x:c>
      <x:c r="F68" s="12" t="n">
        <x:v>146694</x:v>
      </x:c>
      <x:c r="G68" s="12" t="n">
        <x:v>69993861647</x:v>
      </x:c>
      <x:c r="H68" s="12" t="n">
        <x:v>2075124</x:v>
      </x:c>
      <x:c r="I68" s="12" t="n">
        <x:v>33729.965846378334</x:v>
      </x:c>
      <x:c r="J68" s="12" t="n">
        <x:v>477141.95295649447</x:v>
      </x:c>
      <x:c r="K68" s="12" t="n">
        <x:v>16204</x:v>
      </x:c>
      <x:c r="L68" s="12" t="n">
        <x:v>1104.6123222490355</x:v>
      </x:c>
      <x:c r="M68" s="12" t="n">
        <x:v>30</x:v>
      </x:c>
      <x:c r="N68" s="14" t="n">
        <x:v>0.6809070173947563</x:v>
      </x:c>
      <x:c r="O68" s="14" t="n">
        <x:v>0.3190929826052436</x:v>
      </x:c>
      <x:c r="P68" s="14" t="n">
        <x:v>0.6054155499051</x:v>
      </x:c>
      <x:c r="Q68" s="14" t="n">
        <x:v>0.12429882485806378</x:v>
      </x:c>
      <x:c r="R68" s="14" t="n">
        <x:v>0.5377513262066639</x:v>
      </x:c>
      <x:c r="S68" s="14" t="n">
        <x:v>0.37517422811212364</x:v>
      </x:c>
      <x:c r="T68" t="str">
        <x:v>직장밀집·2030소비</x:v>
      </x:c>
      <x:c r="U68" s="16" t="n">
        <x:v>72.68353474306926</x:v>
      </x:c>
      <x:c r="V68" t="str">
        <x:v>일식음식점</x:v>
      </x:c>
      <x:c r="W68" t="str">
        <x:v>일식음식점 / 중식음식점 / PC방</x:v>
      </x:c>
      <x:c r="X68" s="16" t="n">
        <x:v>68.76570024230413</x:v>
      </x:c>
    </x:row>
    <x:row r="69">
      <x:c r="A69" t="str">
        <x:v>3120167</x:v>
      </x:c>
      <x:c r="B69" t="str">
        <x:v>고속터미널(고속터미널역)</x:v>
      </x:c>
      <x:c r="C69" t="str">
        <x:v>발달상권</x:v>
      </x:c>
      <x:c r="D69" t="str">
        <x:v>서초구</x:v>
      </x:c>
      <x:c r="E69" t="str">
        <x:v>반포4동</x:v>
      </x:c>
      <x:c r="F69" s="12" t="n">
        <x:v>320815</x:v>
      </x:c>
      <x:c r="G69" s="12" t="n">
        <x:v>68151783169</x:v>
      </x:c>
      <x:c r="H69" s="12" t="n">
        <x:v>1164862</x:v>
      </x:c>
      <x:c r="I69" s="12" t="n">
        <x:v>58506.31505620408</x:v>
      </x:c>
      <x:c r="J69" s="12" t="n">
        <x:v>212433.2813895859</x:v>
      </x:c>
      <x:c r="K69" s="12" t="n">
        <x:v>26897</x:v>
      </x:c>
      <x:c r="L69" s="12" t="n">
        <x:v>838.3959602886398</x:v>
      </x:c>
      <x:c r="M69" s="12" t="n">
        <x:v>37</x:v>
      </x:c>
      <x:c r="N69" s="14" t="n">
        <x:v>0.7595430591395859</x:v>
      </x:c>
      <x:c r="O69" s="14" t="n">
        <x:v>0.24045694086041414</x:v>
      </x:c>
      <x:c r="P69" s="14" t="n">
        <x:v>0.39245463457170543</x:v>
      </x:c>
      <x:c r="Q69" s="14" t="n">
        <x:v>0.21642156133207485</x:v>
      </x:c>
      <x:c r="R69" s="14" t="n">
        <x:v>0.11728553106495754</x:v>
      </x:c>
      <x:c r="S69" s="14" t="n">
        <x:v>0.531491261749938</x:v>
      </x:c>
      <x:c r="T69" t="str">
        <x:v>직장밀집·여성소비</x:v>
      </x:c>
      <x:c r="U69" s="16" t="n">
        <x:v>80.87387341264133</x:v>
      </x:c>
      <x:c r="V69" t="str">
        <x:v>미용실</x:v>
      </x:c>
      <x:c r="W69" t="str">
        <x:v>미용실 / 의약품 / 한식음식점</x:v>
      </x:c>
      <x:c r="X69" s="16" t="n">
        <x:v>75.4232095086088</x:v>
      </x:c>
    </x:row>
    <x:row r="70">
      <x:c r="A70" t="str">
        <x:v>3120192</x:v>
      </x:c>
      <x:c r="B70" t="str">
        <x:v>뱅뱅사거리</x:v>
      </x:c>
      <x:c r="C70" t="str">
        <x:v>발달상권</x:v>
      </x:c>
      <x:c r="D70" t="str">
        <x:v>강남구</x:v>
      </x:c>
      <x:c r="E70" t="str">
        <x:v>역삼1동</x:v>
      </x:c>
      <x:c r="F70" s="12" t="n">
        <x:v>317600</x:v>
      </x:c>
      <x:c r="G70" s="12" t="n">
        <x:v>67822366422</x:v>
      </x:c>
      <x:c r="H70" s="12" t="n">
        <x:v>2821565</x:v>
      </x:c>
      <x:c r="I70" s="12" t="n">
        <x:v>24037.144783834505</x:v>
      </x:c>
      <x:c r="J70" s="12" t="n">
        <x:v>213546.4937720403</x:v>
      </x:c>
      <x:c r="K70" s="12" t="n">
        <x:v>48560</x:v>
      </x:c>
      <x:c r="L70" s="12" t="n">
        <x:v>1528.9672544080604</x:v>
      </x:c>
      <x:c r="M70" s="12" t="n">
        <x:v>40</x:v>
      </x:c>
      <x:c r="N70" s="14" t="n">
        <x:v>0.8273504744859255</x:v>
      </x:c>
      <x:c r="O70" s="14" t="n">
        <x:v>0.17264952551407453</x:v>
      </x:c>
      <x:c r="P70" s="14" t="n">
        <x:v>0.37480654599740204</x:v>
      </x:c>
      <x:c r="Q70" s="14" t="n">
        <x:v>0.2932777469196045</x:v>
      </x:c>
      <x:c r="R70" s="14" t="n">
        <x:v>0.3241830070657631</x:v>
      </x:c>
      <x:c r="S70" s="14" t="n">
        <x:v>0.3498881159402079</x:v>
      </x:c>
      <x:c r="T70" t="str">
        <x:v>직장밀집·평일집중</x:v>
      </x:c>
      <x:c r="U70" s="16" t="n">
        <x:v>66.91991465585409</x:v>
      </x:c>
      <x:c r="V70" t="str">
        <x:v>피부관리실</x:v>
      </x:c>
      <x:c r="W70" t="str">
        <x:v>피부관리실 / 일반의류 / 일반교습학원</x:v>
      </x:c>
      <x:c r="X70" s="16" t="n">
        <x:v>65.1437967186976</x:v>
      </x:c>
    </x:row>
    <x:row r="71">
      <x:c r="A71" t="str">
        <x:v>3120114</x:v>
      </x:c>
      <x:c r="B71" t="str">
        <x:v>목동신시가지</x:v>
      </x:c>
      <x:c r="C71" t="str">
        <x:v>발달상권</x:v>
      </x:c>
      <x:c r="D71" t="str">
        <x:v>양천구</x:v>
      </x:c>
      <x:c r="E71" t="str">
        <x:v>목1동</x:v>
      </x:c>
      <x:c r="F71" s="12" t="n">
        <x:v>421429</x:v>
      </x:c>
      <x:c r="G71" s="12" t="n">
        <x:v>67285312151</x:v>
      </x:c>
      <x:c r="H71" s="12" t="n">
        <x:v>1953544</x:v>
      </x:c>
      <x:c r="I71" s="12" t="n">
        <x:v>34442.69089971866</x:v>
      </x:c>
      <x:c r="J71" s="12" t="n">
        <x:v>159659.90036518607</x:v>
      </x:c>
      <x:c r="K71" s="12" t="n">
        <x:v>27985</x:v>
      </x:c>
      <x:c r="L71" s="12" t="n">
        <x:v>664.0501721523673</x:v>
      </x:c>
      <x:c r="M71" s="12" t="n">
        <x:v>42</x:v>
      </x:c>
      <x:c r="N71" s="14" t="n">
        <x:v>0.7273387389386238</x:v>
      </x:c>
      <x:c r="O71" s="14" t="n">
        <x:v>0.2726612610613762</x:v>
      </x:c>
      <x:c r="P71" s="14" t="n">
        <x:v>0.4255070079298799</x:v>
      </x:c>
      <x:c r="Q71" s="14" t="n">
        <x:v>0.18814760632438937</x:v>
      </x:c>
      <x:c r="R71" s="14" t="n">
        <x:v>0.08354364710956397</x:v>
      </x:c>
      <x:c r="S71" s="14" t="n">
        <x:v>0.5237590069718692</x:v>
      </x:c>
      <x:c r="T71" t="str">
        <x:v>직장밀집·여성소비</x:v>
      </x:c>
      <x:c r="U71" s="16" t="n">
        <x:v>72.34523234553421</x:v>
      </x:c>
      <x:c r="V71" t="str">
        <x:v>육류판매</x:v>
      </x:c>
      <x:c r="W71" t="str">
        <x:v>육류판매 / 미용실 / 서적</x:v>
      </x:c>
      <x:c r="X71" s="16" t="n">
        <x:v>71.89375363138159</x:v>
      </x:c>
    </x:row>
    <x:row r="72">
      <x:c r="A72" t="str">
        <x:v>3120052</x:v>
      </x:c>
      <x:c r="B72" t="str">
        <x:v>성수역</x:v>
      </x:c>
      <x:c r="C72" t="str">
        <x:v>발달상권</x:v>
      </x:c>
      <x:c r="D72" t="str">
        <x:v>성동구</x:v>
      </x:c>
      <x:c r="E72" t="str">
        <x:v>성수2가3동</x:v>
      </x:c>
      <x:c r="F72" s="12" t="n">
        <x:v>298939</x:v>
      </x:c>
      <x:c r="G72" s="12" t="n">
        <x:v>66398572669</x:v>
      </x:c>
      <x:c r="H72" s="12" t="n">
        <x:v>3149467</x:v>
      </x:c>
      <x:c r="I72" s="12" t="n">
        <x:v>21082.47924775843</x:v>
      </x:c>
      <x:c r="J72" s="12" t="n">
        <x:v>222114.11916477943</x:v>
      </x:c>
      <x:c r="K72" s="12" t="n">
        <x:v>11354</x:v>
      </x:c>
      <x:c r="L72" s="12" t="n">
        <x:v>379.8099277779079</x:v>
      </x:c>
      <x:c r="M72" s="12" t="n">
        <x:v>41</x:v>
      </x:c>
      <x:c r="N72" s="14" t="n">
        <x:v>0.7731267347101713</x:v>
      </x:c>
      <x:c r="O72" s="14" t="n">
        <x:v>0.2268732652898286</x:v>
      </x:c>
      <x:c r="P72" s="14" t="n">
        <x:v>0.3755159836536817</x:v>
      </x:c>
      <x:c r="Q72" s="14" t="n">
        <x:v>0.2929584794084243</x:v>
      </x:c>
      <x:c r="R72" s="14" t="n">
        <x:v>0.4173617199747159</x:v>
      </x:c>
      <x:c r="S72" s="14" t="n">
        <x:v>0.40249270431195994</x:v>
      </x:c>
      <x:c r="T72" t="str">
        <x:v>2030소비·직장밀집</x:v>
      </x:c>
      <x:c r="U72" s="16" t="n">
        <x:v>76.2662115856508</x:v>
      </x:c>
      <x:c r="V72" t="str">
        <x:v>치킨전문점</x:v>
      </x:c>
      <x:c r="W72" t="str">
        <x:v>치킨전문점 / 화초 / 서적</x:v>
      </x:c>
      <x:c r="X72" s="16" t="n">
        <x:v>72.80290647430682</x:v>
      </x:c>
    </x:row>
    <x:row r="73">
      <x:c r="A73" t="str">
        <x:v>3120014</x:v>
      </x:c>
      <x:c r="B73" t="str">
        <x:v>종로5가역</x:v>
      </x:c>
      <x:c r="C73" t="str">
        <x:v>발달상권</x:v>
      </x:c>
      <x:c r="D73" t="str">
        <x:v>종로구</x:v>
      </x:c>
      <x:c r="E73" t="str">
        <x:v>종로5·6가동</x:v>
      </x:c>
      <x:c r="F73" s="12" t="n">
        <x:v>136026</x:v>
      </x:c>
      <x:c r="G73" s="12" t="n">
        <x:v>65849328770</x:v>
      </x:c>
      <x:c r="H73" s="12" t="n">
        <x:v>1333168</x:v>
      </x:c>
      <x:c r="I73" s="12" t="n">
        <x:v>49393.12132454424</x:v>
      </x:c>
      <x:c r="J73" s="12" t="n">
        <x:v>484093.6936320997</x:v>
      </x:c>
      <x:c r="K73" s="12" t="n">
        <x:v>5154</x:v>
      </x:c>
      <x:c r="L73" s="12" t="n">
        <x:v>378.898151823916</x:v>
      </x:c>
      <x:c r="M73" s="12" t="n">
        <x:v>30</x:v>
      </x:c>
      <x:c r="N73" s="14" t="n">
        <x:v>0.7899176349341549</x:v>
      </x:c>
      <x:c r="O73" s="14" t="n">
        <x:v>0.21008236506584516</x:v>
      </x:c>
      <x:c r="P73" s="14" t="n">
        <x:v>0.23399471752884202</x:v>
      </x:c>
      <x:c r="Q73" s="14" t="n">
        <x:v>0.3348501861122312</x:v>
      </x:c>
      <x:c r="R73" s="14" t="n">
        <x:v>0.20453620052898833</x:v>
      </x:c>
      <x:c r="S73" s="14" t="n">
        <x:v>0.357056613957646</x:v>
      </x:c>
      <x:c r="T73" t="str">
        <x:v>고매출밀도·직장밀집</x:v>
      </x:c>
      <x:c r="U73" s="16" t="n">
        <x:v>76.92352775209966</x:v>
      </x:c>
      <x:c r="V73" t="str">
        <x:v>미용실</x:v>
      </x:c>
      <x:c r="W73" t="str">
        <x:v>미용실 / 피부관리실 / 일반의류</x:v>
      </x:c>
      <x:c r="X73" s="16" t="n">
        <x:v>72.68410763447943</x:v>
      </x:c>
    </x:row>
    <x:row r="74">
      <x:c r="A74" t="str">
        <x:v>3120190</x:v>
      </x:c>
      <x:c r="B74" t="str">
        <x:v>강남을지병원</x:v>
      </x:c>
      <x:c r="C74" t="str">
        <x:v>발달상권</x:v>
      </x:c>
      <x:c r="D74" t="str">
        <x:v>강남구</x:v>
      </x:c>
      <x:c r="E74" t="str">
        <x:v>압구정동</x:v>
      </x:c>
      <x:c r="F74" s="12" t="n">
        <x:v>295195</x:v>
      </x:c>
      <x:c r="G74" s="12" t="n">
        <x:v>64944580265</x:v>
      </x:c>
      <x:c r="H74" s="12" t="n">
        <x:v>979123</x:v>
      </x:c>
      <x:c r="I74" s="12" t="n">
        <x:v>66329.33785132205</x:v>
      </x:c>
      <x:c r="J74" s="12" t="n">
        <x:v>220005.69205101713</x:v>
      </x:c>
      <x:c r="K74" s="12" t="n">
        <x:v>15495</x:v>
      </x:c>
      <x:c r="L74" s="12" t="n">
        <x:v>524.9072646894426</x:v>
      </x:c>
      <x:c r="M74" s="12" t="n">
        <x:v>41</x:v>
      </x:c>
      <x:c r="N74" s="14" t="n">
        <x:v>0.7498847015606315</x:v>
      </x:c>
      <x:c r="O74" s="14" t="n">
        <x:v>0.2501152984393685</x:v>
      </x:c>
      <x:c r="P74" s="14" t="n">
        <x:v>0.3108915063676407</x:v>
      </x:c>
      <x:c r="Q74" s="14" t="n">
        <x:v>0.2722399820101447</x:v>
      </x:c>
      <x:c r="R74" s="14" t="n">
        <x:v>0.2994231628975484</x:v>
      </x:c>
      <x:c r="S74" s="14" t="n">
        <x:v>0.43405342879999903</x:v>
      </x:c>
      <x:c r="T74" t="str">
        <x:v>직장밀집·고매출밀도</x:v>
      </x:c>
      <x:c r="U74" s="16" t="n">
        <x:v>77.21507251766165</x:v>
      </x:c>
      <x:c r="V74" t="str">
        <x:v>치킨전문점</x:v>
      </x:c>
      <x:c r="W74" t="str">
        <x:v>치킨전문점 / 운동/경기용품 / 일반교습학원</x:v>
      </x:c>
      <x:c r="X74" s="16" t="n">
        <x:v>73.18492635270982</x:v>
      </x:c>
    </x:row>
    <x:row r="75">
      <x:c r="A75" t="str">
        <x:v>3120067</x:v>
      </x:c>
      <x:c r="B75" t="str">
        <x:v>장안동사거리</x:v>
      </x:c>
      <x:c r="C75" t="str">
        <x:v>발달상권</x:v>
      </x:c>
      <x:c r="D75" t="str">
        <x:v>동대문구</x:v>
      </x:c>
      <x:c r="E75" t="str">
        <x:v>장안2동</x:v>
      </x:c>
      <x:c r="F75" s="12" t="n">
        <x:v>219588</x:v>
      </x:c>
      <x:c r="G75" s="12" t="n">
        <x:v>64603647526</x:v>
      </x:c>
      <x:c r="H75" s="12" t="n">
        <x:v>2210138</x:v>
      </x:c>
      <x:c r="I75" s="12" t="n">
        <x:v>29230.59443618453</x:v>
      </x:c>
      <x:c r="J75" s="12" t="n">
        <x:v>294203.906980345</x:v>
      </x:c>
      <x:c r="K75" s="12" t="n">
        <x:v>3227</x:v>
      </x:c>
      <x:c r="L75" s="12" t="n">
        <x:v>146.95702861722862</x:v>
      </x:c>
      <x:c r="M75" s="12" t="n">
        <x:v>49</x:v>
      </x:c>
      <x:c r="N75" s="14" t="n">
        <x:v>0.7867178770756765</x:v>
      </x:c>
      <x:c r="O75" s="14" t="n">
        <x:v>0.2132821229243235</x:v>
      </x:c>
      <x:c r="P75" s="14" t="n">
        <x:v>0.3115480330719678</x:v>
      </x:c>
      <x:c r="Q75" s="14" t="n">
        <x:v>0.25786196352606233</x:v>
      </x:c>
      <x:c r="R75" s="14" t="n">
        <x:v>0.1767976102185757</x:v>
      </x:c>
      <x:c r="S75" s="14" t="n">
        <x:v>0.4611296342518529</x:v>
      </x:c>
      <x:c r="T75" t="str">
        <x:v>고매출밀도·직장밀집</x:v>
      </x:c>
      <x:c r="U75" s="16" t="n">
        <x:v>72.15438967032891</x:v>
      </x:c>
      <x:c r="V75" t="str">
        <x:v>예술학원</x:v>
      </x:c>
      <x:c r="W75" t="str">
        <x:v>예술학원 / 일반의원 / 양식음식점</x:v>
      </x:c>
      <x:c r="X75" s="16" t="n">
        <x:v>70.01747030257548</x:v>
      </x:c>
    </x:row>
    <x:row r="76">
      <x:c r="A76" t="str">
        <x:v>3120160</x:v>
      </x:c>
      <x:c r="B76" t="str">
        <x:v>사당역(사당)</x:v>
      </x:c>
      <x:c r="C76" t="str">
        <x:v>발달상권</x:v>
      </x:c>
      <x:c r="D76" t="str">
        <x:v>서초구</x:v>
      </x:c>
      <x:c r="E76" t="str">
        <x:v>방배2동</x:v>
      </x:c>
      <x:c r="F76" s="12" t="n">
        <x:v>254257</x:v>
      </x:c>
      <x:c r="G76" s="12" t="n">
        <x:v>64479644364</x:v>
      </x:c>
      <x:c r="H76" s="12" t="n">
        <x:v>1948750</x:v>
      </x:c>
      <x:c r="I76" s="12" t="n">
        <x:v>33087.69434971135</x:v>
      </x:c>
      <x:c r="J76" s="12" t="n">
        <x:v>253600.27202397573</x:v>
      </x:c>
      <x:c r="K76" s="12" t="n">
        <x:v>12897</x:v>
      </x:c>
      <x:c r="L76" s="12" t="n">
        <x:v>507.2426717848476</x:v>
      </x:c>
      <x:c r="M76" s="12" t="n">
        <x:v>40</x:v>
      </x:c>
      <x:c r="N76" s="14" t="n">
        <x:v>0.7018048255902753</x:v>
      </x:c>
      <x:c r="O76" s="14" t="n">
        <x:v>0.29819517440972465</x:v>
      </x:c>
      <x:c r="P76" s="14" t="n">
        <x:v>0.6065271928490191</x:v>
      </x:c>
      <x:c r="Q76" s="14" t="n">
        <x:v>0.14454778145773584</x:v>
      </x:c>
      <x:c r="R76" s="14" t="n">
        <x:v>0.4027171091144823</x:v>
      </x:c>
      <x:c r="S76" s="14" t="n">
        <x:v>0.37963436855844135</x:v>
      </x:c>
      <x:c r="T76" t="str">
        <x:v>야간활성·직장밀집</x:v>
      </x:c>
      <x:c r="U76" s="16" t="n">
        <x:v>81.78089945679578</x:v>
      </x:c>
      <x:c r="V76" t="str">
        <x:v>일식음식점</x:v>
      </x:c>
      <x:c r="W76" t="str">
        <x:v>일식음식점 / 일반의원 / 슈퍼마켓</x:v>
      </x:c>
      <x:c r="X76" s="16" t="n">
        <x:v>79.02264152556604</x:v>
      </x:c>
    </x:row>
    <x:row r="77">
      <x:c r="A77" t="str">
        <x:v>3120212</x:v>
      </x:c>
      <x:c r="B77" t="str">
        <x:v>한티역</x:v>
      </x:c>
      <x:c r="C77" t="str">
        <x:v>발달상권</x:v>
      </x:c>
      <x:c r="D77" t="str">
        <x:v>강남구</x:v>
      </x:c>
      <x:c r="E77" t="str">
        <x:v>대치4동</x:v>
      </x:c>
      <x:c r="F77" s="12" t="n">
        <x:v>112734</x:v>
      </x:c>
      <x:c r="G77" s="12" t="n">
        <x:v>64404572753</x:v>
      </x:c>
      <x:c r="H77" s="12" t="n">
        <x:v>2037659</x:v>
      </x:c>
      <x:c r="I77" s="12" t="n">
        <x:v>31607.139738788483</x:v>
      </x:c>
      <x:c r="J77" s="12" t="n">
        <x:v>571296.7938066599</x:v>
      </x:c>
      <x:c r="K77" s="12" t="n">
        <x:v>9550</x:v>
      </x:c>
      <x:c r="L77" s="12" t="n">
        <x:v>847.1268650096688</x:v>
      </x:c>
      <x:c r="M77" s="12" t="n">
        <x:v>34</x:v>
      </x:c>
      <x:c r="N77" s="14" t="n">
        <x:v>0.7475578965587862</x:v>
      </x:c>
      <x:c r="O77" s="14" t="n">
        <x:v>0.2524421034412137</x:v>
      </x:c>
      <x:c r="P77" s="14" t="n">
        <x:v>0.3723015766746639</x:v>
      </x:c>
      <x:c r="Q77" s="14" t="n">
        <x:v>0.26732325021437287</x:v>
      </x:c>
      <x:c r="R77" s="14" t="n">
        <x:v>0.1312947080703383</x:v>
      </x:c>
      <x:c r="S77" s="14" t="n">
        <x:v>0.5363061585466551</x:v>
      </x:c>
      <x:c r="T77" t="str">
        <x:v>고매출밀도·직장밀집</x:v>
      </x:c>
      <x:c r="U77" s="16" t="n">
        <x:v>72.99177374183411</x:v>
      </x:c>
      <x:c r="V77" t="str">
        <x:v>육류판매</x:v>
      </x:c>
      <x:c r="W77" t="str">
        <x:v>육류판매 / 일반의원 / 청과상</x:v>
      </x:c>
      <x:c r="X77" s="16" t="n">
        <x:v>71.13245947466638</x:v>
      </x:c>
    </x:row>
    <x:row r="78">
      <x:c r="A78" t="str">
        <x:v>3120060</x:v>
      </x:c>
      <x:c r="B78" t="str">
        <x:v>강변역(테크노마트)</x:v>
      </x:c>
      <x:c r="C78" t="str">
        <x:v>발달상권</x:v>
      </x:c>
      <x:c r="D78" t="str">
        <x:v>광진구</x:v>
      </x:c>
      <x:c r="E78" t="str">
        <x:v>구의3동</x:v>
      </x:c>
      <x:c r="F78" s="12" t="n">
        <x:v>127108</x:v>
      </x:c>
      <x:c r="G78" s="12" t="n">
        <x:v>63715850211</x:v>
      </x:c>
      <x:c r="H78" s="12" t="n">
        <x:v>1217861</x:v>
      </x:c>
      <x:c r="I78" s="12" t="n">
        <x:v>52317.83447454184</x:v>
      </x:c>
      <x:c r="J78" s="12" t="n">
        <x:v>501273.32827988797</x:v>
      </x:c>
      <x:c r="K78" s="12" t="n">
        <x:v>4425</x:v>
      </x:c>
      <x:c r="L78" s="12" t="n">
        <x:v>348.12915001416116</x:v>
      </x:c>
      <x:c r="M78" s="12" t="n">
        <x:v>37</x:v>
      </x:c>
      <x:c r="N78" s="14" t="n">
        <x:v>0.7654452975435632</x:v>
      </x:c>
      <x:c r="O78" s="14" t="n">
        <x:v>0.23455470245643678</x:v>
      </x:c>
      <x:c r="P78" s="14" t="n">
        <x:v>0.252213050830885</x:v>
      </x:c>
      <x:c r="Q78" s="14" t="n">
        <x:v>0.2645072648985922</x:v>
      </x:c>
      <x:c r="R78" s="14" t="n">
        <x:v>0.15644576493902135</x:v>
      </x:c>
      <x:c r="S78" s="14" t="n">
        <x:v>0.27697254208425054</x:v>
      </x:c>
      <x:c r="T78" t="str">
        <x:v>고매출밀도·직장밀집</x:v>
      </x:c>
      <x:c r="U78" s="16" t="n">
        <x:v>69.71160054496718</x:v>
      </x:c>
      <x:c r="V78" t="str">
        <x:v>가방</x:v>
      </x:c>
      <x:c r="W78" t="str">
        <x:v>가방 / 분식전문점 / 가전제품</x:v>
      </x:c>
      <x:c r="X78" s="16" t="n">
        <x:v>66.12079995348167</x:v>
      </x:c>
    </x:row>
    <x:row r="79">
      <x:c r="A79" t="str">
        <x:v>3120139</x:v>
      </x:c>
      <x:c r="B79" t="str">
        <x:v>대림3동사거리</x:v>
      </x:c>
      <x:c r="C79" t="str">
        <x:v>발달상권</x:v>
      </x:c>
      <x:c r="D79" t="str">
        <x:v>영등포구</x:v>
      </x:c>
      <x:c r="E79" t="str">
        <x:v>대림3동</x:v>
      </x:c>
      <x:c r="F79" s="12" t="n">
        <x:v>191427</x:v>
      </x:c>
      <x:c r="G79" s="12" t="n">
        <x:v>63666485986</x:v>
      </x:c>
      <x:c r="H79" s="12" t="n">
        <x:v>842475</x:v>
      </x:c>
      <x:c r="I79" s="12" t="n">
        <x:v>75570.77181637437</x:v>
      </x:c>
      <x:c r="J79" s="12" t="n">
        <x:v>332588.8510293741</x:v>
      </x:c>
      <x:c r="K79" s="12" t="n">
        <x:v>2290</x:v>
      </x:c>
      <x:c r="L79" s="12" t="n">
        <x:v>119.62784769128702</x:v>
      </x:c>
      <x:c r="M79" s="12" t="n">
        <x:v>31</x:v>
      </x:c>
      <x:c r="N79" s="14" t="n">
        <x:v>0.9284021289473653</x:v>
      </x:c>
      <x:c r="O79" s="14" t="n">
        <x:v>0.07159787105263467</x:v>
      </x:c>
      <x:c r="P79" s="14" t="n">
        <x:v>0.12637892990936087</x:v>
      </x:c>
      <x:c r="Q79" s="14" t="n">
        <x:v>0.41766869432447334</x:v>
      </x:c>
      <x:c r="R79" s="14" t="n">
        <x:v>0.0679420639918966</x:v>
      </x:c>
      <x:c r="S79" s="14" t="n">
        <x:v>0.22482873124405833</x:v>
      </x:c>
      <x:c r="T79" t="str">
        <x:v>평일집중·고매출밀도</x:v>
      </x:c>
      <x:c r="U79" s="16" t="n">
        <x:v>69.80914475293626</x:v>
      </x:c>
      <x:c r="V79" t="str">
        <x:v>한식음식점</x:v>
      </x:c>
      <x:c r="W79" t="str">
        <x:v>한식음식점 / 예술학원 / 가전제품수리</x:v>
      </x:c>
      <x:c r="X79" s="16" t="n">
        <x:v>67.44097693223003</x:v>
      </x:c>
    </x:row>
    <x:row r="80">
      <x:c r="A80" t="str">
        <x:v>3120119</x:v>
      </x:c>
      <x:c r="B80" t="str">
        <x:v>발산역(마곡)</x:v>
      </x:c>
      <x:c r="C80" t="str">
        <x:v>발달상권</x:v>
      </x:c>
      <x:c r="D80" t="str">
        <x:v>강서구</x:v>
      </x:c>
      <x:c r="E80" t="str">
        <x:v>가양1동</x:v>
      </x:c>
      <x:c r="F80" s="12" t="n">
        <x:v>417076</x:v>
      </x:c>
      <x:c r="G80" s="12" t="n">
        <x:v>63128156777</x:v>
      </x:c>
      <x:c r="H80" s="12" t="n">
        <x:v>1837193</x:v>
      </x:c>
      <x:c r="I80" s="12" t="n">
        <x:v>34361.20036218296</x:v>
      </x:c>
      <x:c r="J80" s="12" t="n">
        <x:v>151358.88129981107</x:v>
      </x:c>
      <x:c r="K80" s="12" t="n">
        <x:v>7795</x:v>
      </x:c>
      <x:c r="L80" s="12" t="n">
        <x:v>186.896392983533</x:v>
      </x:c>
      <x:c r="M80" s="12" t="n">
        <x:v>36</x:v>
      </x:c>
      <x:c r="N80" s="14" t="n">
        <x:v>0.7898079963925952</x:v>
      </x:c>
      <x:c r="O80" s="14" t="n">
        <x:v>0.2101920036074048</x:v>
      </x:c>
      <x:c r="P80" s="14" t="n">
        <x:v>0.4589183480414103</x:v>
      </x:c>
      <x:c r="Q80" s="14" t="n">
        <x:v>0.2630518836414085</x:v>
      </x:c>
      <x:c r="R80" s="14" t="n">
        <x:v>0.3335832428846143</x:v>
      </x:c>
      <x:c r="S80" s="14" t="n">
        <x:v>0.37537855275435045</x:v>
      </x:c>
      <x:c r="T80" t="str">
        <x:v>2030소비·고매출밀도</x:v>
      </x:c>
      <x:c r="U80" s="16" t="n">
        <x:v>72.50832241408327</x:v>
      </x:c>
      <x:c r="V80" t="str">
        <x:v>서적</x:v>
      </x:c>
      <x:c r="W80" t="str">
        <x:v>서적 / 일반교습학원 / 일식음식점</x:v>
      </x:c>
      <x:c r="X80" s="16" t="n">
        <x:v>65.96027096356167</x:v>
      </x:c>
    </x:row>
    <x:row r="81">
      <x:c r="A81" t="str">
        <x:v>3120055</x:v>
      </x:c>
      <x:c r="B81" t="str">
        <x:v>군자역</x:v>
      </x:c>
      <x:c r="C81" t="str">
        <x:v>발달상권</x:v>
      </x:c>
      <x:c r="D81" t="str">
        <x:v>광진구</x:v>
      </x:c>
      <x:c r="E81" t="str">
        <x:v>군자동</x:v>
      </x:c>
      <x:c r="F81" s="12" t="n">
        <x:v>288693</x:v>
      </x:c>
      <x:c r="G81" s="12" t="n">
        <x:v>63057779018</x:v>
      </x:c>
      <x:c r="H81" s="12" t="n">
        <x:v>2077923</x:v>
      </x:c>
      <x:c r="I81" s="12" t="n">
        <x:v>30346.542686134184</x:v>
      </x:c>
      <x:c r="J81" s="12" t="n">
        <x:v>218425.03634656884</x:v>
      </x:c>
      <x:c r="K81" s="12" t="n">
        <x:v>3475</x:v>
      </x:c>
      <x:c r="L81" s="12" t="n">
        <x:v>120.37008171310008</x:v>
      </x:c>
      <x:c r="M81" s="12" t="n">
        <x:v>46</x:v>
      </x:c>
      <x:c r="N81" s="14" t="n">
        <x:v>0.7323005518449768</x:v>
      </x:c>
      <x:c r="O81" s="14" t="n">
        <x:v>0.26769944815502317</x:v>
      </x:c>
      <x:c r="P81" s="14" t="n">
        <x:v>0.4453725540346623</x:v>
      </x:c>
      <x:c r="Q81" s="14" t="n">
        <x:v>0.2039156746914527</x:v>
      </x:c>
      <x:c r="R81" s="14" t="n">
        <x:v>0.3776438376651739</x:v>
      </x:c>
      <x:c r="S81" s="14" t="n">
        <x:v>0.4545239809162731</x:v>
      </x:c>
      <x:c r="T81" t="str">
        <x:v>2030소비·고매출밀도</x:v>
      </x:c>
      <x:c r="U81" s="16" t="n">
        <x:v>78.49010031181626</x:v>
      </x:c>
      <x:c r="V81" t="str">
        <x:v>일반의원</x:v>
      </x:c>
      <x:c r="W81" t="str">
        <x:v>일반의원 / 예술학원 / 가구</x:v>
      </x:c>
      <x:c r="X81" s="16" t="n">
        <x:v>75.07532456605534</x:v>
      </x:c>
    </x:row>
    <x:row r="82">
      <x:c r="A82" t="str">
        <x:v>3120224</x:v>
      </x:c>
      <x:c r="B82" t="str">
        <x:v>수서역</x:v>
      </x:c>
      <x:c r="C82" t="str">
        <x:v>발달상권</x:v>
      </x:c>
      <x:c r="D82" t="str">
        <x:v>강남구</x:v>
      </x:c>
      <x:c r="E82" t="str">
        <x:v>수서동</x:v>
      </x:c>
      <x:c r="F82" s="12" t="n">
        <x:v>60183</x:v>
      </x:c>
      <x:c r="G82" s="12" t="n">
        <x:v>62899481463</x:v>
      </x:c>
      <x:c r="H82" s="12" t="n">
        <x:v>4481405</x:v>
      </x:c>
      <x:c r="I82" s="12" t="n">
        <x:v>14035.661017694227</x:v>
      </x:c>
      <x:c r="J82" s="12" t="n">
        <x:v>1045137.0231294552</x:v>
      </x:c>
      <x:c r="K82" s="12" t="n">
        <x:v>19403</x:v>
      </x:c>
      <x:c r="L82" s="12" t="n">
        <x:v>3224.0001329279035</x:v>
      </x:c>
      <x:c r="M82" s="12" t="n">
        <x:v>33</x:v>
      </x:c>
      <x:c r="N82" s="14" t="n">
        <x:v>0.8738095441268614</x:v>
      </x:c>
      <x:c r="O82" s="14" t="n">
        <x:v>0.1261904558731386</x:v>
      </x:c>
      <x:c r="P82" s="14" t="n">
        <x:v>0.2661345335707891</x:v>
      </x:c>
      <x:c r="Q82" s="14" t="n">
        <x:v>0.2959049944465518</x:v>
      </x:c>
      <x:c r="R82" s="14" t="n">
        <x:v>0.2947129480694428</x:v>
      </x:c>
      <x:c r="S82" s="14" t="n">
        <x:v>0.4486766463345335</x:v>
      </x:c>
      <x:c r="T82" t="str">
        <x:v>직장밀집·고매출밀도</x:v>
      </x:c>
      <x:c r="U82" s="16" t="n">
        <x:v>81.26169233121401</x:v>
      </x:c>
      <x:c r="V82" t="str">
        <x:v>의약품</x:v>
      </x:c>
      <x:c r="W82" t="str">
        <x:v>의약품 / 반찬가게 / 편의점</x:v>
      </x:c>
      <x:c r="X82" s="16" t="n">
        <x:v>77.40048477356893</x:v>
      </x:c>
    </x:row>
    <x:row r="83">
      <x:c r="A83" t="str">
        <x:v>3120220</x:v>
      </x:c>
      <x:c r="B83" t="str">
        <x:v>대치역</x:v>
      </x:c>
      <x:c r="C83" t="str">
        <x:v>발달상권</x:v>
      </x:c>
      <x:c r="D83" t="str">
        <x:v>강남구</x:v>
      </x:c>
      <x:c r="E83" t="str">
        <x:v>대치1동</x:v>
      </x:c>
      <x:c r="F83" s="12" t="n">
        <x:v>163253</x:v>
      </x:c>
      <x:c r="G83" s="12" t="n">
        <x:v>61894852702</x:v>
      </x:c>
      <x:c r="H83" s="12" t="n">
        <x:v>1432557</x:v>
      </x:c>
      <x:c r="I83" s="12" t="n">
        <x:v>43205.85687131472</x:v>
      </x:c>
      <x:c r="J83" s="12" t="n">
        <x:v>379134.55006646126</x:v>
      </x:c>
      <x:c r="K83" s="12" t="n">
        <x:v>12518</x:v>
      </x:c>
      <x:c r="L83" s="12" t="n">
        <x:v>766.7852964417193</x:v>
      </x:c>
      <x:c r="M83" s="12" t="n">
        <x:v>34</x:v>
      </x:c>
      <x:c r="N83" s="14" t="n">
        <x:v>0.779965968001085</x:v>
      </x:c>
      <x:c r="O83" s="14" t="n">
        <x:v>0.22003403199891503</x:v>
      </x:c>
      <x:c r="P83" s="14" t="n">
        <x:v>0.3345590528940847</x:v>
      </x:c>
      <x:c r="Q83" s="14" t="n">
        <x:v>0.2424922008662445</x:v>
      </x:c>
      <x:c r="R83" s="14" t="n">
        <x:v>0.09678342093875657</x:v>
      </x:c>
      <x:c r="S83" s="14" t="n">
        <x:v>0.5481038695630306</x:v>
      </x:c>
      <x:c r="T83" t="str">
        <x:v>직장밀집·고매출밀도</x:v>
      </x:c>
      <x:c r="U83" s="16" t="n">
        <x:v>91.38502716470495</x:v>
      </x:c>
      <x:c r="V83" t="str">
        <x:v>당구장</x:v>
      </x:c>
      <x:c r="W83" t="str">
        <x:v>당구장 / 안경 / 미용실</x:v>
      </x:c>
      <x:c r="X83" s="16" t="n">
        <x:v>81.2714894150749</x:v>
      </x:c>
    </x:row>
    <x:row r="84">
      <x:c r="A84" t="str">
        <x:v>3120194</x:v>
      </x:c>
      <x:c r="B84" t="str">
        <x:v>언주역(차병원)</x:v>
      </x:c>
      <x:c r="C84" t="str">
        <x:v>발달상권</x:v>
      </x:c>
      <x:c r="D84" t="str">
        <x:v>강남구</x:v>
      </x:c>
      <x:c r="E84" t="str">
        <x:v>논현2동</x:v>
      </x:c>
      <x:c r="F84" s="12" t="n">
        <x:v>242446</x:v>
      </x:c>
      <x:c r="G84" s="12" t="n">
        <x:v>61837008433</x:v>
      </x:c>
      <x:c r="H84" s="12" t="n">
        <x:v>1158845</x:v>
      </x:c>
      <x:c r="I84" s="12" t="n">
        <x:v>53360.89678343523</x:v>
      </x:c>
      <x:c r="J84" s="12" t="n">
        <x:v>255054.7686206413</x:v>
      </x:c>
      <x:c r="K84" s="12" t="n">
        <x:v>14060</x:v>
      </x:c>
      <x:c r="L84" s="12" t="n">
        <x:v>579.9229519150656</x:v>
      </x:c>
      <x:c r="M84" s="12" t="n">
        <x:v>27</x:v>
      </x:c>
      <x:c r="N84" s="14" t="n">
        <x:v>0.6477136112979465</x:v>
      </x:c>
      <x:c r="O84" s="14" t="n">
        <x:v>0.35228638870205353</x:v>
      </x:c>
      <x:c r="P84" s="14" t="n">
        <x:v>0.37490240122334606</x:v>
      </x:c>
      <x:c r="Q84" s="14" t="n">
        <x:v>0.25702124193508524</x:v>
      </x:c>
      <x:c r="R84" s="14" t="n">
        <x:v>0.4240347799394327</x:v>
      </x:c>
      <x:c r="S84" s="14" t="n">
        <x:v>0.353406925444627</x:v>
      </x:c>
      <x:c r="T84" t="str">
        <x:v>직장밀집·2030소비</x:v>
      </x:c>
      <x:c r="U84" s="16" t="n">
        <x:v>78.71341410385446</x:v>
      </x:c>
      <x:c r="V84" t="str">
        <x:v>피부관리실</x:v>
      </x:c>
      <x:c r="W84" t="str">
        <x:v>피부관리실 / 예술학원 / 운동/경기용품</x:v>
      </x:c>
      <x:c r="X84" s="16" t="n">
        <x:v>71.29601648203683</x:v>
      </x:c>
    </x:row>
    <x:row r="85">
      <x:c r="A85" t="str">
        <x:v>3120043</x:v>
      </x:c>
      <x:c r="B85" t="str">
        <x:v>서울역</x:v>
      </x:c>
      <x:c r="C85" t="str">
        <x:v>발달상권</x:v>
      </x:c>
      <x:c r="D85" t="str">
        <x:v>중구</x:v>
      </x:c>
      <x:c r="E85" t="str">
        <x:v>회현동</x:v>
      </x:c>
      <x:c r="F85" s="12" t="n">
        <x:v>435455</x:v>
      </x:c>
      <x:c r="G85" s="12" t="n">
        <x:v>60183523736</x:v>
      </x:c>
      <x:c r="H85" s="12" t="n">
        <x:v>2555446</x:v>
      </x:c>
      <x:c r="I85" s="12" t="n">
        <x:v>23551.08413012836</x:v>
      </x:c>
      <x:c r="J85" s="12" t="n">
        <x:v>138208.3653557773</x:v>
      </x:c>
      <x:c r="K85" s="12" t="n">
        <x:v>27333</x:v>
      </x:c>
      <x:c r="L85" s="12" t="n">
        <x:v>627.6882800748642</x:v>
      </x:c>
      <x:c r="M85" s="12" t="n">
        <x:v>31</x:v>
      </x:c>
      <x:c r="N85" s="14" t="n">
        <x:v>0.9057822189030756</x:v>
      </x:c>
      <x:c r="O85" s="14" t="n">
        <x:v>0.09421778109692437</x:v>
      </x:c>
      <x:c r="P85" s="14" t="n">
        <x:v>0.26631189782616155</x:v>
      </x:c>
      <x:c r="Q85" s="14" t="n">
        <x:v>0.4112748397647263</x:v>
      </x:c>
      <x:c r="R85" s="14" t="n">
        <x:v>0.2484729652188008</x:v>
      </x:c>
      <x:c r="S85" s="14" t="n">
        <x:v>0.28429227726932643</x:v>
      </x:c>
      <x:c r="T85" t="str">
        <x:v>평일집중·직장밀집</x:v>
      </x:c>
      <x:c r="U85" s="16" t="n">
        <x:v>77.48281395113912</x:v>
      </x:c>
      <x:c r="V85" t="str">
        <x:v>일식음식점</x:v>
      </x:c>
      <x:c r="W85" t="str">
        <x:v>일식음식점 / 일반의원 / 스포츠클럽</x:v>
      </x:c>
      <x:c r="X85" s="16" t="n">
        <x:v>73.85119669094324</x:v>
      </x:c>
    </x:row>
    <x:row r="86">
      <x:c r="A86" t="str">
        <x:v>3120012</x:v>
      </x:c>
      <x:c r="B86" t="str">
        <x:v>대학로(혜화역)</x:v>
      </x:c>
      <x:c r="C86" t="str">
        <x:v>발달상권</x:v>
      </x:c>
      <x:c r="D86" t="str">
        <x:v>종로구</x:v>
      </x:c>
      <x:c r="E86" t="str">
        <x:v>혜화동</x:v>
      </x:c>
      <x:c r="F86" s="12" t="n">
        <x:v>256888</x:v>
      </x:c>
      <x:c r="G86" s="12" t="n">
        <x:v>60009095769</x:v>
      </x:c>
      <x:c r="H86" s="12" t="n">
        <x:v>2903364</x:v>
      </x:c>
      <x:c r="I86" s="12" t="n">
        <x:v>20668.815818133724</x:v>
      </x:c>
      <x:c r="J86" s="12" t="n">
        <x:v>233600.22955139983</x:v>
      </x:c>
      <x:c r="K86" s="12" t="n">
        <x:v>2991</x:v>
      </x:c>
      <x:c r="L86" s="12" t="n">
        <x:v>116.4320637787674</x:v>
      </x:c>
      <x:c r="M86" s="12" t="n">
        <x:v>37</x:v>
      </x:c>
      <x:c r="N86" s="14" t="n">
        <x:v>0.6735846226478407</x:v>
      </x:c>
      <x:c r="O86" s="14" t="n">
        <x:v>0.3264153773521593</x:v>
      </x:c>
      <x:c r="P86" s="14" t="n">
        <x:v>0.5311869319728493</x:v>
      </x:c>
      <x:c r="Q86" s="14" t="n">
        <x:v>0.2120146874396407</x:v>
      </x:c>
      <x:c r="R86" s="14" t="n">
        <x:v>0.46497444114820685</x:v>
      </x:c>
      <x:c r="S86" s="14" t="n">
        <x:v>0.5227374688122673</x:v>
      </x:c>
      <x:c r="T86" t="str">
        <x:v>2030소비·야간활성</x:v>
      </x:c>
      <x:c r="U86" s="16" t="n">
        <x:v>79.40591112017815</x:v>
      </x:c>
      <x:c r="V86" t="str">
        <x:v>일반의류</x:v>
      </x:c>
      <x:c r="W86" t="str">
        <x:v>일반의류 / 일식음식점 / 예술학원</x:v>
      </x:c>
      <x:c r="X86" s="16" t="n">
        <x:v>74.99125787078772</x:v>
      </x:c>
    </x:row>
    <x:row r="87">
      <x:c r="A87" t="str">
        <x:v>3120157</x:v>
      </x:c>
      <x:c r="B87" t="str">
        <x:v>신림역(신림)</x:v>
      </x:c>
      <x:c r="C87" t="str">
        <x:v>발달상권</x:v>
      </x:c>
      <x:c r="D87" t="str">
        <x:v>관악구</x:v>
      </x:c>
      <x:c r="E87" t="str">
        <x:v>신림동</x:v>
      </x:c>
      <x:c r="F87" s="12" t="n">
        <x:v>237915</x:v>
      </x:c>
      <x:c r="G87" s="12" t="n">
        <x:v>58834984130</x:v>
      </x:c>
      <x:c r="H87" s="12" t="n">
        <x:v>3026369</x:v>
      </x:c>
      <x:c r="I87" s="12" t="n">
        <x:v>19440.78337109586</x:v>
      </x:c>
      <x:c r="J87" s="12" t="n">
        <x:v>247294.1350061997</x:v>
      </x:c>
      <x:c r="K87" s="12" t="n">
        <x:v>1622</x:v>
      </x:c>
      <x:c r="L87" s="12" t="n">
        <x:v>68.17560893596452</x:v>
      </x:c>
      <x:c r="M87" s="12" t="n">
        <x:v>41</x:v>
      </x:c>
      <x:c r="N87" s="14" t="n">
        <x:v>0.7229549695469596</x:v>
      </x:c>
      <x:c r="O87" s="14" t="n">
        <x:v>0.2770450304530404</x:v>
      </x:c>
      <x:c r="P87" s="14" t="n">
        <x:v>0.44160242386726384</x:v>
      </x:c>
      <x:c r="Q87" s="14" t="n">
        <x:v>0.19117757416483558</x:v>
      </x:c>
      <x:c r="R87" s="14" t="n">
        <x:v>0.5005190571468928</x:v>
      </x:c>
      <x:c r="S87" s="14" t="n">
        <x:v>0.46943694946824827</x:v>
      </x:c>
      <x:c r="T87" t="str">
        <x:v>2030소비·고매출밀도</x:v>
      </x:c>
      <x:c r="U87" s="16" t="n">
        <x:v>77.36821404265862</x:v>
      </x:c>
      <x:c r="V87" t="str">
        <x:v>육류판매</x:v>
      </x:c>
      <x:c r="W87" t="str">
        <x:v>육류판매 / 일식음식점 / 일반의류</x:v>
      </x:c>
      <x:c r="X87" s="16" t="n">
        <x:v>74.15320879416996</x:v>
      </x:c>
    </x:row>
    <x:row r="88">
      <x:c r="A88" t="str">
        <x:v>3120166</x:v>
      </x:c>
      <x:c r="B88" t="str">
        <x:v>방배역</x:v>
      </x:c>
      <x:c r="C88" t="str">
        <x:v>발달상권</x:v>
      </x:c>
      <x:c r="D88" t="str">
        <x:v>서초구</x:v>
      </x:c>
      <x:c r="E88" t="str">
        <x:v>방배1동</x:v>
      </x:c>
      <x:c r="F88" s="12" t="n">
        <x:v>193617</x:v>
      </x:c>
      <x:c r="G88" s="12" t="n">
        <x:v>58665791595</x:v>
      </x:c>
      <x:c r="H88" s="12" t="n">
        <x:v>1641454</x:v>
      </x:c>
      <x:c r="I88" s="12" t="n">
        <x:v>35740.137460446655</x:v>
      </x:c>
      <x:c r="J88" s="12" t="n">
        <x:v>302999.1766993601</x:v>
      </x:c>
      <x:c r="K88" s="12" t="n">
        <x:v>10702</x:v>
      </x:c>
      <x:c r="L88" s="12" t="n">
        <x:v>552.7407200813979</x:v>
      </x:c>
      <x:c r="M88" s="12" t="n">
        <x:v>41</x:v>
      </x:c>
      <x:c r="N88" s="14" t="n">
        <x:v>0.8012937203425798</x:v>
      </x:c>
      <x:c r="O88" s="14" t="n">
        <x:v>0.1987062796574202</x:v>
      </x:c>
      <x:c r="P88" s="14" t="n">
        <x:v>0.338173768607102</x:v>
      </x:c>
      <x:c r="Q88" s="14" t="n">
        <x:v>0.2912003486961557</x:v>
      </x:c>
      <x:c r="R88" s="14" t="n">
        <x:v>0.26978650084982286</x:v>
      </x:c>
      <x:c r="S88" s="14" t="n">
        <x:v>0.5222521533078787</x:v>
      </x:c>
      <x:c r="T88" t="str">
        <x:v>직장밀집·고매출밀도</x:v>
      </x:c>
      <x:c r="U88" s="16" t="n">
        <x:v>79.9217364813909</x:v>
      </x:c>
      <x:c r="V88" t="str">
        <x:v>스포츠클럽</x:v>
      </x:c>
      <x:c r="W88" t="str">
        <x:v>스포츠클럽 / 운동/경기용품 / 제과점</x:v>
      </x:c>
      <x:c r="X88" s="16" t="n">
        <x:v>75.980926814338</x:v>
      </x:c>
    </x:row>
    <x:row r="89">
      <x:c r="A89" t="str">
        <x:v>3120203</x:v>
      </x:c>
      <x:c r="B89" t="str">
        <x:v>강남구청역</x:v>
      </x:c>
      <x:c r="C89" t="str">
        <x:v>발달상권</x:v>
      </x:c>
      <x:c r="D89" t="str">
        <x:v>강남구</x:v>
      </x:c>
      <x:c r="E89" t="str">
        <x:v>논현2동</x:v>
      </x:c>
      <x:c r="F89" s="12" t="n">
        <x:v>173252</x:v>
      </x:c>
      <x:c r="G89" s="12" t="n">
        <x:v>56893621393</x:v>
      </x:c>
      <x:c r="H89" s="12" t="n">
        <x:v>1711115</x:v>
      </x:c>
      <x:c r="I89" s="12" t="n">
        <x:v>33249.44342899221</x:v>
      </x:c>
      <x:c r="J89" s="12" t="n">
        <x:v>328386.5201729273</x:v>
      </x:c>
      <x:c r="K89" s="12" t="n">
        <x:v>15763</x:v>
      </x:c>
      <x:c r="L89" s="12" t="n">
        <x:v>909.8307667443954</x:v>
      </x:c>
      <x:c r="M89" s="12" t="n">
        <x:v>41</x:v>
      </x:c>
      <x:c r="N89" s="14" t="n">
        <x:v>0.8127675321558873</x:v>
      </x:c>
      <x:c r="O89" s="14" t="n">
        <x:v>0.1872324678441128</x:v>
      </x:c>
      <x:c r="P89" s="14" t="n">
        <x:v>0.36474048016133465</x:v>
      </x:c>
      <x:c r="Q89" s="14" t="n">
        <x:v>0.2796625556157274</x:v>
      </x:c>
      <x:c r="R89" s="14" t="n">
        <x:v>0.32213731577042765</x:v>
      </x:c>
      <x:c r="S89" s="14" t="n">
        <x:v>0.44761695623287073</x:v>
      </x:c>
      <x:c r="T89" t="str">
        <x:v>직장밀집·고매출밀도</x:v>
      </x:c>
      <x:c r="U89" s="16" t="n">
        <x:v>74.30925516761721</x:v>
      </x:c>
      <x:c r="V89" t="str">
        <x:v>피부관리실</x:v>
      </x:c>
      <x:c r="W89" t="str">
        <x:v>피부관리실 / 미용실 / 일반의원</x:v>
      </x:c>
      <x:c r="X89" s="16" t="n">
        <x:v>69.5918294838247</x:v>
      </x:c>
    </x:row>
    <x:row r="90">
      <x:c r="A90" t="str">
        <x:v>3120072</x:v>
      </x:c>
      <x:c r="B90" t="str">
        <x:v>성신여대</x:v>
      </x:c>
      <x:c r="C90" t="str">
        <x:v>발달상권</x:v>
      </x:c>
      <x:c r="D90" t="str">
        <x:v>성북구</x:v>
      </x:c>
      <x:c r="E90" t="str">
        <x:v>동선동</x:v>
      </x:c>
      <x:c r="F90" s="12" t="n">
        <x:v>197286</x:v>
      </x:c>
      <x:c r="G90" s="12" t="n">
        <x:v>56684231141</x:v>
      </x:c>
      <x:c r="H90" s="12" t="n">
        <x:v>2659244</x:v>
      </x:c>
      <x:c r="I90" s="12" t="n">
        <x:v>21315.91953991435</x:v>
      </x:c>
      <x:c r="J90" s="12" t="n">
        <x:v>287320.08931703214</x:v>
      </x:c>
      <x:c r="K90" s="12" t="n">
        <x:v>1439</x:v>
      </x:c>
      <x:c r="L90" s="12" t="n">
        <x:v>72.93979299088633</x:v>
      </x:c>
      <x:c r="M90" s="12" t="n">
        <x:v>41</x:v>
      </x:c>
      <x:c r="N90" s="14" t="n">
        <x:v>0.7177118569501741</x:v>
      </x:c>
      <x:c r="O90" s="14" t="n">
        <x:v>0.28228814304982586</x:v>
      </x:c>
      <x:c r="P90" s="14" t="n">
        <x:v>0.494074576654934</x:v>
      </x:c>
      <x:c r="Q90" s="14" t="n">
        <x:v>0.176709049313627</x:v>
      </x:c>
      <x:c r="R90" s="14" t="n">
        <x:v>0.45184455185234706</x:v>
      </x:c>
      <x:c r="S90" s="14" t="n">
        <x:v>0.5392388765575266</x:v>
      </x:c>
      <x:c r="T90" t="str">
        <x:v>2030소비·고매출밀도</x:v>
      </x:c>
      <x:c r="U90" s="16" t="n">
        <x:v>83.42136406307043</x:v>
      </x:c>
      <x:c r="V90" t="str">
        <x:v>스포츠클럽</x:v>
      </x:c>
      <x:c r="W90" t="str">
        <x:v>스포츠클럽 / 일식음식점 / 예술학원</x:v>
      </x:c>
      <x:c r="X90" s="16" t="n">
        <x:v>72.16539360647408</x:v>
      </x:c>
    </x:row>
    <x:row r="91">
      <x:c r="A91" t="str">
        <x:v>3120063</x:v>
      </x:c>
      <x:c r="B91" t="str">
        <x:v>청량리역(청량리)</x:v>
      </x:c>
      <x:c r="C91" t="str">
        <x:v>발달상권</x:v>
      </x:c>
      <x:c r="D91" t="str">
        <x:v>동대문구</x:v>
      </x:c>
      <x:c r="E91" t="str">
        <x:v>전농1동</x:v>
      </x:c>
      <x:c r="F91" s="12" t="n">
        <x:v>316933</x:v>
      </x:c>
      <x:c r="G91" s="12" t="n">
        <x:v>56550521770</x:v>
      </x:c>
      <x:c r="H91" s="12" t="n">
        <x:v>2448610</x:v>
      </x:c>
      <x:c r="I91" s="12" t="n">
        <x:v>23094.948468723072</x:v>
      </x:c>
      <x:c r="J91" s="12" t="n">
        <x:v>178430.52560004796</x:v>
      </x:c>
      <x:c r="K91" s="12" t="n">
        <x:v>1560</x:v>
      </x:c>
      <x:c r="L91" s="12" t="n">
        <x:v>49.221759804122634</x:v>
      </x:c>
      <x:c r="M91" s="12" t="n">
        <x:v>33</x:v>
      </x:c>
      <x:c r="N91" s="14" t="n">
        <x:v>0.7039583236545618</x:v>
      </x:c>
      <x:c r="O91" s="14" t="n">
        <x:v>0.29604167634543826</x:v>
      </x:c>
      <x:c r="P91" s="14" t="n">
        <x:v>0.3397418763727881</x:v>
      </x:c>
      <x:c r="Q91" s="14" t="n">
        <x:v>0.25434137878512453</x:v>
      </x:c>
      <x:c r="R91" s="14" t="n">
        <x:v>0.2564719461119837</x:v>
      </x:c>
      <x:c r="S91" s="14" t="n">
        <x:v>0.5113938157214637</x:v>
      </x:c>
      <x:c r="T91" t="str">
        <x:v>고매출밀도·여성소비</x:v>
      </x:c>
      <x:c r="U91" s="16" t="n">
        <x:v>76.74847674397921</x:v>
      </x:c>
      <x:c r="V91" t="str">
        <x:v>일반의원</x:v>
      </x:c>
      <x:c r="W91" t="str">
        <x:v>일반의원 / 피부관리실 / 의료기기</x:v>
      </x:c>
      <x:c r="X91" s="16" t="n">
        <x:v>73.01755720597532</x:v>
      </x:c>
    </x:row>
    <x:row r="92">
      <x:c r="A92" t="str">
        <x:v>3120246</x:v>
      </x:c>
      <x:c r="B92" t="str">
        <x:v>길동역</x:v>
      </x:c>
      <x:c r="C92" t="str">
        <x:v>발달상권</x:v>
      </x:c>
      <x:c r="D92" t="str">
        <x:v>강동구</x:v>
      </x:c>
      <x:c r="E92" t="str">
        <x:v>길동</x:v>
      </x:c>
      <x:c r="F92" s="12" t="n">
        <x:v>242674</x:v>
      </x:c>
      <x:c r="G92" s="12" t="n">
        <x:v>56550450275</x:v>
      </x:c>
      <x:c r="H92" s="12" t="n">
        <x:v>2482051</x:v>
      </x:c>
      <x:c r="I92" s="12" t="n">
        <x:v>22783.75838167709</x:v>
      </x:c>
      <x:c r="J92" s="12" t="n">
        <x:v>233030.52768322936</x:v>
      </x:c>
      <x:c r="K92" s="12" t="n">
        <x:v>4487</x:v>
      </x:c>
      <x:c r="L92" s="12" t="n">
        <x:v>184.89825856910917</x:v>
      </x:c>
      <x:c r="M92" s="12" t="n">
        <x:v>39</x:v>
      </x:c>
      <x:c r="N92" s="14" t="n">
        <x:v>0.7692613343033191</x:v>
      </x:c>
      <x:c r="O92" s="14" t="n">
        <x:v>0.23073866569668086</x:v>
      </x:c>
      <x:c r="P92" s="14" t="n">
        <x:v>0.3483871881336669</x:v>
      </x:c>
      <x:c r="Q92" s="14" t="n">
        <x:v>0.24972411175023132</x:v>
      </x:c>
      <x:c r="R92" s="14" t="n">
        <x:v>0.2593965279792814</x:v>
      </x:c>
      <x:c r="S92" s="14" t="n">
        <x:v>0.41202246008111026</x:v>
      </x:c>
      <x:c r="T92" t="str">
        <x:v>고매출밀도·직장밀집</x:v>
      </x:c>
      <x:c r="U92" s="16" t="n">
        <x:v>67.872680803728</x:v>
      </x:c>
      <x:c r="V92" t="str">
        <x:v>한의원</x:v>
      </x:c>
      <x:c r="W92" t="str">
        <x:v>한의원 / 일식음식점 / 제과점</x:v>
      </x:c>
      <x:c r="X92" s="16" t="n">
        <x:v>65.93579876666827</x:v>
      </x:c>
    </x:row>
    <x:row r="93">
      <x:c r="A93" t="str">
        <x:v>3120223</x:v>
      </x:c>
      <x:c r="B93" t="str">
        <x:v>휘문고교사거리</x:v>
      </x:c>
      <x:c r="C93" t="str">
        <x:v>발달상권</x:v>
      </x:c>
      <x:c r="D93" t="str">
        <x:v>강남구</x:v>
      </x:c>
      <x:c r="E93" t="str">
        <x:v>대치2동</x:v>
      </x:c>
      <x:c r="F93" s="12" t="n">
        <x:v>133570</x:v>
      </x:c>
      <x:c r="G93" s="12" t="n">
        <x:v>56523524039</x:v>
      </x:c>
      <x:c r="H93" s="12" t="n">
        <x:v>125013</x:v>
      </x:c>
      <x:c r="I93" s="12" t="n">
        <x:v>452141.16963035846</x:v>
      </x:c>
      <x:c r="J93" s="12" t="n">
        <x:v>423175.2941453919</x:v>
      </x:c>
      <x:c r="K93" s="12" t="n">
        <x:v>13930</x:v>
      </x:c>
      <x:c r="L93" s="12" t="n">
        <x:v>1042.8988545332036</x:v>
      </x:c>
      <x:c r="M93" s="12" t="n">
        <x:v>9</x:v>
      </x:c>
      <x:c r="N93" s="14" t="n">
        <x:v>0.9753016157301735</x:v>
      </x:c>
      <x:c r="O93" s="14" t="n">
        <x:v>0.024698384269826543</x:v>
      </x:c>
      <x:c r="P93" s="14" t="n">
        <x:v>0.2826534913317951</x:v>
      </x:c>
      <x:c r="Q93" s="14" t="n">
        <x:v>0.1877825564569626</x:v>
      </x:c>
      <x:c r="R93" s="14" t="n">
        <x:v>0.023293551090189483</x:v>
      </x:c>
      <x:c r="S93" s="14" t="n">
        <x:v>0.18821527940578517</x:v>
      </x:c>
      <x:c r="T93" t="str">
        <x:v>평일집중·직장밀집</x:v>
      </x:c>
      <x:c r="U93" s="16" t="n">
        <x:v>73.61769271336475</x:v>
      </x:c>
      <x:c r="V93" t="str">
        <x:v>의약품</x:v>
      </x:c>
      <x:c r="W93" t="str">
        <x:v>의약품 / 자동차수리 / 일반교습학원</x:v>
      </x:c>
      <x:c r="X93" s="16" t="n">
        <x:v>61.459033365207674</x:v>
      </x:c>
    </x:row>
    <x:row r="94">
      <x:c r="A94" t="str">
        <x:v>3120209</x:v>
      </x:c>
      <x:c r="B94" t="str">
        <x:v>강남구청(청담역_8번, 강남세무서)</x:v>
      </x:c>
      <x:c r="C94" t="str">
        <x:v>발달상권</x:v>
      </x:c>
      <x:c r="D94" t="str">
        <x:v>강남구</x:v>
      </x:c>
      <x:c r="E94" t="str">
        <x:v>청담동</x:v>
      </x:c>
      <x:c r="F94" s="12" t="n">
        <x:v>134148</x:v>
      </x:c>
      <x:c r="G94" s="12" t="n">
        <x:v>56406018651</x:v>
      </x:c>
      <x:c r="H94" s="12" t="n">
        <x:v>1272855</x:v>
      </x:c>
      <x:c r="I94" s="12" t="n">
        <x:v>44314.56737098884</x:v>
      </x:c>
      <x:c r="J94" s="12" t="n">
        <x:v>420476.0313310672</x:v>
      </x:c>
      <x:c r="K94" s="12" t="n">
        <x:v>8856</x:v>
      </x:c>
      <x:c r="L94" s="12" t="n">
        <x:v>660.1663833974417</x:v>
      </x:c>
      <x:c r="M94" s="12" t="n">
        <x:v>31</x:v>
      </x:c>
      <x:c r="N94" s="14" t="n">
        <x:v>0.8207685970436638</x:v>
      </x:c>
      <x:c r="O94" s="14" t="n">
        <x:v>0.17923140295633627</x:v>
      </x:c>
      <x:c r="P94" s="14" t="n">
        <x:v>0.20679893032643956</x:v>
      </x:c>
      <x:c r="Q94" s="14" t="n">
        <x:v>0.31111820581736593</x:v>
      </x:c>
      <x:c r="R94" s="14" t="n">
        <x:v>0.2756830103399669</x:v>
      </x:c>
      <x:c r="S94" s="14" t="n">
        <x:v>0.471629338220069</x:v>
      </x:c>
      <x:c r="T94" t="str">
        <x:v>직장밀집·고매출밀도</x:v>
      </x:c>
      <x:c r="U94" s="16" t="n">
        <x:v>76.87117038220313</x:v>
      </x:c>
      <x:c r="V94" t="str">
        <x:v>자동차수리</x:v>
      </x:c>
      <x:c r="W94" t="str">
        <x:v>자동차수리 / 일반의원 / 가구</x:v>
      </x:c>
      <x:c r="X94" s="16" t="n">
        <x:v>71.2809166965825</x:v>
      </x:c>
    </x:row>
    <x:row r="95">
      <x:c r="A95" t="str">
        <x:v>3120083</x:v>
      </x:c>
      <x:c r="B95" t="str">
        <x:v>등나무근린공원</x:v>
      </x:c>
      <x:c r="C95" t="str">
        <x:v>발달상권</x:v>
      </x:c>
      <x:c r="D95" t="str">
        <x:v>노원구</x:v>
      </x:c>
      <x:c r="E95" t="str">
        <x:v>중계2·3동</x:v>
      </x:c>
      <x:c r="F95" s="12" t="n">
        <x:v>125820</x:v>
      </x:c>
      <x:c r="G95" s="12" t="n">
        <x:v>55914102954</x:v>
      </x:c>
      <x:c r="H95" s="12" t="n">
        <x:v>1997703</x:v>
      </x:c>
      <x:c r="I95" s="12" t="n">
        <x:v>27989.197069834707</x:v>
      </x:c>
      <x:c r="J95" s="12" t="n">
        <x:v>444397.5755364807</x:v>
      </x:c>
      <x:c r="K95" s="12" t="n">
        <x:v>1099</x:v>
      </x:c>
      <x:c r="L95" s="12" t="n">
        <x:v>87.34700365601653</x:v>
      </x:c>
      <x:c r="M95" s="12" t="n">
        <x:v>38</x:v>
      </x:c>
      <x:c r="N95" s="14" t="n">
        <x:v>0.7188504767762638</x:v>
      </x:c>
      <x:c r="O95" s="14" t="n">
        <x:v>0.2811495232237362</x:v>
      </x:c>
      <x:c r="P95" s="14" t="n">
        <x:v>0.33009988948914365</x:v>
      </x:c>
      <x:c r="Q95" s="14" t="n">
        <x:v>0.28787458021533907</x:v>
      </x:c>
      <x:c r="R95" s="14" t="n">
        <x:v>0.18065969006621363</x:v>
      </x:c>
      <x:c r="S95" s="14" t="n">
        <x:v>0.54108819062858</x:v>
      </x:c>
      <x:c r="T95" t="str">
        <x:v>고매출밀도·여성소비</x:v>
      </x:c>
      <x:c r="U95" s="16" t="n">
        <x:v>78.42730798227716</x:v>
      </x:c>
      <x:c r="V95" t="str">
        <x:v>미용실</x:v>
      </x:c>
      <x:c r="W95" t="str">
        <x:v>미용실 / 스포츠클럽 / 일반의원</x:v>
      </x:c>
      <x:c r="X95" s="16" t="n">
        <x:v>74.01980574386201</x:v>
      </x:c>
    </x:row>
    <x:row r="96">
      <x:c r="A96" t="str">
        <x:v>3130086</x:v>
      </x:c>
      <x:c r="B96" t="str">
        <x:v>서울약령시장</x:v>
      </x:c>
      <x:c r="C96" t="str">
        <x:v>전통시장</x:v>
      </x:c>
      <x:c r="D96" t="str">
        <x:v>동대문구</x:v>
      </x:c>
      <x:c r="E96" t="str">
        <x:v>제기동</x:v>
      </x:c>
      <x:c r="F96" s="12" t="n">
        <x:v>165313</x:v>
      </x:c>
      <x:c r="G96" s="12" t="n">
        <x:v>53895400155</x:v>
      </x:c>
      <x:c r="H96" s="12" t="n">
        <x:v>909349</x:v>
      </x:c>
      <x:c r="I96" s="12" t="n">
        <x:v>59268.113952948755</x:v>
      </x:c>
      <x:c r="J96" s="12" t="n">
        <x:v>326020.3381161796</x:v>
      </x:c>
      <x:c r="K96" s="12" t="n">
        <x:v>1535</x:v>
      </x:c>
      <x:c r="L96" s="12" t="n">
        <x:v>92.85416149970057</x:v>
      </x:c>
      <x:c r="M96" s="12" t="n">
        <x:v>20</x:v>
      </x:c>
      <x:c r="N96" s="14" t="n">
        <x:v>0.7995910157279358</x:v>
      </x:c>
      <x:c r="O96" s="14" t="n">
        <x:v>0.20040898427206416</x:v>
      </x:c>
      <x:c r="P96" s="14" t="n">
        <x:v>0.1591546859348112</x:v>
      </x:c>
      <x:c r="Q96" s="14" t="n">
        <x:v>0.35286044330882843</x:v>
      </x:c>
      <x:c r="R96" s="14" t="n">
        <x:v>0.15648785832825032</x:v>
      </x:c>
      <x:c r="S96" s="14" t="n">
        <x:v>0.50866228049439</x:v>
      </x:c>
      <x:c r="T96" t="str">
        <x:v>고매출밀도·여성소비</x:v>
      </x:c>
      <x:c r="U96" s="16" t="n">
        <x:v>67.78454561990839</x:v>
      </x:c>
      <x:c r="V96" t="str">
        <x:v>의약품</x:v>
      </x:c>
      <x:c r="W96" t="str">
        <x:v>의약품 / 청과상 / 철물점</x:v>
      </x:c>
      <x:c r="X96" s="16" t="n">
        <x:v>62.5022188879678</x:v>
      </x:c>
    </x:row>
    <x:row r="97">
      <x:c r="A97" t="str">
        <x:v>3130177</x:v>
      </x:c>
      <x:c r="B97" t="str">
        <x:v>인왕시장(홍제골목형상점가)</x:v>
      </x:c>
      <x:c r="C97" t="str">
        <x:v>전통시장</x:v>
      </x:c>
      <x:c r="D97" t="str">
        <x:v>서대문구</x:v>
      </x:c>
      <x:c r="E97" t="str">
        <x:v>홍제3동</x:v>
      </x:c>
      <x:c r="F97" s="12" t="n">
        <x:v>22776</x:v>
      </x:c>
      <x:c r="G97" s="12" t="n">
        <x:v>53821756958</x:v>
      </x:c>
      <x:c r="H97" s="12" t="n">
        <x:v>1899578</x:v>
      </x:c>
      <x:c r="I97" s="12" t="n">
        <x:v>28333.533531131652</x:v>
      </x:c>
      <x:c r="J97" s="12" t="n">
        <x:v>2363090.8393923426</x:v>
      </x:c>
      <x:c r="K97" s="12" t="n">
        <x:v>131</x:v>
      </x:c>
      <x:c r="L97" s="12" t="n">
        <x:v>57.516684229012995</x:v>
      </x:c>
      <x:c r="M97" s="12" t="n">
        <x:v>12</x:v>
      </x:c>
      <x:c r="N97" s="14" t="n">
        <x:v>0.7730246686385032</x:v>
      </x:c>
      <x:c r="O97" s="14" t="n">
        <x:v>0.22697533136149686</x:v>
      </x:c>
      <x:c r="P97" s="14" t="n">
        <x:v>0.18924771727441755</x:v>
      </x:c>
      <x:c r="Q97" s="14" t="n">
        <x:v>0.2932685527400616</x:v>
      </x:c>
      <x:c r="R97" s="14" t="n">
        <x:v>0.06699320510502313</x:v>
      </x:c>
      <x:c r="S97" s="14" t="n">
        <x:v>0.6511495443255091</x:v>
      </x:c>
      <x:c r="T97" t="str">
        <x:v>고매출밀도·여성소비</x:v>
      </x:c>
      <x:c r="U97" s="16" t="n">
        <x:v>77.27767227942307</x:v>
      </x:c>
      <x:c r="V97" t="str">
        <x:v>육류판매</x:v>
      </x:c>
      <x:c r="W97" t="str">
        <x:v>육류판매 / 청과상 / 분식전문점</x:v>
      </x:c>
      <x:c r="X97" s="16" t="n">
        <x:v>71.53867792654414</x:v>
      </x:c>
    </x:row>
    <x:row r="98">
      <x:c r="A98" t="str">
        <x:v>3110131</x:v>
      </x:c>
      <x:c r="B98" t="str">
        <x:v>성수동카페거리</x:v>
      </x:c>
      <x:c r="C98" t="str">
        <x:v>골목상권</x:v>
      </x:c>
      <x:c r="D98" t="str">
        <x:v>성동구</x:v>
      </x:c>
      <x:c r="E98" t="str">
        <x:v>성수2가1동</x:v>
      </x:c>
      <x:c r="F98" s="12" t="n">
        <x:v>131865</x:v>
      </x:c>
      <x:c r="G98" s="12" t="n">
        <x:v>53211732926</x:v>
      </x:c>
      <x:c r="H98" s="12" t="n">
        <x:v>983911</x:v>
      </x:c>
      <x:c r="I98" s="12" t="n">
        <x:v>54081.85590566626</x:v>
      </x:c>
      <x:c r="J98" s="12" t="n">
        <x:v>403531.8919045994</x:v>
      </x:c>
      <x:c r="K98" s="12" t="n">
        <x:v>4421</x:v>
      </x:c>
      <x:c r="L98" s="12" t="n">
        <x:v>335.2671292609866</x:v>
      </x:c>
      <x:c r="M98" s="12" t="n">
        <x:v>19</x:v>
      </x:c>
      <x:c r="N98" s="14" t="n">
        <x:v>0.6900192585733192</x:v>
      </x:c>
      <x:c r="O98" s="14" t="n">
        <x:v>0.30998074142668075</x:v>
      </x:c>
      <x:c r="P98" s="14" t="n">
        <x:v>0.3435939941934602</x:v>
      </x:c>
      <x:c r="Q98" s="14" t="n">
        <x:v>0.30383429085994507</x:v>
      </x:c>
      <x:c r="R98" s="14" t="n">
        <x:v>0.528497315866574</x:v>
      </x:c>
      <x:c r="S98" s="14" t="n">
        <x:v>0.4464550858367585</x:v>
      </x:c>
      <x:c r="T98" t="str">
        <x:v>2030소비·고매출밀도</x:v>
      </x:c>
      <x:c r="U98" s="16" t="n">
        <x:v>75.73916174271032</x:v>
      </x:c>
      <x:c r="V98" t="str">
        <x:v>가방</x:v>
      </x:c>
      <x:c r="W98" t="str">
        <x:v>가방 / 분식전문점 / 중식음식점</x:v>
      </x:c>
      <x:c r="X98" s="16" t="n">
        <x:v>70.59827237800661</x:v>
      </x:c>
    </x:row>
    <x:row r="99">
      <x:c r="A99" t="str">
        <x:v>3120245</x:v>
      </x:c>
      <x:c r="B99" t="str">
        <x:v>둔촌역</x:v>
      </x:c>
      <x:c r="C99" t="str">
        <x:v>발달상권</x:v>
      </x:c>
      <x:c r="D99" t="str">
        <x:v>강동구</x:v>
      </x:c>
      <x:c r="E99" t="str">
        <x:v>성내3동</x:v>
      </x:c>
      <x:c r="F99" s="12" t="n">
        <x:v>165420</x:v>
      </x:c>
      <x:c r="G99" s="12" t="n">
        <x:v>52806059526</x:v>
      </x:c>
      <x:c r="H99" s="12" t="n">
        <x:v>2050984</x:v>
      </x:c>
      <x:c r="I99" s="12" t="n">
        <x:v>25746.69501371049</x:v>
      </x:c>
      <x:c r="J99" s="12" t="n">
        <x:v>319224.15382662317</x:v>
      </x:c>
      <x:c r="K99" s="12" t="n">
        <x:v>2095</x:v>
      </x:c>
      <x:c r="L99" s="12" t="n">
        <x:v>126.64732196832306</x:v>
      </x:c>
      <x:c r="M99" s="12" t="n">
        <x:v>43</x:v>
      </x:c>
      <x:c r="N99" s="14" t="n">
        <x:v>0.7382436236092501</x:v>
      </x:c>
      <x:c r="O99" s="14" t="n">
        <x:v>0.2617563763907499</x:v>
      </x:c>
      <x:c r="P99" s="14" t="n">
        <x:v>0.3797482698198025</x:v>
      </x:c>
      <x:c r="Q99" s="14" t="n">
        <x:v>0.24940509701382788</x:v>
      </x:c>
      <x:c r="R99" s="14" t="n">
        <x:v>0.20993487886634854</x:v>
      </x:c>
      <x:c r="S99" s="14" t="n">
        <x:v>0.5023574622328846</x:v>
      </x:c>
      <x:c r="T99" t="str">
        <x:v>고매출밀도·여성소비</x:v>
      </x:c>
      <x:c r="U99" s="16" t="n">
        <x:v>77.40564635026935</x:v>
      </x:c>
      <x:c r="V99" t="str">
        <x:v>슈퍼마켓</x:v>
      </x:c>
      <x:c r="W99" t="str">
        <x:v>슈퍼마켓 / 일반교습학원 / 당구장</x:v>
      </x:c>
      <x:c r="X99" s="16" t="n">
        <x:v>73.1318772000615</x:v>
      </x:c>
    </x:row>
    <x:row r="100">
      <x:c r="A100" t="str">
        <x:v>3120130</x:v>
      </x:c>
      <x:c r="B100" t="str">
        <x:v>구로디지털단지역</x:v>
      </x:c>
      <x:c r="C100" t="str">
        <x:v>발달상권</x:v>
      </x:c>
      <x:c r="D100" t="str">
        <x:v>구로구</x:v>
      </x:c>
      <x:c r="E100" t="str">
        <x:v>구로3동</x:v>
      </x:c>
      <x:c r="F100" s="12" t="n">
        <x:v>168688</x:v>
      </x:c>
      <x:c r="G100" s="12" t="n">
        <x:v>52475142971</x:v>
      </x:c>
      <x:c r="H100" s="12" t="n">
        <x:v>1908153</x:v>
      </x:c>
      <x:c r="I100" s="12" t="n">
        <x:v>27500.490249471608</x:v>
      </x:c>
      <x:c r="J100" s="12" t="n">
        <x:v>311078.10259769514</x:v>
      </x:c>
      <x:c r="K100" s="12" t="n">
        <x:v>2310</x:v>
      </x:c>
      <x:c r="L100" s="12" t="n">
        <x:v>136.93920136583515</x:v>
      </x:c>
      <x:c r="M100" s="12" t="n">
        <x:v>35</x:v>
      </x:c>
      <x:c r="N100" s="14" t="n">
        <x:v>0.7287596472702138</x:v>
      </x:c>
      <x:c r="O100" s="14" t="n">
        <x:v>0.2712403527297862</x:v>
      </x:c>
      <x:c r="P100" s="14" t="n">
        <x:v>0.5780968114134497</x:v>
      </x:c>
      <x:c r="Q100" s="14" t="n">
        <x:v>0.1319974921426689</x:v>
      </x:c>
      <x:c r="R100" s="14" t="n">
        <x:v>0.4906705751374407</x:v>
      </x:c>
      <x:c r="S100" s="14" t="n">
        <x:v>0.4031436498551546</x:v>
      </x:c>
      <x:c r="T100" t="str">
        <x:v>2030소비·야간활성</x:v>
      </x:c>
      <x:c r="U100" s="16" t="n">
        <x:v>74.89065298634029</x:v>
      </x:c>
      <x:c r="V100" t="str">
        <x:v>미용실</x:v>
      </x:c>
      <x:c r="W100" t="str">
        <x:v>미용실 / 안경 / 의약품</x:v>
      </x:c>
      <x:c r="X100" s="16" t="n">
        <x:v>69.24284701551889</x:v>
      </x:c>
    </x:row>
    <x:row r="101">
      <x:c r="A101" t="str">
        <x:v>3130137</x:v>
      </x:c>
      <x:c r="B101" t="str">
        <x:v>수유전통시장(수유시장, 수유골목시장)</x:v>
      </x:c>
      <x:c r="C101" t="str">
        <x:v>전통시장</x:v>
      </x:c>
      <x:c r="D101" t="str">
        <x:v>강북구</x:v>
      </x:c>
      <x:c r="E101" t="str">
        <x:v>수유1동</x:v>
      </x:c>
      <x:c r="F101" s="12" t="n">
        <x:v>37023</x:v>
      </x:c>
      <x:c r="G101" s="12" t="n">
        <x:v>52327673533</x:v>
      </x:c>
      <x:c r="H101" s="12" t="n">
        <x:v>1986329</x:v>
      </x:c>
      <x:c r="I101" s="12" t="n">
        <x:v>26343.91056718197</x:v>
      </x:c>
      <x:c r="J101" s="12" t="n">
        <x:v>1413382.8574939903</x:v>
      </x:c>
      <x:c r="K101" s="12" t="n">
        <x:v>156</x:v>
      </x:c>
      <x:c r="L101" s="12" t="n">
        <x:v>42.1359695324528</x:v>
      </x:c>
      <x:c r="M101" s="12" t="n">
        <x:v>22</x:v>
      </x:c>
      <x:c r="N101" s="14" t="n">
        <x:v>0.6808496000597459</x:v>
      </x:c>
      <x:c r="O101" s="14" t="n">
        <x:v>0.3191503999402541</x:v>
      </x:c>
      <x:c r="P101" s="14" t="n">
        <x:v>0.17092127064199783</x:v>
      </x:c>
      <x:c r="Q101" s="14" t="n">
        <x:v>0.2973382012901422</x:v>
      </x:c>
      <x:c r="R101" s="14" t="n">
        <x:v>0.08371603469505234</x:v>
      </x:c>
      <x:c r="S101" s="14" t="n">
        <x:v>0.5838976330895235</x:v>
      </x:c>
      <x:c r="T101" t="str">
        <x:v>고매출밀도·여성소비</x:v>
      </x:c>
      <x:c r="U101" s="16" t="n">
        <x:v>76.14251265708062</x:v>
      </x:c>
      <x:c r="V101" t="str">
        <x:v>인테리어</x:v>
      </x:c>
      <x:c r="W101" t="str">
        <x:v>인테리어 / 육류판매 / 청과상</x:v>
      </x:c>
      <x:c r="X101" s="16" t="n">
        <x:v>72.49815967047518</x:v>
      </x:c>
    </x:row>
    <x:row r="102">
      <x:c r="A102" t="str">
        <x:v>3130089</x:v>
      </x:c>
      <x:c r="B102" t="str">
        <x:v>청량리수산시장</x:v>
      </x:c>
      <x:c r="C102" t="str">
        <x:v>전통시장</x:v>
      </x:c>
      <x:c r="D102" t="str">
        <x:v>동대문구</x:v>
      </x:c>
      <x:c r="E102" t="str">
        <x:v>용신동</x:v>
      </x:c>
      <x:c r="F102" s="12" t="n">
        <x:v>30328</x:v>
      </x:c>
      <x:c r="G102" s="12" t="n">
        <x:v>52123144493</x:v>
      </x:c>
      <x:c r="H102" s="12" t="n">
        <x:v>1405479</x:v>
      </x:c>
      <x:c r="I102" s="12" t="n">
        <x:v>37085.680037197286</x:v>
      </x:c>
      <x:c r="J102" s="12" t="n">
        <x:v>1718647.602644421</x:v>
      </x:c>
      <x:c r="K102" s="12" t="n">
        <x:v>202</x:v>
      </x:c>
      <x:c r="L102" s="12" t="n">
        <x:v>66.60511738327618</x:v>
      </x:c>
      <x:c r="M102" s="12" t="n">
        <x:v>2</x:v>
      </x:c>
      <x:c r="N102" s="14" t="n">
        <x:v>0.7459140535778956</x:v>
      </x:c>
      <x:c r="O102" s="14" t="n">
        <x:v>0.2540859464221043</x:v>
      </x:c>
      <x:c r="P102" s="14" t="n">
        <x:v>0.027923546040002724</x:v>
      </x:c>
      <x:c r="Q102" s="14" t="n">
        <x:v>0.28606462071762484</x:v>
      </x:c>
      <x:c r="R102" s="14" t="n">
        <x:v>0.06189592948355738</x:v>
      </x:c>
      <x:c r="S102" s="14" t="n">
        <x:v>0.6288424142254483</x:v>
      </x:c>
      <x:c r="T102" t="str">
        <x:v>고매출밀도·여성소비</x:v>
      </x:c>
      <x:c r="U102" s="16" t="n">
        <x:v>70.92148616656615</x:v>
      </x:c>
      <x:c r="V102" t="str">
        <x:v>수산물판매</x:v>
      </x:c>
      <x:c r="W102" t="str">
        <x:v>수산물판매 / 한식음식점</x:v>
      </x:c>
      <x:c r="X102" s="16" t="n">
        <x:v>42.96930607709608</x:v>
      </x:c>
    </x:row>
    <x:row r="103">
      <x:c r="A103" t="str">
        <x:v>3120191</x:v>
      </x:c>
      <x:c r="B103" t="str">
        <x:v>학동역</x:v>
      </x:c>
      <x:c r="C103" t="str">
        <x:v>발달상권</x:v>
      </x:c>
      <x:c r="D103" t="str">
        <x:v>강남구</x:v>
      </x:c>
      <x:c r="E103" t="str">
        <x:v>논현1동</x:v>
      </x:c>
      <x:c r="F103" s="12" t="n">
        <x:v>366287</x:v>
      </x:c>
      <x:c r="G103" s="12" t="n">
        <x:v>50715627203</x:v>
      </x:c>
      <x:c r="H103" s="12" t="n">
        <x:v>1574344</x:v>
      </x:c>
      <x:c r="I103" s="12" t="n">
        <x:v>32213.815533962083</x:v>
      </x:c>
      <x:c r="J103" s="12" t="n">
        <x:v>138458.7146226866</x:v>
      </x:c>
      <x:c r="K103" s="12" t="n">
        <x:v>19064</x:v>
      </x:c>
      <x:c r="L103" s="12" t="n">
        <x:v>520.4661918113392</x:v>
      </x:c>
      <x:c r="M103" s="12" t="n">
        <x:v>35</x:v>
      </x:c>
      <x:c r="N103" s="14" t="n">
        <x:v>0.7788514403044481</x:v>
      </x:c>
      <x:c r="O103" s="14" t="n">
        <x:v>0.22114855969555186</x:v>
      </x:c>
      <x:c r="P103" s="14" t="n">
        <x:v>0.29449237096522635</x:v>
      </x:c>
      <x:c r="Q103" s="14" t="n">
        <x:v>0.3245248937989359</x:v>
      </x:c>
      <x:c r="R103" s="14" t="n">
        <x:v>0.27593011601702544</x:v>
      </x:c>
      <x:c r="S103" s="14" t="n">
        <x:v>0.3898679875900341</x:v>
      </x:c>
      <x:c r="T103" t="str">
        <x:v>직장밀집·고매출밀도</x:v>
      </x:c>
      <x:c r="U103" s="16" t="n">
        <x:v>71.79797759604637</x:v>
      </x:c>
      <x:c r="V103" t="str">
        <x:v>예술학원</x:v>
      </x:c>
      <x:c r="W103" t="str">
        <x:v>예술학원 / PC방 / 미용실</x:v>
      </x:c>
      <x:c r="X103" s="16" t="n">
        <x:v>69.02423970167033</x:v>
      </x:c>
    </x:row>
    <x:row r="104">
      <x:c r="A104" t="str">
        <x:v>3120101</x:v>
      </x:c>
      <x:c r="B104" t="str">
        <x:v>합정역</x:v>
      </x:c>
      <x:c r="C104" t="str">
        <x:v>발달상권</x:v>
      </x:c>
      <x:c r="D104" t="str">
        <x:v>마포구</x:v>
      </x:c>
      <x:c r="E104" t="str">
        <x:v>서교동</x:v>
      </x:c>
      <x:c r="F104" s="12" t="n">
        <x:v>251511</x:v>
      </x:c>
      <x:c r="G104" s="12" t="n">
        <x:v>50660376552</x:v>
      </x:c>
      <x:c r="H104" s="12" t="n">
        <x:v>1924573</x:v>
      </x:c>
      <x:c r="I104" s="12" t="n">
        <x:v>26322.917630040534</x:v>
      </x:c>
      <x:c r="J104" s="12" t="n">
        <x:v>201424.09895392248</x:v>
      </x:c>
      <x:c r="K104" s="12" t="n">
        <x:v>4035</x:v>
      </x:c>
      <x:c r="L104" s="12" t="n">
        <x:v>160.43035891074348</x:v>
      </x:c>
      <x:c r="M104" s="12" t="n">
        <x:v>37</x:v>
      </x:c>
      <x:c r="N104" s="14" t="n">
        <x:v>0.7438348831323941</x:v>
      </x:c>
      <x:c r="O104" s="14" t="n">
        <x:v>0.25616511686760585</x:v>
      </x:c>
      <x:c r="P104" s="14" t="n">
        <x:v>0.39619764093931914</x:v>
      </x:c>
      <x:c r="Q104" s="14" t="n">
        <x:v>0.32606036832444113</x:v>
      </x:c>
      <x:c r="R104" s="14" t="n">
        <x:v>0.4467316918730352</x:v>
      </x:c>
      <x:c r="S104" s="14" t="n">
        <x:v>0.3851486322051371</x:v>
      </x:c>
      <x:c r="T104" t="str">
        <x:v>2030소비·고매출밀도</x:v>
      </x:c>
      <x:c r="U104" s="16" t="n">
        <x:v>76.5669543145972</x:v>
      </x:c>
      <x:c r="V104" t="str">
        <x:v>의료기기</x:v>
      </x:c>
      <x:c r="W104" t="str">
        <x:v>의료기기 / 미용실 / 편의점</x:v>
      </x:c>
      <x:c r="X104" s="16" t="n">
        <x:v>65.09931162002141</x:v>
      </x:c>
    </x:row>
    <x:row r="105">
      <x:c r="A105" t="str">
        <x:v>3120113</x:v>
      </x:c>
      <x:c r="B105" t="str">
        <x:v>오목교역</x:v>
      </x:c>
      <x:c r="C105" t="str">
        <x:v>발달상권</x:v>
      </x:c>
      <x:c r="D105" t="str">
        <x:v>양천구</x:v>
      </x:c>
      <x:c r="E105" t="str">
        <x:v>목1동</x:v>
      </x:c>
      <x:c r="F105" s="12" t="n">
        <x:v>140753</x:v>
      </x:c>
      <x:c r="G105" s="12" t="n">
        <x:v>50466434103</x:v>
      </x:c>
      <x:c r="H105" s="12" t="n">
        <x:v>1198010</x:v>
      </x:c>
      <x:c r="I105" s="12" t="n">
        <x:v>42125.219408018296</x:v>
      </x:c>
      <x:c r="J105" s="12" t="n">
        <x:v>358546.0636931362</x:v>
      </x:c>
      <x:c r="K105" s="12" t="n">
        <x:v>5101</x:v>
      </x:c>
      <x:c r="L105" s="12" t="n">
        <x:v>362.4079060481837</x:v>
      </x:c>
      <x:c r="M105" s="12" t="n">
        <x:v>36</x:v>
      </x:c>
      <x:c r="N105" s="14" t="n">
        <x:v>0.7451846648060368</x:v>
      </x:c>
      <x:c r="O105" s="14" t="n">
        <x:v>0.2548153351939632</x:v>
      </x:c>
      <x:c r="P105" s="14" t="n">
        <x:v>0.44386977933256416</x:v>
      </x:c>
      <x:c r="Q105" s="14" t="n">
        <x:v>0.19788980092426087</x:v>
      </x:c>
      <x:c r="R105" s="14" t="n">
        <x:v>0.1792504842235772</x:v>
      </x:c>
      <x:c r="S105" s="14" t="n">
        <x:v>0.4695497707572596</x:v>
      </x:c>
      <x:c r="T105" t="str">
        <x:v>고매출밀도·직장밀집</x:v>
      </x:c>
      <x:c r="U105" s="16" t="n">
        <x:v>75.8788667947872</x:v>
      </x:c>
      <x:c r="V105" t="str">
        <x:v>일반의원</x:v>
      </x:c>
      <x:c r="W105" t="str">
        <x:v>일반의원 / 서적 / 피부관리실</x:v>
      </x:c>
      <x:c r="X105" s="16" t="n">
        <x:v>73.6374319855455</x:v>
      </x:c>
    </x:row>
    <x:row r="106">
      <x:c r="A106" t="str">
        <x:v>3120023</x:v>
      </x:c>
      <x:c r="B106" t="str">
        <x:v>서울시청</x:v>
      </x:c>
      <x:c r="C106" t="str">
        <x:v>발달상권</x:v>
      </x:c>
      <x:c r="D106" t="str">
        <x:v>중구</x:v>
      </x:c>
      <x:c r="E106" t="str">
        <x:v>명동</x:v>
      </x:c>
      <x:c r="F106" s="12" t="n">
        <x:v>88816</x:v>
      </x:c>
      <x:c r="G106" s="12" t="n">
        <x:v>50042269747</x:v>
      </x:c>
      <x:c r="H106" s="12" t="n">
        <x:v>1777124</x:v>
      </x:c>
      <x:c r="I106" s="12" t="n">
        <x:v>28159.132253573753</x:v>
      </x:c>
      <x:c r="J106" s="12" t="n">
        <x:v>563437.553447577</x:v>
      </x:c>
      <x:c r="K106" s="12" t="n">
        <x:v>15371</x:v>
      </x:c>
      <x:c r="L106" s="12" t="n">
        <x:v>1730.6566384435237</x:v>
      </x:c>
      <x:c r="M106" s="12" t="n">
        <x:v>25</x:v>
      </x:c>
      <x:c r="N106" s="14" t="n">
        <x:v>0.8921609945895087</x:v>
      </x:c>
      <x:c r="O106" s="14" t="n">
        <x:v>0.10783900541049134</x:v>
      </x:c>
      <x:c r="P106" s="14" t="n">
        <x:v>0.3846456010951409</x:v>
      </x:c>
      <x:c r="Q106" s="14" t="n">
        <x:v>0.36654693497589885</x:v>
      </x:c>
      <x:c r="R106" s="14" t="n">
        <x:v>0.2545614990567786</x:v>
      </x:c>
      <x:c r="S106" s="14" t="n">
        <x:v>0.31197669440115533</x:v>
      </x:c>
      <x:c r="T106" t="str">
        <x:v>직장밀집·고매출밀도</x:v>
      </x:c>
      <x:c r="U106" s="16" t="n">
        <x:v>75.58524923363989</x:v>
      </x:c>
      <x:c r="V106" t="str">
        <x:v>핸드폰</x:v>
      </x:c>
      <x:c r="W106" t="str">
        <x:v>핸드폰 / 한식음식점 / 스포츠클럽</x:v>
      </x:c>
      <x:c r="X106" s="16" t="n">
        <x:v>71.1314306255614</x:v>
      </x:c>
    </x:row>
    <x:row r="107">
      <x:c r="A107" t="str">
        <x:v>3120164</x:v>
      </x:c>
      <x:c r="B107" t="str">
        <x:v>내방역</x:v>
      </x:c>
      <x:c r="C107" t="str">
        <x:v>발달상권</x:v>
      </x:c>
      <x:c r="D107" t="str">
        <x:v>서초구</x:v>
      </x:c>
      <x:c r="E107" t="str">
        <x:v>방배4동</x:v>
      </x:c>
      <x:c r="F107" s="12" t="n">
        <x:v>212543</x:v>
      </x:c>
      <x:c r="G107" s="12" t="n">
        <x:v>49291757770</x:v>
      </x:c>
      <x:c r="H107" s="12" t="n">
        <x:v>2806762</x:v>
      </x:c>
      <x:c r="I107" s="12" t="n">
        <x:v>17561.78748679083</x:v>
      </x:c>
      <x:c r="J107" s="12" t="n">
        <x:v>231914.28449772517</x:v>
      </x:c>
      <x:c r="K107" s="12" t="n">
        <x:v>12182</x:v>
      </x:c>
      <x:c r="L107" s="12" t="n">
        <x:v>573.1546087144719</x:v>
      </x:c>
      <x:c r="M107" s="12" t="n">
        <x:v>34</x:v>
      </x:c>
      <x:c r="N107" s="14" t="n">
        <x:v>0.8311053461747951</x:v>
      </x:c>
      <x:c r="O107" s="14" t="n">
        <x:v>0.16889465382520483</x:v>
      </x:c>
      <x:c r="P107" s="14" t="n">
        <x:v>0.2693597352107575</x:v>
      </x:c>
      <x:c r="Q107" s="14" t="n">
        <x:v>0.3314160957948731</x:v>
      </x:c>
      <x:c r="R107" s="14" t="n">
        <x:v>0.17189991435357166</x:v>
      </x:c>
      <x:c r="S107" s="14" t="n">
        <x:v>0.5009314602902626</x:v>
      </x:c>
      <x:c r="T107" t="str">
        <x:v>직장밀집·평일집중</x:v>
      </x:c>
      <x:c r="U107" s="16" t="n">
        <x:v>77.32709498757887</x:v>
      </x:c>
      <x:c r="V107" t="str">
        <x:v>청과상</x:v>
      </x:c>
      <x:c r="W107" t="str">
        <x:v>청과상 / 반찬가게 / 한식음식점</x:v>
      </x:c>
      <x:c r="X107" s="16" t="n">
        <x:v>71.91947658619638</x:v>
      </x:c>
    </x:row>
    <x:row r="108">
      <x:c r="A108" t="str">
        <x:v>3120193</x:v>
      </x:c>
      <x:c r="B108" t="str">
        <x:v>도산공원교차로</x:v>
      </x:c>
      <x:c r="C108" t="str">
        <x:v>발달상권</x:v>
      </x:c>
      <x:c r="D108" t="str">
        <x:v>강남구</x:v>
      </x:c>
      <x:c r="E108" t="str">
        <x:v>압구정동</x:v>
      </x:c>
      <x:c r="F108" s="12" t="n">
        <x:v>185023</x:v>
      </x:c>
      <x:c r="G108" s="12" t="n">
        <x:v>48791640274</x:v>
      </x:c>
      <x:c r="H108" s="12" t="n">
        <x:v>416230</x:v>
      </x:c>
      <x:c r="I108" s="12" t="n">
        <x:v>117222.78613747207</x:v>
      </x:c>
      <x:c r="J108" s="12" t="n">
        <x:v>263705.8110288991</x:v>
      </x:c>
      <x:c r="K108" s="12" t="n">
        <x:v>11206</x:v>
      </x:c>
      <x:c r="L108" s="12" t="n">
        <x:v>605.6544321516784</x:v>
      </x:c>
      <x:c r="M108" s="12" t="n">
        <x:v>29</x:v>
      </x:c>
      <x:c r="N108" s="14" t="n">
        <x:v>0.7684685196570483</x:v>
      </x:c>
      <x:c r="O108" s="14" t="n">
        <x:v>0.23153148034295168</x:v>
      </x:c>
      <x:c r="P108" s="14" t="n">
        <x:v>0.38860736883452945</x:v>
      </x:c>
      <x:c r="Q108" s="14" t="n">
        <x:v>0.2791321221938389</x:v>
      </x:c>
      <x:c r="R108" s="14" t="n">
        <x:v>0.24243461786840767</x:v>
      </x:c>
      <x:c r="S108" s="14" t="n">
        <x:v>0.42437304072422627</x:v>
      </x:c>
      <x:c r="T108" t="str">
        <x:v>직장밀집·고매출밀도</x:v>
      </x:c>
      <x:c r="U108" s="16" t="n">
        <x:v>73.24649418097754</x:v>
      </x:c>
      <x:c r="V108" t="str">
        <x:v>자동차미용</x:v>
      </x:c>
      <x:c r="W108" t="str">
        <x:v>자동차미용 / 피부관리실 / 한식음식점</x:v>
      </x:c>
      <x:c r="X108" s="16" t="n">
        <x:v>67.73522756380348</x:v>
      </x:c>
    </x:row>
    <x:row r="109">
      <x:c r="A109" t="str">
        <x:v>3130248</x:v>
      </x:c>
      <x:c r="B109" t="str">
        <x:v>영등포역지하도상점가</x:v>
      </x:c>
      <x:c r="C109" t="str">
        <x:v>전통시장</x:v>
      </x:c>
      <x:c r="D109" t="str">
        <x:v>영등포구</x:v>
      </x:c>
      <x:c r="E109" t="str">
        <x:v>영등포본동</x:v>
      </x:c>
      <x:c r="F109" s="12" t="n">
        <x:v>154926</x:v>
      </x:c>
      <x:c r="G109" s="12" t="n">
        <x:v>48666413409</x:v>
      </x:c>
      <x:c r="H109" s="12" t="n">
        <x:v>4186334</x:v>
      </x:c>
      <x:c r="I109" s="12" t="n">
        <x:v>11625.067041712391</x:v>
      </x:c>
      <x:c r="J109" s="12" t="n">
        <x:v>314126.830932187</x:v>
      </x:c>
      <x:c r="K109" s="12" t="n">
        <x:v>1605</x:v>
      </x:c>
      <x:c r="L109" s="12" t="n">
        <x:v>103.59784671391503</x:v>
      </x:c>
      <x:c r="M109" s="12" t="n">
        <x:v>18</x:v>
      </x:c>
      <x:c r="N109" s="14" t="n">
        <x:v>0.6498329528666582</x:v>
      </x:c>
      <x:c r="O109" s="14" t="n">
        <x:v>0.3501670471333418</x:v>
      </x:c>
      <x:c r="P109" s="14" t="n">
        <x:v>0.3642222716523836</x:v>
      </x:c>
      <x:c r="Q109" s="14" t="n">
        <x:v>0.23190146140732218</x:v>
      </x:c>
      <x:c r="R109" s="14" t="n">
        <x:v>0.3769602889537645</x:v>
      </x:c>
      <x:c r="S109" s="14" t="n">
        <x:v>0.5962514819025833</x:v>
      </x:c>
      <x:c r="T109" t="str">
        <x:v>여성소비·고매출밀도</x:v>
      </x:c>
      <x:c r="U109" s="16" t="n">
        <x:v>80.41537443458945</x:v>
      </x:c>
      <x:c r="V109" t="str">
        <x:v>미용실</x:v>
      </x:c>
      <x:c r="W109" t="str">
        <x:v>미용실 / 가방 / 커피-음료</x:v>
      </x:c>
      <x:c r="X109" s="16" t="n">
        <x:v>73.14879844869165</x:v>
      </x:c>
    </x:row>
    <x:row r="110">
      <x:c r="A110" t="str">
        <x:v>3120217</x:v>
      </x:c>
      <x:c r="B110" t="str">
        <x:v>대치사거리</x:v>
      </x:c>
      <x:c r="C110" t="str">
        <x:v>발달상권</x:v>
      </x:c>
      <x:c r="D110" t="str">
        <x:v>강남구</x:v>
      </x:c>
      <x:c r="E110" t="str">
        <x:v>대치4동</x:v>
      </x:c>
      <x:c r="F110" s="12" t="n">
        <x:v>159411</x:v>
      </x:c>
      <x:c r="G110" s="12" t="n">
        <x:v>48619830354</x:v>
      </x:c>
      <x:c r="H110" s="12" t="n">
        <x:v>714159</x:v>
      </x:c>
      <x:c r="I110" s="12" t="n">
        <x:v>68079.83985919102</x:v>
      </x:c>
      <x:c r="J110" s="12" t="n">
        <x:v>304996.7088469428</x:v>
      </x:c>
      <x:c r="K110" s="12" t="n">
        <x:v>6420</x:v>
      </x:c>
      <x:c r="L110" s="12" t="n">
        <x:v>402.73255923367896</x:v>
      </x:c>
      <x:c r="M110" s="12" t="n">
        <x:v>28</x:v>
      </x:c>
      <x:c r="N110" s="14" t="n">
        <x:v>0.6912833165045148</x:v>
      </x:c>
      <x:c r="O110" s="14" t="n">
        <x:v>0.30871668349548514</x:v>
      </x:c>
      <x:c r="P110" s="14" t="n">
        <x:v>0.45068859674038836</x:v>
      </x:c>
      <x:c r="Q110" s="14" t="n">
        <x:v>0.17051972357032136</x:v>
      </x:c>
      <x:c r="R110" s="14" t="n">
        <x:v>0.07318486767832295</x:v>
      </x:c>
      <x:c r="S110" s="14" t="n">
        <x:v>0.5284319990821661</x:v>
      </x:c>
      <x:c r="T110" t="str">
        <x:v>직장밀집·고매출밀도</x:v>
      </x:c>
      <x:c r="U110" s="16" t="n">
        <x:v>69.60519001526075</x:v>
      </x:c>
      <x:c r="V110" t="str">
        <x:v>예술학원</x:v>
      </x:c>
      <x:c r="W110" t="str">
        <x:v>예술학원 / 슈퍼마켓 / 가구</x:v>
      </x:c>
      <x:c r="X110" s="16" t="n">
        <x:v>68.40738640806607</x:v>
      </x:c>
    </x:row>
    <x:row r="111">
      <x:c r="A111" t="str">
        <x:v>3120132</x:v>
      </x:c>
      <x:c r="B111" t="str">
        <x:v>독산동</x:v>
      </x:c>
      <x:c r="C111" t="str">
        <x:v>발달상권</x:v>
      </x:c>
      <x:c r="D111" t="str">
        <x:v>금천구</x:v>
      </x:c>
      <x:c r="E111" t="str">
        <x:v>독산1동</x:v>
      </x:c>
      <x:c r="F111" s="12" t="n">
        <x:v>530021</x:v>
      </x:c>
      <x:c r="G111" s="12" t="n">
        <x:v>48138493864</x:v>
      </x:c>
      <x:c r="H111" s="12" t="n">
        <x:v>1659543</x:v>
      </x:c>
      <x:c r="I111" s="12" t="n">
        <x:v>29007.07837278094</x:v>
      </x:c>
      <x:c r="J111" s="12" t="n">
        <x:v>90823.74823639063</x:v>
      </x:c>
      <x:c r="K111" s="12" t="n">
        <x:v>7998</x:v>
      </x:c>
      <x:c r="L111" s="12" t="n">
        <x:v>150.89968133338112</x:v>
      </x:c>
      <x:c r="M111" s="12" t="n">
        <x:v>43</x:v>
      </x:c>
      <x:c r="N111" s="14" t="n">
        <x:v>0.7299271398534007</x:v>
      </x:c>
      <x:c r="O111" s="14" t="n">
        <x:v>0.2700728601465993</x:v>
      </x:c>
      <x:c r="P111" s="14" t="n">
        <x:v>0.26358279920113953</x:v>
      </x:c>
      <x:c r="Q111" s="14" t="n">
        <x:v>0.2874216751169936</x:v>
      </x:c>
      <x:c r="R111" s="14" t="n">
        <x:v>0.24030003625956403</x:v>
      </x:c>
      <x:c r="S111" s="14" t="n">
        <x:v>0.49665449992151833</x:v>
      </x:c>
      <x:c r="T111" t="str">
        <x:v>여성소비·직장밀집</x:v>
      </x:c>
      <x:c r="U111" s="16" t="n">
        <x:v>77.22371117773798</x:v>
      </x:c>
      <x:c r="V111" t="str">
        <x:v>육류판매</x:v>
      </x:c>
      <x:c r="W111" t="str">
        <x:v>육류판매 / 의약품 / 시계및귀금속</x:v>
      </x:c>
      <x:c r="X111" s="16" t="n">
        <x:v>74.95214766141612</x:v>
      </x:c>
    </x:row>
    <x:row r="112">
      <x:c r="A112" t="str">
        <x:v>3120098</x:v>
      </x:c>
      <x:c r="B112" t="str">
        <x:v>DMC(디지털미디어시티)</x:v>
      </x:c>
      <x:c r="C112" t="str">
        <x:v>발달상권</x:v>
      </x:c>
      <x:c r="D112" t="str">
        <x:v>마포구</x:v>
      </x:c>
      <x:c r="E112" t="str">
        <x:v>상암동</x:v>
      </x:c>
      <x:c r="F112" s="12" t="n">
        <x:v>347758</x:v>
      </x:c>
      <x:c r="G112" s="12" t="n">
        <x:v>47350719377</x:v>
      </x:c>
      <x:c r="H112" s="12" t="n">
        <x:v>2901696</x:v>
      </x:c>
      <x:c r="I112" s="12" t="n">
        <x:v>16318.290881263923</x:v>
      </x:c>
      <x:c r="J112" s="12" t="n">
        <x:v>136159.9715233007</x:v>
      </x:c>
      <x:c r="K112" s="12" t="n">
        <x:v>15261</x:v>
      </x:c>
      <x:c r="L112" s="12" t="n">
        <x:v>438.8396528620477</x:v>
      </x:c>
      <x:c r="M112" s="12" t="n">
        <x:v>29</x:v>
      </x:c>
      <x:c r="N112" s="14" t="n">
        <x:v>0.8629292145210231</x:v>
      </x:c>
      <x:c r="O112" s="14" t="n">
        <x:v>0.13707078547897686</x:v>
      </x:c>
      <x:c r="P112" s="14" t="n">
        <x:v>0.27994978890307726</x:v>
      </x:c>
      <x:c r="Q112" s="14" t="n">
        <x:v>0.4001778473127927</x:v>
      </x:c>
      <x:c r="R112" s="14" t="n">
        <x:v>0.30848419545015693</x:v>
      </x:c>
      <x:c r="S112" s="14" t="n">
        <x:v>0.3327476126509114</x:v>
      </x:c>
      <x:c r="T112" t="str">
        <x:v>평일집중·직장밀집</x:v>
      </x:c>
      <x:c r="U112" s="16" t="n">
        <x:v>77.00842155281967</x:v>
      </x:c>
      <x:c r="V112" t="str">
        <x:v>일반의류</x:v>
      </x:c>
      <x:c r="W112" t="str">
        <x:v>일반의류 / 컴퓨터및주변장치판매 / 일반의원</x:v>
      </x:c>
      <x:c r="X112" s="16" t="n">
        <x:v>72.23939323211843</x:v>
      </x:c>
    </x:row>
    <x:row r="113">
      <x:c r="A113" t="str">
        <x:v>3120041</x:v>
      </x:c>
      <x:c r="B113" t="str">
        <x:v>신용산역(용산역)</x:v>
      </x:c>
      <x:c r="C113" t="str">
        <x:v>발달상권</x:v>
      </x:c>
      <x:c r="D113" t="str">
        <x:v>용산구</x:v>
      </x:c>
      <x:c r="E113" t="str">
        <x:v>한강로동</x:v>
      </x:c>
      <x:c r="F113" s="12" t="n">
        <x:v>1031423</x:v>
      </x:c>
      <x:c r="G113" s="12" t="n">
        <x:v>47098717361</x:v>
      </x:c>
      <x:c r="H113" s="12" t="n">
        <x:v>1441949</x:v>
      </x:c>
      <x:c r="I113" s="12" t="n">
        <x:v>32663.233832125825</x:v>
      </x:c>
      <x:c r="J113" s="12" t="n">
        <x:v>45663.82304932118</x:v>
      </x:c>
      <x:c r="K113" s="12" t="n">
        <x:v>36527</x:v>
      </x:c>
      <x:c r="L113" s="12" t="n">
        <x:v>354.14180215100885</x:v>
      </x:c>
      <x:c r="M113" s="12" t="n">
        <x:v>34</x:v>
      </x:c>
      <x:c r="N113" s="14" t="n">
        <x:v>0.7643143064615229</x:v>
      </x:c>
      <x:c r="O113" s="14" t="n">
        <x:v>0.23568569353847715</x:v>
      </x:c>
      <x:c r="P113" s="14" t="n">
        <x:v>0.5196048805835335</x:v>
      </x:c>
      <x:c r="Q113" s="14" t="n">
        <x:v>0.2407101630200167</x:v>
      </x:c>
      <x:c r="R113" s="14" t="n">
        <x:v>0.429185856613969</x:v>
      </x:c>
      <x:c r="S113" s="14" t="n">
        <x:v>0.35081454170728155</x:v>
      </x:c>
      <x:c r="T113" t="str">
        <x:v>2030소비·직장밀집</x:v>
      </x:c>
      <x:c r="U113" s="16" t="n">
        <x:v>71.9202637351434</x:v>
      </x:c>
      <x:c r="V113" t="str">
        <x:v>노래방</x:v>
      </x:c>
      <x:c r="W113" t="str">
        <x:v>노래방 / 치킨전문점 / 일반의류</x:v>
      </x:c>
      <x:c r="X113" s="16" t="n">
        <x:v>68.22923373394421</x:v>
      </x:c>
    </x:row>
    <x:row r="114">
      <x:c r="A114" t="str">
        <x:v>3120169</x:v>
      </x:c>
      <x:c r="B114" t="str">
        <x:v>서초역</x:v>
      </x:c>
      <x:c r="C114" t="str">
        <x:v>발달상권</x:v>
      </x:c>
      <x:c r="D114" t="str">
        <x:v>서초구</x:v>
      </x:c>
      <x:c r="E114" t="str">
        <x:v>서초3동</x:v>
      </x:c>
      <x:c r="F114" s="12" t="n">
        <x:v>242820</x:v>
      </x:c>
      <x:c r="G114" s="12" t="n">
        <x:v>46978805368</x:v>
      </x:c>
      <x:c r="H114" s="12" t="n">
        <x:v>2102979</x:v>
      </x:c>
      <x:c r="I114" s="12" t="n">
        <x:v>22339.169990760725</x:v>
      </x:c>
      <x:c r="J114" s="12" t="n">
        <x:v>193471.72954451857</x:v>
      </x:c>
      <x:c r="K114" s="12" t="n">
        <x:v>15721</x:v>
      </x:c>
      <x:c r="L114" s="12" t="n">
        <x:v>647.4343134832386</x:v>
      </x:c>
      <x:c r="M114" s="12" t="n">
        <x:v>31</x:v>
      </x:c>
      <x:c r="N114" s="14" t="n">
        <x:v>0.905115352804686</x:v>
      </x:c>
      <x:c r="O114" s="14" t="n">
        <x:v>0.09488464719531392</x:v>
      </x:c>
      <x:c r="P114" s="14" t="n">
        <x:v>0.22484571300306122</x:v>
      </x:c>
      <x:c r="Q114" s="14" t="n">
        <x:v>0.4501642780257937</x:v>
      </x:c>
      <x:c r="R114" s="14" t="n">
        <x:v>0.18845791423701577</x:v>
      </x:c>
      <x:c r="S114" s="14" t="n">
        <x:v>0.3264176306076392</x:v>
      </x:c>
      <x:c r="T114" t="str">
        <x:v>평일집중·직장밀집</x:v>
      </x:c>
      <x:c r="U114" s="16" t="n">
        <x:v>74.11299677315824</x:v>
      </x:c>
      <x:c r="V114" t="str">
        <x:v>일반의류</x:v>
      </x:c>
      <x:c r="W114" t="str">
        <x:v>일반의류 / 인테리어 / 노래방</x:v>
      </x:c>
      <x:c r="X114" s="16" t="n">
        <x:v>67.59464165954869</x:v>
      </x:c>
    </x:row>
    <x:row r="115">
      <x:c r="A115" t="str">
        <x:v>3120026</x:v>
      </x:c>
      <x:c r="B115" t="str">
        <x:v>을지로입구역</x:v>
      </x:c>
      <x:c r="C115" t="str">
        <x:v>발달상권</x:v>
      </x:c>
      <x:c r="D115" t="str">
        <x:v>중구</x:v>
      </x:c>
      <x:c r="E115" t="str">
        <x:v>명동</x:v>
      </x:c>
      <x:c r="F115" s="12" t="n">
        <x:v>200306</x:v>
      </x:c>
      <x:c r="G115" s="12" t="n">
        <x:v>46787479927</x:v>
      </x:c>
      <x:c r="H115" s="12" t="n">
        <x:v>2263433</x:v>
      </x:c>
      <x:c r="I115" s="12" t="n">
        <x:v>20671.02491083235</x:v>
      </x:c>
      <x:c r="J115" s="12" t="n">
        <x:v>233580.0222010324</x:v>
      </x:c>
      <x:c r="K115" s="12" t="n">
        <x:v>43168</x:v>
      </x:c>
      <x:c r="L115" s="12" t="n">
        <x:v>2155.1026928798938</x:v>
      </x:c>
      <x:c r="M115" s="12" t="n">
        <x:v>24</x:v>
      </x:c>
      <x:c r="N115" s="14" t="n">
        <x:v>0.9195360944664285</x:v>
      </x:c>
      <x:c r="O115" s="14" t="n">
        <x:v>0.08046390553357148</x:v>
      </x:c>
      <x:c r="P115" s="14" t="n">
        <x:v>0.41553464857124234</x:v>
      </x:c>
      <x:c r="Q115" s="14" t="n">
        <x:v>0.36811769364096103</x:v>
      </x:c>
      <x:c r="R115" s="14" t="n">
        <x:v>0.2367162979557841</x:v>
      </x:c>
      <x:c r="S115" s="14" t="n">
        <x:v>0.23805731164358893</x:v>
      </x:c>
      <x:c r="T115" t="str">
        <x:v>직장밀집·평일집중</x:v>
      </x:c>
      <x:c r="U115" s="16" t="n">
        <x:v>70.04035169149122</x:v>
      </x:c>
      <x:c r="V115" t="str">
        <x:v>제과점</x:v>
      </x:c>
      <x:c r="W115" t="str">
        <x:v>제과점 / 한식음식점 / 호프-간이주점</x:v>
      </x:c>
      <x:c r="X115" s="16" t="n">
        <x:v>66.33622856392886</x:v>
      </x:c>
    </x:row>
    <x:row r="116">
      <x:c r="A116" t="str">
        <x:v>3130070</x:v>
      </x:c>
      <x:c r="B116" t="str">
        <x:v>뚝섬역상점가</x:v>
      </x:c>
      <x:c r="C116" t="str">
        <x:v>전통시장</x:v>
      </x:c>
      <x:c r="D116" t="str">
        <x:v>성동구</x:v>
      </x:c>
      <x:c r="E116" t="str">
        <x:v>성수1가2동</x:v>
      </x:c>
      <x:c r="F116" s="12" t="n">
        <x:v>56166</x:v>
      </x:c>
      <x:c r="G116" s="12" t="n">
        <x:v>45405568682</x:v>
      </x:c>
      <x:c r="H116" s="12" t="n">
        <x:v>1020537</x:v>
      </x:c>
      <x:c r="I116" s="12" t="n">
        <x:v>44491.839768670805</x:v>
      </x:c>
      <x:c r="J116" s="12" t="n">
        <x:v>808417.3464729552</x:v>
      </x:c>
      <x:c r="K116" s="12" t="n">
        <x:v>1725</x:v>
      </x:c>
      <x:c r="L116" s="12" t="n">
        <x:v>307.12530712530713</x:v>
      </x:c>
      <x:c r="M116" s="12" t="n">
        <x:v>32</x:v>
      </x:c>
      <x:c r="N116" s="14" t="n">
        <x:v>0.710114024202984</x:v>
      </x:c>
      <x:c r="O116" s="14" t="n">
        <x:v>0.289885975797016</x:v>
      </x:c>
      <x:c r="P116" s="14" t="n">
        <x:v>0.20054343989770976</x:v>
      </x:c>
      <x:c r="Q116" s="14" t="n">
        <x:v>0.346754833493399</x:v>
      </x:c>
      <x:c r="R116" s="14" t="n">
        <x:v>0.2729358897317995</x:v>
      </x:c>
      <x:c r="S116" s="14" t="n">
        <x:v>0.390221001417035</x:v>
      </x:c>
      <x:c r="T116" t="str">
        <x:v>고매출밀도·직장밀집</x:v>
      </x:c>
      <x:c r="U116" s="16" t="n">
        <x:v>84.01029889574322</x:v>
      </x:c>
      <x:c r="V116" t="str">
        <x:v>육류판매</x:v>
      </x:c>
      <x:c r="W116" t="str">
        <x:v>육류판매 / 컴퓨터및주변장치판매 / 일반교습학원</x:v>
      </x:c>
      <x:c r="X116" s="16" t="n">
        <x:v>71.27582350446845</x:v>
      </x:c>
    </x:row>
    <x:row r="117">
      <x:c r="A117" t="str">
        <x:v>3120039</x:v>
      </x:c>
      <x:c r="B117" t="str">
        <x:v>신당역</x:v>
      </x:c>
      <x:c r="C117" t="str">
        <x:v>발달상권</x:v>
      </x:c>
      <x:c r="D117" t="str">
        <x:v>중구</x:v>
      </x:c>
      <x:c r="E117" t="str">
        <x:v>신당동</x:v>
      </x:c>
      <x:c r="F117" s="12" t="n">
        <x:v>198976</x:v>
      </x:c>
      <x:c r="G117" s="12" t="n">
        <x:v>45337378868</x:v>
      </x:c>
      <x:c r="H117" s="12" t="n">
        <x:v>1550974</x:v>
      </x:c>
      <x:c r="I117" s="12" t="n">
        <x:v>29231.553119523604</x:v>
      </x:c>
      <x:c r="J117" s="12" t="n">
        <x:v>227853.50428192344</x:v>
      </x:c>
      <x:c r="K117" s="12" t="n">
        <x:v>2321</x:v>
      </x:c>
      <x:c r="L117" s="12" t="n">
        <x:v>116.6472338372467</x:v>
      </x:c>
      <x:c r="M117" s="12" t="n">
        <x:v>35</x:v>
      </x:c>
      <x:c r="N117" s="14" t="n">
        <x:v>0.7045171069107514</x:v>
      </x:c>
      <x:c r="O117" s="14" t="n">
        <x:v>0.2954828930892485</x:v>
      </x:c>
      <x:c r="P117" s="14" t="n">
        <x:v>0.37024471319509455</x:v>
      </x:c>
      <x:c r="Q117" s="14" t="n">
        <x:v>0.23913850554894853</x:v>
      </x:c>
      <x:c r="R117" s="14" t="n">
        <x:v>0.4189177465088386</x:v>
      </x:c>
      <x:c r="S117" s="14" t="n">
        <x:v>0.4751803780214955</x:v>
      </x:c>
      <x:c r="T117" t="str">
        <x:v>2030소비·고매출밀도</x:v>
      </x:c>
      <x:c r="U117" s="16" t="n">
        <x:v>75.48144197472327</x:v>
      </x:c>
      <x:c r="V117" t="str">
        <x:v>당구장</x:v>
      </x:c>
      <x:c r="W117" t="str">
        <x:v>당구장 / 철물점 / 일반의류</x:v>
      </x:c>
      <x:c r="X117" s="16" t="n">
        <x:v>71.81696487364505</x:v>
      </x:c>
    </x:row>
    <x:row r="118">
      <x:c r="A118" t="str">
        <x:v>3120248</x:v>
      </x:c>
      <x:c r="B118" t="str">
        <x:v>명일역</x:v>
      </x:c>
      <x:c r="C118" t="str">
        <x:v>발달상권</x:v>
      </x:c>
      <x:c r="D118" t="str">
        <x:v>강동구</x:v>
      </x:c>
      <x:c r="E118" t="str">
        <x:v>명일1동</x:v>
      </x:c>
      <x:c r="F118" s="12" t="n">
        <x:v>143099</x:v>
      </x:c>
      <x:c r="G118" s="12" t="n">
        <x:v>45084769340</x:v>
      </x:c>
      <x:c r="H118" s="12" t="n">
        <x:v>1574047</x:v>
      </x:c>
      <x:c r="I118" s="12" t="n">
        <x:v>28642.581409576716</x:v>
      </x:c>
      <x:c r="J118" s="12" t="n">
        <x:v>315059.98881892953</x:v>
      </x:c>
      <x:c r="K118" s="12" t="n">
        <x:v>2489</x:v>
      </x:c>
      <x:c r="L118" s="12" t="n">
        <x:v>173.93552715253074</x:v>
      </x:c>
      <x:c r="M118" s="12" t="n">
        <x:v>39</x:v>
      </x:c>
      <x:c r="N118" s="14" t="n">
        <x:v>0.7682224367347734</x:v>
      </x:c>
      <x:c r="O118" s="14" t="n">
        <x:v>0.23177756326522664</x:v>
      </x:c>
      <x:c r="P118" s="14" t="n">
        <x:v>0.3599561561159359</x:v>
      </x:c>
      <x:c r="Q118" s="14" t="n">
        <x:v>0.24538147720287307</x:v>
      </x:c>
      <x:c r="R118" s="14" t="n">
        <x:v>0.18727848418886908</x:v>
      </x:c>
      <x:c r="S118" s="14" t="n">
        <x:v>0.49711213642864344</x:v>
      </x:c>
      <x:c r="T118" t="str">
        <x:v>고매출밀도·여성소비</x:v>
      </x:c>
      <x:c r="U118" s="16" t="n">
        <x:v>80.13848751007748</x:v>
      </x:c>
      <x:c r="V118" t="str">
        <x:v>서적</x:v>
      </x:c>
      <x:c r="W118" t="str">
        <x:v>서적 / 당구장 / 편의점</x:v>
      </x:c>
      <x:c r="X118" s="16" t="n">
        <x:v>74.89656586277881</x:v>
      </x:c>
    </x:row>
    <x:row r="119">
      <x:c r="A119" t="str">
        <x:v>3120032</x:v>
      </x:c>
      <x:c r="B119" t="str">
        <x:v>충무로역</x:v>
      </x:c>
      <x:c r="C119" t="str">
        <x:v>발달상권</x:v>
      </x:c>
      <x:c r="D119" t="str">
        <x:v>중구</x:v>
      </x:c>
      <x:c r="E119" t="str">
        <x:v>필동</x:v>
      </x:c>
      <x:c r="F119" s="12" t="n">
        <x:v>236516</x:v>
      </x:c>
      <x:c r="G119" s="12" t="n">
        <x:v>44982900121</x:v>
      </x:c>
      <x:c r="H119" s="12" t="n">
        <x:v>1910343</x:v>
      </x:c>
      <x:c r="I119" s="12" t="n">
        <x:v>23547.028005441956</x:v>
      </x:c>
      <x:c r="J119" s="12" t="n">
        <x:v>190189.6705550576</x:v>
      </x:c>
      <x:c r="K119" s="12" t="n">
        <x:v>12883</x:v>
      </x:c>
      <x:c r="L119" s="12" t="n">
        <x:v>544.6988787227925</x:v>
      </x:c>
      <x:c r="M119" s="12" t="n">
        <x:v>31</x:v>
      </x:c>
      <x:c r="N119" s="14" t="n">
        <x:v>0.8739122794274405</x:v>
      </x:c>
      <x:c r="O119" s="14" t="n">
        <x:v>0.1260877205725595</x:v>
      </x:c>
      <x:c r="P119" s="14" t="n">
        <x:v>0.3750258210035786</x:v>
      </x:c>
      <x:c r="Q119" s="14" t="n">
        <x:v>0.3179619537541289</x:v>
      </x:c>
      <x:c r="R119" s="14" t="n">
        <x:v>0.23456050322718586</x:v>
      </x:c>
      <x:c r="S119" s="14" t="n">
        <x:v>0.24891765895220103</x:v>
      </x:c>
      <x:c r="T119" t="str">
        <x:v>평일집중·직장밀집</x:v>
      </x:c>
      <x:c r="U119" s="16" t="n">
        <x:v>78.116043354963</x:v>
      </x:c>
      <x:c r="V119" t="str">
        <x:v>세탁소</x:v>
      </x:c>
      <x:c r="W119" t="str">
        <x:v>세탁소 / 당구장 / 피부관리실</x:v>
      </x:c>
      <x:c r="X119" s="16" t="n">
        <x:v>77.00370694302651</x:v>
      </x:c>
    </x:row>
    <x:row r="120">
      <x:c r="A120" t="str">
        <x:v>3120235</x:v>
      </x:c>
      <x:c r="B120" t="str">
        <x:v>문정역</x:v>
      </x:c>
      <x:c r="C120" t="str">
        <x:v>발달상권</x:v>
      </x:c>
      <x:c r="D120" t="str">
        <x:v>송파구</x:v>
      </x:c>
      <x:c r="E120" t="str">
        <x:v>문정2동</x:v>
      </x:c>
      <x:c r="F120" s="12" t="n">
        <x:v>333436</x:v>
      </x:c>
      <x:c r="G120" s="12" t="n">
        <x:v>44725065576</x:v>
      </x:c>
      <x:c r="H120" s="12" t="n">
        <x:v>2236761</x:v>
      </x:c>
      <x:c r="I120" s="12" t="n">
        <x:v>19995.460210545516</x:v>
      </x:c>
      <x:c r="J120" s="12" t="n">
        <x:v>134133.8834918845</x:v>
      </x:c>
      <x:c r="K120" s="12" t="n">
        <x:v>66136</x:v>
      </x:c>
      <x:c r="L120" s="12" t="n">
        <x:v>1983.4690915198119</x:v>
      </x:c>
      <x:c r="M120" s="12" t="n">
        <x:v>28</x:v>
      </x:c>
      <x:c r="N120" s="14" t="n">
        <x:v>0.8685512035525159</x:v>
      </x:c>
      <x:c r="O120" s="14" t="n">
        <x:v>0.13144879644748406</x:v>
      </x:c>
      <x:c r="P120" s="14" t="n">
        <x:v>0.34219179547078415</x:v>
      </x:c>
      <x:c r="Q120" s="14" t="n">
        <x:v>0.3564033488539742</x:v>
      </x:c>
      <x:c r="R120" s="14" t="n">
        <x:v>0.3142213379680613</x:v>
      </x:c>
      <x:c r="S120" s="14" t="n">
        <x:v>0.2663091302518161</x:v>
      </x:c>
      <x:c r="T120" t="str">
        <x:v>직장밀집·평일집중</x:v>
      </x:c>
      <x:c r="U120" s="16" t="n">
        <x:v>71.30496274465428</x:v>
      </x:c>
      <x:c r="V120" t="str">
        <x:v>일반의류</x:v>
      </x:c>
      <x:c r="W120" t="str">
        <x:v>일반의류 / 일식음식점 / 편의점</x:v>
      </x:c>
      <x:c r="X120" s="16" t="n">
        <x:v>64.91410913918253</x:v>
      </x:c>
    </x:row>
    <x:row r="121">
      <x:c r="A121" t="str">
        <x:v>3120170</x:v>
      </x:c>
      <x:c r="B121" t="str">
        <x:v>삼호가든사거리</x:v>
      </x:c>
      <x:c r="C121" t="str">
        <x:v>발달상권</x:v>
      </x:c>
      <x:c r="D121" t="str">
        <x:v>서초구</x:v>
      </x:c>
      <x:c r="E121" t="str">
        <x:v>반포4동</x:v>
      </x:c>
      <x:c r="F121" s="12" t="n">
        <x:v>100858</x:v>
      </x:c>
      <x:c r="G121" s="12" t="n">
        <x:v>44123763106</x:v>
      </x:c>
      <x:c r="H121" s="12" t="n">
        <x:v>909025</x:v>
      </x:c>
      <x:c r="I121" s="12" t="n">
        <x:v>48539.658541844285</x:v>
      </x:c>
      <x:c r="J121" s="12" t="n">
        <x:v>437484.0181839814</x:v>
      </x:c>
      <x:c r="K121" s="12" t="n">
        <x:v>13848</x:v>
      </x:c>
      <x:c r="L121" s="12" t="n">
        <x:v>1373.0194927521864</x:v>
      </x:c>
      <x:c r="M121" s="12" t="n">
        <x:v>28</x:v>
      </x:c>
      <x:c r="N121" s="14" t="n">
        <x:v>0.823285347982033</x:v>
      </x:c>
      <x:c r="O121" s="14" t="n">
        <x:v>0.176714652017967</x:v>
      </x:c>
      <x:c r="P121" s="14" t="n">
        <x:v>0.33931135320514244</x:v>
      </x:c>
      <x:c r="Q121" s="14" t="n">
        <x:v>0.2203450986862435</x:v>
      </x:c>
      <x:c r="R121" s="14" t="n">
        <x:v>0.11473353557443061</x:v>
      </x:c>
      <x:c r="S121" s="14" t="n">
        <x:v>0.5674093731501234</x:v>
      </x:c>
      <x:c r="T121" t="str">
        <x:v>직장밀집·고매출밀도</x:v>
      </x:c>
      <x:c r="U121" s="16" t="n">
        <x:v>80.53477257595293</x:v>
      </x:c>
      <x:c r="V121" t="str">
        <x:v>피부관리실</x:v>
      </x:c>
      <x:c r="W121" t="str">
        <x:v>피부관리실 / 일반의원 / 예술학원</x:v>
      </x:c>
      <x:c r="X121" s="16" t="n">
        <x:v>70.38453441306338</x:v>
      </x:c>
    </x:row>
    <x:row r="122">
      <x:c r="A122" t="str">
        <x:v>3120171</x:v>
      </x:c>
      <x:c r="B122" t="str">
        <x:v>서초3동사거리</x:v>
      </x:c>
      <x:c r="C122" t="str">
        <x:v>발달상권</x:v>
      </x:c>
      <x:c r="D122" t="str">
        <x:v>서초구</x:v>
      </x:c>
      <x:c r="E122" t="str">
        <x:v>서초3동</x:v>
      </x:c>
      <x:c r="F122" s="12" t="n">
        <x:v>235083</x:v>
      </x:c>
      <x:c r="G122" s="12" t="n">
        <x:v>43268935399</x:v>
      </x:c>
      <x:c r="H122" s="12" t="n">
        <x:v>1383247</x:v>
      </x:c>
      <x:c r="I122" s="12" t="n">
        <x:v>31280.70069842913</x:v>
      </x:c>
      <x:c r="J122" s="12" t="n">
        <x:v>184058.12159535143</x:v>
      </x:c>
      <x:c r="K122" s="12" t="n">
        <x:v>11164</x:v>
      </x:c>
      <x:c r="L122" s="12" t="n">
        <x:v>474.89610052619713</x:v>
      </x:c>
      <x:c r="M122" s="12" t="n">
        <x:v>33</x:v>
      </x:c>
      <x:c r="N122" s="14" t="n">
        <x:v>0.7864539334791781</x:v>
      </x:c>
      <x:c r="O122" s="14" t="n">
        <x:v>0.21354606652082192</x:v>
      </x:c>
      <x:c r="P122" s="14" t="n">
        <x:v>0.31895867981810705</x:v>
      </x:c>
      <x:c r="Q122" s="14" t="n">
        <x:v>0.33505636524939914</x:v>
      </x:c>
      <x:c r="R122" s="14" t="n">
        <x:v>0.20680575242918517</x:v>
      </x:c>
      <x:c r="S122" s="14" t="n">
        <x:v>0.4096253779197356</x:v>
      </x:c>
      <x:c r="T122" t="str">
        <x:v>직장밀집·고매출밀도</x:v>
      </x:c>
      <x:c r="U122" s="16" t="n">
        <x:v>77.31656706611426</x:v>
      </x:c>
      <x:c r="V122" t="str">
        <x:v>육류판매</x:v>
      </x:c>
      <x:c r="W122" t="str">
        <x:v>육류판매 / 스포츠클럽 / 예술학원</x:v>
      </x:c>
      <x:c r="X122" s="16" t="n">
        <x:v>67.80896444067477</x:v>
      </x:c>
    </x:row>
    <x:row r="123">
      <x:c r="A123" t="str">
        <x:v>3120108</x:v>
      </x:c>
      <x:c r="B123" t="str">
        <x:v>신정네거리역</x:v>
      </x:c>
      <x:c r="C123" t="str">
        <x:v>발달상권</x:v>
      </x:c>
      <x:c r="D123" t="str">
        <x:v>양천구</x:v>
      </x:c>
      <x:c r="E123" t="str">
        <x:v>신정4동</x:v>
      </x:c>
      <x:c r="F123" s="12" t="n">
        <x:v>184201</x:v>
      </x:c>
      <x:c r="G123" s="12" t="n">
        <x:v>43131537441</x:v>
      </x:c>
      <x:c r="H123" s="12" t="n">
        <x:v>1673181</x:v>
      </x:c>
      <x:c r="I123" s="12" t="n">
        <x:v>25778.16592526451</x:v>
      </x:c>
      <x:c r="J123" s="12" t="n">
        <x:v>234154.7409677472</x:v>
      </x:c>
      <x:c r="K123" s="12" t="n">
        <x:v>4014</x:v>
      </x:c>
      <x:c r="L123" s="12" t="n">
        <x:v>217.9141264162518</x:v>
      </x:c>
      <x:c r="M123" s="12" t="n">
        <x:v>46</x:v>
      </x:c>
      <x:c r="N123" s="14" t="n">
        <x:v>0.724328828800397</x:v>
      </x:c>
      <x:c r="O123" s="14" t="n">
        <x:v>0.27567117119960305</x:v>
      </x:c>
      <x:c r="P123" s="14" t="n">
        <x:v>0.36523769129605044</x:v>
      </x:c>
      <x:c r="Q123" s="14" t="n">
        <x:v>0.250743980823635</x:v>
      </x:c>
      <x:c r="R123" s="14" t="n">
        <x:v>0.22250986274551612</x:v>
      </x:c>
      <x:c r="S123" s="14" t="n">
        <x:v>0.47056773143696756</x:v>
      </x:c>
      <x:c r="T123" t="str">
        <x:v>고매출밀도·직장밀집</x:v>
      </x:c>
      <x:c r="U123" s="16" t="n">
        <x:v>71.00448462957658</x:v>
      </x:c>
      <x:c r="V123" t="str">
        <x:v>인테리어</x:v>
      </x:c>
      <x:c r="W123" t="str">
        <x:v>인테리어 / 의약품 / 청과상</x:v>
      </x:c>
      <x:c r="X123" s="16" t="n">
        <x:v>67.83536732874275</x:v>
      </x:c>
    </x:row>
    <x:row r="124">
      <x:c r="A124" t="str">
        <x:v>3110762</x:v>
      </x:c>
      <x:c r="B124" t="str">
        <x:v>선유도역 1번</x:v>
      </x:c>
      <x:c r="C124" t="str">
        <x:v>골목상권</x:v>
      </x:c>
      <x:c r="D124" t="str">
        <x:v>영등포구</x:v>
      </x:c>
      <x:c r="E124" t="str">
        <x:v>양평2동</x:v>
      </x:c>
      <x:c r="F124" s="12" t="n">
        <x:v>342694</x:v>
      </x:c>
      <x:c r="G124" s="12" t="n">
        <x:v>42877718847</x:v>
      </x:c>
      <x:c r="H124" s="12" t="n">
        <x:v>463932</x:v>
      </x:c>
      <x:c r="I124" s="12" t="n">
        <x:v>92422.42149064949</x:v>
      </x:c>
      <x:c r="J124" s="12" t="n">
        <x:v>125119.54935598522</x:v>
      </x:c>
      <x:c r="K124" s="12" t="n">
        <x:v>4542</x:v>
      </x:c>
      <x:c r="L124" s="12" t="n">
        <x:v>132.53806602975249</x:v>
      </x:c>
      <x:c r="M124" s="12" t="n">
        <x:v>31</x:v>
      </x:c>
      <x:c r="N124" s="14" t="n">
        <x:v>0.9580723576406914</x:v>
      </x:c>
      <x:c r="O124" s="14" t="n">
        <x:v>0.041927642359308556</x:v>
      </x:c>
      <x:c r="P124" s="14" t="n">
        <x:v>0.08525499313627234</x:v>
      </x:c>
      <x:c r="Q124" s="14" t="n">
        <x:v>0.07325918006992524</x:v>
      </x:c>
      <x:c r="R124" s="14" t="n">
        <x:v>0.06806848996362141</x:v>
      </x:c>
      <x:c r="S124" s="14" t="n">
        <x:v>0.08272838556681252</x:v>
      </x:c>
      <x:c r="T124" t="str">
        <x:v>평일집중·고매출밀도</x:v>
      </x:c>
      <x:c r="U124" s="16" t="n">
        <x:v>71.1209795321532</x:v>
      </x:c>
      <x:c r="V124" t="str">
        <x:v>의약품</x:v>
      </x:c>
      <x:c r="W124" t="str">
        <x:v>의약품 / 커피-음료 / 피부관리실</x:v>
      </x:c>
      <x:c r="X124" s="16" t="n">
        <x:v>65.69131799354648</x:v>
      </x:c>
    </x:row>
    <x:row r="125">
      <x:c r="A125" t="str">
        <x:v>3130035</x:v>
      </x:c>
      <x:c r="B125" t="str">
        <x:v>방산종합시장(방산시장)</x:v>
      </x:c>
      <x:c r="C125" t="str">
        <x:v>전통시장</x:v>
      </x:c>
      <x:c r="D125" t="str">
        <x:v>중구</x:v>
      </x:c>
      <x:c r="E125" t="str">
        <x:v>을지로동</x:v>
      </x:c>
      <x:c r="F125" s="12" t="n">
        <x:v>99727</x:v>
      </x:c>
      <x:c r="G125" s="12" t="n">
        <x:v>42517691500</x:v>
      </x:c>
      <x:c r="H125" s="12" t="n">
        <x:v>586068</x:v>
      </x:c>
      <x:c r="I125" s="12" t="n">
        <x:v>72547.36907662592</x:v>
      </x:c>
      <x:c r="J125" s="12" t="n">
        <x:v>426340.82545348804</x:v>
      </x:c>
      <x:c r="K125" s="12" t="n">
        <x:v>2783</x:v>
      </x:c>
      <x:c r="L125" s="12" t="n">
        <x:v>279.06183881997856</x:v>
      </x:c>
      <x:c r="M125" s="12" t="n">
        <x:v>16</x:v>
      </x:c>
      <x:c r="N125" s="14" t="n">
        <x:v>0.8627915446914609</x:v>
      </x:c>
      <x:c r="O125" s="14" t="n">
        <x:v>0.13720845530853903</x:v>
      </x:c>
      <x:c r="P125" s="14" t="n">
        <x:v>0.14221837994191194</x:v>
      </x:c>
      <x:c r="Q125" s="14" t="n">
        <x:v>0.33909118356061263</x:v>
      </x:c>
      <x:c r="R125" s="14" t="n">
        <x:v>0.11740872535377421</x:v>
      </x:c>
      <x:c r="S125" s="14" t="n">
        <x:v>0.29141105523097366</x:v>
      </x:c>
      <x:c r="T125" t="str">
        <x:v>고매출밀도·평일집중</x:v>
      </x:c>
      <x:c r="U125" s="16" t="n">
        <x:v>75.62925202392042</x:v>
      </x:c>
      <x:c r="V125" t="str">
        <x:v>인테리어</x:v>
      </x:c>
      <x:c r="W125" t="str">
        <x:v>인테리어 / 반찬가게 / 화장품</x:v>
      </x:c>
      <x:c r="X125" s="16" t="n">
        <x:v>67.12925993260035</x:v>
      </x:c>
    </x:row>
    <x:row r="126">
      <x:c r="A126" t="str">
        <x:v>3120134</x:v>
      </x:c>
      <x:c r="B126" t="str">
        <x:v>구로전화국</x:v>
      </x:c>
      <x:c r="C126" t="str">
        <x:v>발달상권</x:v>
      </x:c>
      <x:c r="D126" t="str">
        <x:v>금천구</x:v>
      </x:c>
      <x:c r="E126" t="str">
        <x:v>독산3동</x:v>
      </x:c>
      <x:c r="F126" s="12" t="n">
        <x:v>169662</x:v>
      </x:c>
      <x:c r="G126" s="12" t="n">
        <x:v>42467888478</x:v>
      </x:c>
      <x:c r="H126" s="12" t="n">
        <x:v>1257211</x:v>
      </x:c>
      <x:c r="I126" s="12" t="n">
        <x:v>33779.44392627809</x:v>
      </x:c>
      <x:c r="J126" s="12" t="n">
        <x:v>250308.78144781978</x:v>
      </x:c>
      <x:c r="K126" s="12" t="n">
        <x:v>1630</x:v>
      </x:c>
      <x:c r="L126" s="12" t="n">
        <x:v>96.07336940505239</x:v>
      </x:c>
      <x:c r="M126" s="12" t="n">
        <x:v>37</x:v>
      </x:c>
      <x:c r="N126" s="14" t="n">
        <x:v>0.7736078822006743</x:v>
      </x:c>
      <x:c r="O126" s="14" t="n">
        <x:v>0.22639211779932564</x:v>
      </x:c>
      <x:c r="P126" s="14" t="n">
        <x:v>0.233806394168708</x:v>
      </x:c>
      <x:c r="Q126" s="14" t="n">
        <x:v>0.24250559467620159</x:v>
      </x:c>
      <x:c r="R126" s="14" t="n">
        <x:v>0.1228358478595513</x:v>
      </x:c>
      <x:c r="S126" s="14" t="n">
        <x:v>0.38186498027565063</x:v>
      </x:c>
      <x:c r="T126" t="str">
        <x:v>고매출밀도·평일집중</x:v>
      </x:c>
      <x:c r="U126" s="16" t="n">
        <x:v>76.28639188634138</x:v>
      </x:c>
      <x:c r="V126" t="str">
        <x:v>패스트푸드점</x:v>
      </x:c>
      <x:c r="W126" t="str">
        <x:v>패스트푸드점 / 서적 / 인테리어</x:v>
      </x:c>
      <x:c r="X126" s="16" t="n">
        <x:v>72.77316023222838</x:v>
      </x:c>
    </x:row>
    <x:row r="127">
      <x:c r="A127" t="str">
        <x:v>3120090</x:v>
      </x:c>
      <x:c r="B127" t="str">
        <x:v>연신내역</x:v>
      </x:c>
      <x:c r="C127" t="str">
        <x:v>발달상권</x:v>
      </x:c>
      <x:c r="D127" t="str">
        <x:v>은평구</x:v>
      </x:c>
      <x:c r="E127" t="str">
        <x:v>불광1동</x:v>
      </x:c>
      <x:c r="F127" s="12" t="n">
        <x:v>134415</x:v>
      </x:c>
      <x:c r="G127" s="12" t="n">
        <x:v>41791413838</x:v>
      </x:c>
      <x:c r="H127" s="12" t="n">
        <x:v>1621762</x:v>
      </x:c>
      <x:c r="I127" s="12" t="n">
        <x:v>25769.141118117208</x:v>
      </x:c>
      <x:c r="J127" s="12" t="n">
        <x:v>310913.3194807127</x:v>
      </x:c>
      <x:c r="K127" s="12" t="n">
        <x:v>1147</x:v>
      </x:c>
      <x:c r="L127" s="12" t="n">
        <x:v>85.33273816166351</x:v>
      </x:c>
      <x:c r="M127" s="12" t="n">
        <x:v>36</x:v>
      </x:c>
      <x:c r="N127" s="14" t="n">
        <x:v>0.7838570742302438</x:v>
      </x:c>
      <x:c r="O127" s="14" t="n">
        <x:v>0.2161429257697563</x:v>
      </x:c>
      <x:c r="P127" s="14" t="n">
        <x:v>0.2925931023391571</x:v>
      </x:c>
      <x:c r="Q127" s="14" t="n">
        <x:v>0.26902493609290273</x:v>
      </x:c>
      <x:c r="R127" s="14" t="n">
        <x:v>0.2961427744937065</x:v>
      </x:c>
      <x:c r="S127" s="14" t="n">
        <x:v>0.6094037513955237</x:v>
      </x:c>
      <x:c r="T127" t="str">
        <x:v>여성소비·고매출밀도</x:v>
      </x:c>
      <x:c r="U127" s="16" t="n">
        <x:v>77.57381840784227</x:v>
      </x:c>
      <x:c r="V127" t="str">
        <x:v>분식전문점</x:v>
      </x:c>
      <x:c r="W127" t="str">
        <x:v>분식전문점 / 피부관리실 / 의약품</x:v>
      </x:c>
      <x:c r="X127" s="16" t="n">
        <x:v>74.19304893967737</x:v>
      </x:c>
    </x:row>
    <x:row r="128">
      <x:c r="A128" t="str">
        <x:v>3120069</x:v>
      </x:c>
      <x:c r="B128" t="str">
        <x:v>상봉역</x:v>
      </x:c>
      <x:c r="C128" t="str">
        <x:v>발달상권</x:v>
      </x:c>
      <x:c r="D128" t="str">
        <x:v>중랑구</x:v>
      </x:c>
      <x:c r="E128" t="str">
        <x:v>상봉2동</x:v>
      </x:c>
      <x:c r="F128" s="12" t="n">
        <x:v>205828</x:v>
      </x:c>
      <x:c r="G128" s="12" t="n">
        <x:v>41398042749</x:v>
      </x:c>
      <x:c r="H128" s="12" t="n">
        <x:v>2622199</x:v>
      </x:c>
      <x:c r="I128" s="12" t="n">
        <x:v>15787.528997227137</x:v>
      </x:c>
      <x:c r="J128" s="12" t="n">
        <x:v>201129.30577472452</x:v>
      </x:c>
      <x:c r="K128" s="12" t="n">
        <x:v>2554</x:v>
      </x:c>
      <x:c r="L128" s="12" t="n">
        <x:v>124.08418679674291</x:v>
      </x:c>
      <x:c r="M128" s="12" t="n">
        <x:v>34</x:v>
      </x:c>
      <x:c r="N128" s="14" t="n">
        <x:v>0.692849583998578</x:v>
      </x:c>
      <x:c r="O128" s="14" t="n">
        <x:v>0.30715041600142196</x:v>
      </x:c>
      <x:c r="P128" s="14" t="n">
        <x:v>0.44844872996920726</x:v>
      </x:c>
      <x:c r="Q128" s="14" t="n">
        <x:v>0.21326481470463396</x:v>
      </x:c>
      <x:c r="R128" s="14" t="n">
        <x:v>0.435454007289643</x:v>
      </x:c>
      <x:c r="S128" s="14" t="n">
        <x:v>0.5154356735745782</x:v>
      </x:c>
      <x:c r="T128" t="str">
        <x:v>2030소비·고매출밀도</x:v>
      </x:c>
      <x:c r="U128" s="16" t="n">
        <x:v>84.6930582492922</x:v>
      </x:c>
      <x:c r="V128" t="str">
        <x:v>제과점</x:v>
      </x:c>
      <x:c r="W128" t="str">
        <x:v>제과점 / 패스트푸드점 / 미용실</x:v>
      </x:c>
      <x:c r="X128" s="16" t="n">
        <x:v>76.96958289596377</x:v>
      </x:c>
    </x:row>
    <x:row r="129">
      <x:c r="A129" t="str">
        <x:v>3120079</x:v>
      </x:c>
      <x:c r="B129" t="str">
        <x:v>창동역</x:v>
      </x:c>
      <x:c r="C129" t="str">
        <x:v>발달상권</x:v>
      </x:c>
      <x:c r="D129" t="str">
        <x:v>도봉구</x:v>
      </x:c>
      <x:c r="E129" t="str">
        <x:v>창5동</x:v>
      </x:c>
      <x:c r="F129" s="12" t="n">
        <x:v>96097</x:v>
      </x:c>
      <x:c r="G129" s="12" t="n">
        <x:v>41327211151</x:v>
      </x:c>
      <x:c r="H129" s="12" t="n">
        <x:v>1949881</x:v>
      </x:c>
      <x:c r="I129" s="12" t="n">
        <x:v>21194.73503818951</x:v>
      </x:c>
      <x:c r="J129" s="12" t="n">
        <x:v>430057.2458141253</x:v>
      </x:c>
      <x:c r="K129" s="12" t="n">
        <x:v>3247</x:v>
      </x:c>
      <x:c r="L129" s="12" t="n">
        <x:v>337.8877592432646</x:v>
      </x:c>
      <x:c r="M129" s="12" t="n">
        <x:v>39</x:v>
      </x:c>
      <x:c r="N129" s="14" t="n">
        <x:v>0.7819373387651894</x:v>
      </x:c>
      <x:c r="O129" s="14" t="n">
        <x:v>0.2180626612348106</x:v>
      </x:c>
      <x:c r="P129" s="14" t="n">
        <x:v>0.31473172352413303</x:v>
      </x:c>
      <x:c r="Q129" s="14" t="n">
        <x:v>0.27904537254798417</x:v>
      </x:c>
      <x:c r="R129" s="14" t="n">
        <x:v>0.21537274548913343</x:v>
      </x:c>
      <x:c r="S129" s="14" t="n">
        <x:v>0.5177981007915702</x:v>
      </x:c>
      <x:c r="T129" t="str">
        <x:v>고매출밀도·직장밀집</x:v>
      </x:c>
      <x:c r="U129" s="16" t="n">
        <x:v>78.51415579922447</x:v>
      </x:c>
      <x:c r="V129" t="str">
        <x:v>시계및귀금속</x:v>
      </x:c>
      <x:c r="W129" t="str">
        <x:v>시계및귀금속 / PC방 / 예술학원</x:v>
      </x:c>
      <x:c r="X129" s="16" t="n">
        <x:v>75.52312771293116</x:v>
      </x:c>
    </x:row>
    <x:row r="130">
      <x:c r="A130" t="str">
        <x:v>3110759</x:v>
      </x:c>
      <x:c r="B130" t="str">
        <x:v>문래예술촌(문래창작촌)</x:v>
      </x:c>
      <x:c r="C130" t="str">
        <x:v>골목상권</x:v>
      </x:c>
      <x:c r="D130" t="str">
        <x:v>영등포구</x:v>
      </x:c>
      <x:c r="E130" t="str">
        <x:v>문래동</x:v>
      </x:c>
      <x:c r="F130" s="12" t="n">
        <x:v>299716</x:v>
      </x:c>
      <x:c r="G130" s="12" t="n">
        <x:v>41297995690</x:v>
      </x:c>
      <x:c r="H130" s="12" t="n">
        <x:v>964770</x:v>
      </x:c>
      <x:c r="I130" s="12" t="n">
        <x:v>42806.0529348964</x:v>
      </x:c>
      <x:c r="J130" s="12" t="n">
        <x:v>137790.4272377851</x:v>
      </x:c>
      <x:c r="K130" s="12" t="n">
        <x:v>23813</x:v>
      </x:c>
      <x:c r="L130" s="12" t="n">
        <x:v>794.5188111412136</x:v>
      </x:c>
      <x:c r="M130" s="12" t="n">
        <x:v>25</x:v>
      </x:c>
      <x:c r="N130" s="14" t="n">
        <x:v>0.8267301393822195</x:v>
      </x:c>
      <x:c r="O130" s="14" t="n">
        <x:v>0.1732698606177805</x:v>
      </x:c>
      <x:c r="P130" s="14" t="n">
        <x:v>0.3200247035523869</x:v>
      </x:c>
      <x:c r="Q130" s="14" t="n">
        <x:v>0.10091771889571816</x:v>
      </x:c>
      <x:c r="R130" s="14" t="n">
        <x:v>0.35194050607447286</x:v>
      </x:c>
      <x:c r="S130" s="14" t="n">
        <x:v>0.3147659652680834</x:v>
      </x:c>
      <x:c r="T130" t="str">
        <x:v>직장밀집·2030소비</x:v>
      </x:c>
      <x:c r="U130" s="16" t="n">
        <x:v>67.14904815644853</x:v>
      </x:c>
      <x:c r="V130" t="str">
        <x:v>편의점</x:v>
      </x:c>
      <x:c r="W130" t="str">
        <x:v>편의점 / 커피-음료 / 노래방</x:v>
      </x:c>
      <x:c r="X130" s="16" t="n">
        <x:v>61.88290048724026</x:v>
      </x:c>
    </x:row>
    <x:row r="131">
      <x:c r="A131" t="str">
        <x:v>3130318</x:v>
      </x:c>
      <x:c r="B131" t="str">
        <x:v>로데오거리상점가</x:v>
      </x:c>
      <x:c r="C131" t="str">
        <x:v>전통시장</x:v>
      </x:c>
      <x:c r="D131" t="str">
        <x:v>강동구</x:v>
      </x:c>
      <x:c r="E131" t="str">
        <x:v>천호2동</x:v>
      </x:c>
      <x:c r="F131" s="12" t="n">
        <x:v>56564</x:v>
      </x:c>
      <x:c r="G131" s="12" t="n">
        <x:v>40804072227</x:v>
      </x:c>
      <x:c r="H131" s="12" t="n">
        <x:v>1366240</x:v>
      </x:c>
      <x:c r="I131" s="12" t="n">
        <x:v>29865.96222259632</x:v>
      </x:c>
      <x:c r="J131" s="12" t="n">
        <x:v>721378.8315359593</x:v>
      </x:c>
      <x:c r="K131" s="12" t="n">
        <x:v>625</x:v>
      </x:c>
      <x:c r="L131" s="12" t="n">
        <x:v>110.49430733328619</x:v>
      </x:c>
      <x:c r="M131" s="12" t="n">
        <x:v>27</x:v>
      </x:c>
      <x:c r="N131" s="14" t="n">
        <x:v>0.7045707479406085</x:v>
      </x:c>
      <x:c r="O131" s="14" t="n">
        <x:v>0.2954292520593915</x:v>
      </x:c>
      <x:c r="P131" s="14" t="n">
        <x:v>0.46428808530694204</x:v>
      </x:c>
      <x:c r="Q131" s="14" t="n">
        <x:v>0.18611623221701049</x:v>
      </x:c>
      <x:c r="R131" s="14" t="n">
        <x:v>0.4769682748017943</x:v>
      </x:c>
      <x:c r="S131" s="14" t="n">
        <x:v>0.49430123429332296</x:v>
      </x:c>
      <x:c r="T131" t="str">
        <x:v>고매출밀도·2030소비</x:v>
      </x:c>
      <x:c r="U131" s="16" t="n">
        <x:v>70.16879762645206</x:v>
      </x:c>
      <x:c r="V131" t="str">
        <x:v>일식음식점</x:v>
      </x:c>
      <x:c r="W131" t="str">
        <x:v>일식음식점 / 양식음식점 / 일반의원</x:v>
      </x:c>
      <x:c r="X131" s="16" t="n">
        <x:v>67.56858489370504</x:v>
      </x:c>
    </x:row>
    <x:row r="132">
      <x:c r="A132" t="str">
        <x:v>3120033</x:v>
      </x:c>
      <x:c r="B132" t="str">
        <x:v>을지로4가역</x:v>
      </x:c>
      <x:c r="C132" t="str">
        <x:v>발달상권</x:v>
      </x:c>
      <x:c r="D132" t="str">
        <x:v>중구</x:v>
      </x:c>
      <x:c r="E132" t="str">
        <x:v>을지로동</x:v>
      </x:c>
      <x:c r="F132" s="12" t="n">
        <x:v>85528</x:v>
      </x:c>
      <x:c r="G132" s="12" t="n">
        <x:v>40581497998</x:v>
      </x:c>
      <x:c r="H132" s="12" t="n">
        <x:v>484470</x:v>
      </x:c>
      <x:c r="I132" s="12" t="n">
        <x:v>83764.72846203067</x:v>
      </x:c>
      <x:c r="J132" s="12" t="n">
        <x:v>474482.0175615003</x:v>
      </x:c>
      <x:c r="K132" s="12" t="n">
        <x:v>3944</x:v>
      </x:c>
      <x:c r="L132" s="12" t="n">
        <x:v>461.13553456178096</x:v>
      </x:c>
      <x:c r="M132" s="12" t="n">
        <x:v>11</x:v>
      </x:c>
      <x:c r="N132" s="14" t="n">
        <x:v>0.8935066128112622</x:v>
      </x:c>
      <x:c r="O132" s="14" t="n">
        <x:v>0.10649338718873776</x:v>
      </x:c>
      <x:c r="P132" s="14" t="n">
        <x:v>0.09723070568253694</x:v>
      </x:c>
      <x:c r="Q132" s="14" t="n">
        <x:v>0.28224427014903414</x:v>
      </x:c>
      <x:c r="R132" s="14" t="n">
        <x:v>0.08016782419319109</x:v>
      </x:c>
      <x:c r="S132" s="14" t="n">
        <x:v>0.18430901361424898</x:v>
      </x:c>
      <x:c r="T132" t="str">
        <x:v>고매출밀도·평일집중</x:v>
      </x:c>
      <x:c r="U132" s="16" t="n">
        <x:v>62.84313181377845</x:v>
      </x:c>
      <x:c r="V132" t="str">
        <x:v>조명용품</x:v>
      </x:c>
      <x:c r="W132" t="str">
        <x:v>조명용품 / 가방 / 편의점</x:v>
      </x:c>
      <x:c r="X132" s="16" t="n">
        <x:v>56.0488396107299</x:v>
      </x:c>
    </x:row>
    <x:row r="133">
      <x:c r="A133" t="str">
        <x:v>3120047</x:v>
      </x:c>
      <x:c r="B133" t="str">
        <x:v>한남오거리</x:v>
      </x:c>
      <x:c r="C133" t="str">
        <x:v>발달상권</x:v>
      </x:c>
      <x:c r="D133" t="str">
        <x:v>용산구</x:v>
      </x:c>
      <x:c r="E133" t="str">
        <x:v>한남동</x:v>
      </x:c>
      <x:c r="F133" s="12" t="n">
        <x:v>156210</x:v>
      </x:c>
      <x:c r="G133" s="12" t="n">
        <x:v>39683180124</x:v>
      </x:c>
      <x:c r="H133" s="12" t="n">
        <x:v>827475</x:v>
      </x:c>
      <x:c r="I133" s="12" t="n">
        <x:v>47956.95353213088</x:v>
      </x:c>
      <x:c r="J133" s="12" t="n">
        <x:v>254037.38636450932</x:v>
      </x:c>
      <x:c r="K133" s="12" t="n">
        <x:v>13257</x:v>
      </x:c>
      <x:c r="L133" s="12" t="n">
        <x:v>848.6652583061264</x:v>
      </x:c>
      <x:c r="M133" s="12" t="n">
        <x:v>32</x:v>
      </x:c>
      <x:c r="N133" s="14" t="n">
        <x:v>0.7526332472768936</x:v>
      </x:c>
      <x:c r="O133" s="14" t="n">
        <x:v>0.24736675272310643</x:v>
      </x:c>
      <x:c r="P133" s="14" t="n">
        <x:v>0.4945806276783262</x:v>
      </x:c>
      <x:c r="Q133" s="14" t="n">
        <x:v>0.1698074551974886</x:v>
      </x:c>
      <x:c r="R133" s="14" t="n">
        <x:v>0.3518961726949522</x:v>
      </x:c>
      <x:c r="S133" s="14" t="n">
        <x:v>0.3686440018488474</x:v>
      </x:c>
      <x:c r="T133" t="str">
        <x:v>직장밀집·고매출밀도</x:v>
      </x:c>
      <x:c r="U133" s="16" t="n">
        <x:v>76.98950152475469</x:v>
      </x:c>
      <x:c r="V133" t="str">
        <x:v>한식음식점</x:v>
      </x:c>
      <x:c r="W133" t="str">
        <x:v>한식음식점 / 피부관리실 / 의약품</x:v>
      </x:c>
      <x:c r="X133" s="16" t="n">
        <x:v>72.17278195551818</x:v>
      </x:c>
    </x:row>
    <x:row r="134">
      <x:c r="A134" t="str">
        <x:v>3120025</x:v>
      </x:c>
      <x:c r="B134" t="str">
        <x:v>롯데백화점(시청광장 지하쇼핑센터)</x:v>
      </x:c>
      <x:c r="C134" t="str">
        <x:v>발달상권</x:v>
      </x:c>
      <x:c r="D134" t="str">
        <x:v>중구</x:v>
      </x:c>
      <x:c r="E134" t="str">
        <x:v>소공동</x:v>
      </x:c>
      <x:c r="F134" s="12" t="n">
        <x:v>75261</x:v>
      </x:c>
      <x:c r="G134" s="12" t="n">
        <x:v>39552987207</x:v>
      </x:c>
      <x:c r="H134" s="12" t="n">
        <x:v>752377</x:v>
      </x:c>
      <x:c r="I134" s="12" t="n">
        <x:v>52570.70219716977</x:v>
      </x:c>
      <x:c r="J134" s="12" t="n">
        <x:v>525544.2687049069</x:v>
      </x:c>
      <x:c r="K134" s="12" t="n">
        <x:v>24494</x:v>
      </x:c>
      <x:c r="L134" s="12" t="n">
        <x:v>3254.5408644583517</x:v>
      </x:c>
      <x:c r="M134" s="12" t="n">
        <x:v>19</x:v>
      </x:c>
      <x:c r="N134" s="14" t="n">
        <x:v>0.8365621520021139</x:v>
      </x:c>
      <x:c r="O134" s="14" t="n">
        <x:v>0.1634378479978861</x:v>
      </x:c>
      <x:c r="P134" s="14" t="n">
        <x:v>0.29923868642481016</x:v>
      </x:c>
      <x:c r="Q134" s="14" t="n">
        <x:v>0.23225953437909194</x:v>
      </x:c>
      <x:c r="R134" s="14" t="n">
        <x:v>0.1855188949850384</x:v>
      </x:c>
      <x:c r="S134" s="14" t="n">
        <x:v>0.46442252191634825</x:v>
      </x:c>
      <x:c r="T134" t="str">
        <x:v>직장밀집·고매출밀도</x:v>
      </x:c>
      <x:c r="U134" s="16" t="n">
        <x:v>77.77970671704396</x:v>
      </x:c>
      <x:c r="V134" t="str">
        <x:v>미용실</x:v>
      </x:c>
      <x:c r="W134" t="str">
        <x:v>미용실 / 안경 / 가방</x:v>
      </x:c>
      <x:c r="X134" s="16" t="n">
        <x:v>70.61240856556876</x:v>
      </x:c>
    </x:row>
    <x:row r="135">
      <x:c r="A135" t="str">
        <x:v>3120085</x:v>
      </x:c>
      <x:c r="B135" t="str">
        <x:v>은행사거리</x:v>
      </x:c>
      <x:c r="C135" t="str">
        <x:v>발달상권</x:v>
      </x:c>
      <x:c r="D135" t="str">
        <x:v>노원구</x:v>
      </x:c>
      <x:c r="E135" t="str">
        <x:v>중계본동</x:v>
      </x:c>
      <x:c r="F135" s="12" t="n">
        <x:v>61587</x:v>
      </x:c>
      <x:c r="G135" s="12" t="n">
        <x:v>39156307145</x:v>
      </x:c>
      <x:c r="H135" s="12" t="n">
        <x:v>1119322</x:v>
      </x:c>
      <x:c r="I135" s="12" t="n">
        <x:v>34982.165225913544</x:v>
      </x:c>
      <x:c r="J135" s="12" t="n">
        <x:v>635788.512916687</x:v>
      </x:c>
      <x:c r="K135" s="12" t="n">
        <x:v>1811</x:v>
      </x:c>
      <x:c r="L135" s="12" t="n">
        <x:v>294.05556367415204</x:v>
      </x:c>
      <x:c r="M135" s="12" t="n">
        <x:v>31</x:v>
      </x:c>
      <x:c r="N135" s="14" t="n">
        <x:v>0.7553085600355585</x:v>
      </x:c>
      <x:c r="O135" s="14" t="n">
        <x:v>0.2446914399644415</x:v>
      </x:c>
      <x:c r="P135" s="14" t="n">
        <x:v>0.4045906569108868</x:v>
      </x:c>
      <x:c r="Q135" s="14" t="n">
        <x:v>0.21715859448931188</x:v>
      </x:c>
      <x:c r="R135" s="14" t="n">
        <x:v>0.09636289356979913</x:v>
      </x:c>
      <x:c r="S135" s="14" t="n">
        <x:v>0.5482227573072124</x:v>
      </x:c>
      <x:c r="T135" t="str">
        <x:v>고매출밀도·여성소비</x:v>
      </x:c>
      <x:c r="U135" s="16" t="n">
        <x:v>79.3597769115106</x:v>
      </x:c>
      <x:c r="V135" t="str">
        <x:v>일반의원</x:v>
      </x:c>
      <x:c r="W135" t="str">
        <x:v>일반의원 / 피부관리실 / 스포츠클럽</x:v>
      </x:c>
      <x:c r="X135" s="16" t="n">
        <x:v>76.95475631243076</x:v>
      </x:c>
    </x:row>
    <x:row r="136">
      <x:c r="A136" t="str">
        <x:v>3120234</x:v>
      </x:c>
      <x:c r="B136" t="str">
        <x:v>가락시장역</x:v>
      </x:c>
      <x:c r="C136" t="str">
        <x:v>발달상권</x:v>
      </x:c>
      <x:c r="D136" t="str">
        <x:v>송파구</x:v>
      </x:c>
      <x:c r="E136" t="str">
        <x:v>가락본동</x:v>
      </x:c>
      <x:c r="F136" s="12" t="n">
        <x:v>165196</x:v>
      </x:c>
      <x:c r="G136" s="12" t="n">
        <x:v>39118476068</x:v>
      </x:c>
      <x:c r="H136" s="12" t="n">
        <x:v>1472843</x:v>
      </x:c>
      <x:c r="I136" s="12" t="n">
        <x:v>26559.84111544815</x:v>
      </x:c>
      <x:c r="J136" s="12" t="n">
        <x:v>236800.38298748154</x:v>
      </x:c>
      <x:c r="K136" s="12" t="n">
        <x:v>11587</x:v>
      </x:c>
      <x:c r="L136" s="12" t="n">
        <x:v>701.409235090438</x:v>
      </x:c>
      <x:c r="M136" s="12" t="n">
        <x:v>35</x:v>
      </x:c>
      <x:c r="N136" s="14" t="n">
        <x:v>0.7755489146679098</x:v>
      </x:c>
      <x:c r="O136" s="14" t="n">
        <x:v>0.2244510853320903</x:v>
      </x:c>
      <x:c r="P136" s="14" t="n">
        <x:v>0.40253346369188114</x:v>
      </x:c>
      <x:c r="Q136" s="14" t="n">
        <x:v>0.22958723684399332</x:v>
      </x:c>
      <x:c r="R136" s="14" t="n">
        <x:v>0.23040025621991977</x:v>
      </x:c>
      <x:c r="S136" s="14" t="n">
        <x:v>0.33423004015474317</x:v>
      </x:c>
      <x:c r="T136" t="str">
        <x:v>직장밀집·고매출밀도</x:v>
      </x:c>
      <x:c r="U136" s="16" t="n">
        <x:v>75.23843368657424</x:v>
      </x:c>
      <x:c r="V136" t="str">
        <x:v>육류판매</x:v>
      </x:c>
      <x:c r="W136" t="str">
        <x:v>육류판매 / 피부관리실 / 당구장</x:v>
      </x:c>
      <x:c r="X136" s="16" t="n">
        <x:v>71.73501128467949</x:v>
      </x:c>
    </x:row>
    <x:row r="137">
      <x:c r="A137" t="str">
        <x:v>3120107</x:v>
      </x:c>
      <x:c r="B137" t="str">
        <x:v>공덕역(공덕오거리)</x:v>
      </x:c>
      <x:c r="C137" t="str">
        <x:v>발달상권</x:v>
      </x:c>
      <x:c r="D137" t="str">
        <x:v>마포구</x:v>
      </x:c>
      <x:c r="E137" t="str">
        <x:v>도화동</x:v>
      </x:c>
      <x:c r="F137" s="12" t="n">
        <x:v>192218</x:v>
      </x:c>
      <x:c r="G137" s="12" t="n">
        <x:v>38997707684</x:v>
      </x:c>
      <x:c r="H137" s="12" t="n">
        <x:v>912407</x:v>
      </x:c>
      <x:c r="I137" s="12" t="n">
        <x:v>42741.57002741101</x:v>
      </x:c>
      <x:c r="J137" s="12" t="n">
        <x:v>202882.70445015555</x:v>
      </x:c>
      <x:c r="K137" s="12" t="n">
        <x:v>16135</x:v>
      </x:c>
      <x:c r="L137" s="12" t="n">
        <x:v>839.4115015243109</x:v>
      </x:c>
      <x:c r="M137" s="12" t="n">
        <x:v>27</x:v>
      </x:c>
      <x:c r="N137" s="14" t="n">
        <x:v>0.7672005963641604</x:v>
      </x:c>
      <x:c r="O137" s="14" t="n">
        <x:v>0.23279940363583962</x:v>
      </x:c>
      <x:c r="P137" s="14" t="n">
        <x:v>0.3341535826308698</x:v>
      </x:c>
      <x:c r="Q137" s="14" t="n">
        <x:v>0.31509917468922377</x:v>
      </x:c>
      <x:c r="R137" s="14" t="n">
        <x:v>0.2094270441016417</x:v>
      </x:c>
      <x:c r="S137" s="14" t="n">
        <x:v>0.5033351001564987</x:v>
      </x:c>
      <x:c r="T137" t="str">
        <x:v>직장밀집·고매출밀도</x:v>
      </x:c>
      <x:c r="U137" s="16" t="n">
        <x:v>79.47664692930174</x:v>
      </x:c>
      <x:c r="V137" t="str">
        <x:v>일반의류</x:v>
      </x:c>
      <x:c r="W137" t="str">
        <x:v>일반의류 / 일식음식점 / 미용실</x:v>
      </x:c>
      <x:c r="X137" s="16" t="n">
        <x:v>75.05178495009504</x:v>
      </x:c>
    </x:row>
    <x:row r="138">
      <x:c r="A138" t="str">
        <x:v>3120110</x:v>
      </x:c>
      <x:c r="B138" t="str">
        <x:v>목동역 8번출구</x:v>
      </x:c>
      <x:c r="C138" t="str">
        <x:v>발달상권</x:v>
      </x:c>
      <x:c r="D138" t="str">
        <x:v>양천구</x:v>
      </x:c>
      <x:c r="E138" t="str">
        <x:v>신정4동</x:v>
      </x:c>
      <x:c r="F138" s="12" t="n">
        <x:v>126667</x:v>
      </x:c>
      <x:c r="G138" s="12" t="n">
        <x:v>38778542468</x:v>
      </x:c>
      <x:c r="H138" s="12" t="n">
        <x:v>1523883</x:v>
      </x:c>
      <x:c r="I138" s="12" t="n">
        <x:v>25447.19146286165</x:v>
      </x:c>
      <x:c r="J138" s="12" t="n">
        <x:v>306145.58225899405</x:v>
      </x:c>
      <x:c r="K138" s="12" t="n">
        <x:v>2332</x:v>
      </x:c>
      <x:c r="L138" s="12" t="n">
        <x:v>184.1047786716351</x:v>
      </x:c>
      <x:c r="M138" s="12" t="n">
        <x:v>38</x:v>
      </x:c>
      <x:c r="N138" s="14" t="n">
        <x:v>0.7725677597790626</x:v>
      </x:c>
      <x:c r="O138" s="14" t="n">
        <x:v>0.22743224022093744</x:v>
      </x:c>
      <x:c r="P138" s="14" t="n">
        <x:v>0.4013180129666342</x:v>
      </x:c>
      <x:c r="Q138" s="14" t="n">
        <x:v>0.22559021565132023</x:v>
      </x:c>
      <x:c r="R138" s="14" t="n">
        <x:v>0.2559004526327624</x:v>
      </x:c>
      <x:c r="S138" s="14" t="n">
        <x:v>0.49559249894085006</x:v>
      </x:c>
      <x:c r="T138" t="str">
        <x:v>고매출밀도·직장밀집</x:v>
      </x:c>
      <x:c r="U138" s="16" t="n">
        <x:v>73.94617790941219</x:v>
      </x:c>
      <x:c r="V138" t="str">
        <x:v>일반교습학원</x:v>
      </x:c>
      <x:c r="W138" t="str">
        <x:v>일반교습학원 / 시계및귀금속 / 서적</x:v>
      </x:c>
      <x:c r="X138" s="16" t="n">
        <x:v>71.5598767844888</x:v>
      </x:c>
    </x:row>
    <x:row r="139">
      <x:c r="A139" t="str">
        <x:v>3120007</x:v>
      </x:c>
      <x:c r="B139" t="str">
        <x:v>북촌(안국역)</x:v>
      </x:c>
      <x:c r="C139" t="str">
        <x:v>발달상권</x:v>
      </x:c>
      <x:c r="D139" t="str">
        <x:v>종로구</x:v>
      </x:c>
      <x:c r="E139" t="str">
        <x:v>가회동</x:v>
      </x:c>
      <x:c r="F139" s="12" t="n">
        <x:v>197675</x:v>
      </x:c>
      <x:c r="G139" s="12" t="n">
        <x:v>38668713930</x:v>
      </x:c>
      <x:c r="H139" s="12" t="n">
        <x:v>1813398</x:v>
      </x:c>
      <x:c r="I139" s="12" t="n">
        <x:v>21323.897969447415</x:v>
      </x:c>
      <x:c r="J139" s="12" t="n">
        <x:v>195617.62453522196</x:v>
      </x:c>
      <x:c r="K139" s="12" t="n">
        <x:v>12202</x:v>
      </x:c>
      <x:c r="L139" s="12" t="n">
        <x:v>617.275831541672</x:v>
      </x:c>
      <x:c r="M139" s="12" t="n">
        <x:v>25</x:v>
      </x:c>
      <x:c r="N139" s="14" t="n">
        <x:v>0.6788951485048781</x:v>
      </x:c>
      <x:c r="O139" s="14" t="n">
        <x:v>0.32110485149512186</x:v>
      </x:c>
      <x:c r="P139" s="14" t="n">
        <x:v>0.3452181740040611</x:v>
      </x:c>
      <x:c r="Q139" s="14" t="n">
        <x:v>0.3303746491058954</x:v>
      </x:c>
      <x:c r="R139" s="14" t="n">
        <x:v>0.4404468287678581</x:v>
      </x:c>
      <x:c r="S139" s="14" t="n">
        <x:v>0.5387937473357806</x:v>
      </x:c>
      <x:c r="T139" t="str">
        <x:v>직장밀집·2030소비</x:v>
      </x:c>
      <x:c r="U139" s="16" t="n">
        <x:v>86.15703279054576</x:v>
      </x:c>
      <x:c r="V139" t="str">
        <x:v>일반의류</x:v>
      </x:c>
      <x:c r="W139" t="str">
        <x:v>일반의류 / 한식음식점 / 일식음식점</x:v>
      </x:c>
      <x:c r="X139" s="16" t="n">
        <x:v>74.47757562448881</x:v>
      </x:c>
    </x:row>
    <x:row r="140">
      <x:c r="A140" t="str">
        <x:v>3120008</x:v>
      </x:c>
      <x:c r="B140" t="str">
        <x:v>인사동</x:v>
      </x:c>
      <x:c r="C140" t="str">
        <x:v>발달상권</x:v>
      </x:c>
      <x:c r="D140" t="str">
        <x:v>종로구</x:v>
      </x:c>
      <x:c r="E140" t="str">
        <x:v>종로1·2·3·4가동</x:v>
      </x:c>
      <x:c r="F140" s="12" t="n">
        <x:v>182319</x:v>
      </x:c>
      <x:c r="G140" s="12" t="n">
        <x:v>38313641982</x:v>
      </x:c>
      <x:c r="H140" s="12" t="n">
        <x:v>1421987</x:v>
      </x:c>
      <x:c r="I140" s="12" t="n">
        <x:v>26943.735759890915</x:v>
      </x:c>
      <x:c r="J140" s="12" t="n">
        <x:v>210146.18323926744</x:v>
      </x:c>
      <x:c r="K140" s="12" t="n">
        <x:v>10364</x:v>
      </x:c>
      <x:c r="L140" s="12" t="n">
        <x:v>568.4541929255864</x:v>
      </x:c>
      <x:c r="M140" s="12" t="n">
        <x:v>27</x:v>
      </x:c>
      <x:c r="N140" s="14" t="n">
        <x:v>0.7526222926953068</x:v>
      </x:c>
      <x:c r="O140" s="14" t="n">
        <x:v>0.24737770730469316</x:v>
      </x:c>
      <x:c r="P140" s="14" t="n">
        <x:v>0.3278217322931814</x:v>
      </x:c>
      <x:c r="Q140" s="14" t="n">
        <x:v>0.3737477147102711</x:v>
      </x:c>
      <x:c r="R140" s="14" t="n">
        <x:v>0.1959543408722976</x:v>
      </x:c>
      <x:c r="S140" s="14" t="n">
        <x:v>0.43931410151265843</x:v>
      </x:c>
      <x:c r="T140" t="str">
        <x:v>직장밀집·고매출밀도</x:v>
      </x:c>
      <x:c r="U140" s="16" t="n">
        <x:v>69.12873821235503</x:v>
      </x:c>
      <x:c r="V140" t="str">
        <x:v>화초</x:v>
      </x:c>
      <x:c r="W140" t="str">
        <x:v>화초 / 화장품 / 서적</x:v>
      </x:c>
      <x:c r="X140" s="16" t="n">
        <x:v>66.12419269398829</x:v>
      </x:c>
    </x:row>
    <x:row r="141">
      <x:c r="A141" t="str">
        <x:v>3120207</x:v>
      </x:c>
      <x:c r="B141" t="str">
        <x:v>선정릉역</x:v>
      </x:c>
      <x:c r="C141" t="str">
        <x:v>발달상권</x:v>
      </x:c>
      <x:c r="D141" t="str">
        <x:v>강남구</x:v>
      </x:c>
      <x:c r="E141" t="str">
        <x:v>삼성2동</x:v>
      </x:c>
      <x:c r="F141" s="12" t="n">
        <x:v>323475</x:v>
      </x:c>
      <x:c r="G141" s="12" t="n">
        <x:v>37832040020</x:v>
      </x:c>
      <x:c r="H141" s="12" t="n">
        <x:v>1503940</x:v>
      </x:c>
      <x:c r="I141" s="12" t="n">
        <x:v>25155.285463515833</x:v>
      </x:c>
      <x:c r="J141" s="12" t="n">
        <x:v>116955.06614112374</x:v>
      </x:c>
      <x:c r="K141" s="12" t="n">
        <x:v>21784</x:v>
      </x:c>
      <x:c r="L141" s="12" t="n">
        <x:v>673.4368962052708</x:v>
      </x:c>
      <x:c r="M141" s="12" t="n">
        <x:v>36</x:v>
      </x:c>
      <x:c r="N141" s="14" t="n">
        <x:v>0.8332797179410469</x:v>
      </x:c>
      <x:c r="O141" s="14" t="n">
        <x:v>0.16672028205895306</x:v>
      </x:c>
      <x:c r="P141" s="14" t="n">
        <x:v>0.36293981455245883</x:v>
      </x:c>
      <x:c r="Q141" s="14" t="n">
        <x:v>0.29480911119526776</x:v>
      </x:c>
      <x:c r="R141" s="14" t="n">
        <x:v>0.24386522292011467</x:v>
      </x:c>
      <x:c r="S141" s="14" t="n">
        <x:v>0.4507525656291585</x:v>
      </x:c>
      <x:c r="T141" t="str">
        <x:v>직장밀집·평일집중</x:v>
      </x:c>
      <x:c r="U141" s="16" t="n">
        <x:v>70.58465174582285</x:v>
      </x:c>
      <x:c r="V141" t="str">
        <x:v>한식음식점</x:v>
      </x:c>
      <x:c r="W141" t="str">
        <x:v>한식음식점 / 피부관리실 / 운동/경기용품</x:v>
      </x:c>
      <x:c r="X141" s="16" t="n">
        <x:v>69.36952369443146</x:v>
      </x:c>
    </x:row>
    <x:row r="142">
      <x:c r="A142" t="str">
        <x:v>3110065</x:v>
      </x:c>
      <x:c r="B142" t="str">
        <x:v>남정초등학교</x:v>
      </x:c>
      <x:c r="C142" t="str">
        <x:v>골목상권</x:v>
      </x:c>
      <x:c r="D142" t="str">
        <x:v>용산구</x:v>
      </x:c>
      <x:c r="E142" t="str">
        <x:v>원효로1동</x:v>
      </x:c>
      <x:c r="F142" s="12" t="n">
        <x:v>18065</x:v>
      </x:c>
      <x:c r="G142" s="12" t="n">
        <x:v>37779000000</x:v>
      </x:c>
      <x:c r="H142" s="12" t="n">
        <x:v>123049</x:v>
      </x:c>
      <x:c r="I142" s="12" t="n">
        <x:v>307024.0310770506</x:v>
      </x:c>
      <x:c r="J142" s="12" t="n">
        <x:v>2091281.4835316911</x:v>
      </x:c>
      <x:c r="K142" s="12" t="n">
        <x:v>203</x:v>
      </x:c>
      <x:c r="L142" s="12" t="n">
        <x:v>112.37199003598118</x:v>
      </x:c>
      <x:c r="M142" s="12" t="n">
        <x:v>1</x:v>
      </x:c>
      <x:c r="N142" s="14" t="n">
        <x:v>0.8413601339368432</x:v>
      </x:c>
      <x:c r="O142" s="14" t="n">
        <x:v>0.15863986606315678</x:v>
      </x:c>
      <x:c r="P142" s="14" t="n">
        <x:v>0.08728532385716933</x:v>
      </x:c>
      <x:c r="Q142" s="14" t="n">
        <x:v>0.3593445856957569</x:v>
      </x:c>
      <x:c r="R142" s="14" t="n">
        <x:v>0.1483803002461685</x:v>
      </x:c>
      <x:c r="S142" s="14" t="n">
        <x:v>0.16585136507054182</x:v>
      </x:c>
      <x:c r="T142" t="str">
        <x:v>고매출밀도·평일집중</x:v>
      </x:c>
      <x:c r="U142" s="16" t="n">
        <x:v>51.52456063029334</x:v>
      </x:c>
      <x:c r="V142" t="str">
        <x:v>컴퓨터및주변장치판매</x:v>
      </x:c>
      <x:c r="W142" t="str">
        <x:v>컴퓨터및주변장치판매</x:v>
      </x:c>
      <x:c r="X142" s="16" t="n">
        <x:v>51.52456063029334</x:v>
      </x:c>
    </x:row>
    <x:row r="143">
      <x:c r="A143" t="str">
        <x:v>3120151</x:v>
      </x:c>
      <x:c r="B143" t="str">
        <x:v>보라매공원</x:v>
      </x:c>
      <x:c r="C143" t="str">
        <x:v>발달상권</x:v>
      </x:c>
      <x:c r="D143" t="str">
        <x:v>동작구</x:v>
      </x:c>
      <x:c r="E143" t="str">
        <x:v>신대방2동</x:v>
      </x:c>
      <x:c r="F143" s="12" t="n">
        <x:v>119689</x:v>
      </x:c>
      <x:c r="G143" s="12" t="n">
        <x:v>37454111287</x:v>
      </x:c>
      <x:c r="H143" s="12" t="n">
        <x:v>1841787</x:v>
      </x:c>
      <x:c r="I143" s="12" t="n">
        <x:v>20335.745277276907</x:v>
      </x:c>
      <x:c r="J143" s="12" t="n">
        <x:v>312928.6006817669</x:v>
      </x:c>
      <x:c r="K143" s="12" t="n">
        <x:v>10160</x:v>
      </x:c>
      <x:c r="L143" s="12" t="n">
        <x:v>848.8666460576995</x:v>
      </x:c>
      <x:c r="M143" s="12" t="n">
        <x:v>37</x:v>
      </x:c>
      <x:c r="N143" s="14" t="n">
        <x:v>0.8185200304202855</x:v>
      </x:c>
      <x:c r="O143" s="14" t="n">
        <x:v>0.18147996957971446</x:v>
      </x:c>
      <x:c r="P143" s="14" t="n">
        <x:v>0.2874944518771008</x:v>
      </x:c>
      <x:c r="Q143" s="14" t="n">
        <x:v>0.3605241743030441</x:v>
      </x:c>
      <x:c r="R143" s="14" t="n">
        <x:v>0.25940651573736007</x:v>
      </x:c>
      <x:c r="S143" s="14" t="n">
        <x:v>0.43180971779227684</x:v>
      </x:c>
      <x:c r="T143" t="str">
        <x:v>직장밀집·고매출밀도</x:v>
      </x:c>
      <x:c r="U143" s="16" t="n">
        <x:v>87.55543191839553</x:v>
      </x:c>
      <x:c r="V143" t="str">
        <x:v>시계및귀금속</x:v>
      </x:c>
      <x:c r="W143" t="str">
        <x:v>시계및귀금속 / 의약품 / 미용실</x:v>
      </x:c>
      <x:c r="X143" s="16" t="n">
        <x:v>79.28187545142676</x:v>
      </x:c>
    </x:row>
    <x:row r="144">
      <x:c r="A144" t="str">
        <x:v>3120182</x:v>
      </x:c>
      <x:c r="B144" t="str">
        <x:v>양재시민의숲역(양재동꽃시장, aT센터)</x:v>
      </x:c>
      <x:c r="C144" t="str">
        <x:v>발달상권</x:v>
      </x:c>
      <x:c r="D144" t="str">
        <x:v>서초구</x:v>
      </x:c>
      <x:c r="E144" t="str">
        <x:v>양재2동</x:v>
      </x:c>
      <x:c r="F144" s="12" t="n">
        <x:v>301253</x:v>
      </x:c>
      <x:c r="G144" s="12" t="n">
        <x:v>37103515209</x:v>
      </x:c>
      <x:c r="H144" s="12" t="n">
        <x:v>904976</x:v>
      </x:c>
      <x:c r="I144" s="12" t="n">
        <x:v>40999.44662510387</x:v>
      </x:c>
      <x:c r="J144" s="12" t="n">
        <x:v>123163.9691853691</x:v>
      </x:c>
      <x:c r="K144" s="12" t="n">
        <x:v>8588</x:v>
      </x:c>
      <x:c r="L144" s="12" t="n">
        <x:v>285.07599924316105</x:v>
      </x:c>
      <x:c r="M144" s="12" t="n">
        <x:v>33</x:v>
      </x:c>
      <x:c r="N144" s="14" t="n">
        <x:v>0.8268662010104694</x:v>
      </x:c>
      <x:c r="O144" s="14" t="n">
        <x:v>0.17313379898953066</x:v>
      </x:c>
      <x:c r="P144" s="14" t="n">
        <x:v>0.31966300320038227</x:v>
      </x:c>
      <x:c r="Q144" s="14" t="n">
        <x:v>0.24392371862935203</x:v>
      </x:c>
      <x:c r="R144" s="14" t="n">
        <x:v>0.19915539563775891</x:v>
      </x:c>
      <x:c r="S144" s="14" t="n">
        <x:v>0.32102658154909164</x:v>
      </x:c>
      <x:c r="T144" t="str">
        <x:v>직장밀집·평일집중</x:v>
      </x:c>
      <x:c r="U144" s="16" t="n">
        <x:v>72.46535361010874</x:v>
      </x:c>
      <x:c r="V144" t="str">
        <x:v>스포츠클럽</x:v>
      </x:c>
      <x:c r="W144" t="str">
        <x:v>스포츠클럽 / 치킨전문점 / 한식음식점</x:v>
      </x:c>
      <x:c r="X144" s="16" t="n">
        <x:v>68.56710909145997</x:v>
      </x:c>
    </x:row>
    <x:row r="145">
      <x:c r="A145" t="str">
        <x:v>3120062</x:v>
      </x:c>
      <x:c r="B145" t="str">
        <x:v>신설동역</x:v>
      </x:c>
      <x:c r="C145" t="str">
        <x:v>발달상권</x:v>
      </x:c>
      <x:c r="D145" t="str">
        <x:v>동대문구</x:v>
      </x:c>
      <x:c r="E145" t="str">
        <x:v>용신동</x:v>
      </x:c>
      <x:c r="F145" s="12" t="n">
        <x:v>271900</x:v>
      </x:c>
      <x:c r="G145" s="12" t="n">
        <x:v>37041687680</x:v>
      </x:c>
      <x:c r="H145" s="12" t="n">
        <x:v>1492050</x:v>
      </x:c>
      <x:c r="I145" s="12" t="n">
        <x:v>24826.036446499784</x:v>
      </x:c>
      <x:c r="J145" s="12" t="n">
        <x:v>136232.76086796616</x:v>
      </x:c>
      <x:c r="K145" s="12" t="n">
        <x:v>6339</x:v>
      </x:c>
      <x:c r="L145" s="12" t="n">
        <x:v>233.1371827877896</x:v>
      </x:c>
      <x:c r="M145" s="12" t="n">
        <x:v>40</x:v>
      </x:c>
      <x:c r="N145" s="14" t="n">
        <x:v>0.7772552746171203</x:v>
      </x:c>
      <x:c r="O145" s="14" t="n">
        <x:v>0.22274472538287976</x:v>
      </x:c>
      <x:c r="P145" s="14" t="n">
        <x:v>0.30144716826790113</x:v>
      </x:c>
      <x:c r="Q145" s="14" t="n">
        <x:v>0.23845991117648774</x:v>
      </x:c>
      <x:c r="R145" s="14" t="n">
        <x:v>0.23619113814632758</x:v>
      </x:c>
      <x:c r="S145" s="14" t="n">
        <x:v>0.41821942790053784</x:v>
      </x:c>
      <x:c r="T145" t="str">
        <x:v>직장밀집·고매출밀도</x:v>
      </x:c>
      <x:c r="U145" s="16" t="n">
        <x:v>80.01444920593603</x:v>
      </x:c>
      <x:c r="V145" t="str">
        <x:v>서적</x:v>
      </x:c>
      <x:c r="W145" t="str">
        <x:v>서적 / 당구장 / 일반교습학원</x:v>
      </x:c>
      <x:c r="X145" s="16" t="n">
        <x:v>73.14313299615145</x:v>
      </x:c>
    </x:row>
    <x:row r="146">
      <x:c r="A146" t="str">
        <x:v>3120213</x:v>
      </x:c>
      <x:c r="B146" t="str">
        <x:v>삼성중앙역</x:v>
      </x:c>
      <x:c r="C146" t="str">
        <x:v>발달상권</x:v>
      </x:c>
      <x:c r="D146" t="str">
        <x:v>강남구</x:v>
      </x:c>
      <x:c r="E146" t="str">
        <x:v>삼성2동</x:v>
      </x:c>
      <x:c r="F146" s="12" t="n">
        <x:v>228925</x:v>
      </x:c>
      <x:c r="G146" s="12" t="n">
        <x:v>37026385655</x:v>
      </x:c>
      <x:c r="H146" s="12" t="n">
        <x:v>759180</x:v>
      </x:c>
      <x:c r="I146" s="12" t="n">
        <x:v>48771.55042941068</x:v>
      </x:c>
      <x:c r="J146" s="12" t="n">
        <x:v>161740.2452986786</x:v>
      </x:c>
      <x:c r="K146" s="12" t="n">
        <x:v>19227</x:v>
      </x:c>
      <x:c r="L146" s="12" t="n">
        <x:v>839.8820574423937</x:v>
      </x:c>
      <x:c r="M146" s="12" t="n">
        <x:v>32</x:v>
      </x:c>
      <x:c r="N146" s="14" t="n">
        <x:v>0.7950428828319835</x:v>
      </x:c>
      <x:c r="O146" s="14" t="n">
        <x:v>0.20495711716801648</x:v>
      </x:c>
      <x:c r="P146" s="14" t="n">
        <x:v>0.5219910140591875</x:v>
      </x:c>
      <x:c r="Q146" s="14" t="n">
        <x:v>0.22591337463883499</x:v>
      </x:c>
      <x:c r="R146" s="14" t="n">
        <x:v>0.20752963696207685</x:v>
      </x:c>
      <x:c r="S146" s="14" t="n">
        <x:v>0.26732262892809217</x:v>
      </x:c>
      <x:c r="T146" t="str">
        <x:v>직장밀집·야간활성</x:v>
      </x:c>
      <x:c r="U146" s="16" t="n">
        <x:v>75.58999796893993</x:v>
      </x:c>
      <x:c r="V146" t="str">
        <x:v>노래방</x:v>
      </x:c>
      <x:c r="W146" t="str">
        <x:v>노래방 / 호프-간이주점 / 화초</x:v>
      </x:c>
      <x:c r="X146" s="16" t="n">
        <x:v>71.73338014645944</x:v>
      </x:c>
    </x:row>
    <x:row r="147">
      <x:c r="A147" t="str">
        <x:v>3130167</x:v>
      </x:c>
      <x:c r="B147" t="str">
        <x:v>연신내상점가(연빛거리)</x:v>
      </x:c>
      <x:c r="C147" t="str">
        <x:v>전통시장</x:v>
      </x:c>
      <x:c r="D147" t="str">
        <x:v>은평구</x:v>
      </x:c>
      <x:c r="E147" t="str">
        <x:v>갈현1동</x:v>
      </x:c>
      <x:c r="F147" s="12" t="n">
        <x:v>100156</x:v>
      </x:c>
      <x:c r="G147" s="12" t="n">
        <x:v>37015364826</x:v>
      </x:c>
      <x:c r="H147" s="12" t="n">
        <x:v>1401774</x:v>
      </x:c>
      <x:c r="I147" s="12" t="n">
        <x:v>26406.086020999104</x:v>
      </x:c>
      <x:c r="J147" s="12" t="n">
        <x:v>369577.10797156434</x:v>
      </x:c>
      <x:c r="K147" s="12" t="n">
        <x:v>1492</x:v>
      </x:c>
      <x:c r="L147" s="12" t="n">
        <x:v>148.96761052757697</x:v>
      </x:c>
      <x:c r="M147" s="12" t="n">
        <x:v>34</x:v>
      </x:c>
      <x:c r="N147" s="14" t="n">
        <x:v>0.7040073298614582</x:v>
      </x:c>
      <x:c r="O147" s="14" t="n">
        <x:v>0.2959926701385418</x:v>
      </x:c>
      <x:c r="P147" s="14" t="n">
        <x:v>0.49843350742934533</x:v>
      </x:c>
      <x:c r="Q147" s="14" t="n">
        <x:v>0.14834732830035405</x:v>
      </x:c>
      <x:c r="R147" s="14" t="n">
        <x:v>0.41663415242546825</x:v>
      </x:c>
      <x:c r="S147" s="14" t="n">
        <x:v>0.46011551581512433</x:v>
      </x:c>
      <x:c r="T147" t="str">
        <x:v>고매출밀도·2030소비</x:v>
      </x:c>
      <x:c r="U147" s="16" t="n">
        <x:v>82.47231528464452</x:v>
      </x:c>
      <x:c r="V147" t="str">
        <x:v>일식음식점</x:v>
      </x:c>
      <x:c r="W147" t="str">
        <x:v>일식음식점 / 반찬가게 / 당구장</x:v>
      </x:c>
      <x:c r="X147" s="16" t="n">
        <x:v>75.00662459448047</x:v>
      </x:c>
    </x:row>
    <x:row r="148">
      <x:c r="A148" t="str">
        <x:v>3120038</x:v>
      </x:c>
      <x:c r="B148" t="str">
        <x:v>약수역</x:v>
      </x:c>
      <x:c r="C148" t="str">
        <x:v>발달상권</x:v>
      </x:c>
      <x:c r="D148" t="str">
        <x:v>중구</x:v>
      </x:c>
      <x:c r="E148" t="str">
        <x:v>다산동</x:v>
      </x:c>
      <x:c r="F148" s="12" t="n">
        <x:v>136837</x:v>
      </x:c>
      <x:c r="G148" s="12" t="n">
        <x:v>36979180987</x:v>
      </x:c>
      <x:c r="H148" s="12" t="n">
        <x:v>1363459</x:v>
      </x:c>
      <x:c r="I148" s="12" t="n">
        <x:v>27121.59367241699</x:v>
      </x:c>
      <x:c r="J148" s="12" t="n">
        <x:v>270242.5585696851</x:v>
      </x:c>
      <x:c r="K148" s="12" t="n">
        <x:v>8665</x:v>
      </x:c>
      <x:c r="L148" s="12" t="n">
        <x:v>633.2351630041583</x:v>
      </x:c>
      <x:c r="M148" s="12" t="n">
        <x:v>39</x:v>
      </x:c>
      <x:c r="N148" s="14" t="n">
        <x:v>0.7837284710061174</x:v>
      </x:c>
      <x:c r="O148" s="14" t="n">
        <x:v>0.21627152899388252</x:v>
      </x:c>
      <x:c r="P148" s="14" t="n">
        <x:v>0.3689648487562919</x:v>
      </x:c>
      <x:c r="Q148" s="14" t="n">
        <x:v>0.24956156820358733</x:v>
      </x:c>
      <x:c r="R148" s="14" t="n">
        <x:v>0.3140910114824659</x:v>
      </x:c>
      <x:c r="S148" s="14" t="n">
        <x:v>0.44749089815746274</x:v>
      </x:c>
      <x:c r="T148" t="str">
        <x:v>직장밀집·고매출밀도</x:v>
      </x:c>
      <x:c r="U148" s="16" t="n">
        <x:v>84.38215025590912</x:v>
      </x:c>
      <x:c r="V148" t="str">
        <x:v>서적</x:v>
      </x:c>
      <x:c r="W148" t="str">
        <x:v>서적 / 피부관리실 / 네일숍</x:v>
      </x:c>
      <x:c r="X148" s="16" t="n">
        <x:v>82.4616981342175</x:v>
      </x:c>
    </x:row>
    <x:row r="149">
      <x:c r="A149" t="str">
        <x:v>3120056</x:v>
      </x:c>
      <x:c r="B149" t="str">
        <x:v>구의역</x:v>
      </x:c>
      <x:c r="C149" t="str">
        <x:v>발달상권</x:v>
      </x:c>
      <x:c r="D149" t="str">
        <x:v>광진구</x:v>
      </x:c>
      <x:c r="E149" t="str">
        <x:v>구의1동</x:v>
      </x:c>
      <x:c r="F149" s="12" t="n">
        <x:v>158734</x:v>
      </x:c>
      <x:c r="G149" s="12" t="n">
        <x:v>36942875600</x:v>
      </x:c>
      <x:c r="H149" s="12" t="n">
        <x:v>1485916</x:v>
      </x:c>
      <x:c r="I149" s="12" t="n">
        <x:v>24862.02154092156</x:v>
      </x:c>
      <x:c r="J149" s="12" t="n">
        <x:v>232734.48410548465</x:v>
      </x:c>
      <x:c r="K149" s="12" t="n">
        <x:v>7498</x:v>
      </x:c>
      <x:c r="L149" s="12" t="n">
        <x:v>472.3625688258344</x:v>
      </x:c>
      <x:c r="M149" s="12" t="n">
        <x:v>36</x:v>
      </x:c>
      <x:c r="N149" s="14" t="n">
        <x:v>0.7694882736740721</x:v>
      </x:c>
      <x:c r="O149" s="14" t="n">
        <x:v>0.23051172632592792</x:v>
      </x:c>
      <x:c r="P149" s="14" t="n">
        <x:v>0.4586046784890779</x:v>
      </x:c>
      <x:c r="Q149" s="14" t="n">
        <x:v>0.22015459716947428</x:v>
      </x:c>
      <x:c r="R149" s="14" t="n">
        <x:v>0.30331182188751976</x:v>
      </x:c>
      <x:c r="S149" s="14" t="n">
        <x:v>0.4038339732817117</x:v>
      </x:c>
      <x:c r="T149" t="str">
        <x:v>직장밀집·고매출밀도</x:v>
      </x:c>
      <x:c r="U149" s="16" t="n">
        <x:v>81.67353648257759</x:v>
      </x:c>
      <x:c r="V149" t="str">
        <x:v>일반의원</x:v>
      </x:c>
      <x:c r="W149" t="str">
        <x:v>일반의원 / 서적 / 운동/경기용품</x:v>
      </x:c>
      <x:c r="X149" s="16" t="n">
        <x:v>74.69814683418733</x:v>
      </x:c>
    </x:row>
    <x:row r="150">
      <x:c r="A150" t="str">
        <x:v>3120143</x:v>
      </x:c>
      <x:c r="B150" t="str">
        <x:v>당산역</x:v>
      </x:c>
      <x:c r="C150" t="str">
        <x:v>발달상권</x:v>
      </x:c>
      <x:c r="D150" t="str">
        <x:v>영등포구</x:v>
      </x:c>
      <x:c r="E150" t="str">
        <x:v>당산2동</x:v>
      </x:c>
      <x:c r="F150" s="12" t="n">
        <x:v>155541</x:v>
      </x:c>
      <x:c r="G150" s="12" t="n">
        <x:v>36767044611</x:v>
      </x:c>
      <x:c r="H150" s="12" t="n">
        <x:v>1600150</x:v>
      </x:c>
      <x:c r="I150" s="12" t="n">
        <x:v>22977.2487648033</x:v>
      </x:c>
      <x:c r="J150" s="12" t="n">
        <x:v>236381.69107180744</x:v>
      </x:c>
      <x:c r="K150" s="12" t="n">
        <x:v>4255</x:v>
      </x:c>
      <x:c r="L150" s="12" t="n">
        <x:v>273.5613118084621</x:v>
      </x:c>
      <x:c r="M150" s="12" t="n">
        <x:v>33</x:v>
      </x:c>
      <x:c r="N150" s="14" t="n">
        <x:v>0.785584768033234</x:v>
      </x:c>
      <x:c r="O150" s="14" t="n">
        <x:v>0.21441523196676604</x:v>
      </x:c>
      <x:c r="P150" s="14" t="n">
        <x:v>0.4809849484260469</x:v>
      </x:c>
      <x:c r="Q150" s="14" t="n">
        <x:v>0.23204240270776438</x:v>
      </x:c>
      <x:c r="R150" s="14" t="n">
        <x:v>0.37164332193596883</x:v>
      </x:c>
      <x:c r="S150" s="14" t="n">
        <x:v>0.39985956055335337</x:v>
      </x:c>
      <x:c r="T150" t="str">
        <x:v>2030소비·고매출밀도</x:v>
      </x:c>
      <x:c r="U150" s="16" t="n">
        <x:v>77.58869154635704</x:v>
      </x:c>
      <x:c r="V150" t="str">
        <x:v>자동차수리</x:v>
      </x:c>
      <x:c r="W150" t="str">
        <x:v>자동차수리 / 청과상 / 호프-간이주점</x:v>
      </x:c>
      <x:c r="X150" s="16" t="n">
        <x:v>68.95121653074092</x:v>
      </x:c>
    </x:row>
    <x:row r="151">
      <x:c r="A151" t="str">
        <x:v>3120152</x:v>
      </x:c>
      <x:c r="B151" t="str">
        <x:v>신대방삼거리역</x:v>
      </x:c>
      <x:c r="C151" t="str">
        <x:v>발달상권</x:v>
      </x:c>
      <x:c r="D151" t="str">
        <x:v>동작구</x:v>
      </x:c>
      <x:c r="E151" t="str">
        <x:v>대방동</x:v>
      </x:c>
      <x:c r="F151" s="12" t="n">
        <x:v>112198</x:v>
      </x:c>
      <x:c r="G151" s="12" t="n">
        <x:v>36762277447</x:v>
      </x:c>
      <x:c r="H151" s="12" t="n">
        <x:v>1273737</x:v>
      </x:c>
      <x:c r="I151" s="12" t="n">
        <x:v>28861.748890862087</x:v>
      </x:c>
      <x:c r="J151" s="12" t="n">
        <x:v>327655.3721724095</x:v>
      </x:c>
      <x:c r="K151" s="12" t="n">
        <x:v>3098</x:v>
      </x:c>
      <x:c r="L151" s="12" t="n">
        <x:v>276.11900390381294</x:v>
      </x:c>
      <x:c r="M151" s="12" t="n">
        <x:v>32</x:v>
      </x:c>
      <x:c r="N151" s="14" t="n">
        <x:v>0.7753023674360497</x:v>
      </x:c>
      <x:c r="O151" s="14" t="n">
        <x:v>0.22469763256395023</x:v>
      </x:c>
      <x:c r="P151" s="14" t="n">
        <x:v>0.40215849201166604</x:v>
      </x:c>
      <x:c r="Q151" s="14" t="n">
        <x:v>0.21396571826487581</x:v>
      </x:c>
      <x:c r="R151" s="14" t="n">
        <x:v>0.28243154627644795</x:v>
      </x:c>
      <x:c r="S151" s="14" t="n">
        <x:v>0.49537044926704105</x:v>
      </x:c>
      <x:c r="T151" t="str">
        <x:v>고매출밀도·직장밀집</x:v>
      </x:c>
      <x:c r="U151" s="16" t="n">
        <x:v>78.01315404316729</x:v>
      </x:c>
      <x:c r="V151" t="str">
        <x:v>의약품</x:v>
      </x:c>
      <x:c r="W151" t="str">
        <x:v>의약품 / 일식음식점 / 제과점</x:v>
      </x:c>
      <x:c r="X151" s="16" t="n">
        <x:v>73.30325204958125</x:v>
      </x:c>
    </x:row>
    <x:row r="152">
      <x:c r="A152" t="str">
        <x:v>3120078</x:v>
      </x:c>
      <x:c r="B152" t="str">
        <x:v>미아사거리역</x:v>
      </x:c>
      <x:c r="C152" t="str">
        <x:v>발달상권</x:v>
      </x:c>
      <x:c r="D152" t="str">
        <x:v>강북구</x:v>
      </x:c>
      <x:c r="E152" t="str">
        <x:v>송중동</x:v>
      </x:c>
      <x:c r="F152" s="12" t="n">
        <x:v>94178</x:v>
      </x:c>
      <x:c r="G152" s="12" t="n">
        <x:v>36572927975</x:v>
      </x:c>
      <x:c r="H152" s="12" t="n">
        <x:v>1177555</x:v>
      </x:c>
      <x:c r="I152" s="12" t="n">
        <x:v>31058.36073474275</x:v>
      </x:c>
      <x:c r="J152" s="12" t="n">
        <x:v>388338.3377752766</x:v>
      </x:c>
      <x:c r="K152" s="12" t="n">
        <x:v>576</x:v>
      </x:c>
      <x:c r="L152" s="12" t="n">
        <x:v>61.16078064940857</x:v>
      </x:c>
      <x:c r="M152" s="12" t="n">
        <x:v>28</x:v>
      </x:c>
      <x:c r="N152" s="14" t="n">
        <x:v>0.7360821090507725</x:v>
      </x:c>
      <x:c r="O152" s="14" t="n">
        <x:v>0.26391789094922746</x:v>
      </x:c>
      <x:c r="P152" s="14" t="n">
        <x:v>0.3720459369646627</x:v>
      </x:c>
      <x:c r="Q152" s="14" t="n">
        <x:v>0.20324538092988165</x:v>
      </x:c>
      <x:c r="R152" s="14" t="n">
        <x:v>0.29422017477942985</x:v>
      </x:c>
      <x:c r="S152" s="14" t="n">
        <x:v>0.5408645709066995</x:v>
      </x:c>
      <x:c r="T152" t="str">
        <x:v>고매출밀도·여성소비</x:v>
      </x:c>
      <x:c r="U152" s="16" t="n">
        <x:v>71.015232412782</x:v>
      </x:c>
      <x:c r="V152" t="str">
        <x:v>핸드폰</x:v>
      </x:c>
      <x:c r="W152" t="str">
        <x:v>핸드폰 / 일반의원 / 커피-음료</x:v>
      </x:c>
      <x:c r="X152" s="16" t="n">
        <x:v>66.11131903374677</x:v>
      </x:c>
    </x:row>
    <x:row r="153">
      <x:c r="A153" t="str">
        <x:v>3120027</x:v>
      </x:c>
      <x:c r="B153" t="str">
        <x:v>명동역(명동재미로)</x:v>
      </x:c>
      <x:c r="C153" t="str">
        <x:v>발달상권</x:v>
      </x:c>
      <x:c r="D153" t="str">
        <x:v>중구</x:v>
      </x:c>
      <x:c r="E153" t="str">
        <x:v>명동</x:v>
      </x:c>
      <x:c r="F153" s="12" t="n">
        <x:v>157156</x:v>
      </x:c>
      <x:c r="G153" s="12" t="n">
        <x:v>36039712669</x:v>
      </x:c>
      <x:c r="H153" s="12" t="n">
        <x:v>903900</x:v>
      </x:c>
      <x:c r="I153" s="12" t="n">
        <x:v>39871.349340635024</x:v>
      </x:c>
      <x:c r="J153" s="12" t="n">
        <x:v>229324.4462126804</x:v>
      </x:c>
      <x:c r="K153" s="12" t="n">
        <x:v>10825</x:v>
      </x:c>
      <x:c r="L153" s="12" t="n">
        <x:v>688.8060271322762</x:v>
      </x:c>
      <x:c r="M153" s="12" t="n">
        <x:v>32</x:v>
      </x:c>
      <x:c r="N153" s="14" t="n">
        <x:v>0.7186361707671916</x:v>
      </x:c>
      <x:c r="O153" s="14" t="n">
        <x:v>0.28136382923280845</x:v>
      </x:c>
      <x:c r="P153" s="14" t="n">
        <x:v>0.2819356181976446</x:v>
      </x:c>
      <x:c r="Q153" s="14" t="n">
        <x:v>0.3253835415587786</x:v>
      </x:c>
      <x:c r="R153" s="14" t="n">
        <x:v>0.24795732882428548</x:v>
      </x:c>
      <x:c r="S153" s="14" t="n">
        <x:v>0.5581207385513298</x:v>
      </x:c>
      <x:c r="T153" t="str">
        <x:v>직장밀집·여성소비</x:v>
      </x:c>
      <x:c r="U153" s="16" t="n">
        <x:v>73.18792078125216</x:v>
      </x:c>
      <x:c r="V153" t="str">
        <x:v>시계및귀금속</x:v>
      </x:c>
      <x:c r="W153" t="str">
        <x:v>시계및귀금속 / 일반의류 / 한식음식점</x:v>
      </x:c>
      <x:c r="X153" s="16" t="n">
        <x:v>68.4672057607219</x:v>
      </x:c>
    </x:row>
    <x:row r="154">
      <x:c r="A154" t="str">
        <x:v>3120228</x:v>
      </x:c>
      <x:c r="B154" t="str">
        <x:v>석촌역(석촌호수)</x:v>
      </x:c>
      <x:c r="C154" t="str">
        <x:v>발달상권</x:v>
      </x:c>
      <x:c r="D154" t="str">
        <x:v>송파구</x:v>
      </x:c>
      <x:c r="E154" t="str">
        <x:v>송파1동</x:v>
      </x:c>
      <x:c r="F154" s="12" t="n">
        <x:v>228150</x:v>
      </x:c>
      <x:c r="G154" s="12" t="n">
        <x:v>35990043359</x:v>
      </x:c>
      <x:c r="H154" s="12" t="n">
        <x:v>1195985</x:v>
      </x:c>
      <x:c r="I154" s="12" t="n">
        <x:v>30092.38691037095</x:v>
      </x:c>
      <x:c r="J154" s="12" t="n">
        <x:v>157747.28625465702</x:v>
      </x:c>
      <x:c r="K154" s="12" t="n">
        <x:v>6934</x:v>
      </x:c>
      <x:c r="L154" s="12" t="n">
        <x:v>303.9228577690116</x:v>
      </x:c>
      <x:c r="M154" s="12" t="n">
        <x:v>38</x:v>
      </x:c>
      <x:c r="N154" s="14" t="n">
        <x:v>0.7554805963077751</x:v>
      </x:c>
      <x:c r="O154" s="14" t="n">
        <x:v>0.24451940369222494</x:v>
      </x:c>
      <x:c r="P154" s="14" t="n">
        <x:v>0.357782386215991</x:v>
      </x:c>
      <x:c r="Q154" s="14" t="n">
        <x:v>0.3004188759138083</x:v>
      </x:c>
      <x:c r="R154" s="14" t="n">
        <x:v>0.32755484644482946</x:v>
      </x:c>
      <x:c r="S154" s="14" t="n">
        <x:v>0.493732348270606</x:v>
      </x:c>
      <x:c r="T154" t="str">
        <x:v>직장밀집·2030소비</x:v>
      </x:c>
      <x:c r="U154" s="16" t="n">
        <x:v>78.94477558145226</x:v>
      </x:c>
      <x:c r="V154" t="str">
        <x:v>일반의류</x:v>
      </x:c>
      <x:c r="W154" t="str">
        <x:v>일반의류 / 일반의원 / 가전제품수리</x:v>
      </x:c>
      <x:c r="X154" s="16" t="n">
        <x:v>70.1861678187582</x:v>
      </x:c>
    </x:row>
    <x:row r="155">
      <x:c r="A155" t="str">
        <x:v>3110226</x:v>
      </x:c>
      <x:c r="B155" t="str">
        <x:v>장안1동주민센터</x:v>
      </x:c>
      <x:c r="C155" t="str">
        <x:v>골목상권</x:v>
      </x:c>
      <x:c r="D155" t="str">
        <x:v>동대문구</x:v>
      </x:c>
      <x:c r="E155" t="str">
        <x:v>장안1동</x:v>
      </x:c>
      <x:c r="F155" s="12" t="n">
        <x:v>285861</x:v>
      </x:c>
      <x:c r="G155" s="12" t="n">
        <x:v>35837277148</x:v>
      </x:c>
      <x:c r="H155" s="12" t="n">
        <x:v>1057838</x:v>
      </x:c>
      <x:c r="I155" s="12" t="n">
        <x:v>33877.85005643586</x:v>
      </x:c>
      <x:c r="J155" s="12" t="n">
        <x:v>125366.09452845964</x:v>
      </x:c>
      <x:c r="K155" s="12" t="n">
        <x:v>2047</x:v>
      </x:c>
      <x:c r="L155" s="12" t="n">
        <x:v>71.60822917431898</x:v>
      </x:c>
      <x:c r="M155" s="12" t="n">
        <x:v>34</x:v>
      </x:c>
      <x:c r="N155" s="14" t="n">
        <x:v>0.8415905883263561</x:v>
      </x:c>
      <x:c r="O155" s="14" t="n">
        <x:v>0.1584094116736438</x:v>
      </x:c>
      <x:c r="P155" s="14" t="n">
        <x:v>0.22955279135817677</x:v>
      </x:c>
      <x:c r="Q155" s="14" t="n">
        <x:v>0.41331008337575725</x:v>
      </x:c>
      <x:c r="R155" s="14" t="n">
        <x:v>0.1262578146022044</x:v>
      </x:c>
      <x:c r="S155" s="14" t="n">
        <x:v>0.30549495157756396</x:v>
      </x:c>
      <x:c r="T155" t="str">
        <x:v>평일집중·고매출밀도</x:v>
      </x:c>
      <x:c r="U155" s="16" t="n">
        <x:v>64.89739875555499</x:v>
      </x:c>
      <x:c r="V155" t="str">
        <x:v>육류판매</x:v>
      </x:c>
      <x:c r="W155" t="str">
        <x:v>육류판매 / 일반의류 / 의약품</x:v>
      </x:c>
      <x:c r="X155" s="16" t="n">
        <x:v>61.74817248855952</x:v>
      </x:c>
    </x:row>
    <x:row r="156">
      <x:c r="A156" t="str">
        <x:v>3130195</x:v>
      </x:c>
      <x:c r="B156" t="str">
        <x:v>도화동 상점가</x:v>
      </x:c>
      <x:c r="C156" t="str">
        <x:v>전통시장</x:v>
      </x:c>
      <x:c r="D156" t="str">
        <x:v>마포구</x:v>
      </x:c>
      <x:c r="E156" t="str">
        <x:v>도화동</x:v>
      </x:c>
      <x:c r="F156" s="12" t="n">
        <x:v>101880</x:v>
      </x:c>
      <x:c r="G156" s="12" t="n">
        <x:v>35577151506</x:v>
      </x:c>
      <x:c r="H156" s="12" t="n">
        <x:v>988132</x:v>
      </x:c>
      <x:c r="I156" s="12" t="n">
        <x:v>36004.452346447644</x:v>
      </x:c>
      <x:c r="J156" s="12" t="n">
        <x:v>349206.43409893994</x:v>
      </x:c>
      <x:c r="K156" s="12" t="n">
        <x:v>2623</x:v>
      </x:c>
      <x:c r="L156" s="12" t="n">
        <x:v>257.4597565763644</x:v>
      </x:c>
      <x:c r="M156" s="12" t="n">
        <x:v>32</x:v>
      </x:c>
      <x:c r="N156" s="14" t="n">
        <x:v>0.8004477328432916</x:v>
      </x:c>
      <x:c r="O156" s="14" t="n">
        <x:v>0.19955226715670832</x:v>
      </x:c>
      <x:c r="P156" s="14" t="n">
        <x:v>0.5767212867938478</x:v>
      </x:c>
      <x:c r="Q156" s="14" t="n">
        <x:v>0.2125206173047574</x:v>
      </x:c>
      <x:c r="R156" s="14" t="n">
        <x:v>0.30844641907740483</x:v>
      </x:c>
      <x:c r="S156" s="14" t="n">
        <x:v>0.3434951264701175</x:v>
      </x:c>
      <x:c r="T156" t="str">
        <x:v>야간활성·고매출밀도</x:v>
      </x:c>
      <x:c r="U156" s="16" t="n">
        <x:v>82.45344994718161</x:v>
      </x:c>
      <x:c r="V156" t="str">
        <x:v>일식음식점</x:v>
      </x:c>
      <x:c r="W156" t="str">
        <x:v>일식음식점 / 미용실 / 한식음식점</x:v>
      </x:c>
      <x:c r="X156" s="16" t="n">
        <x:v>74.27759535608962</x:v>
      </x:c>
    </x:row>
    <x:row r="157">
      <x:c r="A157" t="str">
        <x:v>3130111</x:v>
      </x:c>
      <x:c r="B157" t="str">
        <x:v>동원전통종합시장(동원시장, 동원전통시장 상점가)</x:v>
      </x:c>
      <x:c r="C157" t="str">
        <x:v>전통시장</x:v>
      </x:c>
      <x:c r="D157" t="str">
        <x:v>중랑구</x:v>
      </x:c>
      <x:c r="E157" t="str">
        <x:v>면목본동</x:v>
      </x:c>
      <x:c r="F157" s="12" t="n">
        <x:v>90850</x:v>
      </x:c>
      <x:c r="G157" s="12" t="n">
        <x:v>35156536267</x:v>
      </x:c>
      <x:c r="H157" s="12" t="n">
        <x:v>1476227</x:v>
      </x:c>
      <x:c r="I157" s="12" t="n">
        <x:v>23815.12888397245</x:v>
      </x:c>
      <x:c r="J157" s="12" t="n">
        <x:v>386973.43166758394</x:v>
      </x:c>
      <x:c r="K157" s="12" t="n">
        <x:v>199</x:v>
      </x:c>
      <x:c r="L157" s="12" t="n">
        <x:v>21.90423775454045</x:v>
      </x:c>
      <x:c r="M157" s="12" t="n">
        <x:v>33</x:v>
      </x:c>
      <x:c r="N157" s="14" t="n">
        <x:v>0.7150390378074956</x:v>
      </x:c>
      <x:c r="O157" s="14" t="n">
        <x:v>0.2849609621925045</x:v>
      </x:c>
      <x:c r="P157" s="14" t="n">
        <x:v>0.3324971026219214</x:v>
      </x:c>
      <x:c r="Q157" s="14" t="n">
        <x:v>0.24576072362140247</x:v>
      </x:c>
      <x:c r="R157" s="14" t="n">
        <x:v>0.1282264364089665</x:v>
      </x:c>
      <x:c r="S157" s="14" t="n">
        <x:v>0.5670151676663182</x:v>
      </x:c>
      <x:c r="T157" t="str">
        <x:v>고매출밀도·여성소비</x:v>
      </x:c>
      <x:c r="U157" s="16" t="n">
        <x:v>69.72092491331628</x:v>
      </x:c>
      <x:c r="V157" t="str">
        <x:v>청과상</x:v>
      </x:c>
      <x:c r="W157" t="str">
        <x:v>청과상 / 당구장 / 인테리어</x:v>
      </x:c>
      <x:c r="X157" s="16" t="n">
        <x:v>66.31774946443593</x:v>
      </x:c>
    </x:row>
    <x:row r="158">
      <x:c r="A158" t="str">
        <x:v>3130052</x:v>
      </x:c>
      <x:c r="B158" t="str">
        <x:v>서울중앙시장(신중앙시장)</x:v>
      </x:c>
      <x:c r="C158" t="str">
        <x:v>전통시장</x:v>
      </x:c>
      <x:c r="D158" t="str">
        <x:v>중구</x:v>
      </x:c>
      <x:c r="E158" t="str">
        <x:v>황학동</x:v>
      </x:c>
      <x:c r="F158" s="12" t="n">
        <x:v>70002</x:v>
      </x:c>
      <x:c r="G158" s="12" t="n">
        <x:v>34958851031</x:v>
      </x:c>
      <x:c r="H158" s="12" t="n">
        <x:v>944015</x:v>
      </x:c>
      <x:c r="I158" s="12" t="n">
        <x:v>37032.09274322972</x:v>
      </x:c>
      <x:c r="J158" s="12" t="n">
        <x:v>499397.88907459786</x:v>
      </x:c>
      <x:c r="K158" s="12" t="n">
        <x:v>407</x:v>
      </x:c>
      <x:c r="L158" s="12" t="n">
        <x:v>58.141195965829546</x:v>
      </x:c>
      <x:c r="M158" s="12" t="n">
        <x:v>19</x:v>
      </x:c>
      <x:c r="N158" s="14" t="n">
        <x:v>0.7611446763340282</x:v>
      </x:c>
      <x:c r="O158" s="14" t="n">
        <x:v>0.2388553236659719</x:v>
      </x:c>
      <x:c r="P158" s="14" t="n">
        <x:v>0.18506456477253783</x:v>
      </x:c>
      <x:c r="Q158" s="14" t="n">
        <x:v>0.26168529411586655</x:v>
      </x:c>
      <x:c r="R158" s="14" t="n">
        <x:v>0.13552769439701098</x:v>
      </x:c>
      <x:c r="S158" s="14" t="n">
        <x:v>0.5344574336391038</x:v>
      </x:c>
      <x:c r="T158" t="str">
        <x:v>고매출밀도·여성소비</x:v>
      </x:c>
      <x:c r="U158" s="16" t="n">
        <x:v>74.39646648680517</x:v>
      </x:c>
      <x:c r="V158" t="str">
        <x:v>청과상</x:v>
      </x:c>
      <x:c r="W158" t="str">
        <x:v>청과상 / 육류판매 / 미곡판매</x:v>
      </x:c>
      <x:c r="X158" s="16" t="n">
        <x:v>68.08638992267426</x:v>
      </x:c>
    </x:row>
    <x:row r="159">
      <x:c r="A159" t="str">
        <x:v>3120165</x:v>
      </x:c>
      <x:c r="B159" t="str">
        <x:v>서래마을카페거리(서래마을)</x:v>
      </x:c>
      <x:c r="C159" t="str">
        <x:v>발달상권</x:v>
      </x:c>
      <x:c r="D159" t="str">
        <x:v>서초구</x:v>
      </x:c>
      <x:c r="E159" t="str">
        <x:v>반포4동</x:v>
      </x:c>
      <x:c r="F159" s="12" t="n">
        <x:v>108614</x:v>
      </x:c>
      <x:c r="G159" s="12" t="n">
        <x:v>34838056070</x:v>
      </x:c>
      <x:c r="H159" s="12" t="n">
        <x:v>835947</x:v>
      </x:c>
      <x:c r="I159" s="12" t="n">
        <x:v>41674.95794589848</x:v>
      </x:c>
      <x:c r="J159" s="12" t="n">
        <x:v>320751.0640433093</x:v>
      </x:c>
      <x:c r="K159" s="12" t="n">
        <x:v>11545</x:v>
      </x:c>
      <x:c r="L159" s="12" t="n">
        <x:v>1062.9384793857146</x:v>
      </x:c>
      <x:c r="M159" s="12" t="n">
        <x:v>34</x:v>
      </x:c>
      <x:c r="N159" s="14" t="n">
        <x:v>0.7318512221741195</x:v>
      </x:c>
      <x:c r="O159" s="14" t="n">
        <x:v>0.2681487778258806</x:v>
      </x:c>
      <x:c r="P159" s="14" t="n">
        <x:v>0.41624788409154195</x:v>
      </x:c>
      <x:c r="Q159" s="14" t="n">
        <x:v>0.2647931546313744</x:v>
      </x:c>
      <x:c r="R159" s="14" t="n">
        <x:v>0.18335360750798632</x:v>
      </x:c>
      <x:c r="S159" s="14" t="n">
        <x:v>0.44280158999124086</x:v>
      </x:c>
      <x:c r="T159" t="str">
        <x:v>직장밀집·고매출밀도</x:v>
      </x:c>
      <x:c r="U159" s="16" t="n">
        <x:v>75.39834597520621</x:v>
      </x:c>
      <x:c r="V159" t="str">
        <x:v>피부관리실</x:v>
      </x:c>
      <x:c r="W159" t="str">
        <x:v>피부관리실 / 한식음식점 / 미용실</x:v>
      </x:c>
      <x:c r="X159" s="16" t="n">
        <x:v>71.99543748144869</x:v>
      </x:c>
    </x:row>
    <x:row r="160">
      <x:c r="A160" t="str">
        <x:v>3120095</x:v>
      </x:c>
      <x:c r="B160" t="str">
        <x:v>홍제역</x:v>
      </x:c>
      <x:c r="C160" t="str">
        <x:v>발달상권</x:v>
      </x:c>
      <x:c r="D160" t="str">
        <x:v>서대문구</x:v>
      </x:c>
      <x:c r="E160" t="str">
        <x:v>홍제1동</x:v>
      </x:c>
      <x:c r="F160" s="12" t="n">
        <x:v>100614</x:v>
      </x:c>
      <x:c r="G160" s="12" t="n">
        <x:v>34768238815</x:v>
      </x:c>
      <x:c r="H160" s="12" t="n">
        <x:v>1645124</x:v>
      </x:c>
      <x:c r="I160" s="12" t="n">
        <x:v>21134.11439806361</x:v>
      </x:c>
      <x:c r="J160" s="12" t="n">
        <x:v>345560.64578488085</x:v>
      </x:c>
      <x:c r="K160" s="12" t="n">
        <x:v>988</x:v>
      </x:c>
      <x:c r="L160" s="12" t="n">
        <x:v>98.1970699902598</x:v>
      </x:c>
      <x:c r="M160" s="12" t="n">
        <x:v>30</x:v>
      </x:c>
      <x:c r="N160" s="14" t="n">
        <x:v>0.800983066964705</x:v>
      </x:c>
      <x:c r="O160" s="14" t="n">
        <x:v>0.19901693303529502</x:v>
      </x:c>
      <x:c r="P160" s="14" t="n">
        <x:v>0.28454308001162987</x:v>
      </x:c>
      <x:c r="Q160" s="14" t="n">
        <x:v>0.2805897244870268</x:v>
      </x:c>
      <x:c r="R160" s="14" t="n">
        <x:v>0.2375080142522888</x:v>
      </x:c>
      <x:c r="S160" s="14" t="n">
        <x:v>0.5112382563747068</x:v>
      </x:c>
      <x:c r="T160" t="str">
        <x:v>고매출밀도·여성소비</x:v>
      </x:c>
      <x:c r="U160" s="16" t="n">
        <x:v>80.29244917930833</x:v>
      </x:c>
      <x:c r="V160" t="str">
        <x:v>피부관리실</x:v>
      </x:c>
      <x:c r="W160" t="str">
        <x:v>피부관리실 / PC방 / 일반의원</x:v>
      </x:c>
      <x:c r="X160" s="16" t="n">
        <x:v>78.77304288650227</x:v>
      </x:c>
    </x:row>
    <x:row r="161">
      <x:c r="A161" t="str">
        <x:v>3130191</x:v>
      </x:c>
      <x:c r="B161" t="str">
        <x:v>홍대 걷고싶은 거리</x:v>
      </x:c>
      <x:c r="C161" t="str">
        <x:v>전통시장</x:v>
      </x:c>
      <x:c r="D161" t="str">
        <x:v>마포구</x:v>
      </x:c>
      <x:c r="E161" t="str">
        <x:v>서교동</x:v>
      </x:c>
      <x:c r="F161" s="12" t="n">
        <x:v>58130</x:v>
      </x:c>
      <x:c r="G161" s="12" t="n">
        <x:v>34248508360</x:v>
      </x:c>
      <x:c r="H161" s="12" t="n">
        <x:v>1538013</x:v>
      </x:c>
      <x:c r="I161" s="12" t="n">
        <x:v>22268.02267601119</x:v>
      </x:c>
      <x:c r="J161" s="12" t="n">
        <x:v>589170.9678307242</x:v>
      </x:c>
      <x:c r="K161" s="12" t="n">
        <x:v>882</x:v>
      </x:c>
      <x:c r="L161" s="12" t="n">
        <x:v>151.72888353690004</x:v>
      </x:c>
      <x:c r="M161" s="12" t="n">
        <x:v>27</x:v>
      </x:c>
      <x:c r="N161" s="14" t="n">
        <x:v>0.6215178832097901</x:v>
      </x:c>
      <x:c r="O161" s="14" t="n">
        <x:v>0.3784821167902099</x:v>
      </x:c>
      <x:c r="P161" s="14" t="n">
        <x:v>0.5590142928198465</x:v>
      </x:c>
      <x:c r="Q161" s="14" t="n">
        <x:v>0.14880942782758905</x:v>
      </x:c>
      <x:c r="R161" s="14" t="n">
        <x:v>0.6186733373108574</x:v>
      </x:c>
      <x:c r="S161" s="14" t="n">
        <x:v>0.5617274246451298</x:v>
      </x:c>
      <x:c r="T161" t="str">
        <x:v>2030소비·고매출밀도</x:v>
      </x:c>
      <x:c r="U161" s="16" t="n">
        <x:v>68.72382763993286</x:v>
      </x:c>
      <x:c r="V161" t="str">
        <x:v>예술학원</x:v>
      </x:c>
      <x:c r="W161" t="str">
        <x:v>예술학원 / 슈퍼마켓 / 일식음식점</x:v>
      </x:c>
      <x:c r="X161" s="16" t="n">
        <x:v>63.20678072200864</x:v>
      </x:c>
    </x:row>
    <x:row r="162">
      <x:c r="A162" t="str">
        <x:v>3120102</x:v>
      </x:c>
      <x:c r="B162" t="str">
        <x:v>서교동(홍대)</x:v>
      </x:c>
      <x:c r="C162" t="str">
        <x:v>발달상권</x:v>
      </x:c>
      <x:c r="D162" t="str">
        <x:v>마포구</x:v>
      </x:c>
      <x:c r="E162" t="str">
        <x:v>서교동</x:v>
      </x:c>
      <x:c r="F162" s="12" t="n">
        <x:v>246429</x:v>
      </x:c>
      <x:c r="G162" s="12" t="n">
        <x:v>33897449663</x:v>
      </x:c>
      <x:c r="H162" s="12" t="n">
        <x:v>1338545</x:v>
      </x:c>
      <x:c r="I162" s="12" t="n">
        <x:v>25324.10166486745</x:v>
      </x:c>
      <x:c r="J162" s="12" t="n">
        <x:v>137554.62897223947</x:v>
      </x:c>
      <x:c r="K162" s="12" t="n">
        <x:v>4770</x:v>
      </x:c>
      <x:c r="L162" s="12" t="n">
        <x:v>193.5648807567291</x:v>
      </x:c>
      <x:c r="M162" s="12" t="n">
        <x:v>32</x:v>
      </x:c>
      <x:c r="N162" s="14" t="n">
        <x:v>0.7582704457868407</x:v>
      </x:c>
      <x:c r="O162" s="14" t="n">
        <x:v>0.2417295542131594</x:v>
      </x:c>
      <x:c r="P162" s="14" t="n">
        <x:v>0.3702889138500791</x:v>
      </x:c>
      <x:c r="Q162" s="14" t="n">
        <x:v>0.2749809268446025</x:v>
      </x:c>
      <x:c r="R162" s="14" t="n">
        <x:v>0.3771337167867808</x:v>
      </x:c>
      <x:c r="S162" s="14" t="n">
        <x:v>0.47943529647715966</x:v>
      </x:c>
      <x:c r="T162" t="str">
        <x:v>2030소비·직장밀집</x:v>
      </x:c>
      <x:c r="U162" s="16" t="n">
        <x:v>75.64339245126494</x:v>
      </x:c>
      <x:c r="V162" t="str">
        <x:v>서적</x:v>
      </x:c>
      <x:c r="W162" t="str">
        <x:v>서적 / 일반의류 / 의약품</x:v>
      </x:c>
      <x:c r="X162" s="16" t="n">
        <x:v>68.44295172943063</x:v>
      </x:c>
    </x:row>
    <x:row r="163">
      <x:c r="A163" t="str">
        <x:v>3120128</x:v>
      </x:c>
      <x:c r="B163" t="str">
        <x:v>신도림역</x:v>
      </x:c>
      <x:c r="C163" t="str">
        <x:v>발달상권</x:v>
      </x:c>
      <x:c r="D163" t="str">
        <x:v>구로구</x:v>
      </x:c>
      <x:c r="E163" t="str">
        <x:v>구로5동</x:v>
      </x:c>
      <x:c r="F163" s="12" t="n">
        <x:v>251389</x:v>
      </x:c>
      <x:c r="G163" s="12" t="n">
        <x:v>33723019856</x:v>
      </x:c>
      <x:c r="H163" s="12" t="n">
        <x:v>921033</x:v>
      </x:c>
      <x:c r="I163" s="12" t="n">
        <x:v>36614.344823692525</x:v>
      </x:c>
      <x:c r="J163" s="12" t="n">
        <x:v>134146.76002529945</x:v>
      </x:c>
      <x:c r="K163" s="12" t="n">
        <x:v>8504</x:v>
      </x:c>
      <x:c r="L163" s="12" t="n">
        <x:v>338.2805134671764</x:v>
      </x:c>
      <x:c r="M163" s="12" t="n">
        <x:v>40</x:v>
      </x:c>
      <x:c r="N163" s="14" t="n">
        <x:v>0.7514295955168269</x:v>
      </x:c>
      <x:c r="O163" s="14" t="n">
        <x:v>0.24857040448317316</x:v>
      </x:c>
      <x:c r="P163" s="14" t="n">
        <x:v>0.31584537676286806</x:v>
      </x:c>
      <x:c r="Q163" s="14" t="n">
        <x:v>0.32538786167003586</x:v>
      </x:c>
      <x:c r="R163" s="14" t="n">
        <x:v>0.3389330801276506</x:v>
      </x:c>
      <x:c r="S163" s="14" t="n">
        <x:v>0.47035278921433493</x:v>
      </x:c>
      <x:c r="T163" t="str">
        <x:v>직장밀집·2030소비</x:v>
      </x:c>
      <x:c r="U163" s="16" t="n">
        <x:v>73.18896610250418</x:v>
      </x:c>
      <x:c r="V163" t="str">
        <x:v>안경</x:v>
      </x:c>
      <x:c r="W163" t="str">
        <x:v>안경 / 일식음식점 / 일반의원</x:v>
      </x:c>
      <x:c r="X163" s="16" t="n">
        <x:v>69.0200241275713</x:v>
      </x:c>
    </x:row>
    <x:row r="164">
      <x:c r="A164" t="str">
        <x:v>3130273</x:v>
      </x:c>
      <x:c r="B164" t="str">
        <x:v>남성사계시장(남성시장)</x:v>
      </x:c>
      <x:c r="C164" t="str">
        <x:v>전통시장</x:v>
      </x:c>
      <x:c r="D164" t="str">
        <x:v>동작구</x:v>
      </x:c>
      <x:c r="E164" t="str">
        <x:v>사당2동</x:v>
      </x:c>
      <x:c r="F164" s="12" t="n">
        <x:v>43008</x:v>
      </x:c>
      <x:c r="G164" s="12" t="n">
        <x:v>33529206621</x:v>
      </x:c>
      <x:c r="H164" s="12" t="n">
        <x:v>1528860</x:v>
      </x:c>
      <x:c r="I164" s="12" t="n">
        <x:v>21930.8547682587</x:v>
      </x:c>
      <x:c r="J164" s="12" t="n">
        <x:v>779603.9485909598</x:v>
      </x:c>
      <x:c r="K164" s="12" t="n">
        <x:v>380</x:v>
      </x:c>
      <x:c r="L164" s="12" t="n">
        <x:v>88.35565476190476</x:v>
      </x:c>
      <x:c r="M164" s="12" t="n">
        <x:v>32</x:v>
      </x:c>
      <x:c r="N164" s="14" t="n">
        <x:v>0.7218266399074782</x:v>
      </x:c>
      <x:c r="O164" s="14" t="n">
        <x:v>0.2781733600925218</x:v>
      </x:c>
      <x:c r="P164" s="14" t="n">
        <x:v>0.30179624285121853</x:v>
      </x:c>
      <x:c r="Q164" s="14" t="n">
        <x:v>0.2979648904290726</x:v>
      </x:c>
      <x:c r="R164" s="14" t="n">
        <x:v>0.14637302813261815</x:v>
      </x:c>
      <x:c r="S164" s="14" t="n">
        <x:v>0.5667247119739117</x:v>
      </x:c>
      <x:c r="T164" t="str">
        <x:v>고매출밀도·여성소비</x:v>
      </x:c>
      <x:c r="U164" s="16" t="n">
        <x:v>76.29832437123962</x:v>
      </x:c>
      <x:c r="V164" t="str">
        <x:v>일반의원</x:v>
      </x:c>
      <x:c r="W164" t="str">
        <x:v>일반의원 / 청과상 / 시계및귀금속</x:v>
      </x:c>
      <x:c r="X164" s="16" t="n">
        <x:v>70.80246557340845</x:v>
      </x:c>
    </x:row>
    <x:row r="165">
      <x:c r="A165" t="str">
        <x:v>3130311</x:v>
      </x:c>
      <x:c r="B165" t="str">
        <x:v>새마을시장</x:v>
      </x:c>
      <x:c r="C165" t="str">
        <x:v>전통시장</x:v>
      </x:c>
      <x:c r="D165" t="str">
        <x:v>송파구</x:v>
      </x:c>
      <x:c r="E165" t="str">
        <x:v>잠실본동</x:v>
      </x:c>
      <x:c r="F165" s="12" t="n">
        <x:v>79375</x:v>
      </x:c>
      <x:c r="G165" s="12" t="n">
        <x:v>33406442352</x:v>
      </x:c>
      <x:c r="H165" s="12" t="n">
        <x:v>997653</x:v>
      </x:c>
      <x:c r="I165" s="12" t="n">
        <x:v>33485.03172145024</x:v>
      </x:c>
      <x:c r="J165" s="12" t="n">
        <x:v>420868.5650645669</x:v>
      </x:c>
      <x:c r="K165" s="12" t="n">
        <x:v>1020</x:v>
      </x:c>
      <x:c r="L165" s="12" t="n">
        <x:v>128.50393700787401</x:v>
      </x:c>
      <x:c r="M165" s="12" t="n">
        <x:v>34</x:v>
      </x:c>
      <x:c r="N165" s="14" t="n">
        <x:v>0.7349666380601605</x:v>
      </x:c>
      <x:c r="O165" s="14" t="n">
        <x:v>0.2650333619398395</x:v>
      </x:c>
      <x:c r="P165" s="14" t="n">
        <x:v>0.4461169424138864</x:v>
      </x:c>
      <x:c r="Q165" s="14" t="n">
        <x:v>0.23451022277237432</x:v>
      </x:c>
      <x:c r="R165" s="14" t="n">
        <x:v>0.26880589140203337</x:v>
      </x:c>
      <x:c r="S165" s="14" t="n">
        <x:v>0.4825596344602939</x:v>
      </x:c>
      <x:c r="T165" t="str">
        <x:v>고매출밀도·여성소비</x:v>
      </x:c>
      <x:c r="U165" s="16" t="n">
        <x:v>75.44867684396222</x:v>
      </x:c>
      <x:c r="V165" t="str">
        <x:v>스포츠클럽</x:v>
      </x:c>
      <x:c r="W165" t="str">
        <x:v>스포츠클럽 / 안경 / 일반교습학원</x:v>
      </x:c>
      <x:c r="X165" s="16" t="n">
        <x:v>70.46464464013009</x:v>
      </x:c>
    </x:row>
    <x:row r="166">
      <x:c r="A166" t="str">
        <x:v>3120244</x:v>
      </x:c>
      <x:c r="B166" t="str">
        <x:v>암사역</x:v>
      </x:c>
      <x:c r="C166" t="str">
        <x:v>발달상권</x:v>
      </x:c>
      <x:c r="D166" t="str">
        <x:v>강동구</x:v>
      </x:c>
      <x:c r="E166" t="str">
        <x:v>암사2동</x:v>
      </x:c>
      <x:c r="F166" s="12" t="n">
        <x:v>80605</x:v>
      </x:c>
      <x:c r="G166" s="12" t="n">
        <x:v>33261114370</x:v>
      </x:c>
      <x:c r="H166" s="12" t="n">
        <x:v>1370036</x:v>
      </x:c>
      <x:c r="I166" s="12" t="n">
        <x:v>24277.547721373743</x:v>
      </x:c>
      <x:c r="J166" s="12" t="n">
        <x:v>412643.3145586502</x:v>
      </x:c>
      <x:c r="K166" s="12" t="n">
        <x:v>1399</x:v>
      </x:c>
      <x:c r="L166" s="12" t="n">
        <x:v>173.5624340921779</x:v>
      </x:c>
      <x:c r="M166" s="12" t="n">
        <x:v>30</x:v>
      </x:c>
      <x:c r="N166" s="14" t="n">
        <x:v>0.7774998608683116</x:v>
      </x:c>
      <x:c r="O166" s="14" t="n">
        <x:v>0.2225001391316884</x:v>
      </x:c>
      <x:c r="P166" s="14" t="n">
        <x:v>0.3574914245424303</x:v>
      </x:c>
      <x:c r="Q166" s="14" t="n">
        <x:v>0.27683084552046533</x:v>
      </x:c>
      <x:c r="R166" s="14" t="n">
        <x:v>0.22190822465819868</x:v>
      </x:c>
      <x:c r="S166" s="14" t="n">
        <x:v>0.4717993958781484</x:v>
      </x:c>
      <x:c r="T166" t="str">
        <x:v>고매출밀도·직장밀집</x:v>
      </x:c>
      <x:c r="U166" s="16" t="n">
        <x:v>85.27113878744561</x:v>
      </x:c>
      <x:c r="V166" t="str">
        <x:v>청과상</x:v>
      </x:c>
      <x:c r="W166" t="str">
        <x:v>청과상 / 일반의원 / 미용실</x:v>
      </x:c>
      <x:c r="X166" s="16" t="n">
        <x:v>78.67815125502615</x:v>
      </x:c>
    </x:row>
    <x:row r="167">
      <x:c r="A167" t="str">
        <x:v>3120061</x:v>
      </x:c>
      <x:c r="B167" t="str">
        <x:v>올림픽대교북단</x:v>
      </x:c>
      <x:c r="C167" t="str">
        <x:v>발달상권</x:v>
      </x:c>
      <x:c r="D167" t="str">
        <x:v>광진구</x:v>
      </x:c>
      <x:c r="E167" t="str">
        <x:v>구의3동</x:v>
      </x:c>
      <x:c r="F167" s="12" t="n">
        <x:v>47188</x:v>
      </x:c>
      <x:c r="G167" s="12" t="n">
        <x:v>33258910812</x:v>
      </x:c>
      <x:c r="H167" s="12" t="n">
        <x:v>1011630</x:v>
      </x:c>
      <x:c r="I167" s="12" t="n">
        <x:v>32876.556460365944</x:v>
      </x:c>
      <x:c r="J167" s="12" t="n">
        <x:v>704817.1317284055</x:v>
      </x:c>
      <x:c r="K167" s="12" t="n">
        <x:v>1505</x:v>
      </x:c>
      <x:c r="L167" s="12" t="n">
        <x:v>318.93701788590323</x:v>
      </x:c>
      <x:c r="M167" s="12" t="n">
        <x:v>19</x:v>
      </x:c>
      <x:c r="N167" s="14" t="n">
        <x:v>0.7724390064130041</x:v>
      </x:c>
      <x:c r="O167" s="14" t="n">
        <x:v>0.22756099358699589</x:v>
      </x:c>
      <x:c r="P167" s="14" t="n">
        <x:v>0.3232130398906943</x:v>
      </x:c>
      <x:c r="Q167" s="14" t="n">
        <x:v>0.24294175415644395</x:v>
      </x:c>
      <x:c r="R167" s="14" t="n">
        <x:v>0.14894822518398954</x:v>
      </x:c>
      <x:c r="S167" s="14" t="n">
        <x:v>0.5707781363107857</x:v>
      </x:c>
      <x:c r="T167" t="str">
        <x:v>고매출밀도·여성소비</x:v>
      </x:c>
      <x:c r="U167" s="16" t="n">
        <x:v>72.84963250391746</x:v>
      </x:c>
      <x:c r="V167" t="str">
        <x:v>일반의원</x:v>
      </x:c>
      <x:c r="W167" t="str">
        <x:v>일반의원 / 의약품 / 일반교습학원</x:v>
      </x:c>
      <x:c r="X167" s="16" t="n">
        <x:v>67.87474550793561</x:v>
      </x:c>
    </x:row>
    <x:row r="168">
      <x:c r="A168" t="str">
        <x:v>3130245</x:v>
      </x:c>
      <x:c r="B168" t="str">
        <x:v>영일시장</x:v>
      </x:c>
      <x:c r="C168" t="str">
        <x:v>전통시장</x:v>
      </x:c>
      <x:c r="D168" t="str">
        <x:v>영등포구</x:v>
      </x:c>
      <x:c r="E168" t="str">
        <x:v>문래동</x:v>
      </x:c>
      <x:c r="F168" s="12" t="n">
        <x:v>60601</x:v>
      </x:c>
      <x:c r="G168" s="12" t="n">
        <x:v>32877826164</x:v>
      </x:c>
      <x:c r="H168" s="12" t="n">
        <x:v>674639</x:v>
      </x:c>
      <x:c r="I168" s="12" t="n">
        <x:v>48733.95425405291</x:v>
      </x:c>
      <x:c r="J168" s="12" t="n">
        <x:v>542529.4329136483</x:v>
      </x:c>
      <x:c r="K168" s="12" t="n">
        <x:v>4794</x:v>
      </x:c>
      <x:c r="L168" s="12" t="n">
        <x:v>791.07605485058</x:v>
      </x:c>
      <x:c r="M168" s="12" t="n">
        <x:v>3</x:v>
      </x:c>
      <x:c r="N168" s="14" t="n">
        <x:v>0.8251774817371104</x:v>
      </x:c>
      <x:c r="O168" s="14" t="n">
        <x:v>0.1748225182628896</x:v>
      </x:c>
      <x:c r="P168" s="14" t="n">
        <x:v>0.10609581471719834</x:v>
      </x:c>
      <x:c r="Q168" s="14" t="n">
        <x:v>0.1919734447014944</x:v>
      </x:c>
      <x:c r="R168" s="14" t="n">
        <x:v>0.10109802066657098</x:v>
      </x:c>
      <x:c r="S168" s="14" t="n">
        <x:v>0.478995267857576</x:v>
      </x:c>
      <x:c r="T168" t="str">
        <x:v>고매출밀도·직장밀집</x:v>
      </x:c>
      <x:c r="U168" s="16" t="n">
        <x:v>74.60950598874902</x:v>
      </x:c>
      <x:c r="V168" t="str">
        <x:v>반찬가게</x:v>
      </x:c>
      <x:c r="W168" t="str">
        <x:v>반찬가게 / 청과상 / 육류판매</x:v>
      </x:c>
      <x:c r="X168" s="16" t="n">
        <x:v>62.51900962243417</x:v>
      </x:c>
    </x:row>
    <x:row r="169">
      <x:c r="A169" t="str">
        <x:v>3130018</x:v>
      </x:c>
      <x:c r="B169" t="str">
        <x:v>동대문문구완구거리(동대문문구완구시장)</x:v>
      </x:c>
      <x:c r="C169" t="str">
        <x:v>전통시장</x:v>
      </x:c>
      <x:c r="D169" t="str">
        <x:v>종로구</x:v>
      </x:c>
      <x:c r="E169" t="str">
        <x:v>창신1동</x:v>
      </x:c>
      <x:c r="F169" s="12" t="n">
        <x:v>38586</x:v>
      </x:c>
      <x:c r="G169" s="12" t="n">
        <x:v>32726127811</x:v>
      </x:c>
      <x:c r="H169" s="12" t="n">
        <x:v>1270909</x:v>
      </x:c>
      <x:c r="I169" s="12" t="n">
        <x:v>25750.173939282828</x:v>
      </x:c>
      <x:c r="J169" s="12" t="n">
        <x:v>848134.759005857</x:v>
      </x:c>
      <x:c r="K169" s="12" t="n">
        <x:v>318</x:v>
      </x:c>
      <x:c r="L169" s="12" t="n">
        <x:v>82.4133105271342</x:v>
      </x:c>
      <x:c r="M169" s="12" t="n">
        <x:v>9</x:v>
      </x:c>
      <x:c r="N169" s="14" t="n">
        <x:v>0.7129896438025006</x:v>
      </x:c>
      <x:c r="O169" s="14" t="n">
        <x:v>0.28701035619749937</x:v>
      </x:c>
      <x:c r="P169" s="14" t="n">
        <x:v>0.1281769882225435</x:v>
      </x:c>
      <x:c r="Q169" s="14" t="n">
        <x:v>0.37642768228324575</x:v>
      </x:c>
      <x:c r="R169" s="14" t="n">
        <x:v>0.16713690799561975</x:v>
      </x:c>
      <x:c r="S169" s="14" t="n">
        <x:v>0.37866469411131154</x:v>
      </x:c>
      <x:c r="T169" t="str">
        <x:v>고매출밀도</x:v>
      </x:c>
      <x:c r="U169" s="16" t="n">
        <x:v>77.3213688883421</x:v>
      </x:c>
      <x:c r="V169" t="str">
        <x:v>운동/경기용품</x:v>
      </x:c>
      <x:c r="W169" t="str">
        <x:v>운동/경기용품 / 애완동물 / 가방</x:v>
      </x:c>
      <x:c r="X169" s="16" t="n">
        <x:v>60.73271465273827</x:v>
      </x:c>
    </x:row>
    <x:row r="170">
      <x:c r="A170" t="str">
        <x:v>3120021</x:v>
      </x:c>
      <x:c r="B170" t="str">
        <x:v>시청역_8번</x:v>
      </x:c>
      <x:c r="C170" t="str">
        <x:v>발달상권</x:v>
      </x:c>
      <x:c r="D170" t="str">
        <x:v>중구</x:v>
      </x:c>
      <x:c r="E170" t="str">
        <x:v>소공동</x:v>
      </x:c>
      <x:c r="F170" s="12" t="n">
        <x:v>132689</x:v>
      </x:c>
      <x:c r="G170" s="12" t="n">
        <x:v>32354008745</x:v>
      </x:c>
      <x:c r="H170" s="12" t="n">
        <x:v>1881268</x:v>
      </x:c>
      <x:c r="I170" s="12" t="n">
        <x:v>17197.979631291237</x:v>
      </x:c>
      <x:c r="J170" s="12" t="n">
        <x:v>243833.39044683432</x:v>
      </x:c>
      <x:c r="K170" s="12" t="n">
        <x:v>20839</x:v>
      </x:c>
      <x:c r="L170" s="12" t="n">
        <x:v>1570.5145113762255</x:v>
      </x:c>
      <x:c r="M170" s="12" t="n">
        <x:v>19</x:v>
      </x:c>
      <x:c r="N170" s="14" t="n">
        <x:v>0.9291700074614664</x:v>
      </x:c>
      <x:c r="O170" s="14" t="n">
        <x:v>0.07082999253853357</x:v>
      </x:c>
      <x:c r="P170" s="14" t="n">
        <x:v>0.2485246754853098</x:v>
      </x:c>
      <x:c r="Q170" s="14" t="n">
        <x:v>0.41833888083780946</x:v>
      </x:c>
      <x:c r="R170" s="14" t="n">
        <x:v>0.2550183693473561</x:v>
      </x:c>
      <x:c r="S170" s="14" t="n">
        <x:v>0.28266466798842427</x:v>
      </x:c>
      <x:c r="T170" t="str">
        <x:v>직장밀집·평일집중</x:v>
      </x:c>
      <x:c r="U170" s="16" t="n">
        <x:v>67.68957139379131</x:v>
      </x:c>
      <x:c r="V170" t="str">
        <x:v>패스트푸드점</x:v>
      </x:c>
      <x:c r="W170" t="str">
        <x:v>패스트푸드점 / 화초 / 한식음식점</x:v>
      </x:c>
      <x:c r="X170" s="16" t="n">
        <x:v>65.48779409686145</x:v>
      </x:c>
    </x:row>
    <x:row r="171">
      <x:c r="A171" t="str">
        <x:v>3120088</x:v>
      </x:c>
      <x:c r="B171" t="str">
        <x:v>구산역</x:v>
      </x:c>
      <x:c r="C171" t="str">
        <x:v>발달상권</x:v>
      </x:c>
      <x:c r="D171" t="str">
        <x:v>은평구</x:v>
      </x:c>
      <x:c r="E171" t="str">
        <x:v>갈현2동</x:v>
      </x:c>
      <x:c r="F171" s="12" t="n">
        <x:v>59372</x:v>
      </x:c>
      <x:c r="G171" s="12" t="n">
        <x:v>32312376316</x:v>
      </x:c>
      <x:c r="H171" s="12" t="n">
        <x:v>1012600</x:v>
      </x:c>
      <x:c r="I171" s="12" t="n">
        <x:v>31910.306454671143</x:v>
      </x:c>
      <x:c r="J171" s="12" t="n">
        <x:v>544235.941453884</x:v>
      </x:c>
      <x:c r="K171" s="12" t="n">
        <x:v>1239</x:v>
      </x:c>
      <x:c r="L171" s="12" t="n">
        <x:v>208.68422825574345</x:v>
      </x:c>
      <x:c r="M171" s="12" t="n">
        <x:v>26</x:v>
      </x:c>
      <x:c r="N171" s="14" t="n">
        <x:v>0.8047169161657891</x:v>
      </x:c>
      <x:c r="O171" s="14" t="n">
        <x:v>0.19528308383421095</x:v>
      </x:c>
      <x:c r="P171" s="14" t="n">
        <x:v>0.2292720785543602</x:v>
      </x:c>
      <x:c r="Q171" s="14" t="n">
        <x:v>0.29173675429535684</x:v>
      </x:c>
      <x:c r="R171" s="14" t="n">
        <x:v>0.11572016664551153</x:v>
      </x:c>
      <x:c r="S171" s="14" t="n">
        <x:v>0.5729155796515452</x:v>
      </x:c>
      <x:c r="T171" t="str">
        <x:v>고매출밀도·여성소비</x:v>
      </x:c>
      <x:c r="U171" s="16" t="n">
        <x:v>78.06951016585846</x:v>
      </x:c>
      <x:c r="V171" t="str">
        <x:v>반찬가게</x:v>
      </x:c>
      <x:c r="W171" t="str">
        <x:v>반찬가게 / 예술학원 / 의약품</x:v>
      </x:c>
      <x:c r="X171" s="16" t="n">
        <x:v>73.43909057614084</x:v>
      </x:c>
    </x:row>
    <x:row r="172">
      <x:c r="A172" t="str">
        <x:v>3120120</x:v>
      </x:c>
      <x:c r="B172" t="str">
        <x:v>화곡역</x:v>
      </x:c>
      <x:c r="C172" t="str">
        <x:v>발달상권</x:v>
      </x:c>
      <x:c r="D172" t="str">
        <x:v>강서구</x:v>
      </x:c>
      <x:c r="E172" t="str">
        <x:v>화곡1동</x:v>
      </x:c>
      <x:c r="F172" s="12" t="n">
        <x:v>136057</x:v>
      </x:c>
      <x:c r="G172" s="12" t="n">
        <x:v>32307513949</x:v>
      </x:c>
      <x:c r="H172" s="12" t="n">
        <x:v>1548534</x:v>
      </x:c>
      <x:c r="I172" s="12" t="n">
        <x:v>20863.290020755114</x:v>
      </x:c>
      <x:c r="J172" s="12" t="n">
        <x:v>237455.72773910934</x:v>
      </x:c>
      <x:c r="K172" s="12" t="n">
        <x:v>2475</x:v>
      </x:c>
      <x:c r="L172" s="12" t="n">
        <x:v>181.909052823449</x:v>
      </x:c>
      <x:c r="M172" s="12" t="n">
        <x:v>30</x:v>
      </x:c>
      <x:c r="N172" s="14" t="n">
        <x:v>0.7570103499949742</x:v>
      </x:c>
      <x:c r="O172" s="14" t="n">
        <x:v>0.24298965000502584</x:v>
      </x:c>
      <x:c r="P172" s="14" t="n">
        <x:v>0.40810178414882653</x:v>
      </x:c>
      <x:c r="Q172" s="14" t="n">
        <x:v>0.22284796011742797</x:v>
      </x:c>
      <x:c r="R172" s="14" t="n">
        <x:v>0.3492627578467474</x:v>
      </x:c>
      <x:c r="S172" s="14" t="n">
        <x:v>0.5125626587096951</x:v>
      </x:c>
      <x:c r="T172" t="str">
        <x:v>고매출밀도·2030소비</x:v>
      </x:c>
      <x:c r="U172" s="16" t="n">
        <x:v>73.36104253963626</x:v>
      </x:c>
      <x:c r="V172" t="str">
        <x:v>일반의원</x:v>
      </x:c>
      <x:c r="W172" t="str">
        <x:v>일반의원 / 의료기기 / 의약품</x:v>
      </x:c>
      <x:c r="X172" s="16" t="n">
        <x:v>67.42977985608631</x:v>
      </x:c>
    </x:row>
    <x:row r="173">
      <x:c r="A173" t="str">
        <x:v>3120175</x:v>
      </x:c>
      <x:c r="B173" t="str">
        <x:v>남부터미널역</x:v>
      </x:c>
      <x:c r="C173" t="str">
        <x:v>발달상권</x:v>
      </x:c>
      <x:c r="D173" t="str">
        <x:v>서초구</x:v>
      </x:c>
      <x:c r="E173" t="str">
        <x:v>서초1동</x:v>
      </x:c>
      <x:c r="F173" s="12" t="n">
        <x:v>259951</x:v>
      </x:c>
      <x:c r="G173" s="12" t="n">
        <x:v>32203287211</x:v>
      </x:c>
      <x:c r="H173" s="12" t="n">
        <x:v>1516483</x:v>
      </x:c>
      <x:c r="I173" s="12" t="n">
        <x:v>21235.508219347</x:v>
      </x:c>
      <x:c r="J173" s="12" t="n">
        <x:v>123882.14398482791</x:v>
      </x:c>
      <x:c r="K173" s="12" t="n">
        <x:v>21560</x:v>
      </x:c>
      <x:c r="L173" s="12" t="n">
        <x:v>829.3870767952421</x:v>
      </x:c>
      <x:c r="M173" s="12" t="n">
        <x:v>38</x:v>
      </x:c>
      <x:c r="N173" s="14" t="n">
        <x:v>0.8087250503763487</x:v>
      </x:c>
      <x:c r="O173" s="14" t="n">
        <x:v>0.19127494962365132</x:v>
      </x:c>
      <x:c r="P173" s="14" t="n">
        <x:v>0.3235053997668114</x:v>
      </x:c>
      <x:c r="Q173" s="14" t="n">
        <x:v>0.3205407455569956</x:v>
      </x:c>
      <x:c r="R173" s="14" t="n">
        <x:v>0.2313524356748004</x:v>
      </x:c>
      <x:c r="S173" s="14" t="n">
        <x:v>0.3054806192778889</x:v>
      </x:c>
      <x:c r="T173" t="str">
        <x:v>직장밀집·평일집중</x:v>
      </x:c>
      <x:c r="U173" s="16" t="n">
        <x:v>77.86008832524517</x:v>
      </x:c>
      <x:c r="V173" t="str">
        <x:v>미용실</x:v>
      </x:c>
      <x:c r="W173" t="str">
        <x:v>미용실 / 자전거 및 기타운송장비 / 노래방</x:v>
      </x:c>
      <x:c r="X173" s="16" t="n">
        <x:v>73.3662530739983</x:v>
      </x:c>
    </x:row>
    <x:row r="174">
      <x:c r="A174" t="str">
        <x:v>3120142</x:v>
      </x:c>
      <x:c r="B174" t="str">
        <x:v>대림역</x:v>
      </x:c>
      <x:c r="C174" t="str">
        <x:v>발달상권</x:v>
      </x:c>
      <x:c r="D174" t="str">
        <x:v>영등포구</x:v>
      </x:c>
      <x:c r="E174" t="str">
        <x:v>대림3동</x:v>
      </x:c>
      <x:c r="F174" s="12" t="n">
        <x:v>142571</x:v>
      </x:c>
      <x:c r="G174" s="12" t="n">
        <x:v>31194870485</x:v>
      </x:c>
      <x:c r="H174" s="12" t="n">
        <x:v>996795</x:v>
      </x:c>
      <x:c r="I174" s="12" t="n">
        <x:v>31295.171509688553</x:v>
      </x:c>
      <x:c r="J174" s="12" t="n">
        <x:v>218802.3545110857</x:v>
      </x:c>
      <x:c r="K174" s="12" t="n">
        <x:v>2012</x:v>
      </x:c>
      <x:c r="L174" s="12" t="n">
        <x:v>141.12266870541694</x:v>
      </x:c>
      <x:c r="M174" s="12" t="n">
        <x:v>28</x:v>
      </x:c>
      <x:c r="N174" s="14" t="n">
        <x:v>0.7323524604785677</x:v>
      </x:c>
      <x:c r="O174" s="14" t="n">
        <x:v>0.26764753952143233</x:v>
      </x:c>
      <x:c r="P174" s="14" t="n">
        <x:v>0.34916481234430746</x:v>
      </x:c>
      <x:c r="Q174" s="14" t="n">
        <x:v>0.20461642506479538</x:v>
      </x:c>
      <x:c r="R174" s="14" t="n">
        <x:v>0.2598650682937753</x:v>
      </x:c>
      <x:c r="S174" s="14" t="n">
        <x:v>0.4296743600023958</x:v>
      </x:c>
      <x:c r="T174" t="str">
        <x:v>고매출밀도·직장밀집</x:v>
      </x:c>
      <x:c r="U174" s="16" t="n">
        <x:v>75.84756694488196</x:v>
      </x:c>
      <x:c r="V174" t="str">
        <x:v>PC방</x:v>
      </x:c>
      <x:c r="W174" t="str">
        <x:v>PC방 / 일반의원 / 의약품</x:v>
      </x:c>
      <x:c r="X174" s="16" t="n">
        <x:v>72.47208154302845</x:v>
      </x:c>
    </x:row>
    <x:row r="175">
      <x:c r="A175" t="str">
        <x:v>3130261</x:v>
      </x:c>
      <x:c r="B175" t="str">
        <x:v>성대전통시장(성대시장)</x:v>
      </x:c>
      <x:c r="C175" t="str">
        <x:v>전통시장</x:v>
      </x:c>
      <x:c r="D175" t="str">
        <x:v>동작구</x:v>
      </x:c>
      <x:c r="E175" t="str">
        <x:v>상도3동</x:v>
      </x:c>
      <x:c r="F175" s="12" t="n">
        <x:v>53092</x:v>
      </x:c>
      <x:c r="G175" s="12" t="n">
        <x:v>31172829022</x:v>
      </x:c>
      <x:c r="H175" s="12" t="n">
        <x:v>1312463</x:v>
      </x:c>
      <x:c r="I175" s="12" t="n">
        <x:v>23751.39643708051</x:v>
      </x:c>
      <x:c r="J175" s="12" t="n">
        <x:v>587147.3860845325</x:v>
      </x:c>
      <x:c r="K175" s="12" t="n">
        <x:v>389</x:v>
      </x:c>
      <x:c r="L175" s="12" t="n">
        <x:v>73.26904241693664</x:v>
      </x:c>
      <x:c r="M175" s="12" t="n">
        <x:v>28</x:v>
      </x:c>
      <x:c r="N175" s="14" t="n">
        <x:v>0.7906293169479791</x:v>
      </x:c>
      <x:c r="O175" s="14" t="n">
        <x:v>0.2093706830520209</x:v>
      </x:c>
      <x:c r="P175" s="14" t="n">
        <x:v>0.2915095417739208</x:v>
      </x:c>
      <x:c r="Q175" s="14" t="n">
        <x:v>0.25846202326756534</x:v>
      </x:c>
      <x:c r="R175" s="14" t="n">
        <x:v>0.2507431573978624</x:v>
      </x:c>
      <x:c r="S175" s="14" t="n">
        <x:v>0.5554832369169757</x:v>
      </x:c>
      <x:c r="T175" t="str">
        <x:v>고매출밀도·여성소비</x:v>
      </x:c>
      <x:c r="U175" s="16" t="n">
        <x:v>80.75240115474962</x:v>
      </x:c>
      <x:c r="V175" t="str">
        <x:v>육류판매</x:v>
      </x:c>
      <x:c r="W175" t="str">
        <x:v>육류판매 / 반찬가게 / 피부관리실</x:v>
      </x:c>
      <x:c r="X175" s="16" t="n">
        <x:v>76.72973599935517</x:v>
      </x:c>
    </x:row>
    <x:row r="176">
      <x:c r="A176" t="str">
        <x:v>3130303</x:v>
      </x:c>
      <x:c r="B176" t="str">
        <x:v>영동전통시장</x:v>
      </x:c>
      <x:c r="C176" t="str">
        <x:v>전통시장</x:v>
      </x:c>
      <x:c r="D176" t="str">
        <x:v>강남구</x:v>
      </x:c>
      <x:c r="E176" t="str">
        <x:v>논현1동</x:v>
      </x:c>
      <x:c r="F176" s="12" t="n">
        <x:v>39097</x:v>
      </x:c>
      <x:c r="G176" s="12" t="n">
        <x:v>30973148535</x:v>
      </x:c>
      <x:c r="H176" s="12" t="n">
        <x:v>1262392</x:v>
      </x:c>
      <x:c r="I176" s="12" t="n">
        <x:v>24535.285818509623</x:v>
      </x:c>
      <x:c r="J176" s="12" t="n">
        <x:v>792212.9200450162</x:v>
      </x:c>
      <x:c r="K176" s="12" t="n">
        <x:v>996</x:v>
      </x:c>
      <x:c r="L176" s="12" t="n">
        <x:v>254.75100391334374</x:v>
      </x:c>
      <x:c r="M176" s="12" t="n">
        <x:v>17</x:v>
      </x:c>
      <x:c r="N176" s="14" t="n">
        <x:v>0.7295365778673168</x:v>
      </x:c>
      <x:c r="O176" s="14" t="n">
        <x:v>0.2704634221326831</x:v>
      </x:c>
      <x:c r="P176" s="14" t="n">
        <x:v>0.4175681317120575</x:v>
      </x:c>
      <x:c r="Q176" s="14" t="n">
        <x:v>0.1710953989715208</x:v>
      </x:c>
      <x:c r="R176" s="14" t="n">
        <x:v>0.2480689392722728</x:v>
      </x:c>
      <x:c r="S176" s="14" t="n">
        <x:v>0.439090873781586</x:v>
      </x:c>
      <x:c r="T176" t="str">
        <x:v>고매출밀도·직장밀집</x:v>
      </x:c>
      <x:c r="U176" s="16" t="n">
        <x:v>66.78549318346468</x:v>
      </x:c>
      <x:c r="V176" t="str">
        <x:v>육류판매</x:v>
      </x:c>
      <x:c r="W176" t="str">
        <x:v>육류판매 / 반찬가게 / 한식음식점</x:v>
      </x:c>
      <x:c r="X176" s="16" t="n">
        <x:v>61.672611732021686</x:v>
      </x:c>
    </x:row>
    <x:row r="177">
      <x:c r="A177" t="str">
        <x:v>3120057</x:v>
      </x:c>
      <x:c r="B177" t="str">
        <x:v>아차산역</x:v>
      </x:c>
      <x:c r="C177" t="str">
        <x:v>발달상권</x:v>
      </x:c>
      <x:c r="D177" t="str">
        <x:v>광진구</x:v>
      </x:c>
      <x:c r="E177" t="str">
        <x:v>중곡2동</x:v>
      </x:c>
      <x:c r="F177" s="12" t="n">
        <x:v>201257</x:v>
      </x:c>
      <x:c r="G177" s="12" t="n">
        <x:v>30789336442</x:v>
      </x:c>
      <x:c r="H177" s="12" t="n">
        <x:v>1134023</x:v>
      </x:c>
      <x:c r="I177" s="12" t="n">
        <x:v>27150.539664539432</x:v>
      </x:c>
      <x:c r="J177" s="12" t="n">
        <x:v>152985.17041394833</x:v>
      </x:c>
      <x:c r="K177" s="12" t="n">
        <x:v>2527</x:v>
      </x:c>
      <x:c r="L177" s="12" t="n">
        <x:v>125.5608500573893</x:v>
      </x:c>
      <x:c r="M177" s="12" t="n">
        <x:v>37</x:v>
      </x:c>
      <x:c r="N177" s="14" t="n">
        <x:v>0.7579591865177618</x:v>
      </x:c>
      <x:c r="O177" s="14" t="n">
        <x:v>0.24204081348223816</x:v>
      </x:c>
      <x:c r="P177" s="14" t="n">
        <x:v>0.3798523027617511</x:v>
      </x:c>
      <x:c r="Q177" s="14" t="n">
        <x:v>0.2859632273526215</x:v>
      </x:c>
      <x:c r="R177" s="14" t="n">
        <x:v>0.2735645716778192</x:v>
      </x:c>
      <x:c r="S177" s="14" t="n">
        <x:v>0.4512694315830296</x:v>
      </x:c>
      <x:c r="T177" t="str">
        <x:v>고매출밀도·2030소비</x:v>
      </x:c>
      <x:c r="U177" s="16" t="n">
        <x:v>78.02960022887397</x:v>
      </x:c>
      <x:c r="V177" t="str">
        <x:v>핸드폰</x:v>
      </x:c>
      <x:c r="W177" t="str">
        <x:v>핸드폰 / 일반의원 / 예술학원</x:v>
      </x:c>
      <x:c r="X177" s="16" t="n">
        <x:v>73.49513995673666</x:v>
      </x:c>
    </x:row>
    <x:row r="178">
      <x:c r="A178" t="str">
        <x:v>3110997</x:v>
      </x:c>
      <x:c r="B178" t="str">
        <x:v>대청초등학교</x:v>
      </x:c>
      <x:c r="C178" t="str">
        <x:v>골목상권</x:v>
      </x:c>
      <x:c r="D178" t="str">
        <x:v>강남구</x:v>
      </x:c>
      <x:c r="E178" t="str">
        <x:v>일원1동</x:v>
      </x:c>
      <x:c r="F178" s="12" t="n">
        <x:v>236964</x:v>
      </x:c>
      <x:c r="G178" s="12" t="n">
        <x:v>30454406261</x:v>
      </x:c>
      <x:c r="H178" s="12" t="n">
        <x:v>1077980</x:v>
      </x:c>
      <x:c r="I178" s="12" t="n">
        <x:v>28251.364831443996</x:v>
      </x:c>
      <x:c r="J178" s="12" t="n">
        <x:v>128519.12636940632</x:v>
      </x:c>
      <x:c r="K178" s="12" t="n">
        <x:v>1822</x:v>
      </x:c>
      <x:c r="L178" s="12" t="n">
        <x:v>76.88931652065293</x:v>
      </x:c>
      <x:c r="M178" s="12" t="n">
        <x:v>40</x:v>
      </x:c>
      <x:c r="N178" s="14" t="n">
        <x:v>0.8259261161565024</x:v>
      </x:c>
      <x:c r="O178" s="14" t="n">
        <x:v>0.1740738838434976</x:v>
      </x:c>
      <x:c r="P178" s="14" t="n">
        <x:v>0.36718000427150077</x:v>
      </x:c>
      <x:c r="Q178" s="14" t="n">
        <x:v>0.3150167484396389</x:v>
      </x:c>
      <x:c r="R178" s="14" t="n">
        <x:v>0.1882688571847971</x:v>
      </x:c>
      <x:c r="S178" s="14" t="n">
        <x:v>0.3541543746269656</x:v>
      </x:c>
      <x:c r="T178" t="str">
        <x:v>평일집중·고매출밀도</x:v>
      </x:c>
      <x:c r="U178" s="16" t="n">
        <x:v>78.39800874591161</x:v>
      </x:c>
      <x:c r="V178" t="str">
        <x:v>일반의원</x:v>
      </x:c>
      <x:c r="W178" t="str">
        <x:v>일반의원 / 분식전문점 / 한식음식점</x:v>
      </x:c>
      <x:c r="X178" s="16" t="n">
        <x:v>75.00704840580333</x:v>
      </x:c>
    </x:row>
    <x:row r="179">
      <x:c r="A179" t="str">
        <x:v>3111021</x:v>
      </x:c>
      <x:c r="B179" t="str">
        <x:v>방이역 4번</x:v>
      </x:c>
      <x:c r="C179" t="str">
        <x:v>골목상권</x:v>
      </x:c>
      <x:c r="D179" t="str">
        <x:v>송파구</x:v>
      </x:c>
      <x:c r="E179" t="str">
        <x:v>방이1동</x:v>
      </x:c>
      <x:c r="F179" s="12" t="n">
        <x:v>324278</x:v>
      </x:c>
      <x:c r="G179" s="12" t="n">
        <x:v>30150284710</x:v>
      </x:c>
      <x:c r="H179" s="12" t="n">
        <x:v>409641</x:v>
      </x:c>
      <x:c r="I179" s="12" t="n">
        <x:v>73601.72616998787</x:v>
      </x:c>
      <x:c r="J179" s="12" t="n">
        <x:v>92976.65802182078</x:v>
      </x:c>
      <x:c r="K179" s="12" t="n">
        <x:v>4665</x:v>
      </x:c>
      <x:c r="L179" s="12" t="n">
        <x:v>143.8580477244833</x:v>
      </x:c>
      <x:c r="M179" s="12" t="n">
        <x:v>29</x:v>
      </x:c>
      <x:c r="N179" s="14" t="n">
        <x:v>0.7334987161054904</x:v>
      </x:c>
      <x:c r="O179" s="14" t="n">
        <x:v>0.26650128389450956</x:v>
      </x:c>
      <x:c r="P179" s="14" t="n">
        <x:v>0.48965956626948215</x:v>
      </x:c>
      <x:c r="Q179" s="14" t="n">
        <x:v>0.1729896724083041</x:v>
      </x:c>
      <x:c r="R179" s="14" t="n">
        <x:v>0.15252467843113776</x:v>
      </x:c>
      <x:c r="S179" s="14" t="n">
        <x:v>0.4631837658026547</x:v>
      </x:c>
      <x:c r="T179" t="str">
        <x:v>야간활성·직장밀집</x:v>
      </x:c>
      <x:c r="U179" s="16" t="n">
        <x:v>72.13809564782014</x:v>
      </x:c>
      <x:c r="V179" t="str">
        <x:v>호프-간이주점</x:v>
      </x:c>
      <x:c r="W179" t="str">
        <x:v>호프-간이주점 / 한식음식점 / 자동차수리</x:v>
      </x:c>
      <x:c r="X179" s="16" t="n">
        <x:v>66.1173309542409</x:v>
      </x:c>
    </x:row>
    <x:row r="180">
      <x:c r="A180" t="str">
        <x:v>3120051</x:v>
      </x:c>
      <x:c r="B180" t="str">
        <x:v>뚝섬역</x:v>
      </x:c>
      <x:c r="C180" t="str">
        <x:v>발달상권</x:v>
      </x:c>
      <x:c r="D180" t="str">
        <x:v>성동구</x:v>
      </x:c>
      <x:c r="E180" t="str">
        <x:v>성수1가2동</x:v>
      </x:c>
      <x:c r="F180" s="12" t="n">
        <x:v>218163</x:v>
      </x:c>
      <x:c r="G180" s="12" t="n">
        <x:v>30149459332</x:v>
      </x:c>
      <x:c r="H180" s="12" t="n">
        <x:v>1175605</x:v>
      </x:c>
      <x:c r="I180" s="12" t="n">
        <x:v>25645.909410048444</x:v>
      </x:c>
      <x:c r="J180" s="12" t="n">
        <x:v>138196.9414245312</x:v>
      </x:c>
      <x:c r="K180" s="12" t="n">
        <x:v>6598</x:v>
      </x:c>
      <x:c r="L180" s="12" t="n">
        <x:v>302.4344183019119</x:v>
      </x:c>
      <x:c r="M180" s="12" t="n">
        <x:v>32</x:v>
      </x:c>
      <x:c r="N180" s="14" t="n">
        <x:v>0.7670928990906655</x:v>
      </x:c>
      <x:c r="O180" s="14" t="n">
        <x:v>0.23290710090933447</x:v>
      </x:c>
      <x:c r="P180" s="14" t="n">
        <x:v>0.44885377455630454</x:v>
      </x:c>
      <x:c r="Q180" s="14" t="n">
        <x:v>0.2902080122117926</x:v>
      </x:c>
      <x:c r="R180" s="14" t="n">
        <x:v>0.43315614705365557</x:v>
      </x:c>
      <x:c r="S180" s="14" t="n">
        <x:v>0.4519706644469388</x:v>
      </x:c>
      <x:c r="T180" t="str">
        <x:v>2030소비·직장밀집</x:v>
      </x:c>
      <x:c r="U180" s="16" t="n">
        <x:v>73.01788256281188</x:v>
      </x:c>
      <x:c r="V180" t="str">
        <x:v>미용실</x:v>
      </x:c>
      <x:c r="W180" t="str">
        <x:v>미용실 / 한식음식점 / 편의점</x:v>
      </x:c>
      <x:c r="X180" s="16" t="n">
        <x:v>68.63524086355218</x:v>
      </x:c>
    </x:row>
    <x:row r="181">
      <x:c r="A181" t="str">
        <x:v>3120045</x:v>
      </x:c>
      <x:c r="B181" t="str">
        <x:v>남영동 먹자골목</x:v>
      </x:c>
      <x:c r="C181" t="str">
        <x:v>발달상권</x:v>
      </x:c>
      <x:c r="D181" t="str">
        <x:v>용산구</x:v>
      </x:c>
      <x:c r="E181" t="str">
        <x:v>남영동</x:v>
      </x:c>
      <x:c r="F181" s="12" t="n">
        <x:v>66870</x:v>
      </x:c>
      <x:c r="G181" s="12" t="n">
        <x:v>29966610996</x:v>
      </x:c>
      <x:c r="H181" s="12" t="n">
        <x:v>684926</x:v>
      </x:c>
      <x:c r="I181" s="12" t="n">
        <x:v>43751.60381705469</x:v>
      </x:c>
      <x:c r="J181" s="12" t="n">
        <x:v>448132.36123822344</x:v>
      </x:c>
      <x:c r="K181" s="12" t="n">
        <x:v>3277</x:v>
      </x:c>
      <x:c r="L181" s="12" t="n">
        <x:v>490.05533123971884</x:v>
      </x:c>
      <x:c r="M181" s="12" t="n">
        <x:v>18</x:v>
      </x:c>
      <x:c r="N181" s="14" t="n">
        <x:v>0.7280859107462083</x:v>
      </x:c>
      <x:c r="O181" s="14" t="n">
        <x:v>0.2719140892537917</x:v>
      </x:c>
      <x:c r="P181" s="14" t="n">
        <x:v>0.6777163816659436</x:v>
      </x:c>
      <x:c r="Q181" s="14" t="n">
        <x:v>0.15303979390970035</x:v>
      </x:c>
      <x:c r="R181" s="14" t="n">
        <x:v>0.4250695602749433</x:v>
      </x:c>
      <x:c r="S181" s="14" t="n">
        <x:v>0.3279657411481019</x:v>
      </x:c>
      <x:c r="T181" t="str">
        <x:v>야간활성·고매출밀도</x:v>
      </x:c>
      <x:c r="U181" s="16" t="n">
        <x:v>76.83857293735892</x:v>
      </x:c>
      <x:c r="V181" t="str">
        <x:v>노래방</x:v>
      </x:c>
      <x:c r="W181" t="str">
        <x:v>노래방 / 커피-음료 / 일식음식점</x:v>
      </x:c>
      <x:c r="X181" s="16" t="n">
        <x:v>69.41946127815854</x:v>
      </x:c>
    </x:row>
    <x:row r="182">
      <x:c r="A182" t="str">
        <x:v>3120093</x:v>
      </x:c>
      <x:c r="B182" t="str">
        <x:v>연희동</x:v>
      </x:c>
      <x:c r="C182" t="str">
        <x:v>발달상권</x:v>
      </x:c>
      <x:c r="D182" t="str">
        <x:v>서대문구</x:v>
      </x:c>
      <x:c r="E182" t="str">
        <x:v>연희동</x:v>
      </x:c>
      <x:c r="F182" s="12" t="n">
        <x:v>111829</x:v>
      </x:c>
      <x:c r="G182" s="12" t="n">
        <x:v>29898231288</x:v>
      </x:c>
      <x:c r="H182" s="12" t="n">
        <x:v>1113254</x:v>
      </x:c>
      <x:c r="I182" s="12" t="n">
        <x:v>26856.61249633956</x:v>
      </x:c>
      <x:c r="J182" s="12" t="n">
        <x:v>267356.690017795</x:v>
      </x:c>
      <x:c r="K182" s="12" t="n">
        <x:v>2613</x:v>
      </x:c>
      <x:c r="L182" s="12" t="n">
        <x:v>233.660320668163</x:v>
      </x:c>
      <x:c r="M182" s="12" t="n">
        <x:v>38</x:v>
      </x:c>
      <x:c r="N182" s="14" t="n">
        <x:v>0.7275546038313864</x:v>
      </x:c>
      <x:c r="O182" s="14" t="n">
        <x:v>0.27244539616861363</x:v>
      </x:c>
      <x:c r="P182" s="14" t="n">
        <x:v>0.37130954640971403</x:v>
      </x:c>
      <x:c r="Q182" s="14" t="n">
        <x:v>0.301087559771907</x:v>
      </x:c>
      <x:c r="R182" s="14" t="n">
        <x:v>0.34733140288362063</x:v>
      </x:c>
      <x:c r="S182" s="14" t="n">
        <x:v>0.5029007729642793</x:v>
      </x:c>
      <x:c r="T182" t="str">
        <x:v>고매출밀도·2030소비</x:v>
      </x:c>
      <x:c r="U182" s="16" t="n">
        <x:v>72.44780653060096</x:v>
      </x:c>
      <x:c r="V182" t="str">
        <x:v>화초</x:v>
      </x:c>
      <x:c r="W182" t="str">
        <x:v>화초 / 미용실 / 피부관리실</x:v>
      </x:c>
      <x:c r="X182" s="16" t="n">
        <x:v>69.58836354883445</x:v>
      </x:c>
    </x:row>
    <x:row r="183">
      <x:c r="A183" t="str">
        <x:v>3130236</x:v>
      </x:c>
      <x:c r="B183" t="str">
        <x:v>비단길현대시장(현대시장)</x:v>
      </x:c>
      <x:c r="C183" t="str">
        <x:v>전통시장</x:v>
      </x:c>
      <x:c r="D183" t="str">
        <x:v>금천구</x:v>
      </x:c>
      <x:c r="E183" t="str">
        <x:v>시흥1동</x:v>
      </x:c>
      <x:c r="F183" s="12" t="n">
        <x:v>71349</x:v>
      </x:c>
      <x:c r="G183" s="12" t="n">
        <x:v>29579213728</x:v>
      </x:c>
      <x:c r="H183" s="12" t="n">
        <x:v>1441143</x:v>
      </x:c>
      <x:c r="I183" s="12" t="n">
        <x:v>20524.829061376975</x:v>
      </x:c>
      <x:c r="J183" s="12" t="n">
        <x:v>414570.8240900363</x:v>
      </x:c>
      <x:c r="K183" s="12" t="n">
        <x:v>461</x:v>
      </x:c>
      <x:c r="L183" s="12" t="n">
        <x:v>64.61197774320593</x:v>
      </x:c>
      <x:c r="M183" s="12" t="n">
        <x:v>26</x:v>
      </x:c>
      <x:c r="N183" s="14" t="n">
        <x:v>0.7230217623653529</x:v>
      </x:c>
      <x:c r="O183" s="14" t="n">
        <x:v>0.27697823763464713</x:v>
      </x:c>
      <x:c r="P183" s="14" t="n">
        <x:v>0.22451803077218024</x:v>
      </x:c>
      <x:c r="Q183" s="14" t="n">
        <x:v>0.2839730562225444</x:v>
      </x:c>
      <x:c r="R183" s="14" t="n">
        <x:v>0.09924121043221802</x:v>
      </x:c>
      <x:c r="S183" s="14" t="n">
        <x:v>0.5963399714814759</x:v>
      </x:c>
      <x:c r="T183" t="str">
        <x:v>여성소비·고매출밀도</x:v>
      </x:c>
      <x:c r="U183" s="16" t="n">
        <x:v>70.9733731105606</x:v>
      </x:c>
      <x:c r="V183" t="str">
        <x:v>청과상</x:v>
      </x:c>
      <x:c r="W183" t="str">
        <x:v>청과상 / 수산물판매 / 일반의원</x:v>
      </x:c>
      <x:c r="X183" s="16" t="n">
        <x:v>68.28519832865186</x:v>
      </x:c>
    </x:row>
    <x:row r="184">
      <x:c r="A184" t="str">
        <x:v>3120136</x:v>
      </x:c>
      <x:c r="B184" t="str">
        <x:v>영등포구청역</x:v>
      </x:c>
      <x:c r="C184" t="str">
        <x:v>발달상권</x:v>
      </x:c>
      <x:c r="D184" t="str">
        <x:v>영등포구</x:v>
      </x:c>
      <x:c r="E184" t="str">
        <x:v>당산1동</x:v>
      </x:c>
      <x:c r="F184" s="12" t="n">
        <x:v>208631</x:v>
      </x:c>
      <x:c r="G184" s="12" t="n">
        <x:v>29331297826</x:v>
      </x:c>
      <x:c r="H184" s="12" t="n">
        <x:v>1389374</x:v>
      </x:c>
      <x:c r="I184" s="12" t="n">
        <x:v>21111.16072850075</x:v>
      </x:c>
      <x:c r="J184" s="12" t="n">
        <x:v>140589.35549367065</x:v>
      </x:c>
      <x:c r="K184" s="12" t="n">
        <x:v>8473</x:v>
      </x:c>
      <x:c r="L184" s="12" t="n">
        <x:v>406.12373041398445</x:v>
      </x:c>
      <x:c r="M184" s="12" t="n">
        <x:v>39</x:v>
      </x:c>
      <x:c r="N184" s="14" t="n">
        <x:v>0.784053860160753</x:v>
      </x:c>
      <x:c r="O184" s="14" t="n">
        <x:v>0.2159461398392471</x:v>
      </x:c>
      <x:c r="P184" s="14" t="n">
        <x:v>0.5434270696290464</x:v>
      </x:c>
      <x:c r="Q184" s="14" t="n">
        <x:v>0.21393464763218556</x:v>
      </x:c>
      <x:c r="R184" s="14" t="n">
        <x:v>0.34861905990862446</x:v>
      </x:c>
      <x:c r="S184" s="14" t="n">
        <x:v>0.33383951757225594</x:v>
      </x:c>
      <x:c r="T184" t="str">
        <x:v>직장밀집·야간활성</x:v>
      </x:c>
      <x:c r="U184" s="16" t="n">
        <x:v>81.66408101350302</x:v>
      </x:c>
      <x:c r="V184" t="str">
        <x:v>당구장</x:v>
      </x:c>
      <x:c r="W184" t="str">
        <x:v>당구장 / 호프-간이주점 / 분식전문점</x:v>
      </x:c>
      <x:c r="X184" s="16" t="n">
        <x:v>67.63173626983412</x:v>
      </x:c>
    </x:row>
    <x:row r="185">
      <x:c r="A185" t="str">
        <x:v>3120122</x:v>
      </x:c>
      <x:c r="B185" t="str">
        <x:v>강서구청</x:v>
      </x:c>
      <x:c r="C185" t="str">
        <x:v>발달상권</x:v>
      </x:c>
      <x:c r="D185" t="str">
        <x:v>강서구</x:v>
      </x:c>
      <x:c r="E185" t="str">
        <x:v>화곡6동</x:v>
      </x:c>
      <x:c r="F185" s="12" t="n">
        <x:v>224516</x:v>
      </x:c>
      <x:c r="G185" s="12" t="n">
        <x:v>29081601398</x:v>
      </x:c>
      <x:c r="H185" s="12" t="n">
        <x:v>1262416</x:v>
      </x:c>
      <x:c r="I185" s="12" t="n">
        <x:v>23036.464523580184</x:v>
      </x:c>
      <x:c r="J185" s="12" t="n">
        <x:v>129530.19561189403</x:v>
      </x:c>
      <x:c r="K185" s="12" t="n">
        <x:v>5982</x:v>
      </x:c>
      <x:c r="L185" s="12" t="n">
        <x:v>266.4398082987404</x:v>
      </x:c>
      <x:c r="M185" s="12" t="n">
        <x:v>38</x:v>
      </x:c>
      <x:c r="N185" s="14" t="n">
        <x:v>0.7299738440284086</x:v>
      </x:c>
      <x:c r="O185" s="14" t="n">
        <x:v>0.27002615597159146</x:v>
      </x:c>
      <x:c r="P185" s="14" t="n">
        <x:v>0.4713348785511746</x:v>
      </x:c>
      <x:c r="Q185" s="14" t="n">
        <x:v>0.1722676391316104</x:v>
      </x:c>
      <x:c r="R185" s="14" t="n">
        <x:v>0.3468973157954704</x:v>
      </x:c>
      <x:c r="S185" s="14" t="n">
        <x:v>0.36839814415229544</x:v>
      </x:c>
      <x:c r="T185" t="str">
        <x:v>2030소비·직장밀집</x:v>
      </x:c>
      <x:c r="U185" s="16" t="n">
        <x:v>78.14353896811208</x:v>
      </x:c>
      <x:c r="V185" t="str">
        <x:v>당구장</x:v>
      </x:c>
      <x:c r="W185" t="str">
        <x:v>당구장 / 스포츠클럽 / 일반의원</x:v>
      </x:c>
      <x:c r="X185" s="16" t="n">
        <x:v>74.46698438999991</x:v>
      </x:c>
    </x:row>
    <x:row r="186">
      <x:c r="A186" t="str">
        <x:v>3110137</x:v>
      </x:c>
      <x:c r="B186" t="str">
        <x:v>성수초등학교</x:v>
      </x:c>
      <x:c r="C186" t="str">
        <x:v>골목상권</x:v>
      </x:c>
      <x:c r="D186" t="str">
        <x:v>성동구</x:v>
      </x:c>
      <x:c r="E186" t="str">
        <x:v>성수2가3동</x:v>
      </x:c>
      <x:c r="F186" s="12" t="n">
        <x:v>330983</x:v>
      </x:c>
      <x:c r="G186" s="12" t="n">
        <x:v>28715220165</x:v>
      </x:c>
      <x:c r="H186" s="12" t="n">
        <x:v>1651920</x:v>
      </x:c>
      <x:c r="I186" s="12" t="n">
        <x:v>17382.936319555425</x:v>
      </x:c>
      <x:c r="J186" s="12" t="n">
        <x:v>86757.38682953505</x:v>
      </x:c>
      <x:c r="K186" s="12" t="n">
        <x:v>11919</x:v>
      </x:c>
      <x:c r="L186" s="12" t="n">
        <x:v>360.10912947190644</x:v>
      </x:c>
      <x:c r="M186" s="12" t="n">
        <x:v>23</x:v>
      </x:c>
      <x:c r="N186" s="14" t="n">
        <x:v>0.7595928545442863</x:v>
      </x:c>
      <x:c r="O186" s="14" t="n">
        <x:v>0.24040714545571376</x:v>
      </x:c>
      <x:c r="P186" s="14" t="n">
        <x:v>0.2340289572702289</x:v>
      </x:c>
      <x:c r="Q186" s="14" t="n">
        <x:v>0.33713616303035576</x:v>
      </x:c>
      <x:c r="R186" s="14" t="n">
        <x:v>0.3069733564064422</x:v>
      </x:c>
      <x:c r="S186" s="14" t="n">
        <x:v>0.4188683953626932</x:v>
      </x:c>
      <x:c r="T186" t="str">
        <x:v>직장밀집·2030소비</x:v>
      </x:c>
      <x:c r="U186" s="16" t="n">
        <x:v>68.22020663784176</x:v>
      </x:c>
      <x:c r="V186" t="str">
        <x:v>일반교습학원</x:v>
      </x:c>
      <x:c r="W186" t="str">
        <x:v>일반교습학원 / 일반의류 / 한식음식점</x:v>
      </x:c>
      <x:c r="X186" s="16" t="n">
        <x:v>66.05683270316489</x:v>
      </x:c>
    </x:row>
    <x:row r="187">
      <x:c r="A187" t="str">
        <x:v>3120002</x:v>
      </x:c>
      <x:c r="B187" t="str">
        <x:v>서촌(경복궁역)</x:v>
      </x:c>
      <x:c r="C187" t="str">
        <x:v>발달상권</x:v>
      </x:c>
      <x:c r="D187" t="str">
        <x:v>종로구</x:v>
      </x:c>
      <x:c r="E187" t="str">
        <x:v>사직동</x:v>
      </x:c>
      <x:c r="F187" s="12" t="n">
        <x:v>176637</x:v>
      </x:c>
      <x:c r="G187" s="12" t="n">
        <x:v>28505388439</x:v>
      </x:c>
      <x:c r="H187" s="12" t="n">
        <x:v>1129594</x:v>
      </x:c>
      <x:c r="I187" s="12" t="n">
        <x:v>25235.074229324873</x:v>
      </x:c>
      <x:c r="J187" s="12" t="n">
        <x:v>161378.35469918532</x:v>
      </x:c>
      <x:c r="K187" s="12" t="n">
        <x:v>3194</x:v>
      </x:c>
      <x:c r="L187" s="12" t="n">
        <x:v>180.8228174165096</x:v>
      </x:c>
      <x:c r="M187" s="12" t="n">
        <x:v>26</x:v>
      </x:c>
      <x:c r="N187" s="14" t="n">
        <x:v>0.6982694559168852</x:v>
      </x:c>
      <x:c r="O187" s="14" t="n">
        <x:v>0.3017305440831148</x:v>
      </x:c>
      <x:c r="P187" s="14" t="n">
        <x:v>0.36387605270478734</x:v>
      </x:c>
      <x:c r="Q187" s="14" t="n">
        <x:v>0.283741273559847</x:v>
      </x:c>
      <x:c r="R187" s="14" t="n">
        <x:v>0.37656290122024955</x:v>
      </x:c>
      <x:c r="S187" s="14" t="n">
        <x:v>0.48923423505851493</x:v>
      </x:c>
      <x:c r="T187" t="str">
        <x:v>2030소비·고매출밀도</x:v>
      </x:c>
      <x:c r="U187" s="16" t="n">
        <x:v>69.57819237436226</x:v>
      </x:c>
      <x:c r="V187" t="str">
        <x:v>일반의류</x:v>
      </x:c>
      <x:c r="W187" t="str">
        <x:v>일반의류 / 일식음식점 / 서적</x:v>
      </x:c>
      <x:c r="X187" s="16" t="n">
        <x:v>67.8869518758066</x:v>
      </x:c>
    </x:row>
    <x:row r="188">
      <x:c r="A188" t="str">
        <x:v>3130229</x:v>
      </x:c>
      <x:c r="B188" t="str">
        <x:v>남구로시장</x:v>
      </x:c>
      <x:c r="C188" t="str">
        <x:v>전통시장</x:v>
      </x:c>
      <x:c r="D188" t="str">
        <x:v>구로구</x:v>
      </x:c>
      <x:c r="E188" t="str">
        <x:v>구로4동</x:v>
      </x:c>
      <x:c r="F188" s="12" t="n">
        <x:v>45490</x:v>
      </x:c>
      <x:c r="G188" s="12" t="n">
        <x:v>28440547041</x:v>
      </x:c>
      <x:c r="H188" s="12" t="n">
        <x:v>1446196</x:v>
      </x:c>
      <x:c r="I188" s="12" t="n">
        <x:v>19665.762483785045</x:v>
      </x:c>
      <x:c r="J188" s="12" t="n">
        <x:v>625204.3754891185</x:v>
      </x:c>
      <x:c r="K188" s="12" t="n">
        <x:v>290</x:v>
      </x:c>
      <x:c r="L188" s="12" t="n">
        <x:v>63.75027478566717</x:v>
      </x:c>
      <x:c r="M188" s="12" t="n">
        <x:v>26</x:v>
      </x:c>
      <x:c r="N188" s="14" t="n">
        <x:v>0.7142413973864885</x:v>
      </x:c>
      <x:c r="O188" s="14" t="n">
        <x:v>0.28575860261351155</x:v>
      </x:c>
      <x:c r="P188" s="14" t="n">
        <x:v>0.19049911646177325</x:v>
      </x:c>
      <x:c r="Q188" s="14" t="n">
        <x:v>0.3147967981098722</x:v>
      </x:c>
      <x:c r="R188" s="14" t="n">
        <x:v>0.09321620326705164</x:v>
      </x:c>
      <x:c r="S188" s="14" t="n">
        <x:v>0.5618873536420597</x:v>
      </x:c>
      <x:c r="T188" t="str">
        <x:v>고매출밀도·여성소비</x:v>
      </x:c>
      <x:c r="U188" s="16" t="n">
        <x:v>68.95449265803495</x:v>
      </x:c>
      <x:c r="V188" t="str">
        <x:v>의약품</x:v>
      </x:c>
      <x:c r="W188" t="str">
        <x:v>의약품 / 수산물판매 / 육류판매</x:v>
      </x:c>
      <x:c r="X188" s="16" t="n">
        <x:v>65.86008660140185</x:v>
      </x:c>
    </x:row>
    <x:row r="189">
      <x:c r="A189" t="str">
        <x:v>3130007</x:v>
      </x:c>
      <x:c r="B189" t="str">
        <x:v>광장시장(광장전통시장)</x:v>
      </x:c>
      <x:c r="C189" t="str">
        <x:v>전통시장</x:v>
      </x:c>
      <x:c r="D189" t="str">
        <x:v>종로구</x:v>
      </x:c>
      <x:c r="E189" t="str">
        <x:v>종로1·2·3·4가동</x:v>
      </x:c>
      <x:c r="F189" s="12" t="n">
        <x:v>66373</x:v>
      </x:c>
      <x:c r="G189" s="12" t="n">
        <x:v>28158435863</x:v>
      </x:c>
      <x:c r="H189" s="12" t="n">
        <x:v>985868</x:v>
      </x:c>
      <x:c r="I189" s="12" t="n">
        <x:v>28562.075108432367</x:v>
      </x:c>
      <x:c r="J189" s="12" t="n">
        <x:v>424245.33866180526</x:v>
      </x:c>
      <x:c r="K189" s="12" t="n">
        <x:v>6074</x:v>
      </x:c>
      <x:c r="L189" s="12" t="n">
        <x:v>915.1311527277659</x:v>
      </x:c>
      <x:c r="M189" s="12" t="n">
        <x:v>17</x:v>
      </x:c>
      <x:c r="N189" s="14" t="n">
        <x:v>0.7202033862132067</x:v>
      </x:c>
      <x:c r="O189" s="14" t="n">
        <x:v>0.27979661378679327</x:v>
      </x:c>
      <x:c r="P189" s="14" t="n">
        <x:v>0.27000909549774876</x:v>
      </x:c>
      <x:c r="Q189" s="14" t="n">
        <x:v>0.2925324042882545</x:v>
      </x:c>
      <x:c r="R189" s="14" t="n">
        <x:v>0.23476421808948117</x:v>
      </x:c>
      <x:c r="S189" s="14" t="n">
        <x:v>0.5018202411081841</x:v>
      </x:c>
      <x:c r="T189" t="str">
        <x:v>직장밀집·고매출밀도</x:v>
      </x:c>
      <x:c r="U189" s="16" t="n">
        <x:v>73.91390889960076</x:v>
      </x:c>
      <x:c r="V189" t="str">
        <x:v>육류판매</x:v>
      </x:c>
      <x:c r="W189" t="str">
        <x:v>육류판매 / 의약품 / 화장품</x:v>
      </x:c>
      <x:c r="X189" s="16" t="n">
        <x:v>66.68525554472623</x:v>
      </x:c>
    </x:row>
    <x:row r="190">
      <x:c r="A190" t="str">
        <x:v>3111046</x:v>
      </x:c>
      <x:c r="B190" t="str">
        <x:v>마천역(마천초등학교)</x:v>
      </x:c>
      <x:c r="C190" t="str">
        <x:v>골목상권</x:v>
      </x:c>
      <x:c r="D190" t="str">
        <x:v>송파구</x:v>
      </x:c>
      <x:c r="E190" t="str">
        <x:v>마천1동</x:v>
      </x:c>
      <x:c r="F190" s="12" t="n">
        <x:v>209850</x:v>
      </x:c>
      <x:c r="G190" s="12" t="n">
        <x:v>28083502374</x:v>
      </x:c>
      <x:c r="H190" s="12" t="n">
        <x:v>658527</x:v>
      </x:c>
      <x:c r="I190" s="12" t="n">
        <x:v>42645.93915511437</x:v>
      </x:c>
      <x:c r="J190" s="12" t="n">
        <x:v>133826.55408148677</x:v>
      </x:c>
      <x:c r="K190" s="12" t="n">
        <x:v>782</x:v>
      </x:c>
      <x:c r="L190" s="12" t="n">
        <x:v>37.264712890159636</x:v>
      </x:c>
      <x:c r="M190" s="12" t="n">
        <x:v>34</x:v>
      </x:c>
      <x:c r="N190" s="14" t="n">
        <x:v>0.8853881248095355</x:v>
      </x:c>
      <x:c r="O190" s="14" t="n">
        <x:v>0.11461187519046445</x:v>
      </x:c>
      <x:c r="P190" s="14" t="n">
        <x:v>0.1876947885916133</x:v>
      </x:c>
      <x:c r="Q190" s="14" t="n">
        <x:v>0.35811819761879393</x:v>
      </x:c>
      <x:c r="R190" s="14" t="n">
        <x:v>0.0687348181253598</x:v>
      </x:c>
      <x:c r="S190" s="14" t="n">
        <x:v>0.31656446634058993</x:v>
      </x:c>
      <x:c r="T190" t="str">
        <x:v>평일집중·고매출밀도</x:v>
      </x:c>
      <x:c r="U190" s="16" t="n">
        <x:v>81.47837887605289</x:v>
      </x:c>
      <x:c r="V190" t="str">
        <x:v>피부관리실</x:v>
      </x:c>
      <x:c r="W190" t="str">
        <x:v>피부관리실 / 예술학원 / 치킨전문점</x:v>
      </x:c>
      <x:c r="X190" s="16" t="n">
        <x:v>71.80135407679386</x:v>
      </x:c>
    </x:row>
    <x:row r="191">
      <x:c r="A191" t="str">
        <x:v>3120218</x:v>
      </x:c>
      <x:c r="B191" t="str">
        <x:v>코엑스</x:v>
      </x:c>
      <x:c r="C191" t="str">
        <x:v>발달상권</x:v>
      </x:c>
      <x:c r="D191" t="str">
        <x:v>강남구</x:v>
      </x:c>
      <x:c r="E191" t="str">
        <x:v>삼성1동</x:v>
      </x:c>
      <x:c r="F191" s="12" t="n">
        <x:v>145396</x:v>
      </x:c>
      <x:c r="G191" s="12" t="n">
        <x:v>28032998790</x:v>
      </x:c>
      <x:c r="H191" s="12" t="n">
        <x:v>860567</x:v>
      </x:c>
      <x:c r="I191" s="12" t="n">
        <x:v>32575.03342563682</x:v>
      </x:c>
      <x:c r="J191" s="12" t="n">
        <x:v>192804.47048061845</x:v>
      </x:c>
      <x:c r="K191" s="12" t="n">
        <x:v>52540</x:v>
      </x:c>
      <x:c r="L191" s="12" t="n">
        <x:v>3613.5794657349584</x:v>
      </x:c>
      <x:c r="M191" s="12" t="n">
        <x:v>21</x:v>
      </x:c>
      <x:c r="N191" s="14" t="n">
        <x:v>0.7207199091096597</x:v>
      </x:c>
      <x:c r="O191" s="14" t="n">
        <x:v>0.27928009089034034</x:v>
      </x:c>
      <x:c r="P191" s="14" t="n">
        <x:v>0.35068663305143316</x:v>
      </x:c>
      <x:c r="Q191" s="14" t="n">
        <x:v>0.29318537376500203</x:v>
      </x:c>
      <x:c r="R191" s="14" t="n">
        <x:v>0.38703387084190005</x:v>
      </x:c>
      <x:c r="S191" s="14" t="n">
        <x:v>0.41710887595697</x:v>
      </x:c>
      <x:c r="T191" t="str">
        <x:v>직장밀집·2030소비</x:v>
      </x:c>
      <x:c r="U191" s="16" t="n">
        <x:v>78.69955479346721</x:v>
      </x:c>
      <x:c r="V191" t="str">
        <x:v>완구</x:v>
      </x:c>
      <x:c r="W191" t="str">
        <x:v>완구 / 핸드폰 / 일반의류</x:v>
      </x:c>
      <x:c r="X191" s="16" t="n">
        <x:v>74.06787197320303</x:v>
      </x:c>
    </x:row>
    <x:row r="192">
      <x:c r="A192" t="str">
        <x:v>3120205</x:v>
      </x:c>
      <x:c r="B192" t="str">
        <x:v>매봉역</x:v>
      </x:c>
      <x:c r="C192" t="str">
        <x:v>발달상권</x:v>
      </x:c>
      <x:c r="D192" t="str">
        <x:v>강남구</x:v>
      </x:c>
      <x:c r="E192" t="str">
        <x:v>도곡2동</x:v>
      </x:c>
      <x:c r="F192" s="12" t="n">
        <x:v>122443</x:v>
      </x:c>
      <x:c r="G192" s="12" t="n">
        <x:v>27410934358</x:v>
      </x:c>
      <x:c r="H192" s="12" t="n">
        <x:v>779527</x:v>
      </x:c>
      <x:c r="I192" s="12" t="n">
        <x:v>35163.547071493354</x:v>
      </x:c>
      <x:c r="J192" s="12" t="n">
        <x:v>223866.89609042575</x:v>
      </x:c>
      <x:c r="K192" s="12" t="n">
        <x:v>67744</x:v>
      </x:c>
      <x:c r="L192" s="12" t="n">
        <x:v>5532.696846696013</x:v>
      </x:c>
      <x:c r="M192" s="12" t="n">
        <x:v>26</x:v>
      </x:c>
      <x:c r="N192" s="14" t="n">
        <x:v>0.7927944390066968</x:v>
      </x:c>
      <x:c r="O192" s="14" t="n">
        <x:v>0.20720556099330323</x:v>
      </x:c>
      <x:c r="P192" s="14" t="n">
        <x:v>0.40431334274329445</x:v>
      </x:c>
      <x:c r="Q192" s="14" t="n">
        <x:v>0.3541507938114774</x:v>
      </x:c>
      <x:c r="R192" s="14" t="n">
        <x:v>0.20194590774263166</x:v>
      </x:c>
      <x:c r="S192" s="14" t="n">
        <x:v>0.38663791950991616</x:v>
      </x:c>
      <x:c r="T192" t="str">
        <x:v>직장밀집·고매출밀도</x:v>
      </x:c>
      <x:c r="U192" s="16" t="n">
        <x:v>78.45599735400602</x:v>
      </x:c>
      <x:c r="V192" t="str">
        <x:v>자동차수리</x:v>
      </x:c>
      <x:c r="W192" t="str">
        <x:v>자동차수리 / 당구장 / 노래방</x:v>
      </x:c>
      <x:c r="X192" s="16" t="n">
        <x:v>76.5065648370729</x:v>
      </x:c>
    </x:row>
    <x:row r="193">
      <x:c r="A193" t="str">
        <x:v>3120070</x:v>
      </x:c>
      <x:c r="B193" t="str">
        <x:v>한성대입구역</x:v>
      </x:c>
      <x:c r="C193" t="str">
        <x:v>발달상권</x:v>
      </x:c>
      <x:c r="D193" t="str">
        <x:v>성북구</x:v>
      </x:c>
      <x:c r="E193" t="str">
        <x:v>삼선동</x:v>
      </x:c>
      <x:c r="F193" s="12" t="n">
        <x:v>80065</x:v>
      </x:c>
      <x:c r="G193" s="12" t="n">
        <x:v>27347282063</x:v>
      </x:c>
      <x:c r="H193" s="12" t="n">
        <x:v>1177720</x:v>
      </x:c>
      <x:c r="I193" s="12" t="n">
        <x:v>23220.529551166663</x:v>
      </x:c>
      <x:c r="J193" s="12" t="n">
        <x:v>341563.50543933053</x:v>
      </x:c>
      <x:c r="K193" s="12" t="n">
        <x:v>3799</x:v>
      </x:c>
      <x:c r="L193" s="12" t="n">
        <x:v>474.48947729969404</x:v>
      </x:c>
      <x:c r="M193" s="12" t="n">
        <x:v>31</x:v>
      </x:c>
      <x:c r="N193" s="14" t="n">
        <x:v>0.7847605739963512</x:v>
      </x:c>
      <x:c r="O193" s="14" t="n">
        <x:v>0.2152394260036488</x:v>
      </x:c>
      <x:c r="P193" s="14" t="n">
        <x:v>0.2991684281148082</x:v>
      </x:c>
      <x:c r="Q193" s="14" t="n">
        <x:v>0.2773158034692115</x:v>
      </x:c>
      <x:c r="R193" s="14" t="n">
        <x:v>0.23376329970462556</x:v>
      </x:c>
      <x:c r="S193" s="14" t="n">
        <x:v>0.5531429680343367</x:v>
      </x:c>
      <x:c r="T193" t="str">
        <x:v>고매출밀도·직장밀집</x:v>
      </x:c>
      <x:c r="U193" s="16" t="n">
        <x:v>71.85028897343753</x:v>
      </x:c>
      <x:c r="V193" t="str">
        <x:v>스포츠클럽</x:v>
      </x:c>
      <x:c r="W193" t="str">
        <x:v>스포츠클럽 / 미용실 / 일반의원</x:v>
      </x:c>
      <x:c r="X193" s="16" t="n">
        <x:v>68.7590897151682</x:v>
      </x:c>
    </x:row>
    <x:row r="194">
      <x:c r="A194" t="str">
        <x:v>3120226</x:v>
      </x:c>
      <x:c r="B194" t="str">
        <x:v>석촌고분역</x:v>
      </x:c>
      <x:c r="C194" t="str">
        <x:v>발달상권</x:v>
      </x:c>
      <x:c r="D194" t="str">
        <x:v>송파구</x:v>
      </x:c>
      <x:c r="E194" t="str">
        <x:v>석촌동</x:v>
      </x:c>
      <x:c r="F194" s="12" t="n">
        <x:v>129121</x:v>
      </x:c>
      <x:c r="G194" s="12" t="n">
        <x:v>27345735512</x:v>
      </x:c>
      <x:c r="H194" s="12" t="n">
        <x:v>960408</x:v>
      </x:c>
      <x:c r="I194" s="12" t="n">
        <x:v>28473.04011628391</x:v>
      </x:c>
      <x:c r="J194" s="12" t="n">
        <x:v>211783.79591236127</x:v>
      </x:c>
      <x:c r="K194" s="12" t="n">
        <x:v>3609</x:v>
      </x:c>
      <x:c r="L194" s="12" t="n">
        <x:v>279.5052702503853</x:v>
      </x:c>
      <x:c r="M194" s="12" t="n">
        <x:v>32</x:v>
      </x:c>
      <x:c r="N194" s="14" t="n">
        <x:v>0.7906518355855587</x:v>
      </x:c>
      <x:c r="O194" s="14" t="n">
        <x:v>0.20934816441444123</x:v>
      </x:c>
      <x:c r="P194" s="14" t="n">
        <x:v>0.3456732911737525</x:v>
      </x:c>
      <x:c r="Q194" s="14" t="n">
        <x:v>0.2656432205603788</x:v>
      </x:c>
      <x:c r="R194" s="14" t="n">
        <x:v>0.27911499310927734</x:v>
      </x:c>
      <x:c r="S194" s="14" t="n">
        <x:v>0.4136402513304613</x:v>
      </x:c>
      <x:c r="T194" t="str">
        <x:v>직장밀집·고매출밀도</x:v>
      </x:c>
      <x:c r="U194" s="16" t="n">
        <x:v>73.21791004095256</x:v>
      </x:c>
      <x:c r="V194" t="str">
        <x:v>스포츠클럽</x:v>
      </x:c>
      <x:c r="W194" t="str">
        <x:v>스포츠클럽 / 인테리어 / 여관</x:v>
      </x:c>
      <x:c r="X194" s="16" t="n">
        <x:v>67.75680982198944</x:v>
      </x:c>
    </x:row>
    <x:row r="195">
      <x:c r="A195" t="str">
        <x:v>3130285</x:v>
      </x:c>
      <x:c r="B195" t="str">
        <x:v>서원동상점가</x:v>
      </x:c>
      <x:c r="C195" t="str">
        <x:v>전통시장</x:v>
      </x:c>
      <x:c r="D195" t="str">
        <x:v>관악구</x:v>
      </x:c>
      <x:c r="E195" t="str">
        <x:v>서원동</x:v>
      </x:c>
      <x:c r="F195" s="12" t="n">
        <x:v>60026</x:v>
      </x:c>
      <x:c r="G195" s="12" t="n">
        <x:v>27285701127</x:v>
      </x:c>
      <x:c r="H195" s="12" t="n">
        <x:v>1405758</x:v>
      </x:c>
      <x:c r="I195" s="12" t="n">
        <x:v>19409.9561425224</x:v>
      </x:c>
      <x:c r="J195" s="12" t="n">
        <x:v>454564.70741012227</x:v>
      </x:c>
      <x:c r="K195" s="12" t="n">
        <x:v>988</x:v>
      </x:c>
      <x:c r="L195" s="12" t="n">
        <x:v>164.59534201845867</x:v>
      </x:c>
      <x:c r="M195" s="12" t="n">
        <x:v>25</x:v>
      </x:c>
      <x:c r="N195" s="14" t="n">
        <x:v>0.6379694778586732</x:v>
      </x:c>
      <x:c r="O195" s="14" t="n">
        <x:v>0.3620305221413268</x:v>
      </x:c>
      <x:c r="P195" s="14" t="n">
        <x:v>0.5597092539758067</x:v>
      </x:c>
      <x:c r="Q195" s="14" t="n">
        <x:v>0.10905290881660987</x:v>
      </x:c>
      <x:c r="R195" s="14" t="n">
        <x:v>0.6543157405009276</x:v>
      </x:c>
      <x:c r="S195" s="14" t="n">
        <x:v>0.4064424483131956</x:v>
      </x:c>
      <x:c r="T195" t="str">
        <x:v>2030소비·고매출밀도</x:v>
      </x:c>
      <x:c r="U195" s="16" t="n">
        <x:v>79.99207243174433</x:v>
      </x:c>
      <x:c r="V195" t="str">
        <x:v>피부관리실</x:v>
      </x:c>
      <x:c r="W195" t="str">
        <x:v>피부관리실 / 일식음식점 / 미용실</x:v>
      </x:c>
      <x:c r="X195" s="16" t="n">
        <x:v>72.26888582678407</x:v>
      </x:c>
    </x:row>
    <x:row r="196">
      <x:c r="A196" t="str">
        <x:v>3120077</x:v>
      </x:c>
      <x:c r="B196" t="str">
        <x:v>미아역</x:v>
      </x:c>
      <x:c r="C196" t="str">
        <x:v>발달상권</x:v>
      </x:c>
      <x:c r="D196" t="str">
        <x:v>강북구</x:v>
      </x:c>
      <x:c r="E196" t="str">
        <x:v>미아동</x:v>
      </x:c>
      <x:c r="F196" s="12" t="n">
        <x:v>93348</x:v>
      </x:c>
      <x:c r="G196" s="12" t="n">
        <x:v>27148951380</x:v>
      </x:c>
      <x:c r="H196" s="12" t="n">
        <x:v>1254660</x:v>
      </x:c>
      <x:c r="I196" s="12" t="n">
        <x:v>21638.492802831046</x:v>
      </x:c>
      <x:c r="J196" s="12" t="n">
        <x:v>290835.9191412778</x:v>
      </x:c>
      <x:c r="K196" s="12" t="n">
        <x:v>354</x:v>
      </x:c>
      <x:c r="L196" s="12" t="n">
        <x:v>37.92261216094614</x:v>
      </x:c>
      <x:c r="M196" s="12" t="n">
        <x:v>33</x:v>
      </x:c>
      <x:c r="N196" s="14" t="n">
        <x:v>0.7661868054441224</x:v>
      </x:c>
      <x:c r="O196" s="14" t="n">
        <x:v>0.23381319455587754</x:v>
      </x:c>
      <x:c r="P196" s="14" t="n">
        <x:v>0.30902403321479593</x:v>
      </x:c>
      <x:c r="Q196" s="14" t="n">
        <x:v>0.27053886421597767</x:v>
      </x:c>
      <x:c r="R196" s="14" t="n">
        <x:v>0.20056986665096013</x:v>
      </x:c>
      <x:c r="S196" s="14" t="n">
        <x:v>0.5405653938741556</x:v>
      </x:c>
      <x:c r="T196" t="str">
        <x:v>고매출밀도·여성소비</x:v>
      </x:c>
      <x:c r="U196" s="16" t="n">
        <x:v>75.44703661562794</x:v>
      </x:c>
      <x:c r="V196" t="str">
        <x:v>의약품</x:v>
      </x:c>
      <x:c r="W196" t="str">
        <x:v>의약품 / 예술학원 / 일반교습학원</x:v>
      </x:c>
      <x:c r="X196" s="16" t="n">
        <x:v>73.35299076844197</x:v>
      </x:c>
    </x:row>
    <x:row r="197">
      <x:c r="A197" t="str">
        <x:v>3120080</x:v>
      </x:c>
      <x:c r="B197" t="str">
        <x:v>마들역</x:v>
      </x:c>
      <x:c r="C197" t="str">
        <x:v>발달상권</x:v>
      </x:c>
      <x:c r="D197" t="str">
        <x:v>노원구</x:v>
      </x:c>
      <x:c r="E197" t="str">
        <x:v>상계9동</x:v>
      </x:c>
      <x:c r="F197" s="12" t="n">
        <x:v>38976</x:v>
      </x:c>
      <x:c r="G197" s="12" t="n">
        <x:v>27097428840</x:v>
      </x:c>
      <x:c r="H197" s="12" t="n">
        <x:v>1373897</x:v>
      </x:c>
      <x:c r="I197" s="12" t="n">
        <x:v>19723.042440590525</x:v>
      </x:c>
      <x:c r="J197" s="12" t="n">
        <x:v>695233.703817734</x:v>
      </x:c>
      <x:c r="K197" s="12" t="n">
        <x:v>1635</x:v>
      </x:c>
      <x:c r="L197" s="12" t="n">
        <x:v>419.4889162561576</x:v>
      </x:c>
      <x:c r="M197" s="12" t="n">
        <x:v>30</x:v>
      </x:c>
      <x:c r="N197" s="14" t="n">
        <x:v>0.7754100097860059</x:v>
      </x:c>
      <x:c r="O197" s="14" t="n">
        <x:v>0.22458999021399403</x:v>
      </x:c>
      <x:c r="P197" s="14" t="n">
        <x:v>0.295296225676886</x:v>
      </x:c>
      <x:c r="Q197" s="14" t="n">
        <x:v>0.2549843138918268</x:v>
      </x:c>
      <x:c r="R197" s="14" t="n">
        <x:v>0.18430394368737457</x:v>
      </x:c>
      <x:c r="S197" s="14" t="n">
        <x:v>0.547611033933063</x:v>
      </x:c>
      <x:c r="T197" t="str">
        <x:v>고매출밀도·직장밀집</x:v>
      </x:c>
      <x:c r="U197" s="16" t="n">
        <x:v>80.62566795586318</x:v>
      </x:c>
      <x:c r="V197" t="str">
        <x:v>패스트푸드점</x:v>
      </x:c>
      <x:c r="W197" t="str">
        <x:v>패스트푸드점 / 의약품 / 안경</x:v>
      </x:c>
      <x:c r="X197" s="16" t="n">
        <x:v>78.83300885176659</x:v>
      </x:c>
    </x:row>
    <x:row r="198">
      <x:c r="A198" t="str">
        <x:v>3110229</x:v>
      </x:c>
      <x:c r="B198" t="str">
        <x:v>장평중학교</x:v>
      </x:c>
      <x:c r="C198" t="str">
        <x:v>골목상권</x:v>
      </x:c>
      <x:c r="D198" t="str">
        <x:v>동대문구</x:v>
      </x:c>
      <x:c r="E198" t="str">
        <x:v>장안1동</x:v>
      </x:c>
      <x:c r="F198" s="12" t="n">
        <x:v>205648</x:v>
      </x:c>
      <x:c r="G198" s="12" t="n">
        <x:v>26539402642</x:v>
      </x:c>
      <x:c r="H198" s="12" t="n">
        <x:v>204155</x:v>
      </x:c>
      <x:c r="I198" s="12" t="n">
        <x:v>129996.33926183537</x:v>
      </x:c>
      <x:c r="J198" s="12" t="n">
        <x:v>129052.56867073834</x:v>
      </x:c>
      <x:c r="K198" s="12" t="n">
        <x:v>1285</x:v>
      </x:c>
      <x:c r="L198" s="12" t="n">
        <x:v>62.48541196607796</x:v>
      </x:c>
      <x:c r="M198" s="12" t="n">
        <x:v>19</x:v>
      </x:c>
      <x:c r="N198" s="14" t="n">
        <x:v>0.9571472465548194</x:v>
      </x:c>
      <x:c r="O198" s="14" t="n">
        <x:v>0.04285275344518057</x:v>
      </x:c>
      <x:c r="P198" s="14" t="n">
        <x:v>0.10360026919553904</x:v>
      </x:c>
      <x:c r="Q198" s="14" t="n">
        <x:v>0.20445072653643942</x:v>
      </x:c>
      <x:c r="R198" s="14" t="n">
        <x:v>0.04750157631675303</x:v>
      </x:c>
      <x:c r="S198" s="14" t="n">
        <x:v>0.5797710711336665</x:v>
      </x:c>
      <x:c r="T198" t="str">
        <x:v>평일집중·여성소비</x:v>
      </x:c>
      <x:c r="U198" s="16" t="n">
        <x:v>70.71936906106396</x:v>
      </x:c>
      <x:c r="V198" t="str">
        <x:v>반찬가게</x:v>
      </x:c>
      <x:c r="W198" t="str">
        <x:v>반찬가게 / 일반교습학원 / 철물점</x:v>
      </x:c>
      <x:c r="X198" s="16" t="n">
        <x:v>64.08931271456933</x:v>
      </x:c>
    </x:row>
    <x:row r="199">
      <x:c r="A199" t="str">
        <x:v>3111004</x:v>
      </x:c>
      <x:c r="B199" t="str">
        <x:v>삼전역 1번</x:v>
      </x:c>
      <x:c r="C199" t="str">
        <x:v>골목상권</x:v>
      </x:c>
      <x:c r="D199" t="str">
        <x:v>송파구</x:v>
      </x:c>
      <x:c r="E199" t="str">
        <x:v>잠실본동</x:v>
      </x:c>
      <x:c r="F199" s="12" t="n">
        <x:v>245561</x:v>
      </x:c>
      <x:c r="G199" s="12" t="n">
        <x:v>26171167989</x:v>
      </x:c>
      <x:c r="H199" s="12" t="n">
        <x:v>856477</x:v>
      </x:c>
      <x:c r="I199" s="12" t="n">
        <x:v>30556.76683553674</x:v>
      </x:c>
      <x:c r="J199" s="12" t="n">
        <x:v>106577.0541291166</x:v>
      </x:c>
      <x:c r="K199" s="12" t="n">
        <x:v>2313</x:v>
      </x:c>
      <x:c r="L199" s="12" t="n">
        <x:v>94.19248170515677</x:v>
      </x:c>
      <x:c r="M199" s="12" t="n">
        <x:v>34</x:v>
      </x:c>
      <x:c r="N199" s="14" t="n">
        <x:v>0.7290984003090761</x:v>
      </x:c>
      <x:c r="O199" s="14" t="n">
        <x:v>0.2709015996909239</x:v>
      </x:c>
      <x:c r="P199" s="14" t="n">
        <x:v>0.4088000484539628</x:v>
      </x:c>
      <x:c r="Q199" s="14" t="n">
        <x:v>0.21373823825329924</x:v>
      </x:c>
      <x:c r="R199" s="14" t="n">
        <x:v>0.20262982776423766</x:v>
      </x:c>
      <x:c r="S199" s="14" t="n">
        <x:v>0.5176471507765384</x:v>
      </x:c>
      <x:c r="T199" t="str">
        <x:v>여성소비·고매출밀도</x:v>
      </x:c>
      <x:c r="U199" s="16" t="n">
        <x:v>66.9539468820337</x:v>
      </x:c>
      <x:c r="V199" t="str">
        <x:v>제과점</x:v>
      </x:c>
      <x:c r="W199" t="str">
        <x:v>제과점 / 세탁소 / 철물점</x:v>
      </x:c>
      <x:c r="X199" s="16" t="n">
        <x:v>64.88667235079829</x:v>
      </x:c>
    </x:row>
    <x:row r="200">
      <x:c r="A200" t="str">
        <x:v>3120198</x:v>
      </x:c>
      <x:c r="B200" t="str">
        <x:v>구역삼세무서</x:v>
      </x:c>
      <x:c r="C200" t="str">
        <x:v>발달상권</x:v>
      </x:c>
      <x:c r="D200" t="str">
        <x:v>강남구</x:v>
      </x:c>
      <x:c r="E200" t="str">
        <x:v>역삼1동</x:v>
      </x:c>
      <x:c r="F200" s="12" t="n">
        <x:v>291470</x:v>
      </x:c>
      <x:c r="G200" s="12" t="n">
        <x:v>26165137063</x:v>
      </x:c>
      <x:c r="H200" s="12" t="n">
        <x:v>1130121</x:v>
      </x:c>
      <x:c r="I200" s="12" t="n">
        <x:v>23152.509388817656</x:v>
      </x:c>
      <x:c r="J200" s="12" t="n">
        <x:v>89769.57169863107</x:v>
      </x:c>
      <x:c r="K200" s="12" t="n">
        <x:v>17986</x:v>
      </x:c>
      <x:c r="L200" s="12" t="n">
        <x:v>617.0789446598278</x:v>
      </x:c>
      <x:c r="M200" s="12" t="n">
        <x:v>37</x:v>
      </x:c>
      <x:c r="N200" s="14" t="n">
        <x:v>0.8447392746608369</x:v>
      </x:c>
      <x:c r="O200" s="14" t="n">
        <x:v>0.1552607253391631</x:v>
      </x:c>
      <x:c r="P200" s="14" t="n">
        <x:v>0.3656132490331071</x:v>
      </x:c>
      <x:c r="Q200" s="14" t="n">
        <x:v>0.31492711011448526</x:v>
      </x:c>
      <x:c r="R200" s="14" t="n">
        <x:v>0.28253105757483876</x:v>
      </x:c>
      <x:c r="S200" s="14" t="n">
        <x:v>0.2805407398526495</x:v>
      </x:c>
      <x:c r="T200" t="str">
        <x:v>직장밀집·평일집중</x:v>
      </x:c>
      <x:c r="U200" s="16" t="n">
        <x:v>65.21763816634595</x:v>
      </x:c>
      <x:c r="V200" t="str">
        <x:v>안경</x:v>
      </x:c>
      <x:c r="W200" t="str">
        <x:v>안경 / 일반의류 / 골프연습장</x:v>
      </x:c>
      <x:c r="X200" s="16" t="n">
        <x:v>62.42865169907925</x:v>
      </x:c>
    </x:row>
    <x:row r="201">
      <x:c r="A201" t="str">
        <x:v>3120237</x:v>
      </x:c>
      <x:c r="B201" t="str">
        <x:v>경찰병원역</x:v>
      </x:c>
      <x:c r="C201" t="str">
        <x:v>발달상권</x:v>
      </x:c>
      <x:c r="D201" t="str">
        <x:v>송파구</x:v>
      </x:c>
      <x:c r="E201" t="str">
        <x:v>가락본동</x:v>
      </x:c>
      <x:c r="F201" s="12" t="n">
        <x:v>198351</x:v>
      </x:c>
      <x:c r="G201" s="12" t="n">
        <x:v>26161611126</x:v>
      </x:c>
      <x:c r="H201" s="12" t="n">
        <x:v>1019901</x:v>
      </x:c>
      <x:c r="I201" s="12" t="n">
        <x:v>25651.128027132047</x:v>
      </x:c>
      <x:c r="J201" s="12" t="n">
        <x:v>131895.53431038916</x:v>
      </x:c>
      <x:c r="K201" s="12" t="n">
        <x:v>11113</x:v>
      </x:c>
      <x:c r="L201" s="12" t="n">
        <x:v>560.2694213792721</x:v>
      </x:c>
      <x:c r="M201" s="12" t="n">
        <x:v>40</x:v>
      </x:c>
      <x:c r="N201" s="14" t="n">
        <x:v>0.80099535472317</x:v>
      </x:c>
      <x:c r="O201" s="14" t="n">
        <x:v>0.19900464527683004</x:v>
      </x:c>
      <x:c r="P201" s="14" t="n">
        <x:v>0.34844621323571306</x:v>
      </x:c>
      <x:c r="Q201" s="14" t="n">
        <x:v>0.2932788757178165</x:v>
      </x:c>
      <x:c r="R201" s="14" t="n">
        <x:v>0.20865085746095652</x:v>
      </x:c>
      <x:c r="S201" s="14" t="n">
        <x:v>0.37964081249297904</x:v>
      </x:c>
      <x:c r="T201" t="str">
        <x:v>직장밀집·평일집중</x:v>
      </x:c>
      <x:c r="U201" s="16" t="n">
        <x:v>75.16196430054072</x:v>
      </x:c>
      <x:c r="V201" t="str">
        <x:v>일반의원</x:v>
      </x:c>
      <x:c r="W201" t="str">
        <x:v>일반의원 / 당구장 / 스포츠 강습</x:v>
      </x:c>
      <x:c r="X201" s="16" t="n">
        <x:v>69.63715060558816</x:v>
      </x:c>
    </x:row>
    <x:row r="202">
      <x:c r="A202" t="str">
        <x:v>3120150</x:v>
      </x:c>
      <x:c r="B202" t="str">
        <x:v>63빌딩</x:v>
      </x:c>
      <x:c r="C202" t="str">
        <x:v>발달상권</x:v>
      </x:c>
      <x:c r="D202" t="str">
        <x:v>영등포구</x:v>
      </x:c>
      <x:c r="E202" t="str">
        <x:v>여의동</x:v>
      </x:c>
      <x:c r="F202" s="12" t="n">
        <x:v>40709</x:v>
      </x:c>
      <x:c r="G202" s="12" t="n">
        <x:v>25666482839</x:v>
      </x:c>
      <x:c r="H202" s="12" t="n">
        <x:v>120670</x:v>
      </x:c>
      <x:c r="I202" s="12" t="n">
        <x:v>212699.7832021215</x:v>
      </x:c>
      <x:c r="J202" s="12" t="n">
        <x:v>630486.6943182098</x:v>
      </x:c>
      <x:c r="K202" s="12" t="n">
        <x:v>8821</x:v>
      </x:c>
      <x:c r="L202" s="12" t="n">
        <x:v>2166.842712913606</x:v>
      </x:c>
      <x:c r="M202" s="12" t="n">
        <x:v>10</x:v>
      </x:c>
      <x:c r="N202" s="14" t="n">
        <x:v>0.9619886171736177</x:v>
      </x:c>
      <x:c r="O202" s="14" t="n">
        <x:v>0.03801138282638228</x:v>
      </x:c>
      <x:c r="P202" s="14" t="n">
        <x:v>0.06387382756272787</x:v>
      </x:c>
      <x:c r="Q202" s="14" t="n">
        <x:v>0.29140013670417647</x:v>
      </x:c>
      <x:c r="R202" s="14" t="n">
        <x:v>0.1196102827667217</x:v>
      </x:c>
      <x:c r="S202" s="14" t="n">
        <x:v>0.16407720677649643</x:v>
      </x:c>
      <x:c r="T202" t="str">
        <x:v>직장밀집·평일집중</x:v>
      </x:c>
      <x:c r="U202" s="16" t="n">
        <x:v>71.59343874676613</x:v>
      </x:c>
      <x:c r="V202" t="str">
        <x:v>의료기기</x:v>
      </x:c>
      <x:c r="W202" t="str">
        <x:v>의료기기 / 한식음식점 / 서적</x:v>
      </x:c>
      <x:c r="X202" s="16" t="n">
        <x:v>58.58902551925699</x:v>
      </x:c>
    </x:row>
    <x:row r="203">
      <x:c r="A203" t="str">
        <x:v>3130046</x:v>
      </x:c>
      <x:c r="B203" t="str">
        <x:v>team204(팀204)</x:v>
      </x:c>
      <x:c r="C203" t="str">
        <x:v>전통시장</x:v>
      </x:c>
      <x:c r="D203" t="str">
        <x:v>중구</x:v>
      </x:c>
      <x:c r="E203" t="str">
        <x:v>신당동</x:v>
      </x:c>
      <x:c r="F203" s="12" t="n">
        <x:v>4222</x:v>
      </x:c>
      <x:c r="G203" s="12" t="n">
        <x:v>25361044620</x:v>
      </x:c>
      <x:c r="H203" s="12" t="n">
        <x:v>870668</x:v>
      </x:c>
      <x:c r="I203" s="12" t="n">
        <x:v>29128.26085258675</x:v>
      </x:c>
      <x:c r="J203" s="12" t="n">
        <x:v>6006879.351018474</x:v>
      </x:c>
      <x:c r="K203" s="12" t="n">
        <x:v>116</x:v>
      </x:c>
      <x:c r="L203" s="12" t="n">
        <x:v>274.7513027001421</x:v>
      </x:c>
      <x:c r="M203" s="12" t="n">
        <x:v>2</x:v>
      </x:c>
      <x:c r="N203" s="14" t="n">
        <x:v>0.6206709239250572</x:v>
      </x:c>
      <x:c r="O203" s="14" t="n">
        <x:v>0.3793290760749429</x:v>
      </x:c>
      <x:c r="P203" s="14" t="n">
        <x:v>0.4833713184800193</x:v>
      </x:c>
      <x:c r="Q203" s="14" t="n">
        <x:v>0.09352970800459086</x:v>
      </x:c>
      <x:c r="R203" s="14" t="n">
        <x:v>0.5574746835881715</x:v>
      </x:c>
      <x:c r="S203" s="14" t="n">
        <x:v>0.7396625283805048</x:v>
      </x:c>
      <x:c r="T203" t="str">
        <x:v>고매출밀도·여성소비</x:v>
      </x:c>
      <x:c r="U203" s="16" t="n">
        <x:v>74.89940573799609</x:v>
      </x:c>
      <x:c r="V203" t="str">
        <x:v>일반의류</x:v>
      </x:c>
      <x:c r="W203" t="str">
        <x:v>일반의류 / 커피-음료</x:v>
      </x:c>
      <x:c r="X203" s="16" t="n">
        <x:v>57.51176830499593</x:v>
      </x:c>
    </x:row>
    <x:row r="204">
      <x:c r="A204" t="str">
        <x:v>3120106</x:v>
      </x:c>
      <x:c r="B204" t="str">
        <x:v>마포역</x:v>
      </x:c>
      <x:c r="C204" t="str">
        <x:v>발달상권</x:v>
      </x:c>
      <x:c r="D204" t="str">
        <x:v>마포구</x:v>
      </x:c>
      <x:c r="E204" t="str">
        <x:v>용강동</x:v>
      </x:c>
      <x:c r="F204" s="12" t="n">
        <x:v>136724</x:v>
      </x:c>
      <x:c r="G204" s="12" t="n">
        <x:v>25264410446</x:v>
      </x:c>
      <x:c r="H204" s="12" t="n">
        <x:v>1032166</x:v>
      </x:c>
      <x:c r="I204" s="12" t="n">
        <x:v>24477.080669194685</x:v>
      </x:c>
      <x:c r="J204" s="12" t="n">
        <x:v>184784.02069863374</x:v>
      </x:c>
      <x:c r="K204" s="12" t="n">
        <x:v>14017</x:v>
      </x:c>
      <x:c r="L204" s="12" t="n">
        <x:v>1025.2040607354963</x:v>
      </x:c>
      <x:c r="M204" s="12" t="n">
        <x:v>33</x:v>
      </x:c>
      <x:c r="N204" s="14" t="n">
        <x:v>0.8785300462656994</x:v>
      </x:c>
      <x:c r="O204" s="14" t="n">
        <x:v>0.12146995373430057</x:v>
      </x:c>
      <x:c r="P204" s="14" t="n">
        <x:v>0.28032665927976586</x:v>
      </x:c>
      <x:c r="Q204" s="14" t="n">
        <x:v>0.3093761387270964</x:v>
      </x:c>
      <x:c r="R204" s="14" t="n">
        <x:v>0.16368935181920136</x:v>
      </x:c>
      <x:c r="S204" s="14" t="n">
        <x:v>0.36825452384435187</x:v>
      </x:c>
      <x:c r="T204" t="str">
        <x:v>직장밀집·평일집중</x:v>
      </x:c>
      <x:c r="U204" s="16" t="n">
        <x:v>80.49011582275244</x:v>
      </x:c>
      <x:c r="V204" t="str">
        <x:v>화초</x:v>
      </x:c>
      <x:c r="W204" t="str">
        <x:v>화초 / 분식전문점 / 스포츠클럽</x:v>
      </x:c>
      <x:c r="X204" s="16" t="n">
        <x:v>72.45522985617337</x:v>
      </x:c>
    </x:row>
    <x:row r="205">
      <x:c r="A205" t="str">
        <x:v>3120240</x:v>
      </x:c>
      <x:c r="B205" t="str">
        <x:v>개롱역</x:v>
      </x:c>
      <x:c r="C205" t="str">
        <x:v>발달상권</x:v>
      </x:c>
      <x:c r="D205" t="str">
        <x:v>송파구</x:v>
      </x:c>
      <x:c r="E205" t="str">
        <x:v>가락2동</x:v>
      </x:c>
      <x:c r="F205" s="12" t="n">
        <x:v>107416</x:v>
      </x:c>
      <x:c r="G205" s="12" t="n">
        <x:v>25253875948</x:v>
      </x:c>
      <x:c r="H205" s="12" t="n">
        <x:v>824518</x:v>
      </x:c>
      <x:c r="I205" s="12" t="n">
        <x:v>30628.653283494114</x:v>
      </x:c>
      <x:c r="J205" s="12" t="n">
        <x:v>235103.4850301631</x:v>
      </x:c>
      <x:c r="K205" s="12" t="n">
        <x:v>2563</x:v>
      </x:c>
      <x:c r="L205" s="12" t="n">
        <x:v>238.6050495270723</x:v>
      </x:c>
      <x:c r="M205" s="12" t="n">
        <x:v>35</x:v>
      </x:c>
      <x:c r="N205" s="14" t="n">
        <x:v>0.8046520569294752</x:v>
      </x:c>
      <x:c r="O205" s="14" t="n">
        <x:v>0.19534794307052483</x:v>
      </x:c>
      <x:c r="P205" s="14" t="n">
        <x:v>0.3405943815401211</x:v>
      </x:c>
      <x:c r="Q205" s="14" t="n">
        <x:v>0.26531753833734323</x:v>
      </x:c>
      <x:c r="R205" s="14" t="n">
        <x:v>0.17822977044268168</x:v>
      </x:c>
      <x:c r="S205" s="14" t="n">
        <x:v>0.4582011618662601</x:v>
      </x:c>
      <x:c r="T205" t="str">
        <x:v>고매출밀도·직장밀집</x:v>
      </x:c>
      <x:c r="U205" s="16" t="n">
        <x:v>71.06769471698499</x:v>
      </x:c>
      <x:c r="V205" t="str">
        <x:v>운동/경기용품</x:v>
      </x:c>
      <x:c r="W205" t="str">
        <x:v>운동/경기용품 / 의료기기 / 일반교습학원</x:v>
      </x:c>
      <x:c r="X205" s="16" t="n">
        <x:v>70.00690183114317</x:v>
      </x:c>
    </x:row>
    <x:row r="206">
      <x:c r="A206" t="str">
        <x:v>3120112</x:v>
      </x:c>
      <x:c r="B206" t="str">
        <x:v>등촌역</x:v>
      </x:c>
      <x:c r="C206" t="str">
        <x:v>발달상권</x:v>
      </x:c>
      <x:c r="D206" t="str">
        <x:v>양천구</x:v>
      </x:c>
      <x:c r="E206" t="str">
        <x:v>목3동</x:v>
      </x:c>
      <x:c r="F206" s="12" t="n">
        <x:v>183773</x:v>
      </x:c>
      <x:c r="G206" s="12" t="n">
        <x:v>25136779036</x:v>
      </x:c>
      <x:c r="H206" s="12" t="n">
        <x:v>1027718</x:v>
      </x:c>
      <x:c r="I206" s="12" t="n">
        <x:v>24458.829208012314</x:v>
      </x:c>
      <x:c r="J206" s="12" t="n">
        <x:v>136781.67650307718</x:v>
      </x:c>
      <x:c r="K206" s="12" t="n">
        <x:v>3539</x:v>
      </x:c>
      <x:c r="L206" s="12" t="n">
        <x:v>192.57453488815005</x:v>
      </x:c>
      <x:c r="M206" s="12" t="n">
        <x:v>37</x:v>
      </x:c>
      <x:c r="N206" s="14" t="n">
        <x:v>0.7756369734991532</x:v>
      </x:c>
      <x:c r="O206" s="14" t="n">
        <x:v>0.22436302650084686</x:v>
      </x:c>
      <x:c r="P206" s="14" t="n">
        <x:v>0.403406154681846</x:v>
      </x:c>
      <x:c r="Q206" s="14" t="n">
        <x:v>0.2319910137909206</x:v>
      </x:c>
      <x:c r="R206" s="14" t="n">
        <x:v>0.26970695160627184</x:v>
      </x:c>
      <x:c r="S206" s="14" t="n">
        <x:v>0.41811257965660387</x:v>
      </x:c>
      <x:c r="T206" t="str">
        <x:v>직장밀집·고매출밀도</x:v>
      </x:c>
      <x:c r="U206" s="16" t="n">
        <x:v>81.52726927297968</x:v>
      </x:c>
      <x:c r="V206" t="str">
        <x:v>일반교습학원</x:v>
      </x:c>
      <x:c r="W206" t="str">
        <x:v>일반교습학원 / 한식음식점 / 예술학원</x:v>
      </x:c>
      <x:c r="X206" s="16" t="n">
        <x:v>75.387114829717</x:v>
      </x:c>
    </x:row>
    <x:row r="207">
      <x:c r="A207" t="str">
        <x:v>3120127</x:v>
      </x:c>
      <x:c r="B207" t="str">
        <x:v>구로구청</x:v>
      </x:c>
      <x:c r="C207" t="str">
        <x:v>발달상권</x:v>
      </x:c>
      <x:c r="D207" t="str">
        <x:v>구로구</x:v>
      </x:c>
      <x:c r="E207" t="str">
        <x:v>구로5동</x:v>
      </x:c>
      <x:c r="F207" s="12" t="n">
        <x:v>84927</x:v>
      </x:c>
      <x:c r="G207" s="12" t="n">
        <x:v>25068766100</x:v>
      </x:c>
      <x:c r="H207" s="12" t="n">
        <x:v>827309</x:v>
      </x:c>
      <x:c r="I207" s="12" t="n">
        <x:v>30301.575469383264</x:v>
      </x:c>
      <x:c r="J207" s="12" t="n">
        <x:v>295180.16767341364</x:v>
      </x:c>
      <x:c r="K207" s="12" t="n">
        <x:v>4193</x:v>
      </x:c>
      <x:c r="L207" s="12" t="n">
        <x:v>493.71813439777696</x:v>
      </x:c>
      <x:c r="M207" s="12" t="n">
        <x:v>21</x:v>
      </x:c>
      <x:c r="N207" s="14" t="n">
        <x:v>0.8043574385577756</x:v>
      </x:c>
      <x:c r="O207" s="14" t="n">
        <x:v>0.1956425614422243</x:v>
      </x:c>
      <x:c r="P207" s="14" t="n">
        <x:v>0.2597475356395782</x:v>
      </x:c>
      <x:c r="Q207" s="14" t="n">
        <x:v>0.3349891065839096</x:v>
      </x:c>
      <x:c r="R207" s="14" t="n">
        <x:v>0.20299407225312138</x:v>
      </x:c>
      <x:c r="S207" s="14" t="n">
        <x:v>0.341932198609488</x:v>
      </x:c>
      <x:c r="T207" t="str">
        <x:v>직장밀집·고매출밀도</x:v>
      </x:c>
      <x:c r="U207" s="16" t="n">
        <x:v>78.46569936056048</x:v>
      </x:c>
      <x:c r="V207" t="str">
        <x:v>의약품</x:v>
      </x:c>
      <x:c r="W207" t="str">
        <x:v>의약품 / 청과상 / 커피-음료</x:v>
      </x:c>
      <x:c r="X207" s="16" t="n">
        <x:v>66.66653790160083</x:v>
      </x:c>
    </x:row>
    <x:row r="208">
      <x:c r="A208" t="str">
        <x:v>3120121</x:v>
      </x:c>
      <x:c r="B208" t="str">
        <x:v>까치산역</x:v>
      </x:c>
      <x:c r="C208" t="str">
        <x:v>발달상권</x:v>
      </x:c>
      <x:c r="D208" t="str">
        <x:v>강서구</x:v>
      </x:c>
      <x:c r="E208" t="str">
        <x:v>화곡1동</x:v>
      </x:c>
      <x:c r="F208" s="12" t="n">
        <x:v>104596</x:v>
      </x:c>
      <x:c r="G208" s="12" t="n">
        <x:v>25044850570</x:v>
      </x:c>
      <x:c r="H208" s="12" t="n">
        <x:v>1231287</x:v>
      </x:c>
      <x:c r="I208" s="12" t="n">
        <x:v>20340.384142770938</x:v>
      </x:c>
      <x:c r="J208" s="12" t="n">
        <x:v>239443.67442349612</x:v>
      </x:c>
      <x:c r="K208" s="12" t="n">
        <x:v>846</x:v>
      </x:c>
      <x:c r="L208" s="12" t="n">
        <x:v>80.88263413514858</x:v>
      </x:c>
      <x:c r="M208" s="12" t="n">
        <x:v>33</x:v>
      </x:c>
      <x:c r="N208" s="14" t="n">
        <x:v>0.7215230671268485</x:v>
      </x:c>
      <x:c r="O208" s="14" t="n">
        <x:v>0.2784769328731515</x:v>
      </x:c>
      <x:c r="P208" s="14" t="n">
        <x:v>0.391947305078291</x:v>
      </x:c>
      <x:c r="Q208" s="14" t="n">
        <x:v>0.18402649730802526</x:v>
      </x:c>
      <x:c r="R208" s="14" t="n">
        <x:v>0.39772704002202397</x:v>
      </x:c>
      <x:c r="S208" s="14" t="n">
        <x:v>0.4451890987665014</x:v>
      </x:c>
      <x:c r="T208" t="str">
        <x:v>2030소비·고매출밀도</x:v>
      </x:c>
      <x:c r="U208" s="16" t="n">
        <x:v>63.08312606002809</x:v>
      </x:c>
      <x:c r="V208" t="str">
        <x:v>스포츠 강습</x:v>
      </x:c>
      <x:c r="W208" t="str">
        <x:v>스포츠 강습 / 안경 / 일반의원</x:v>
      </x:c>
      <x:c r="X208" s="16" t="n">
        <x:v>60.513989619273765</x:v>
      </x:c>
    </x:row>
    <x:row r="209">
      <x:c r="A209" t="str">
        <x:v>3120183</x:v>
      </x:c>
      <x:c r="B209" t="str">
        <x:v>양재천카페거리</x:v>
      </x:c>
      <x:c r="C209" t="str">
        <x:v>발달상권</x:v>
      </x:c>
      <x:c r="D209" t="str">
        <x:v>서초구</x:v>
      </x:c>
      <x:c r="E209" t="str">
        <x:v>양재1동</x:v>
      </x:c>
      <x:c r="F209" s="12" t="n">
        <x:v>119809</x:v>
      </x:c>
      <x:c r="G209" s="12" t="n">
        <x:v>24854029657</x:v>
      </x:c>
      <x:c r="H209" s="12" t="n">
        <x:v>154244</x:v>
      </x:c>
      <x:c r="I209" s="12" t="n">
        <x:v>161134.49895619927</x:v>
      </x:c>
      <x:c r="J209" s="12" t="n">
        <x:v>207447.10044320545</x:v>
      </x:c>
      <x:c r="K209" s="12" t="n">
        <x:v>13817</x:v>
      </x:c>
      <x:c r="L209" s="12" t="n">
        <x:v>1153.252259846923</x:v>
      </x:c>
      <x:c r="M209" s="12" t="n">
        <x:v>15</x:v>
      </x:c>
      <x:c r="N209" s="14" t="n">
        <x:v>0.6874150415358539</x:v>
      </x:c>
      <x:c r="O209" s="14" t="n">
        <x:v>0.3125849584641461</x:v>
      </x:c>
      <x:c r="P209" s="14" t="n">
        <x:v>0.2605699672598568</x:v>
      </x:c>
      <x:c r="Q209" s="14" t="n">
        <x:v>0.28538345571669965</x:v>
      </x:c>
      <x:c r="R209" s="14" t="n">
        <x:v>0.19380462514429195</x:v>
      </x:c>
      <x:c r="S209" s="14" t="n">
        <x:v>0.4138557021518243</x:v>
      </x:c>
      <x:c r="T209" t="str">
        <x:v>직장밀집·고매출밀도</x:v>
      </x:c>
      <x:c r="U209" s="16" t="n">
        <x:v>75.86742318985232</x:v>
      </x:c>
      <x:c r="V209" t="str">
        <x:v>자동차수리</x:v>
      </x:c>
      <x:c r="W209" t="str">
        <x:v>자동차수리 / 양식음식점 / 가구</x:v>
      </x:c>
      <x:c r="X209" s="16" t="n">
        <x:v>68.24957073969283</x:v>
      </x:c>
    </x:row>
    <x:row r="210">
      <x:c r="A210" t="str">
        <x:v>3130056</x:v>
      </x:c>
      <x:c r="B210" t="str">
        <x:v>용산용문시장</x:v>
      </x:c>
      <x:c r="C210" t="str">
        <x:v>전통시장</x:v>
      </x:c>
      <x:c r="D210" t="str">
        <x:v>용산구</x:v>
      </x:c>
      <x:c r="E210" t="str">
        <x:v>용문동</x:v>
      </x:c>
      <x:c r="F210" s="12" t="n">
        <x:v>40246</x:v>
      </x:c>
      <x:c r="G210" s="12" t="n">
        <x:v>24525659189</x:v>
      </x:c>
      <x:c r="H210" s="12" t="n">
        <x:v>953761</x:v>
      </x:c>
      <x:c r="I210" s="12" t="n">
        <x:v>25714.680290974364</x:v>
      </x:c>
      <x:c r="J210" s="12" t="n">
        <x:v>609393.7084182278</x:v>
      </x:c>
      <x:c r="K210" s="12" t="n">
        <x:v>909</x:v>
      </x:c>
      <x:c r="L210" s="12" t="n">
        <x:v>225.86095512597524</x:v>
      </x:c>
      <x:c r="M210" s="12" t="n">
        <x:v>25</x:v>
      </x:c>
      <x:c r="N210" s="14" t="n">
        <x:v>0.7647249707119789</x:v>
      </x:c>
      <x:c r="O210" s="14" t="n">
        <x:v>0.23527502928802116</x:v>
      </x:c>
      <x:c r="P210" s="14" t="n">
        <x:v>0.29194861001784755</x:v>
      </x:c>
      <x:c r="Q210" s="14" t="n">
        <x:v>0.23933879969402522</x:v>
      </x:c>
      <x:c r="R210" s="14" t="n">
        <x:v>0.130975410048947</x:v>
      </x:c>
      <x:c r="S210" s="14" t="n">
        <x:v>0.5288092536496186</x:v>
      </x:c>
      <x:c r="T210" t="str">
        <x:v>고매출밀도·여성소비</x:v>
      </x:c>
      <x:c r="U210" s="16" t="n">
        <x:v>76.78941657231925</x:v>
      </x:c>
      <x:c r="V210" t="str">
        <x:v>육류판매</x:v>
      </x:c>
      <x:c r="W210" t="str">
        <x:v>육류판매 / 청과상 / 미용실</x:v>
      </x:c>
      <x:c r="X210" s="16" t="n">
        <x:v>74.72868498712587</x:v>
      </x:c>
    </x:row>
    <x:row r="211">
      <x:c r="A211" t="str">
        <x:v>3120017</x:v>
      </x:c>
      <x:c r="B211" t="str">
        <x:v>동묘앞역(동묘)</x:v>
      </x:c>
      <x:c r="C211" t="str">
        <x:v>발달상권</x:v>
      </x:c>
      <x:c r="D211" t="str">
        <x:v>종로구</x:v>
      </x:c>
      <x:c r="E211" t="str">
        <x:v>창신1동</x:v>
      </x:c>
      <x:c r="F211" s="12" t="n">
        <x:v>71198</x:v>
      </x:c>
      <x:c r="G211" s="12" t="n">
        <x:v>24453331651</x:v>
      </x:c>
      <x:c r="H211" s="12" t="n">
        <x:v>814166</x:v>
      </x:c>
      <x:c r="I211" s="12" t="n">
        <x:v>30034.822936600154</x:v>
      </x:c>
      <x:c r="J211" s="12" t="n">
        <x:v>343455.31687687855</x:v>
      </x:c>
      <x:c r="K211" s="12" t="n">
        <x:v>705</x:v>
      </x:c>
      <x:c r="L211" s="12" t="n">
        <x:v>99.01963538301638</x:v>
      </x:c>
      <x:c r="M211" s="12" t="n">
        <x:v>26</x:v>
      </x:c>
      <x:c r="N211" s="14" t="n">
        <x:v>0.8037190327067879</x:v>
      </x:c>
      <x:c r="O211" s="14" t="n">
        <x:v>0.19628096729321212</x:v>
      </x:c>
      <x:c r="P211" s="14" t="n">
        <x:v>0.2617129335314228</x:v>
      </x:c>
      <x:c r="Q211" s="14" t="n">
        <x:v>0.2772048527678966</x:v>
      </x:c>
      <x:c r="R211" s="14" t="n">
        <x:v>0.29403648720013836</x:v>
      </x:c>
      <x:c r="S211" s="14" t="n">
        <x:v>0.4728514081445073</x:v>
      </x:c>
      <x:c r="T211" t="str">
        <x:v>고매출밀도·평일집중</x:v>
      </x:c>
      <x:c r="U211" s="16" t="n">
        <x:v>79.6558014071184</x:v>
      </x:c>
      <x:c r="V211" t="str">
        <x:v>의약품</x:v>
      </x:c>
      <x:c r="W211" t="str">
        <x:v>의약품 / 미용실 / 양식음식점</x:v>
      </x:c>
      <x:c r="X211" s="16" t="n">
        <x:v>75.56990777192713</x:v>
      </x:c>
    </x:row>
    <x:row r="212">
      <x:c r="A212" t="str">
        <x:v>3120241</x:v>
      </x:c>
      <x:c r="B212" t="str">
        <x:v>거여역</x:v>
      </x:c>
      <x:c r="C212" t="str">
        <x:v>발달상권</x:v>
      </x:c>
      <x:c r="D212" t="str">
        <x:v>송파구</x:v>
      </x:c>
      <x:c r="E212" t="str">
        <x:v>거여2동</x:v>
      </x:c>
      <x:c r="F212" s="12" t="n">
        <x:v>94954</x:v>
      </x:c>
      <x:c r="G212" s="12" t="n">
        <x:v>24195267253</x:v>
      </x:c>
      <x:c r="H212" s="12" t="n">
        <x:v>955489</x:v>
      </x:c>
      <x:c r="I212" s="12" t="n">
        <x:v>25322.392254646573</x:v>
      </x:c>
      <x:c r="J212" s="12" t="n">
        <x:v>254810.40559639403</x:v>
      </x:c>
      <x:c r="K212" s="12" t="n">
        <x:v>2362</x:v>
      </x:c>
      <x:c r="L212" s="12" t="n">
        <x:v>248.75202729742824</x:v>
      </x:c>
      <x:c r="M212" s="12" t="n">
        <x:v>29</x:v>
      </x:c>
      <x:c r="N212" s="14" t="n">
        <x:v>0.7729633548346572</x:v>
      </x:c>
      <x:c r="O212" s="14" t="n">
        <x:v>0.22703664516534283</x:v>
      </x:c>
      <x:c r="P212" s="14" t="n">
        <x:v>0.33923082349843886</x:v>
      </x:c>
      <x:c r="Q212" s="14" t="n">
        <x:v>0.2532543444933528</x:v>
      </x:c>
      <x:c r="R212" s="14" t="n">
        <x:v>0.19259526453142253</x:v>
      </x:c>
      <x:c r="S212" s="14" t="n">
        <x:v>0.46018889953031755</x:v>
      </x:c>
      <x:c r="T212" t="str">
        <x:v>고매출밀도·직장밀집</x:v>
      </x:c>
      <x:c r="U212" s="16" t="n">
        <x:v>76.53218336907504</x:v>
      </x:c>
      <x:c r="V212" t="str">
        <x:v>패스트푸드점</x:v>
      </x:c>
      <x:c r="W212" t="str">
        <x:v>패스트푸드점 / 중식음식점 / 분식전문점</x:v>
      </x:c>
      <x:c r="X212" s="16" t="n">
        <x:v>71.54932821864524</x:v>
      </x:c>
    </x:row>
    <x:row r="213">
      <x:c r="A213" t="str">
        <x:v>3110232</x:v>
      </x:c>
      <x:c r="B213" t="str">
        <x:v>동대부고</x:v>
      </x:c>
      <x:c r="C213" t="str">
        <x:v>골목상권</x:v>
      </x:c>
      <x:c r="D213" t="str">
        <x:v>동대문구</x:v>
      </x:c>
      <x:c r="E213" t="str">
        <x:v>장안2동</x:v>
      </x:c>
      <x:c r="F213" s="12" t="n">
        <x:v>104535</x:v>
      </x:c>
      <x:c r="G213" s="12" t="n">
        <x:v>24159792233</x:v>
      </x:c>
      <x:c r="H213" s="12" t="n">
        <x:v>343847</x:v>
      </x:c>
      <x:c r="I213" s="12" t="n">
        <x:v>70263.20495162092</x:v>
      </x:c>
      <x:c r="J213" s="12" t="n">
        <x:v>231116.77651504282</x:v>
      </x:c>
      <x:c r="K213" s="12" t="n">
        <x:v>1194</x:v>
      </x:c>
      <x:c r="L213" s="12" t="n">
        <x:v>114.22011766394031</x:v>
      </x:c>
      <x:c r="M213" s="12" t="n">
        <x:v>20</x:v>
      </x:c>
      <x:c r="N213" s="14" t="n">
        <x:v>0.8004428166640186</x:v>
      </x:c>
      <x:c r="O213" s="14" t="n">
        <x:v>0.19955718333598138</x:v>
      </x:c>
      <x:c r="P213" s="14" t="n">
        <x:v>0.11831337200390568</x:v>
      </x:c>
      <x:c r="Q213" s="14" t="n">
        <x:v>0.19635904623054462</x:v>
      </x:c>
      <x:c r="R213" s="14" t="n">
        <x:v>0.08212177819517757</x:v>
      </x:c>
      <x:c r="S213" s="14" t="n">
        <x:v>0.4597675825137134</x:v>
      </x:c>
      <x:c r="T213" t="str">
        <x:v>고매출밀도·평일집중</x:v>
      </x:c>
      <x:c r="U213" s="16" t="n">
        <x:v>68.72929472504849</x:v>
      </x:c>
      <x:c r="V213" t="str">
        <x:v>의약품</x:v>
      </x:c>
      <x:c r="W213" t="str">
        <x:v>의약품 / 일반의원 / 일반교습학원</x:v>
      </x:c>
      <x:c r="X213" s="16" t="n">
        <x:v>67.07467789216375</x:v>
      </x:c>
    </x:row>
    <x:row r="214">
      <x:c r="A214" t="str">
        <x:v>3120004</x:v>
      </x:c>
      <x:c r="B214" t="str">
        <x:v>종로구청</x:v>
      </x:c>
      <x:c r="C214" t="str">
        <x:v>발달상권</x:v>
      </x:c>
      <x:c r="D214" t="str">
        <x:v>종로구</x:v>
      </x:c>
      <x:c r="E214" t="str">
        <x:v>종로1·2·3·4가동</x:v>
      </x:c>
      <x:c r="F214" s="12" t="n">
        <x:v>124067</x:v>
      </x:c>
      <x:c r="G214" s="12" t="n">
        <x:v>23911883734</x:v>
      </x:c>
      <x:c r="H214" s="12" t="n">
        <x:v>868678</x:v>
      </x:c>
      <x:c r="I214" s="12" t="n">
        <x:v>27526.751839001332</x:v>
      </x:c>
      <x:c r="J214" s="12" t="n">
        <x:v>192733.6337140416</x:v>
      </x:c>
      <x:c r="K214" s="12" t="n">
        <x:v>5275</x:v>
      </x:c>
      <x:c r="L214" s="12" t="n">
        <x:v>425.1734949664295</x:v>
      </x:c>
      <x:c r="M214" s="12" t="n">
        <x:v>24</x:v>
      </x:c>
      <x:c r="N214" s="14" t="n">
        <x:v>0.8379458442042289</x:v>
      </x:c>
      <x:c r="O214" s="14" t="n">
        <x:v>0.16205415579577107</x:v>
      </x:c>
      <x:c r="P214" s="14" t="n">
        <x:v>0.3734825812280775</x:v>
      </x:c>
      <x:c r="Q214" s="14" t="n">
        <x:v>0.38493272514169546</x:v>
      </x:c>
      <x:c r="R214" s="14" t="n">
        <x:v>0.23124357677173374</x:v>
      </x:c>
      <x:c r="S214" s="14" t="n">
        <x:v>0.3177714074527626</x:v>
      </x:c>
      <x:c r="T214" t="str">
        <x:v>직장밀집·평일집중</x:v>
      </x:c>
      <x:c r="U214" s="16" t="n">
        <x:v>66.64391403932254</x:v>
      </x:c>
      <x:c r="V214" t="str">
        <x:v>일식음식점</x:v>
      </x:c>
      <x:c r="W214" t="str">
        <x:v>일식음식점 / 중식음식점 / 한식음식점</x:v>
      </x:c>
      <x:c r="X214" s="16" t="n">
        <x:v>64.5738677093198</x:v>
      </x:c>
    </x:row>
    <x:row r="215">
      <x:c r="A215" t="str">
        <x:v>3120100</x:v>
      </x:c>
      <x:c r="B215" t="str">
        <x:v>망원역</x:v>
      </x:c>
      <x:c r="C215" t="str">
        <x:v>발달상권</x:v>
      </x:c>
      <x:c r="D215" t="str">
        <x:v>마포구</x:v>
      </x:c>
      <x:c r="E215" t="str">
        <x:v>망원1동</x:v>
      </x:c>
      <x:c r="F215" s="12" t="n">
        <x:v>67876</x:v>
      </x:c>
      <x:c r="G215" s="12" t="n">
        <x:v>23697626724</x:v>
      </x:c>
      <x:c r="H215" s="12" t="n">
        <x:v>1035827</x:v>
      </x:c>
      <x:c r="I215" s="12" t="n">
        <x:v>22877.977426732457</x:v>
      </x:c>
      <x:c r="J215" s="12" t="n">
        <x:v>349131.16158877953</x:v>
      </x:c>
      <x:c r="K215" s="12" t="n">
        <x:v>1960</x:v>
      </x:c>
      <x:c r="L215" s="12" t="n">
        <x:v>288.76185986210146</x:v>
      </x:c>
      <x:c r="M215" s="12" t="n">
        <x:v>28</x:v>
      </x:c>
      <x:c r="N215" s="14" t="n">
        <x:v>0.7911844048506163</x:v>
      </x:c>
      <x:c r="O215" s="14" t="n">
        <x:v>0.2088155951493837</x:v>
      </x:c>
      <x:c r="P215" s="14" t="n">
        <x:v>0.3348918250097423</x:v>
      </x:c>
      <x:c r="Q215" s="14" t="n">
        <x:v>0.26493777056761103</x:v>
      </x:c>
      <x:c r="R215" s="14" t="n">
        <x:v>0.3597180245634795</x:v>
      </x:c>
      <x:c r="S215" s="14" t="n">
        <x:v>0.5647962369347682</x:v>
      </x:c>
      <x:c r="T215" t="str">
        <x:v>고매출밀도·여성소비</x:v>
      </x:c>
      <x:c r="U215" s="16" t="n">
        <x:v>69.20171994071374</x:v>
      </x:c>
      <x:c r="V215" t="str">
        <x:v>한식음식점</x:v>
      </x:c>
      <x:c r="W215" t="str">
        <x:v>한식음식점 / 스포츠클럽 / 치과의원</x:v>
      </x:c>
      <x:c r="X215" s="16" t="n">
        <x:v>66.63792133761936</x:v>
      </x:c>
    </x:row>
    <x:row r="216">
      <x:c r="A216" t="str">
        <x:v>3130290</x:v>
      </x:c>
      <x:c r="B216" t="str">
        <x:v>영림시장</x:v>
      </x:c>
      <x:c r="C216" t="str">
        <x:v>전통시장</x:v>
      </x:c>
      <x:c r="D216" t="str">
        <x:v>관악구</x:v>
      </x:c>
      <x:c r="E216" t="str">
        <x:v>청룡동</x:v>
      </x:c>
      <x:c r="F216" s="12" t="n">
        <x:v>72197</x:v>
      </x:c>
      <x:c r="G216" s="12" t="n">
        <x:v>23610140165</x:v>
      </x:c>
      <x:c r="H216" s="12" t="n">
        <x:v>1039197</x:v>
      </x:c>
      <x:c r="I216" s="12" t="n">
        <x:v>22719.60000365667</x:v>
      </x:c>
      <x:c r="J216" s="12" t="n">
        <x:v>327023.8398409906</x:v>
      </x:c>
      <x:c r="K216" s="12" t="n">
        <x:v>868</x:v>
      </x:c>
      <x:c r="L216" s="12" t="n">
        <x:v>120.22660221338838</x:v>
      </x:c>
      <x:c r="M216" s="12" t="n">
        <x:v>35</x:v>
      </x:c>
      <x:c r="N216" s="14" t="n">
        <x:v>0.7354047630661323</x:v>
      </x:c>
      <x:c r="O216" s="14" t="n">
        <x:v>0.26459523693386766</x:v>
      </x:c>
      <x:c r="P216" s="14" t="n">
        <x:v>0.3702802812649037</x:v>
      </x:c>
      <x:c r="Q216" s="14" t="n">
        <x:v>0.21194905697418168</x:v>
      </x:c>
      <x:c r="R216" s="14" t="n">
        <x:v>0.24921350800460187</x:v>
      </x:c>
      <x:c r="S216" s="14" t="n">
        <x:v>0.5374489483044541</x:v>
      </x:c>
      <x:c r="T216" t="str">
        <x:v>고매출밀도·여성소비</x:v>
      </x:c>
      <x:c r="U216" s="16" t="n">
        <x:v>69.49884876166637</x:v>
      </x:c>
      <x:c r="V216" t="str">
        <x:v>일반의원</x:v>
      </x:c>
      <x:c r="W216" t="str">
        <x:v>일반의원 / 제과점 / 핸드폰</x:v>
      </x:c>
      <x:c r="X216" s="16" t="n">
        <x:v>65.91675686107381</x:v>
      </x:c>
    </x:row>
    <x:row r="217">
      <x:c r="A217" t="str">
        <x:v>3120011</x:v>
      </x:c>
      <x:c r="B217" t="str">
        <x:v>종로4가</x:v>
      </x:c>
      <x:c r="C217" t="str">
        <x:v>발달상권</x:v>
      </x:c>
      <x:c r="D217" t="str">
        <x:v>종로구</x:v>
      </x:c>
      <x:c r="E217" t="str">
        <x:v>종로1·2·3·4가동</x:v>
      </x:c>
      <x:c r="F217" s="12" t="n">
        <x:v>115988</x:v>
      </x:c>
      <x:c r="G217" s="12" t="n">
        <x:v>23331062688</x:v>
      </x:c>
      <x:c r="H217" s="12" t="n">
        <x:v>459960</x:v>
      </x:c>
      <x:c r="I217" s="12" t="n">
        <x:v>50724.11228802505</x:v>
      </x:c>
      <x:c r="J217" s="12" t="n">
        <x:v>201150.65944752906</x:v>
      </x:c>
      <x:c r="K217" s="12" t="n">
        <x:v>4831</x:v>
      </x:c>
      <x:c r="L217" s="12" t="n">
        <x:v>416.5086043383798</x:v>
      </x:c>
      <x:c r="M217" s="12" t="n">
        <x:v>13</x:v>
      </x:c>
      <x:c r="N217" s="14" t="n">
        <x:v>0.8169614743182503</x:v>
      </x:c>
      <x:c r="O217" s="14" t="n">
        <x:v>0.1830385256817497</x:v>
      </x:c>
      <x:c r="P217" s="14" t="n">
        <x:v>0.22794567166181195</x:v>
      </x:c>
      <x:c r="Q217" s="14" t="n">
        <x:v>0.35792841996413394</x:v>
      </x:c>
      <x:c r="R217" s="14" t="n">
        <x:v>0.23620239740877422</x:v>
      </x:c>
      <x:c r="S217" s="14" t="n">
        <x:v>0.517254515466501</x:v>
      </x:c>
      <x:c r="T217" t="str">
        <x:v>직장밀집·고매출밀도</x:v>
      </x:c>
      <x:c r="U217" s="16" t="n">
        <x:v>70.76195190945322</x:v>
      </x:c>
      <x:c r="V217" t="str">
        <x:v>의약품</x:v>
      </x:c>
      <x:c r="W217" t="str">
        <x:v>의약품 / 시계및귀금속 / 당구장</x:v>
      </x:c>
      <x:c r="X217" s="16" t="n">
        <x:v>61.434224952168655</x:v>
      </x:c>
    </x:row>
    <x:row r="218">
      <x:c r="A218" t="str">
        <x:v>3120096</x:v>
      </x:c>
      <x:c r="B218" t="str">
        <x:v>이화여대(이대역, 이대)</x:v>
      </x:c>
      <x:c r="C218" t="str">
        <x:v>발달상권</x:v>
      </x:c>
      <x:c r="D218" t="str">
        <x:v>서대문구</x:v>
      </x:c>
      <x:c r="E218" t="str">
        <x:v>신촌동</x:v>
      </x:c>
      <x:c r="F218" s="12" t="n">
        <x:v>151417</x:v>
      </x:c>
      <x:c r="G218" s="12" t="n">
        <x:v>23134533106</x:v>
      </x:c>
      <x:c r="H218" s="12" t="n">
        <x:v>1118168</x:v>
      </x:c>
      <x:c r="I218" s="12" t="n">
        <x:v>20689.675528185388</x:v>
      </x:c>
      <x:c r="J218" s="12" t="n">
        <x:v>152786.89384943567</x:v>
      </x:c>
      <x:c r="K218" s="12" t="n">
        <x:v>552</x:v>
      </x:c>
      <x:c r="L218" s="12" t="n">
        <x:v>36.45561594801112</x:v>
      </x:c>
      <x:c r="M218" s="12" t="n">
        <x:v>31</x:v>
      </x:c>
      <x:c r="N218" s="14" t="n">
        <x:v>0.8185301472580322</x:v>
      </x:c>
      <x:c r="O218" s="14" t="n">
        <x:v>0.18146985274196784</x:v>
      </x:c>
      <x:c r="P218" s="14" t="n">
        <x:v>0.3342910866869517</x:v>
      </x:c>
      <x:c r="Q218" s="14" t="n">
        <x:v>0.27786771120670656</x:v>
      </x:c>
      <x:c r="R218" s="14" t="n">
        <x:v>0.4170531481570156</x:v>
      </x:c>
      <x:c r="S218" s="14" t="n">
        <x:v>0.600110136927697</x:v>
      </x:c>
      <x:c r="T218" t="str">
        <x:v>여성소비·2030소비</x:v>
      </x:c>
      <x:c r="U218" s="16" t="n">
        <x:v>63.341542403255126</x:v>
      </x:c>
      <x:c r="V218" t="str">
        <x:v>청과상</x:v>
      </x:c>
      <x:c r="W218" t="str">
        <x:v>청과상 / 화초 / 피부관리실</x:v>
      </x:c>
      <x:c r="X218" s="16" t="n">
        <x:v>62.19214592527512</x:v>
      </x:c>
    </x:row>
    <x:row r="219">
      <x:c r="A219" t="str">
        <x:v>3120172</x:v>
      </x:c>
      <x:c r="B219" t="str">
        <x:v>교대입구교차로</x:v>
      </x:c>
      <x:c r="C219" t="str">
        <x:v>발달상권</x:v>
      </x:c>
      <x:c r="D219" t="str">
        <x:v>서초구</x:v>
      </x:c>
      <x:c r="E219" t="str">
        <x:v>서초3동</x:v>
      </x:c>
      <x:c r="F219" s="12" t="n">
        <x:v>222734</x:v>
      </x:c>
      <x:c r="G219" s="12" t="n">
        <x:v>23097178104</x:v>
      </x:c>
      <x:c r="H219" s="12" t="n">
        <x:v>925882</x:v>
      </x:c>
      <x:c r="I219" s="12" t="n">
        <x:v>24946.13579700221</x:v>
      </x:c>
      <x:c r="J219" s="12" t="n">
        <x:v>103698.48385967118</x:v>
      </x:c>
      <x:c r="K219" s="12" t="n">
        <x:v>16919</x:v>
      </x:c>
      <x:c r="L219" s="12" t="n">
        <x:v>759.6056282381675</x:v>
      </x:c>
      <x:c r="M219" s="12" t="n">
        <x:v>39</x:v>
      </x:c>
      <x:c r="N219" s="14" t="n">
        <x:v>0.8522883081371246</x:v>
      </x:c>
      <x:c r="O219" s="14" t="n">
        <x:v>0.14771169186287536</x:v>
      </x:c>
      <x:c r="P219" s="14" t="n">
        <x:v>0.37986559186988034</x:v>
      </x:c>
      <x:c r="Q219" s="14" t="n">
        <x:v>0.3641268783195421</x:v>
      </x:c>
      <x:c r="R219" s="14" t="n">
        <x:v>0.20579889363960027</x:v>
      </x:c>
      <x:c r="S219" s="14" t="n">
        <x:v>0.24926221943982635</x:v>
      </x:c>
      <x:c r="T219" t="str">
        <x:v>직장밀집·평일집중</x:v>
      </x:c>
      <x:c r="U219" s="16" t="n">
        <x:v>64.48658356418316</x:v>
      </x:c>
      <x:c r="V219" t="str">
        <x:v>의료기기</x:v>
      </x:c>
      <x:c r="W219" t="str">
        <x:v>의료기기 / 네일숍 / 예술학원</x:v>
      </x:c>
      <x:c r="X219" s="16" t="n">
        <x:v>62.13527730110293</x:v>
      </x:c>
    </x:row>
    <x:row r="220">
      <x:c r="A220" t="str">
        <x:v>3120247</x:v>
      </x:c>
      <x:c r="B220" t="str">
        <x:v>굽은다리역</x:v>
      </x:c>
      <x:c r="C220" t="str">
        <x:v>발달상권</x:v>
      </x:c>
      <x:c r="D220" t="str">
        <x:v>강동구</x:v>
      </x:c>
      <x:c r="E220" t="str">
        <x:v>천호1동</x:v>
      </x:c>
      <x:c r="F220" s="12" t="n">
        <x:v>94552</x:v>
      </x:c>
      <x:c r="G220" s="12" t="n">
        <x:v>23095339218</x:v>
      </x:c>
      <x:c r="H220" s="12" t="n">
        <x:v>956813</x:v>
      </x:c>
      <x:c r="I220" s="12" t="n">
        <x:v>24137.77741105106</x:v>
      </x:c>
      <x:c r="J220" s="12" t="n">
        <x:v>244260.71598697014</x:v>
      </x:c>
      <x:c r="K220" s="12" t="n">
        <x:v>1214</x:v>
      </x:c>
      <x:c r="L220" s="12" t="n">
        <x:v>128.39495727218886</x:v>
      </x:c>
      <x:c r="M220" s="12" t="n">
        <x:v>29</x:v>
      </x:c>
      <x:c r="N220" s="14" t="n">
        <x:v>0.758060160612619</x:v>
      </x:c>
      <x:c r="O220" s="14" t="n">
        <x:v>0.24193983938738092</x:v>
      </x:c>
      <x:c r="P220" s="14" t="n">
        <x:v>0.3996525691125703</x:v>
      </x:c>
      <x:c r="Q220" s="14" t="n">
        <x:v>0.2397126847864253</x:v>
      </x:c>
      <x:c r="R220" s="14" t="n">
        <x:v>0.16820496660955345</x:v>
      </x:c>
      <x:c r="S220" s="14" t="n">
        <x:v>0.5137282303155302</x:v>
      </x:c>
      <x:c r="T220" t="str">
        <x:v>고매출밀도·여성소비</x:v>
      </x:c>
      <x:c r="U220" s="16" t="n">
        <x:v>79.68677293617597</x:v>
      </x:c>
      <x:c r="V220" t="str">
        <x:v>일반의류</x:v>
      </x:c>
      <x:c r="W220" t="str">
        <x:v>일반의류 / 일반교습학원 / 의약품</x:v>
      </x:c>
      <x:c r="X220" s="16" t="n">
        <x:v>71.94936070169902</x:v>
      </x:c>
    </x:row>
    <x:row r="221">
      <x:c r="A221" t="str">
        <x:v>3130091</x:v>
      </x:c>
      <x:c r="B221" t="str">
        <x:v>청량종합도매시장</x:v>
      </x:c>
      <x:c r="C221" t="str">
        <x:v>전통시장</x:v>
      </x:c>
      <x:c r="D221" t="str">
        <x:v>동대문구</x:v>
      </x:c>
      <x:c r="E221" t="str">
        <x:v>제기동</x:v>
      </x:c>
      <x:c r="F221" s="12" t="n">
        <x:v>45678</x:v>
      </x:c>
      <x:c r="G221" s="12" t="n">
        <x:v>23015524687</x:v>
      </x:c>
      <x:c r="H221" s="12" t="n">
        <x:v>284384</x:v>
      </x:c>
      <x:c r="I221" s="12" t="n">
        <x:v>80931.15184750197</x:v>
      </x:c>
      <x:c r="J221" s="12" t="n">
        <x:v>503864.54501072725</x:v>
      </x:c>
      <x:c r="K221" s="12" t="n">
        <x:v>155</x:v>
      </x:c>
      <x:c r="L221" s="12" t="n">
        <x:v>33.93318446516923</x:v>
      </x:c>
      <x:c r="M221" s="12" t="n">
        <x:v>6</x:v>
      </x:c>
      <x:c r="N221" s="14" t="n">
        <x:v>0.8523040019191894</x:v>
      </x:c>
      <x:c r="O221" s="14" t="n">
        <x:v>0.14769599808081055</x:v>
      </x:c>
      <x:c r="P221" s="14" t="n">
        <x:v>0.22745270056593084</x:v>
      </x:c>
      <x:c r="Q221" s="14" t="n">
        <x:v>0.34993555408924315</x:v>
      </x:c>
      <x:c r="R221" s="14" t="n">
        <x:v>0.19966352301303936</x:v>
      </x:c>
      <x:c r="S221" s="14" t="n">
        <x:v>0.7032111996621891</x:v>
      </x:c>
      <x:c r="T221" t="str">
        <x:v>여성소비·고매출밀도</x:v>
      </x:c>
      <x:c r="U221" s="16" t="n">
        <x:v>68.21862189609517</x:v>
      </x:c>
      <x:c r="V221" t="str">
        <x:v>청과상</x:v>
      </x:c>
      <x:c r="W221" t="str">
        <x:v>청과상 / 반찬가게 / 수산물판매</x:v>
      </x:c>
      <x:c r="X221" s="16" t="n">
        <x:v>50.85192526329671</x:v>
      </x:c>
    </x:row>
    <x:row r="222">
      <x:c r="A222" t="str">
        <x:v>3120001</x:v>
      </x:c>
      <x:c r="B222" t="str">
        <x:v>서대문역</x:v>
      </x:c>
      <x:c r="C222" t="str">
        <x:v>발달상권</x:v>
      </x:c>
      <x:c r="D222" t="str">
        <x:v>종로구</x:v>
      </x:c>
      <x:c r="E222" t="str">
        <x:v>교남동</x:v>
      </x:c>
      <x:c r="F222" s="12" t="n">
        <x:v>148292</x:v>
      </x:c>
      <x:c r="G222" s="12" t="n">
        <x:v>22935188663</x:v>
      </x:c>
      <x:c r="H222" s="12" t="n">
        <x:v>819264</x:v>
      </x:c>
      <x:c r="I222" s="12" t="n">
        <x:v>27994.86937421881</x:v>
      </x:c>
      <x:c r="J222" s="12" t="n">
        <x:v>154662.3463369568</x:v>
      </x:c>
      <x:c r="K222" s="12" t="n">
        <x:v>4645</x:v>
      </x:c>
      <x:c r="L222" s="12" t="n">
        <x:v>313.23335041674534</x:v>
      </x:c>
      <x:c r="M222" s="12" t="n">
        <x:v>31</x:v>
      </x:c>
      <x:c r="N222" s="14" t="n">
        <x:v>0.8661307273677167</x:v>
      </x:c>
      <x:c r="O222" s="14" t="n">
        <x:v>0.1338692726322833</x:v>
      </x:c>
      <x:c r="P222" s="14" t="n">
        <x:v>0.4163786519622579</x:v>
      </x:c>
      <x:c r="Q222" s="14" t="n">
        <x:v>0.28554521614052264</x:v>
      </x:c>
      <x:c r="R222" s="14" t="n">
        <x:v>0.22421386597512113</x:v>
      </x:c>
      <x:c r="S222" s="14" t="n">
        <x:v>0.36568280188295393</x:v>
      </x:c>
      <x:c r="T222" t="str">
        <x:v>평일집중·직장밀집</x:v>
      </x:c>
      <x:c r="U222" s="16" t="n">
        <x:v>76.99583982544549</x:v>
      </x:c>
      <x:c r="V222" t="str">
        <x:v>일식음식점</x:v>
      </x:c>
      <x:c r="W222" t="str">
        <x:v>일식음식점 / 핸드폰 / 화초</x:v>
      </x:c>
      <x:c r="X222" s="16" t="n">
        <x:v>75.12371896225764</x:v>
      </x:c>
    </x:row>
    <x:row r="223">
      <x:c r="A223" t="str">
        <x:v>3130067</x:v>
      </x:c>
      <x:c r="B223" t="str">
        <x:v>왕십리도선동상점가</x:v>
      </x:c>
      <x:c r="C223" t="str">
        <x:v>전통시장</x:v>
      </x:c>
      <x:c r="D223" t="str">
        <x:v>성동구</x:v>
      </x:c>
      <x:c r="E223" t="str">
        <x:v>왕십리도선동</x:v>
      </x:c>
      <x:c r="F223" s="12" t="n">
        <x:v>86695</x:v>
      </x:c>
      <x:c r="G223" s="12" t="n">
        <x:v>22840139519</x:v>
      </x:c>
      <x:c r="H223" s="12" t="n">
        <x:v>486367</x:v>
      </x:c>
      <x:c r="I223" s="12" t="n">
        <x:v>46960.70975004472</x:v>
      </x:c>
      <x:c r="J223" s="12" t="n">
        <x:v>263453.9421996655</x:v>
      </x:c>
      <x:c r="K223" s="12" t="n">
        <x:v>1834</x:v>
      </x:c>
      <x:c r="L223" s="12" t="n">
        <x:v>211.54622527250706</x:v>
      </x:c>
      <x:c r="M223" s="12" t="n">
        <x:v>29</x:v>
      </x:c>
      <x:c r="N223" s="14" t="n">
        <x:v>0.8081052744290813</x:v>
      </x:c>
      <x:c r="O223" s="14" t="n">
        <x:v>0.1918947255709187</x:v>
      </x:c>
      <x:c r="P223" s="14" t="n">
        <x:v>0.4316350877278544</x:v>
      </x:c>
      <x:c r="Q223" s="14" t="n">
        <x:v>0.17516894004398662</x:v>
      </x:c>
      <x:c r="R223" s="14" t="n">
        <x:v>0.21414065395403245</x:v>
      </x:c>
      <x:c r="S223" s="14" t="n">
        <x:v>0.2890601012094457</x:v>
      </x:c>
      <x:c r="T223" t="str">
        <x:v>고매출밀도·직장밀집</x:v>
      </x:c>
      <x:c r="U223" s="16" t="n">
        <x:v>74.69534876089405</x:v>
      </x:c>
      <x:c r="V223" t="str">
        <x:v>노래방</x:v>
      </x:c>
      <x:c r="W223" t="str">
        <x:v>노래방 / 청과상 / 육류판매</x:v>
      </x:c>
      <x:c r="X223" s="16" t="n">
        <x:v>70.64514455800995</x:v>
      </x:c>
    </x:row>
    <x:row r="224">
      <x:c r="A224" t="str">
        <x:v>3110671</x:v>
      </x:c>
      <x:c r="B224" t="str">
        <x:v>등촌1동주민센터</x:v>
      </x:c>
      <x:c r="C224" t="str">
        <x:v>골목상권</x:v>
      </x:c>
      <x:c r="D224" t="str">
        <x:v>강서구</x:v>
      </x:c>
      <x:c r="E224" t="str">
        <x:v>등촌1동</x:v>
      </x:c>
      <x:c r="F224" s="12" t="n">
        <x:v>231350</x:v>
      </x:c>
      <x:c r="G224" s="12" t="n">
        <x:v>22829198111</x:v>
      </x:c>
      <x:c r="H224" s="12" t="n">
        <x:v>427665</x:v>
      </x:c>
      <x:c r="I224" s="12" t="n">
        <x:v>53381.029803701495</x:v>
      </x:c>
      <x:c r="J224" s="12" t="n">
        <x:v>98678.18504862762</x:v>
      </x:c>
      <x:c r="K224" s="12" t="n">
        <x:v>4274</x:v>
      </x:c>
      <x:c r="L224" s="12" t="n">
        <x:v>184.74173330451697</x:v>
      </x:c>
      <x:c r="M224" s="12" t="n">
        <x:v>25</x:v>
      </x:c>
      <x:c r="N224" s="14" t="n">
        <x:v>0.9307961757430824</x:v>
      </x:c>
      <x:c r="O224" s="14" t="n">
        <x:v>0.06920382425691764</x:v>
      </x:c>
      <x:c r="P224" s="14" t="n">
        <x:v>0.16938950475604816</x:v>
      </x:c>
      <x:c r="Q224" s="14" t="n">
        <x:v>0.2406209002300948</x:v>
      </x:c>
      <x:c r="R224" s="14" t="n">
        <x:v>0.13476873703757225</x:v>
      </x:c>
      <x:c r="S224" s="14" t="n">
        <x:v>0.2714395319042838</x:v>
      </x:c>
      <x:c r="T224" t="str">
        <x:v>평일집중·직장밀집</x:v>
      </x:c>
      <x:c r="U224" s="16" t="n">
        <x:v>64.14138191841057</x:v>
      </x:c>
      <x:c r="V224" t="str">
        <x:v>반찬가게</x:v>
      </x:c>
      <x:c r="W224" t="str">
        <x:v>반찬가게 / 조명용품 / 청과상</x:v>
      </x:c>
      <x:c r="X224" s="16" t="n">
        <x:v>62.632277319304066</x:v>
      </x:c>
    </x:row>
    <x:row r="225">
      <x:c r="A225" t="str">
        <x:v>3120059</x:v>
      </x:c>
      <x:c r="B225" t="str">
        <x:v>구삼강변맛길</x:v>
      </x:c>
      <x:c r="C225" t="str">
        <x:v>발달상권</x:v>
      </x:c>
      <x:c r="D225" t="str">
        <x:v>광진구</x:v>
      </x:c>
      <x:c r="E225" t="str">
        <x:v>구의3동</x:v>
      </x:c>
      <x:c r="F225" s="12" t="n">
        <x:v>108961</x:v>
      </x:c>
      <x:c r="G225" s="12" t="n">
        <x:v>22790930822</x:v>
      </x:c>
      <x:c r="H225" s="12" t="n">
        <x:v>698449</x:v>
      </x:c>
      <x:c r="I225" s="12" t="n">
        <x:v>32630.773072908687</x:v>
      </x:c>
      <x:c r="J225" s="12" t="n">
        <x:v>209165.9476509944</x:v>
      </x:c>
      <x:c r="K225" s="12" t="n">
        <x:v>3984</x:v>
      </x:c>
      <x:c r="L225" s="12" t="n">
        <x:v>365.6354108350694</x:v>
      </x:c>
      <x:c r="M225" s="12" t="n">
        <x:v>29</x:v>
      </x:c>
      <x:c r="N225" s="14" t="n">
        <x:v>0.7229523745074531</x:v>
      </x:c>
      <x:c r="O225" s="14" t="n">
        <x:v>0.2770476254925469</x:v>
      </x:c>
      <x:c r="P225" s="14" t="n">
        <x:v>0.41262126617146905</x:v>
      </x:c>
      <x:c r="Q225" s="14" t="n">
        <x:v>0.22550444179484333</x:v>
      </x:c>
      <x:c r="R225" s="14" t="n">
        <x:v>0.18393680099074278</x:v>
      </x:c>
      <x:c r="S225" s="14" t="n">
        <x:v>0.46520848032961487</x:v>
      </x:c>
      <x:c r="T225" t="str">
        <x:v>직장밀집·고매출밀도</x:v>
      </x:c>
      <x:c r="U225" s="16" t="n">
        <x:v>75.25966362165813</x:v>
      </x:c>
      <x:c r="V225" t="str">
        <x:v>예술학원</x:v>
      </x:c>
      <x:c r="W225" t="str">
        <x:v>예술학원 / 스포츠클럽 / 슈퍼마켓</x:v>
      </x:c>
      <x:c r="X225" s="16" t="n">
        <x:v>68.40712822023758</x:v>
      </x:c>
    </x:row>
    <x:row r="226">
      <x:c r="A226" t="str">
        <x:v>3110397</x:v>
      </x:c>
      <x:c r="B226" t="str">
        <x:v>도봉산입구</x:v>
      </x:c>
      <x:c r="C226" t="str">
        <x:v>골목상권</x:v>
      </x:c>
      <x:c r="D226" t="str">
        <x:v>도봉구</x:v>
      </x:c>
      <x:c r="E226" t="str">
        <x:v>도봉1동</x:v>
      </x:c>
      <x:c r="F226" s="12" t="n">
        <x:v>542024</x:v>
      </x:c>
      <x:c r="G226" s="12" t="n">
        <x:v>22736015333</x:v>
      </x:c>
      <x:c r="H226" s="12" t="n">
        <x:v>741889</x:v>
      </x:c>
      <x:c r="I226" s="12" t="n">
        <x:v>30646.114624964113</x:v>
      </x:c>
      <x:c r="J226" s="12" t="n">
        <x:v>41946.51036300976</x:v>
      </x:c>
      <x:c r="K226" s="12" t="n">
        <x:v>497</x:v>
      </x:c>
      <x:c r="L226" s="12" t="n">
        <x:v>9.169335675173055</x:v>
      </x:c>
      <x:c r="M226" s="12" t="n">
        <x:v>28</x:v>
      </x:c>
      <x:c r="N226" s="14" t="n">
        <x:v>0.6046647502936041</x:v>
      </x:c>
      <x:c r="O226" s="14" t="n">
        <x:v>0.3953352497063959</x:v>
      </x:c>
      <x:c r="P226" s="14" t="n">
        <x:v>0.2499492618546784</x:v>
      </x:c>
      <x:c r="Q226" s="14" t="n">
        <x:v>0.2741833423621926</x:v>
      </x:c>
      <x:c r="R226" s="14" t="n">
        <x:v>0.12959254912726267</x:v>
      </x:c>
      <x:c r="S226" s="14" t="n">
        <x:v>0.4077244462245367</x:v>
      </x:c>
      <x:c r="T226" t="str">
        <x:v>균형형</x:v>
      </x:c>
      <x:c r="U226" s="16" t="n">
        <x:v>75.14299372247207</x:v>
      </x:c>
      <x:c r="V226" t="str">
        <x:v>일반의류</x:v>
      </x:c>
      <x:c r="W226" t="str">
        <x:v>일반의류 / 핸드폰 / 운동/경기용품</x:v>
      </x:c>
      <x:c r="X226" s="16" t="n">
        <x:v>66.69632970555355</x:v>
      </x:c>
    </x:row>
    <x:row r="227">
      <x:c r="A227" t="str">
        <x:v>3130221</x:v>
      </x:c>
      <x:c r="B227" t="str">
        <x:v>남부골목시장(남부화곡시장, 남부시장)</x:v>
      </x:c>
      <x:c r="C227" t="str">
        <x:v>전통시장</x:v>
      </x:c>
      <x:c r="D227" t="str">
        <x:v>강서구</x:v>
      </x:c>
      <x:c r="E227" t="str">
        <x:v>화곡4동</x:v>
      </x:c>
      <x:c r="F227" s="12" t="n">
        <x:v>81027</x:v>
      </x:c>
      <x:c r="G227" s="12" t="n">
        <x:v>22530729685</x:v>
      </x:c>
      <x:c r="H227" s="12" t="n">
        <x:v>1136615</x:v>
      </x:c>
      <x:c r="I227" s="12" t="n">
        <x:v>19822.65735099396</x:v>
      </x:c>
      <x:c r="J227" s="12" t="n">
        <x:v>278064.4684487887</x:v>
      </x:c>
      <x:c r="K227" s="12" t="n">
        <x:v>642</x:v>
      </x:c>
      <x:c r="L227" s="12" t="n">
        <x:v>79.23284830982264</x:v>
      </x:c>
      <x:c r="M227" s="12" t="n">
        <x:v>31</x:v>
      </x:c>
      <x:c r="N227" s="14" t="n">
        <x:v>0.7211573756893174</x:v>
      </x:c>
      <x:c r="O227" s="14" t="n">
        <x:v>0.27884262431068263</x:v>
      </x:c>
      <x:c r="P227" s="14" t="n">
        <x:v>0.30473053203292205</x:v>
      </x:c>
      <x:c r="Q227" s="14" t="n">
        <x:v>0.26005133357490723</x:v>
      </x:c>
      <x:c r="R227" s="14" t="n">
        <x:v>0.12855703599019944</x:v>
      </x:c>
      <x:c r="S227" s="14" t="n">
        <x:v>0.5609846303120297</x:v>
      </x:c>
      <x:c r="T227" t="str">
        <x:v>여성소비·고매출밀도</x:v>
      </x:c>
      <x:c r="U227" s="16" t="n">
        <x:v>74.74246958667992</x:v>
      </x:c>
      <x:c r="V227" t="str">
        <x:v>육류판매</x:v>
      </x:c>
      <x:c r="W227" t="str">
        <x:v>육류판매 / 시계및귀금속 / 청과상</x:v>
      </x:c>
      <x:c r="X227" s="16" t="n">
        <x:v>70.3258353359933</x:v>
      </x:c>
    </x:row>
    <x:row r="228">
      <x:c r="A228" t="str">
        <x:v>3120233</x:v>
      </x:c>
      <x:c r="B228" t="str">
        <x:v>몽촌토성역</x:v>
      </x:c>
      <x:c r="C228" t="str">
        <x:v>발달상권</x:v>
      </x:c>
      <x:c r="D228" t="str">
        <x:v>송파구</x:v>
      </x:c>
      <x:c r="E228" t="str">
        <x:v>방이2동</x:v>
      </x:c>
      <x:c r="F228" s="12" t="n">
        <x:v>115003</x:v>
      </x:c>
      <x:c r="G228" s="12" t="n">
        <x:v>22521392110</x:v>
      </x:c>
      <x:c r="H228" s="12" t="n">
        <x:v>936591</x:v>
      </x:c>
      <x:c r="I228" s="12" t="n">
        <x:v>24046.13338159346</x:v>
      </x:c>
      <x:c r="J228" s="12" t="n">
        <x:v>195833.08357173292</x:v>
      </x:c>
      <x:c r="K228" s="12" t="n">
        <x:v>15928</x:v>
      </x:c>
      <x:c r="L228" s="12" t="n">
        <x:v>1385.0073476344096</x:v>
      </x:c>
      <x:c r="M228" s="12" t="n">
        <x:v>20</x:v>
      </x:c>
      <x:c r="N228" s="14" t="n">
        <x:v>0.807741959961817</x:v>
      </x:c>
      <x:c r="O228" s="14" t="n">
        <x:v>0.19225804003818306</x:v>
      </x:c>
      <x:c r="P228" s="14" t="n">
        <x:v>0.3154202638231141</x:v>
      </x:c>
      <x:c r="Q228" s="14" t="n">
        <x:v>0.2384134863766199</x:v>
      </x:c>
      <x:c r="R228" s="14" t="n">
        <x:v>0.35492462663756713</x:v>
      </x:c>
      <x:c r="S228" s="14" t="n">
        <x:v>0.3656802762802215</x:v>
      </x:c>
      <x:c r="T228" t="str">
        <x:v>직장밀집·2030소비</x:v>
      </x:c>
      <x:c r="U228" s="16" t="n">
        <x:v>69.4007097759267</x:v>
      </x:c>
      <x:c r="V228" t="str">
        <x:v>의약품</x:v>
      </x:c>
      <x:c r="W228" t="str">
        <x:v>의약품 / 일반교습학원 / 여관</x:v>
      </x:c>
      <x:c r="X228" s="16" t="n">
        <x:v>63.82227083381063</x:v>
      </x:c>
    </x:row>
    <x:row r="229">
      <x:c r="A229" t="str">
        <x:v>3120049</x:v>
      </x:c>
      <x:c r="B229" t="str">
        <x:v>왕십리역(왕십리)</x:v>
      </x:c>
      <x:c r="C229" t="str">
        <x:v>발달상권</x:v>
      </x:c>
      <x:c r="D229" t="str">
        <x:v>성동구</x:v>
      </x:c>
      <x:c r="E229" t="str">
        <x:v>행당1동</x:v>
      </x:c>
      <x:c r="F229" s="12" t="n">
        <x:v>193725</x:v>
      </x:c>
      <x:c r="G229" s="12" t="n">
        <x:v>22495016285</x:v>
      </x:c>
      <x:c r="H229" s="12" t="n">
        <x:v>953169</x:v>
      </x:c>
      <x:c r="I229" s="12" t="n">
        <x:v>23600.239081422078</x:v>
      </x:c>
      <x:c r="J229" s="12" t="n">
        <x:v>116118.2928635953</x:v>
      </x:c>
      <x:c r="K229" s="12" t="n">
        <x:v>1450</x:v>
      </x:c>
      <x:c r="L229" s="12" t="n">
        <x:v>74.84836753129436</x:v>
      </x:c>
      <x:c r="M229" s="12" t="n">
        <x:v>28</x:v>
      </x:c>
      <x:c r="N229" s="14" t="n">
        <x:v>0.7786104319328346</x:v>
      </x:c>
      <x:c r="O229" s="14" t="n">
        <x:v>0.22138956806716534</x:v>
      </x:c>
      <x:c r="P229" s="14" t="n">
        <x:v>0.4117491481513724</x:v>
      </x:c>
      <x:c r="Q229" s="14" t="n">
        <x:v>0.24745866668751335</x:v>
      </x:c>
      <x:c r="R229" s="14" t="n">
        <x:v>0.3712402512715051</x:v>
      </x:c>
      <x:c r="S229" s="14" t="n">
        <x:v>0.42745212918168823</x:v>
      </x:c>
      <x:c r="T229" t="str">
        <x:v>2030소비·고매출밀도</x:v>
      </x:c>
      <x:c r="U229" s="16" t="n">
        <x:v>77.27437108727347</x:v>
      </x:c>
      <x:c r="V229" t="str">
        <x:v>화초</x:v>
      </x:c>
      <x:c r="W229" t="str">
        <x:v>화초 / 피부관리실 / 시계및귀금속</x:v>
      </x:c>
      <x:c r="X229" s="16" t="n">
        <x:v>72.28882632340658</x:v>
      </x:c>
    </x:row>
    <x:row r="230">
      <x:c r="A230" t="str">
        <x:v>3120201</x:v>
      </x:c>
      <x:c r="B230" t="str">
        <x:v>도곡1동</x:v>
      </x:c>
      <x:c r="C230" t="str">
        <x:v>발달상권</x:v>
      </x:c>
      <x:c r="D230" t="str">
        <x:v>강남구</x:v>
      </x:c>
      <x:c r="E230" t="str">
        <x:v>역삼1동</x:v>
      </x:c>
      <x:c r="F230" s="12" t="n">
        <x:v>169293</x:v>
      </x:c>
      <x:c r="G230" s="12" t="n">
        <x:v>22334276368</x:v>
      </x:c>
      <x:c r="H230" s="12" t="n">
        <x:v>639047</x:v>
      </x:c>
      <x:c r="I230" s="12" t="n">
        <x:v>34949.34858938388</x:v>
      </x:c>
      <x:c r="J230" s="12" t="n">
        <x:v>131926.756380949</x:v>
      </x:c>
      <x:c r="K230" s="12" t="n">
        <x:v>14638</x:v>
      </x:c>
      <x:c r="L230" s="12" t="n">
        <x:v>864.6547701322559</x:v>
      </x:c>
      <x:c r="M230" s="12" t="n">
        <x:v>34</x:v>
      </x:c>
      <x:c r="N230" s="14" t="n">
        <x:v>0.799378652427715</x:v>
      </x:c>
      <x:c r="O230" s="14" t="n">
        <x:v>0.20062134757228503</x:v>
      </x:c>
      <x:c r="P230" s="14" t="n">
        <x:v>0.32603476217537597</x:v>
      </x:c>
      <x:c r="Q230" s="14" t="n">
        <x:v>0.28317373591120953</x:v>
      </x:c>
      <x:c r="R230" s="14" t="n">
        <x:v>0.18256711159185562</x:v>
      </x:c>
      <x:c r="S230" s="14" t="n">
        <x:v>0.4010110386577088</x:v>
      </x:c>
      <x:c r="T230" t="str">
        <x:v>직장밀집·고매출밀도</x:v>
      </x:c>
      <x:c r="U230" s="16" t="n">
        <x:v>66.00773536739149</x:v>
      </x:c>
      <x:c r="V230" t="str">
        <x:v>운동/경기용품</x:v>
      </x:c>
      <x:c r="W230" t="str">
        <x:v>운동/경기용품 / 커피-음료 / 일반교습학원</x:v>
      </x:c>
      <x:c r="X230" s="16" t="n">
        <x:v>62.12606916941917</x:v>
      </x:c>
    </x:row>
    <x:row r="231">
      <x:c r="A231" t="str">
        <x:v>3120123</x:v>
      </x:c>
      <x:c r="B231" t="str">
        <x:v>오류동역</x:v>
      </x:c>
      <x:c r="C231" t="str">
        <x:v>발달상권</x:v>
      </x:c>
      <x:c r="D231" t="str">
        <x:v>구로구</x:v>
      </x:c>
      <x:c r="E231" t="str">
        <x:v>오류1동</x:v>
      </x:c>
      <x:c r="F231" s="12" t="n">
        <x:v>209639</x:v>
      </x:c>
      <x:c r="G231" s="12" t="n">
        <x:v>22242052547</x:v>
      </x:c>
      <x:c r="H231" s="12" t="n">
        <x:v>1365936</x:v>
      </x:c>
      <x:c r="I231" s="12" t="n">
        <x:v>16283.378245393635</x:v>
      </x:c>
      <x:c r="J231" s="12" t="n">
        <x:v>106096.92159855751</x:v>
      </x:c>
      <x:c r="K231" s="12" t="n">
        <x:v>2184</x:v>
      </x:c>
      <x:c r="L231" s="12" t="n">
        <x:v>104.17908881458125</x:v>
      </x:c>
      <x:c r="M231" s="12" t="n">
        <x:v>30</x:v>
      </x:c>
      <x:c r="N231" s="14" t="n">
        <x:v>0.7447338999850623</x:v>
      </x:c>
      <x:c r="O231" s="14" t="n">
        <x:v>0.2552661000149376</x:v>
      </x:c>
      <x:c r="P231" s="14" t="n">
        <x:v>0.34792372644779906</x:v>
      </x:c>
      <x:c r="Q231" s="14" t="n">
        <x:v>0.2294827489600751</x:v>
      </x:c>
      <x:c r="R231" s="14" t="n">
        <x:v>0.2977427627241726</x:v>
      </x:c>
      <x:c r="S231" s="14" t="n">
        <x:v>0.4917521355498846</x:v>
      </x:c>
      <x:c r="T231" t="str">
        <x:v>2030소비·여성소비</x:v>
      </x:c>
      <x:c r="U231" s="16" t="n">
        <x:v>78.68944277514306</x:v>
      </x:c>
      <x:c r="V231" t="str">
        <x:v>서적</x:v>
      </x:c>
      <x:c r="W231" t="str">
        <x:v>서적 / 패스트푸드점 / 커피-음료</x:v>
      </x:c>
      <x:c r="X231" s="16" t="n">
        <x:v>71.35632180855966</x:v>
      </x:c>
    </x:row>
    <x:row r="232">
      <x:c r="A232" t="str">
        <x:v>3120221</x:v>
      </x:c>
      <x:c r="B232" t="str">
        <x:v>봉은사역</x:v>
      </x:c>
      <x:c r="C232" t="str">
        <x:v>발달상권</x:v>
      </x:c>
      <x:c r="D232" t="str">
        <x:v>강남구</x:v>
      </x:c>
      <x:c r="E232" t="str">
        <x:v>삼성1동</x:v>
      </x:c>
      <x:c r="F232" s="12" t="n">
        <x:v>124926</x:v>
      </x:c>
      <x:c r="G232" s="12" t="n">
        <x:v>21996992886</x:v>
      </x:c>
      <x:c r="H232" s="12" t="n">
        <x:v>484831</x:v>
      </x:c>
      <x:c r="I232" s="12" t="n">
        <x:v>45370.433998651075</x:v>
      </x:c>
      <x:c r="J232" s="12" t="n">
        <x:v>176080.18255607318</x:v>
      </x:c>
      <x:c r="K232" s="12" t="n">
        <x:v>24393</x:v>
      </x:c>
      <x:c r="L232" s="12" t="n">
        <x:v>1952.5959367945825</x:v>
      </x:c>
      <x:c r="M232" s="12" t="n">
        <x:v>24</x:v>
      </x:c>
      <x:c r="N232" s="14" t="n">
        <x:v>0.8054943349223394</x:v>
      </x:c>
      <x:c r="O232" s="14" t="n">
        <x:v>0.19450566507766065</x:v>
      </x:c>
      <x:c r="P232" s="14" t="n">
        <x:v>0.29537985622277113</x:v>
      </x:c>
      <x:c r="Q232" s="14" t="n">
        <x:v>0.3082229178841587</x:v>
      </x:c>
      <x:c r="R232" s="14" t="n">
        <x:v>0.2953858458596585</x:v>
      </x:c>
      <x:c r="S232" s="14" t="n">
        <x:v>0.47272012919629947</x:v>
      </x:c>
      <x:c r="T232" t="str">
        <x:v>직장밀집·고매출밀도</x:v>
      </x:c>
      <x:c r="U232" s="16" t="n">
        <x:v>76.520856677092</x:v>
      </x:c>
      <x:c r="V232" t="str">
        <x:v>일반교습학원</x:v>
      </x:c>
      <x:c r="W232" t="str">
        <x:v>일반교습학원 / 섬유제품 / 한식음식점</x:v>
      </x:c>
      <x:c r="X232" s="16" t="n">
        <x:v>68.07258454974081</x:v>
      </x:c>
    </x:row>
    <x:row r="233">
      <x:c r="A233" t="str">
        <x:v>3120091</x:v>
      </x:c>
      <x:c r="B233" t="str">
        <x:v>본서부병원</x:v>
      </x:c>
      <x:c r="C233" t="str">
        <x:v>발달상권</x:v>
      </x:c>
      <x:c r="D233" t="str">
        <x:v>은평구</x:v>
      </x:c>
      <x:c r="E233" t="str">
        <x:v>응암1동</x:v>
      </x:c>
      <x:c r="F233" s="12" t="n">
        <x:v>113175</x:v>
      </x:c>
      <x:c r="G233" s="12" t="n">
        <x:v>21879258391</x:v>
      </x:c>
      <x:c r="H233" s="12" t="n">
        <x:v>758426</x:v>
      </x:c>
      <x:c r="I233" s="12" t="n">
        <x:v>28848.244114785095</x:v>
      </x:c>
      <x:c r="J233" s="12" t="n">
        <x:v>193322.36263309035</x:v>
      </x:c>
      <x:c r="K233" s="12" t="n">
        <x:v>1212</x:v>
      </x:c>
      <x:c r="L233" s="12" t="n">
        <x:v>107.090788601723</x:v>
      </x:c>
      <x:c r="M233" s="12" t="n">
        <x:v>30</x:v>
      </x:c>
      <x:c r="N233" s="14" t="n">
        <x:v>0.7684249018200646</x:v>
      </x:c>
      <x:c r="O233" s="14" t="n">
        <x:v>0.23157509817993538</x:v>
      </x:c>
      <x:c r="P233" s="14" t="n">
        <x:v>0.3614218836710113</x:v>
      </x:c>
      <x:c r="Q233" s="14" t="n">
        <x:v>0.23201131465626376</x:v>
      </x:c>
      <x:c r="R233" s="14" t="n">
        <x:v>0.2124300333649275</x:v>
      </x:c>
      <x:c r="S233" s="14" t="n">
        <x:v>0.49750749853923604</x:v>
      </x:c>
      <x:c r="T233" t="str">
        <x:v>고매출밀도·여성소비</x:v>
      </x:c>
      <x:c r="U233" s="16" t="n">
        <x:v>78.20259197752124</x:v>
      </x:c>
      <x:c r="V233" t="str">
        <x:v>당구장</x:v>
      </x:c>
      <x:c r="W233" t="str">
        <x:v>당구장 / 반찬가게 / 한식음식점</x:v>
      </x:c>
      <x:c r="X233" s="16" t="n">
        <x:v>67.56595994241259</x:v>
      </x:c>
    </x:row>
    <x:row r="234">
      <x:c r="A234" t="str">
        <x:v>3130066</x:v>
      </x:c>
      <x:c r="B234" t="str">
        <x:v>행당시장상점가</x:v>
      </x:c>
      <x:c r="C234" t="str">
        <x:v>전통시장</x:v>
      </x:c>
      <x:c r="D234" t="str">
        <x:v>성동구</x:v>
      </x:c>
      <x:c r="E234" t="str">
        <x:v>행당1동</x:v>
      </x:c>
      <x:c r="F234" s="12" t="n">
        <x:v>81008</x:v>
      </x:c>
      <x:c r="G234" s="12" t="n">
        <x:v>21862581145</x:v>
      </x:c>
      <x:c r="H234" s="12" t="n">
        <x:v>744177</x:v>
      </x:c>
      <x:c r="I234" s="12" t="n">
        <x:v>29378.200542344093</x:v>
      </x:c>
      <x:c r="J234" s="12" t="n">
        <x:v>269881.7542094608</x:v>
      </x:c>
      <x:c r="K234" s="12" t="n">
        <x:v>625</x:v>
      </x:c>
      <x:c r="L234" s="12" t="n">
        <x:v>77.15287379024294</x:v>
      </x:c>
      <x:c r="M234" s="12" t="n">
        <x:v>23</x:v>
      </x:c>
      <x:c r="N234" s="14" t="n">
        <x:v>0.7433523135358041</x:v>
      </x:c>
      <x:c r="O234" s="14" t="n">
        <x:v>0.25664768646419583</x:v>
      </x:c>
      <x:c r="P234" s="14" t="n">
        <x:v>0.4701200479409358</x:v>
      </x:c>
      <x:c r="Q234" s="14" t="n">
        <x:v>0.21570820077109426</x:v>
      </x:c>
      <x:c r="R234" s="14" t="n">
        <x:v>0.3868833140470432</x:v>
      </x:c>
      <x:c r="S234" s="14" t="n">
        <x:v>0.5027858531934565</x:v>
      </x:c>
      <x:c r="T234" t="str">
        <x:v>2030소비·고매출밀도</x:v>
      </x:c>
      <x:c r="U234" s="16" t="n">
        <x:v>76.82602985160003</x:v>
      </x:c>
      <x:c r="V234" t="str">
        <x:v>피부관리실</x:v>
      </x:c>
      <x:c r="W234" t="str">
        <x:v>피부관리실 / 당구장 / PC방</x:v>
      </x:c>
      <x:c r="X234" s="16" t="n">
        <x:v>70.97168745717022</x:v>
      </x:c>
    </x:row>
    <x:row r="235">
      <x:c r="A235" t="str">
        <x:v>3120181</x:v>
      </x:c>
      <x:c r="B235" t="str">
        <x:v>교육개발원입구사거리</x:v>
      </x:c>
      <x:c r="C235" t="str">
        <x:v>발달상권</x:v>
      </x:c>
      <x:c r="D235" t="str">
        <x:v>서초구</x:v>
      </x:c>
      <x:c r="E235" t="str">
        <x:v>양재1동</x:v>
      </x:c>
      <x:c r="F235" s="12" t="n">
        <x:v>120183</x:v>
      </x:c>
      <x:c r="G235" s="12" t="n">
        <x:v>21756906815</x:v>
      </x:c>
      <x:c r="H235" s="12" t="n">
        <x:v>275334</x:v>
      </x:c>
      <x:c r="I235" s="12" t="n">
        <x:v>79020.0513376481</x:v>
      </x:c>
      <x:c r="J235" s="12" t="n">
        <x:v>181031.48377890384</x:v>
      </x:c>
      <x:c r="K235" s="12" t="n">
        <x:v>5630</x:v>
      </x:c>
      <x:c r="L235" s="12" t="n">
        <x:v>468.4522769443265</x:v>
      </x:c>
      <x:c r="M235" s="12" t="n">
        <x:v>18</x:v>
      </x:c>
      <x:c r="N235" s="14" t="n">
        <x:v>0.9141969724890785</x:v>
      </x:c>
      <x:c r="O235" s="14" t="n">
        <x:v>0.08580302751092148</x:v>
      </x:c>
      <x:c r="P235" s="14" t="n">
        <x:v>0.21314643659744884</x:v>
      </x:c>
      <x:c r="Q235" s="14" t="n">
        <x:v>0.39157996278801455</x:v>
      </x:c>
      <x:c r="R235" s="14" t="n">
        <x:v>0.20877994958678137</x:v>
      </x:c>
      <x:c r="S235" s="14" t="n">
        <x:v>0.33032057512169843</x:v>
      </x:c>
      <x:c r="T235" t="str">
        <x:v>평일집중·직장밀집</x:v>
      </x:c>
      <x:c r="U235" s="16" t="n">
        <x:v>63.573278482233626</x:v>
      </x:c>
      <x:c r="V235" t="str">
        <x:v>호프-간이주점</x:v>
      </x:c>
      <x:c r="W235" t="str">
        <x:v>호프-간이주점 / 화장품 / 양식음식점</x:v>
      </x:c>
      <x:c r="X235" s="16" t="n">
        <x:v>62.511595200953536</x:v>
      </x:c>
    </x:row>
    <x:row r="236">
      <x:c r="A236" t="str">
        <x:v>3130312</x:v>
      </x:c>
      <x:c r="B236" t="str">
        <x:v>석촌시장</x:v>
      </x:c>
      <x:c r="C236" t="str">
        <x:v>전통시장</x:v>
      </x:c>
      <x:c r="D236" t="str">
        <x:v>송파구</x:v>
      </x:c>
      <x:c r="E236" t="str">
        <x:v>석촌동</x:v>
      </x:c>
      <x:c r="F236" s="12" t="n">
        <x:v>46711</x:v>
      </x:c>
      <x:c r="G236" s="12" t="n">
        <x:v>21703360706</x:v>
      </x:c>
      <x:c r="H236" s="12" t="n">
        <x:v>785881</x:v>
      </x:c>
      <x:c r="I236" s="12" t="n">
        <x:v>27616.599340103654</x:v>
      </x:c>
      <x:c r="J236" s="12" t="n">
        <x:v>464630.6160433303</x:v>
      </x:c>
      <x:c r="K236" s="12" t="n">
        <x:v>739</x:v>
      </x:c>
      <x:c r="L236" s="12" t="n">
        <x:v>158.2068463531074</x:v>
      </x:c>
      <x:c r="M236" s="12" t="n">
        <x:v>23</x:v>
      </x:c>
      <x:c r="N236" s="14" t="n">
        <x:v>0.691699960958111</x:v>
      </x:c>
      <x:c r="O236" s="14" t="n">
        <x:v>0.308300039041889</x:v>
      </x:c>
      <x:c r="P236" s="14" t="n">
        <x:v>0.4282813771523556</x:v>
      </x:c>
      <x:c r="Q236" s="14" t="n">
        <x:v>0.21208670368398197</x:v>
      </x:c>
      <x:c r="R236" s="14" t="n">
        <x:v>0.20234487803476126</x:v>
      </x:c>
      <x:c r="S236" s="14" t="n">
        <x:v>0.4772377565533698</x:v>
      </x:c>
      <x:c r="T236" t="str">
        <x:v>고매출밀도·직장밀집</x:v>
      </x:c>
      <x:c r="U236" s="16" t="n">
        <x:v>72.74995657023379</x:v>
      </x:c>
      <x:c r="V236" t="str">
        <x:v>청과상</x:v>
      </x:c>
      <x:c r="W236" t="str">
        <x:v>청과상 / 육류판매 / 슈퍼마켓</x:v>
      </x:c>
      <x:c r="X236" s="16" t="n">
        <x:v>66.81318767787704</x:v>
      </x:c>
    </x:row>
    <x:row r="237">
      <x:c r="A237" t="str">
        <x:v>3120230</x:v>
      </x:c>
      <x:c r="B237" t="str">
        <x:v>송파사거리(송파역)</x:v>
      </x:c>
      <x:c r="C237" t="str">
        <x:v>발달상권</x:v>
      </x:c>
      <x:c r="D237" t="str">
        <x:v>송파구</x:v>
      </x:c>
      <x:c r="E237" t="str">
        <x:v>석촌동</x:v>
      </x:c>
      <x:c r="F237" s="12" t="n">
        <x:v>102341</x:v>
      </x:c>
      <x:c r="G237" s="12" t="n">
        <x:v>21214231894</x:v>
      </x:c>
      <x:c r="H237" s="12" t="n">
        <x:v>596303</x:v>
      </x:c>
      <x:c r="I237" s="12" t="n">
        <x:v>35576.26222574765</x:v>
      </x:c>
      <x:c r="J237" s="12" t="n">
        <x:v>207289.66781641767</x:v>
      </x:c>
      <x:c r="K237" s="12" t="n">
        <x:v>2117</x:v>
      </x:c>
      <x:c r="L237" s="12" t="n">
        <x:v>206.85746670444885</x:v>
      </x:c>
      <x:c r="M237" s="12" t="n">
        <x:v>29</x:v>
      </x:c>
      <x:c r="N237" s="14" t="n">
        <x:v>0.7220645116702239</x:v>
      </x:c>
      <x:c r="O237" s="14" t="n">
        <x:v>0.27793548832977605</x:v>
      </x:c>
      <x:c r="P237" s="14" t="n">
        <x:v>0.3467390177855289</x:v>
      </x:c>
      <x:c r="Q237" s="14" t="n">
        <x:v>0.23953310991368953</x:v>
      </x:c>
      <x:c r="R237" s="14" t="n">
        <x:v>0.19886040437755195</x:v>
      </x:c>
      <x:c r="S237" s="14" t="n">
        <x:v>0.4511460933311885</x:v>
      </x:c>
      <x:c r="T237" t="str">
        <x:v>고매출밀도·직장밀집</x:v>
      </x:c>
      <x:c r="U237" s="16" t="n">
        <x:v>76.95404842143627</x:v>
      </x:c>
      <x:c r="V237" t="str">
        <x:v>안경</x:v>
      </x:c>
      <x:c r="W237" t="str">
        <x:v>안경 / 예술학원 / 일반의원</x:v>
      </x:c>
      <x:c r="X237" s="16" t="n">
        <x:v>70.50959384563176</x:v>
      </x:c>
    </x:row>
    <x:row r="238">
      <x:c r="A238" t="str">
        <x:v>3130083</x:v>
      </x:c>
      <x:c r="B238" t="str">
        <x:v>중곡제일시장(중곡제일골목시장, 광성시장)</x:v>
      </x:c>
      <x:c r="C238" t="str">
        <x:v>전통시장</x:v>
      </x:c>
      <x:c r="D238" t="str">
        <x:v>광진구</x:v>
      </x:c>
      <x:c r="E238" t="str">
        <x:v>중곡1동</x:v>
      </x:c>
      <x:c r="F238" s="12" t="n">
        <x:v>41751</x:v>
      </x:c>
      <x:c r="G238" s="12" t="n">
        <x:v>20940690533</x:v>
      </x:c>
      <x:c r="H238" s="12" t="n">
        <x:v>875384</x:v>
      </x:c>
      <x:c r="I238" s="12" t="n">
        <x:v>23921.719534512853</x:v>
      </x:c>
      <x:c r="J238" s="12" t="n">
        <x:v>501561.41249311395</x:v>
      </x:c>
      <x:c r="K238" s="12" t="n">
        <x:v>736</x:v>
      </x:c>
      <x:c r="L238" s="12" t="n">
        <x:v>176.2832027975378</x:v>
      </x:c>
      <x:c r="M238" s="12" t="n">
        <x:v>19</x:v>
      </x:c>
      <x:c r="N238" s="14" t="n">
        <x:v>0.7128708269899344</x:v>
      </x:c>
      <x:c r="O238" s="14" t="n">
        <x:v>0.28712917301006563</x:v>
      </x:c>
      <x:c r="P238" s="14" t="n">
        <x:v>0.3151132396327267</x:v>
      </x:c>
      <x:c r="Q238" s="14" t="n">
        <x:v>0.23529053467627595</x:v>
      </x:c>
      <x:c r="R238" s="14" t="n">
        <x:v>0.21350686396679583</x:v>
      </x:c>
      <x:c r="S238" s="14" t="n">
        <x:v>0.5452046034493585</x:v>
      </x:c>
      <x:c r="T238" t="str">
        <x:v>고매출밀도·여성소비</x:v>
      </x:c>
      <x:c r="U238" s="16" t="n">
        <x:v>69.45341708763445</x:v>
      </x:c>
      <x:c r="V238" t="str">
        <x:v>반찬가게</x:v>
      </x:c>
      <x:c r="W238" t="str">
        <x:v>반찬가게 / 슈퍼마켓 / 육류판매</x:v>
      </x:c>
      <x:c r="X238" s="16" t="n">
        <x:v>67.57776082910667</x:v>
      </x:c>
    </x:row>
    <x:row r="239">
      <x:c r="A239" t="str">
        <x:v>3120068</x:v>
      </x:c>
      <x:c r="B239" t="str">
        <x:v>사가정역</x:v>
      </x:c>
      <x:c r="C239" t="str">
        <x:v>발달상권</x:v>
      </x:c>
      <x:c r="D239" t="str">
        <x:v>중랑구</x:v>
      </x:c>
      <x:c r="E239" t="str">
        <x:v>면목3·8동</x:v>
      </x:c>
      <x:c r="F239" s="12" t="n">
        <x:v>35712</x:v>
      </x:c>
      <x:c r="G239" s="12" t="n">
        <x:v>20763605710</x:v>
      </x:c>
      <x:c r="H239" s="12" t="n">
        <x:v>1051793</x:v>
      </x:c>
      <x:c r="I239" s="12" t="n">
        <x:v>19741.152213410813</x:v>
      </x:c>
      <x:c r="J239" s="12" t="n">
        <x:v>581418.1706429211</x:v>
      </x:c>
      <x:c r="K239" s="12" t="n">
        <x:v>299</x:v>
      </x:c>
      <x:c r="L239" s="12" t="n">
        <x:v>83.72535842293907</x:v>
      </x:c>
      <x:c r="M239" s="12" t="n">
        <x:v>23</x:v>
      </x:c>
      <x:c r="N239" s="14" t="n">
        <x:v>0.7701014039820158</x:v>
      </x:c>
      <x:c r="O239" s="14" t="n">
        <x:v>0.2298985960179842</x:v>
      </x:c>
      <x:c r="P239" s="14" t="n">
        <x:v>0.2881474224931234</x:v>
      </x:c>
      <x:c r="Q239" s="14" t="n">
        <x:v>0.2653666958887749</x:v>
      </x:c>
      <x:c r="R239" s="14" t="n">
        <x:v>0.22801489183161724</x:v>
      </x:c>
      <x:c r="S239" s="14" t="n">
        <x:v>0.5296498629668883</x:v>
      </x:c>
      <x:c r="T239" t="str">
        <x:v>고매출밀도·여성소비</x:v>
      </x:c>
      <x:c r="U239" s="16" t="n">
        <x:v>75.69378228121883</x:v>
      </x:c>
      <x:c r="V239" t="str">
        <x:v>일반의원</x:v>
      </x:c>
      <x:c r="W239" t="str">
        <x:v>일반의원 / 제과점 / 의약품</x:v>
      </x:c>
      <x:c r="X239" s="16" t="n">
        <x:v>66.67063626184117</x:v>
      </x:c>
    </x:row>
    <x:row r="240">
      <x:c r="A240" t="str">
        <x:v>3130183</x:v>
      </x:c>
      <x:c r="B240" t="str">
        <x:v>상암동상점가</x:v>
      </x:c>
      <x:c r="C240" t="str">
        <x:v>전통시장</x:v>
      </x:c>
      <x:c r="D240" t="str">
        <x:v>마포구</x:v>
      </x:c>
      <x:c r="E240" t="str">
        <x:v>상암동</x:v>
      </x:c>
      <x:c r="F240" s="12" t="n">
        <x:v>127514</x:v>
      </x:c>
      <x:c r="G240" s="12" t="n">
        <x:v>20706269437</x:v>
      </x:c>
      <x:c r="H240" s="12" t="n">
        <x:v>569308</x:v>
      </x:c>
      <x:c r="I240" s="12" t="n">
        <x:v>36370.94408826154</x:v>
      </x:c>
      <x:c r="J240" s="12" t="n">
        <x:v>162384.28280031995</x:v>
      </x:c>
      <x:c r="K240" s="12" t="n">
        <x:v>928</x:v>
      </x:c>
      <x:c r="L240" s="12" t="n">
        <x:v>72.77632259987139</x:v>
      </x:c>
      <x:c r="M240" s="12" t="n">
        <x:v>20</x:v>
      </x:c>
      <x:c r="N240" s="14" t="n">
        <x:v>0.8381774155796232</x:v>
      </x:c>
      <x:c r="O240" s="14" t="n">
        <x:v>0.16182258442037678</x:v>
      </x:c>
      <x:c r="P240" s="14" t="n">
        <x:v>0.6355736059574196</x:v>
      </x:c>
      <x:c r="Q240" s="14" t="n">
        <x:v>0.2214794843635744</x:v>
      </x:c>
      <x:c r="R240" s="14" t="n">
        <x:v>0.29267326615440875</x:v>
      </x:c>
      <x:c r="S240" s="14" t="n">
        <x:v>0.22813600732727682</x:v>
      </x:c>
      <x:c r="T240" t="str">
        <x:v>야간활성·평일집중</x:v>
      </x:c>
      <x:c r="U240" s="16" t="n">
        <x:v>69.78455201361655</x:v>
      </x:c>
      <x:c r="V240" t="str">
        <x:v>치킨전문점</x:v>
      </x:c>
      <x:c r="W240" t="str">
        <x:v>치킨전문점 / 일식음식점 / 미용실</x:v>
      </x:c>
      <x:c r="X240" s="16" t="n">
        <x:v>65.89162711936109</x:v>
      </x:c>
    </x:row>
    <x:row r="241">
      <x:c r="A241" t="str">
        <x:v>3110836</x:v>
      </x:c>
      <x:c r="B241" t="str">
        <x:v>상도역 5번</x:v>
      </x:c>
      <x:c r="C241" t="str">
        <x:v>골목상권</x:v>
      </x:c>
      <x:c r="D241" t="str">
        <x:v>동작구</x:v>
      </x:c>
      <x:c r="E241" t="str">
        <x:v>상도1동</x:v>
      </x:c>
      <x:c r="F241" s="12" t="n">
        <x:v>239852</x:v>
      </x:c>
      <x:c r="G241" s="12" t="n">
        <x:v>20646473958</x:v>
      </x:c>
      <x:c r="H241" s="12" t="n">
        <x:v>914945</x:v>
      </x:c>
      <x:c r="I241" s="12" t="n">
        <x:v>22565.80882785304</x:v>
      </x:c>
      <x:c r="J241" s="12" t="n">
        <x:v>86080.05752714173</x:v>
      </x:c>
      <x:c r="K241" s="12" t="n">
        <x:v>1000</x:v>
      </x:c>
      <x:c r="L241" s="12" t="n">
        <x:v>41.692376965795575</x:v>
      </x:c>
      <x:c r="M241" s="12" t="n">
        <x:v>26</x:v>
      </x:c>
      <x:c r="N241" s="14" t="n">
        <x:v>0.862211909220572</x:v>
      </x:c>
      <x:c r="O241" s="14" t="n">
        <x:v>0.137788090779428</x:v>
      </x:c>
      <x:c r="P241" s="14" t="n">
        <x:v>0.23528722685927211</x:v>
      </x:c>
      <x:c r="Q241" s="14" t="n">
        <x:v>0.2501105225281877</x:v>
      </x:c>
      <x:c r="R241" s="14" t="n">
        <x:v>0.22021721874878603</x:v>
      </x:c>
      <x:c r="S241" s="14" t="n">
        <x:v>0.32390156980818446</x:v>
      </x:c>
      <x:c r="T241" t="str">
        <x:v>평일집중·고매출밀도</x:v>
      </x:c>
      <x:c r="U241" s="16" t="n">
        <x:v>72.7549385370928</x:v>
      </x:c>
      <x:c r="V241" t="str">
        <x:v>조명용품</x:v>
      </x:c>
      <x:c r="W241" t="str">
        <x:v>조명용품 / 일반교습학원 / 일반의원</x:v>
      </x:c>
      <x:c r="X241" s="16" t="n">
        <x:v>68.0723490610124</x:v>
      </x:c>
    </x:row>
    <x:row r="242">
      <x:c r="A242" t="str">
        <x:v>3130115</x:v>
      </x:c>
      <x:c r="B242" t="str">
        <x:v>우림골목시장</x:v>
      </x:c>
      <x:c r="C242" t="str">
        <x:v>전통시장</x:v>
      </x:c>
      <x:c r="D242" t="str">
        <x:v>중랑구</x:v>
      </x:c>
      <x:c r="E242" t="str">
        <x:v>망우본동</x:v>
      </x:c>
      <x:c r="F242" s="12" t="n">
        <x:v>78310</x:v>
      </x:c>
      <x:c r="G242" s="12" t="n">
        <x:v>20467325059</x:v>
      </x:c>
      <x:c r="H242" s="12" t="n">
        <x:v>853590</x:v>
      </x:c>
      <x:c r="I242" s="12" t="n">
        <x:v>23977.934440422217</x:v>
      </x:c>
      <x:c r="J242" s="12" t="n">
        <x:v>261362.8535180692</x:v>
      </x:c>
      <x:c r="K242" s="12" t="n">
        <x:v>334</x:v>
      </x:c>
      <x:c r="L242" s="12" t="n">
        <x:v>42.65100242625463</x:v>
      </x:c>
      <x:c r="M242" s="12" t="n">
        <x:v>23</x:v>
      </x:c>
      <x:c r="N242" s="14" t="n">
        <x:v>0.7136231584682529</x:v>
      </x:c>
      <x:c r="O242" s="14" t="n">
        <x:v>0.28637684153174714</x:v>
      </x:c>
      <x:c r="P242" s="14" t="n">
        <x:v>0.31402022758092746</x:v>
      </x:c>
      <x:c r="Q242" s="14" t="n">
        <x:v>0.2766889884572288</x:v>
      </x:c>
      <x:c r="R242" s="14" t="n">
        <x:v>0.12868456041068438</x:v>
      </x:c>
      <x:c r="S242" s="14" t="n">
        <x:v>0.5248368971536155</x:v>
      </x:c>
      <x:c r="T242" t="str">
        <x:v>고매출밀도·여성소비</x:v>
      </x:c>
      <x:c r="U242" s="16" t="n">
        <x:v>67.55074571045954</x:v>
      </x:c>
      <x:c r="V242" t="str">
        <x:v>육류판매</x:v>
      </x:c>
      <x:c r="W242" t="str">
        <x:v>육류판매 / 청과상 / 일반의원</x:v>
      </x:c>
      <x:c r="X242" s="16" t="n">
        <x:v>64.2476685957918</x:v>
      </x:c>
    </x:row>
    <x:row r="243">
      <x:c r="A243" t="str">
        <x:v>3130072</x:v>
      </x:c>
      <x:c r="B243" t="str">
        <x:v>성동용답상가시장</x:v>
      </x:c>
      <x:c r="C243" t="str">
        <x:v>전통시장</x:v>
      </x:c>
      <x:c r="D243" t="str">
        <x:v>성동구</x:v>
      </x:c>
      <x:c r="E243" t="str">
        <x:v>용답동</x:v>
      </x:c>
      <x:c r="F243" s="12" t="n">
        <x:v>118065</x:v>
      </x:c>
      <x:c r="G243" s="12" t="n">
        <x:v>20464260273</x:v>
      </x:c>
      <x:c r="H243" s="12" t="n">
        <x:v>1133554</x:v>
      </x:c>
      <x:c r="I243" s="12" t="n">
        <x:v>18053.18517953269</x:v>
      </x:c>
      <x:c r="J243" s="12" t="n">
        <x:v>173330.45587600052</x:v>
      </x:c>
      <x:c r="K243" s="12" t="n">
        <x:v>453</x:v>
      </x:c>
      <x:c r="L243" s="12" t="n">
        <x:v>38.368695210265535</x:v>
      </x:c>
      <x:c r="M243" s="12" t="n">
        <x:v>30</x:v>
      </x:c>
      <x:c r="N243" s="14" t="n">
        <x:v>0.7578172082018065</x:v>
      </x:c>
      <x:c r="O243" s="14" t="n">
        <x:v>0.24218279179819344</x:v>
      </x:c>
      <x:c r="P243" s="14" t="n">
        <x:v>0.4059783594016059</x:v>
      </x:c>
      <x:c r="Q243" s="14" t="n">
        <x:v>0.2119984231105562</x:v>
      </x:c>
      <x:c r="R243" s="14" t="n">
        <x:v>0.26419194702743215</x:v>
      </x:c>
      <x:c r="S243" s="14" t="n">
        <x:v>0.42541392397584854</x:v>
      </x:c>
      <x:c r="T243" t="str">
        <x:v>고매출밀도·2030소비</x:v>
      </x:c>
      <x:c r="U243" s="16" t="n">
        <x:v>79.6735631903428</x:v>
      </x:c>
      <x:c r="V243" t="str">
        <x:v>인테리어</x:v>
      </x:c>
      <x:c r="W243" t="str">
        <x:v>인테리어 / 미용실 / 제과점</x:v>
      </x:c>
      <x:c r="X243" s="16" t="n">
        <x:v>72.69159286521274</x:v>
      </x:c>
    </x:row>
    <x:row r="244">
      <x:c r="A244" t="str">
        <x:v>3120211</x:v>
      </x:c>
      <x:c r="B244" t="str">
        <x:v>도성초등학교</x:v>
      </x:c>
      <x:c r="C244" t="str">
        <x:v>발달상권</x:v>
      </x:c>
      <x:c r="D244" t="str">
        <x:v>강남구</x:v>
      </x:c>
      <x:c r="E244" t="str">
        <x:v>대치4동</x:v>
      </x:c>
      <x:c r="F244" s="12" t="n">
        <x:v>72437</x:v>
      </x:c>
      <x:c r="G244" s="12" t="n">
        <x:v>20430515483</x:v>
      </x:c>
      <x:c r="H244" s="12" t="n">
        <x:v>544872</x:v>
      </x:c>
      <x:c r="I244" s="12" t="n">
        <x:v>37495.990770309356</x:v>
      </x:c>
      <x:c r="J244" s="12" t="n">
        <x:v>282045.30119966314</x:v>
      </x:c>
      <x:c r="K244" s="12" t="n">
        <x:v>4206</x:v>
      </x:c>
      <x:c r="L244" s="12" t="n">
        <x:v>580.6424893355605</x:v>
      </x:c>
      <x:c r="M244" s="12" t="n">
        <x:v>26</x:v>
      </x:c>
      <x:c r="N244" s="14" t="n">
        <x:v>0.7364910714328451</x:v>
      </x:c>
      <x:c r="O244" s="14" t="n">
        <x:v>0.26350892856715497</x:v>
      </x:c>
      <x:c r="P244" s="14" t="n">
        <x:v>0.40827662962986433</x:v>
      </x:c>
      <x:c r="Q244" s="14" t="n">
        <x:v>0.23813842357763088</x:v>
      </x:c>
      <x:c r="R244" s="14" t="n">
        <x:v>0.10376015885472506</x:v>
      </x:c>
      <x:c r="S244" s="14" t="n">
        <x:v>0.48933434035566475</x:v>
      </x:c>
      <x:c r="T244" t="str">
        <x:v>직장밀집·고매출밀도</x:v>
      </x:c>
      <x:c r="U244" s="16" t="n">
        <x:v>75.74418101122501</x:v>
      </x:c>
      <x:c r="V244" t="str">
        <x:v>예술학원</x:v>
      </x:c>
      <x:c r="W244" t="str">
        <x:v>예술학원 / 한식음식점 / 일반교습학원</x:v>
      </x:c>
      <x:c r="X244" s="16" t="n">
        <x:v>67.06579626999226</x:v>
      </x:c>
    </x:row>
    <x:row r="245">
      <x:c r="A245" t="str">
        <x:v>3130235</x:v>
      </x:c>
      <x:c r="B245" t="str">
        <x:v>대명여울빛거리시장(대명시장)</x:v>
      </x:c>
      <x:c r="C245" t="str">
        <x:v>전통시장</x:v>
      </x:c>
      <x:c r="D245" t="str">
        <x:v>금천구</x:v>
      </x:c>
      <x:c r="E245" t="str">
        <x:v>시흥1동</x:v>
      </x:c>
      <x:c r="F245" s="12" t="n">
        <x:v>51350</x:v>
      </x:c>
      <x:c r="G245" s="12" t="n">
        <x:v>20424530302</x:v>
      </x:c>
      <x:c r="H245" s="12" t="n">
        <x:v>673566</x:v>
      </x:c>
      <x:c r="I245" s="12" t="n">
        <x:v>30322.9829029375</x:v>
      </x:c>
      <x:c r="J245" s="12" t="n">
        <x:v>397751.32038948394</x:v>
      </x:c>
      <x:c r="K245" s="12" t="n">
        <x:v>727</x:v>
      </x:c>
      <x:c r="L245" s="12" t="n">
        <x:v>141.57740993184032</x:v>
      </x:c>
      <x:c r="M245" s="12" t="n">
        <x:v>19</x:v>
      </x:c>
      <x:c r="N245" s="14" t="n">
        <x:v>0.7709971715950797</x:v>
      </x:c>
      <x:c r="O245" s="14" t="n">
        <x:v>0.22900282840492026</x:v>
      </x:c>
      <x:c r="P245" s="14" t="n">
        <x:v>0.32256350562709746</x:v>
      </x:c>
      <x:c r="Q245" s="14" t="n">
        <x:v>0.24752450814033902</x:v>
      </x:c>
      <x:c r="R245" s="14" t="n">
        <x:v>0.22883990784073602</x:v>
      </x:c>
      <x:c r="S245" s="14" t="n">
        <x:v>0.5139167531295525</x:v>
      </x:c>
      <x:c r="T245" t="str">
        <x:v>고매출밀도·여성소비</x:v>
      </x:c>
      <x:c r="U245" s="16" t="n">
        <x:v>73.39864450610307</x:v>
      </x:c>
      <x:c r="V245" t="str">
        <x:v>의약품</x:v>
      </x:c>
      <x:c r="W245" t="str">
        <x:v>의약품 / 일반의류 / 청과상</x:v>
      </x:c>
      <x:c r="X245" s="16" t="n">
        <x:v>64.45079938838575</x:v>
      </x:c>
    </x:row>
    <x:row r="246">
      <x:c r="A246" t="str">
        <x:v>3111057</x:v>
      </x:c>
      <x:c r="B246" t="str">
        <x:v>천호공원(해공체육문화센터)</x:v>
      </x:c>
      <x:c r="C246" t="str">
        <x:v>골목상권</x:v>
      </x:c>
      <x:c r="D246" t="str">
        <x:v>강동구</x:v>
      </x:c>
      <x:c r="E246" t="str">
        <x:v>천호2동</x:v>
      </x:c>
      <x:c r="F246" s="12" t="n">
        <x:v>116161</x:v>
      </x:c>
      <x:c r="G246" s="12" t="n">
        <x:v>20396357285</x:v>
      </x:c>
      <x:c r="H246" s="12" t="n">
        <x:v>362210</x:v>
      </x:c>
      <x:c r="I246" s="12" t="n">
        <x:v>56310.86188951161</x:v>
      </x:c>
      <x:c r="J246" s="12" t="n">
        <x:v>175586.96365389417</x:v>
      </x:c>
      <x:c r="K246" s="12" t="n">
        <x:v>170</x:v>
      </x:c>
      <x:c r="L246" s="12" t="n">
        <x:v>14.634860237084736</x:v>
      </x:c>
      <x:c r="M246" s="12" t="n">
        <x:v>17</x:v>
      </x:c>
      <x:c r="N246" s="14" t="n">
        <x:v>0.9417830247623062</x:v>
      </x:c>
      <x:c r="O246" s="14" t="n">
        <x:v>0.05821697523769377</x:v>
      </x:c>
      <x:c r="P246" s="14" t="n">
        <x:v>0.07889893320232648</x:v>
      </x:c>
      <x:c r="Q246" s="14" t="n">
        <x:v>0.27005108843875597</x:v>
      </x:c>
      <x:c r="R246" s="14" t="n">
        <x:v>0.04319035966524549</x:v>
      </x:c>
      <x:c r="S246" s="14" t="n">
        <x:v>0.8004888734228701</x:v>
      </x:c>
      <x:c r="T246" t="str">
        <x:v>여성소비·평일집중</x:v>
      </x:c>
      <x:c r="U246" s="16" t="n">
        <x:v>59.428038660236815</x:v>
      </x:c>
      <x:c r="V246" t="str">
        <x:v>커피-음료</x:v>
      </x:c>
      <x:c r="W246" t="str">
        <x:v>커피-음료 / 의약품 / 슈퍼마켓</x:v>
      </x:c>
      <x:c r="X246" s="16" t="n">
        <x:v>53.45403755590422</x:v>
      </x:c>
    </x:row>
    <x:row r="247">
      <x:c r="A247" t="str">
        <x:v>3120054</x:v>
      </x:c>
      <x:c r="B247" t="str">
        <x:v>어린이대공원역</x:v>
      </x:c>
      <x:c r="C247" t="str">
        <x:v>발달상권</x:v>
      </x:c>
      <x:c r="D247" t="str">
        <x:v>광진구</x:v>
      </x:c>
      <x:c r="E247" t="str">
        <x:v>군자동</x:v>
      </x:c>
      <x:c r="F247" s="12" t="n">
        <x:v>145202</x:v>
      </x:c>
      <x:c r="G247" s="12" t="n">
        <x:v>20342280154</x:v>
      </x:c>
      <x:c r="H247" s="12" t="n">
        <x:v>1138775</x:v>
      </x:c>
      <x:c r="I247" s="12" t="n">
        <x:v>17863.300611622137</x:v>
      </x:c>
      <x:c r="J247" s="12" t="n">
        <x:v>140096.4184653104</x:v>
      </x:c>
      <x:c r="K247" s="12" t="n">
        <x:v>362</x:v>
      </x:c>
      <x:c r="L247" s="12" t="n">
        <x:v>24.930786077326758</x:v>
      </x:c>
      <x:c r="M247" s="12" t="n">
        <x:v>36</x:v>
      </x:c>
      <x:c r="N247" s="14" t="n">
        <x:v>0.7223453020880071</x:v>
      </x:c>
      <x:c r="O247" s="14" t="n">
        <x:v>0.277654697911993</x:v>
      </x:c>
      <x:c r="P247" s="14" t="n">
        <x:v>0.5323881551139904</x:v>
      </x:c>
      <x:c r="Q247" s="14" t="n">
        <x:v>0.19105137612785233</x:v>
      </x:c>
      <x:c r="R247" s="14" t="n">
        <x:v>0.4770469909240637</x:v>
      </x:c>
      <x:c r="S247" s="14" t="n">
        <x:v>0.420041995947039</x:v>
      </x:c>
      <x:c r="T247" t="str">
        <x:v>2030소비·야간활성</x:v>
      </x:c>
      <x:c r="U247" s="16" t="n">
        <x:v>73.38293536087711</x:v>
      </x:c>
      <x:c r="V247" t="str">
        <x:v>예술학원</x:v>
      </x:c>
      <x:c r="W247" t="str">
        <x:v>예술학원 / 패스트푸드점 / 미용실</x:v>
      </x:c>
      <x:c r="X247" s="16" t="n">
        <x:v>65.88580548375424</x:v>
      </x:c>
    </x:row>
    <x:row r="248">
      <x:c r="A248" t="str">
        <x:v>3130327</x:v>
      </x:c>
      <x:c r="B248" t="str">
        <x:v>평화시장(남평화시장, 제일평화시장, 신평화패션타운)</x:v>
      </x:c>
      <x:c r="C248" t="str">
        <x:v>전통시장</x:v>
      </x:c>
      <x:c r="D248" t="str">
        <x:v>중구</x:v>
      </x:c>
      <x:c r="E248" t="str">
        <x:v>신당동</x:v>
      </x:c>
      <x:c r="F248" s="12" t="n">
        <x:v>36213</x:v>
      </x:c>
      <x:c r="G248" s="12" t="n">
        <x:v>20285980909</x:v>
      </x:c>
      <x:c r="H248" s="12" t="n">
        <x:v>119450</x:v>
      </x:c>
      <x:c r="I248" s="12" t="n">
        <x:v>169828.2202511511</x:v>
      </x:c>
      <x:c r="J248" s="12" t="n">
        <x:v>560185.0415320465</x:v>
      </x:c>
      <x:c r="K248" s="12" t="n">
        <x:v>894</x:v>
      </x:c>
      <x:c r="L248" s="12" t="n">
        <x:v>246.87267003562258</x:v>
      </x:c>
      <x:c r="M248" s="12" t="n">
        <x:v>3</x:v>
      </x:c>
      <x:c r="N248" s="14" t="n">
        <x:v>0.8497377316051974</x:v>
      </x:c>
      <x:c r="O248" s="14" t="n">
        <x:v>0.1502622683948026</x:v>
      </x:c>
      <x:c r="P248" s="14" t="n">
        <x:v>0.2958874537014384</x:v>
      </x:c>
      <x:c r="Q248" s="14" t="n">
        <x:v>0.37373124568190924</x:v>
      </x:c>
      <x:c r="R248" s="14" t="n">
        <x:v>0.06049413506327184</x:v>
      </x:c>
      <x:c r="S248" s="14" t="n">
        <x:v>0.6763636969564891</x:v>
      </x:c>
      <x:c r="T248" t="str">
        <x:v>여성소비·고매출밀도</x:v>
      </x:c>
      <x:c r="U248" s="16" t="n">
        <x:v>62.817620499562885</x:v>
      </x:c>
      <x:c r="V248" t="str">
        <x:v>일반의류</x:v>
      </x:c>
      <x:c r="W248" t="str">
        <x:v>일반의류 / 신발 / 슈퍼마켓</x:v>
      </x:c>
      <x:c r="X248" s="16" t="n">
        <x:v>50.666944897965756</x:v>
      </x:c>
    </x:row>
    <x:row r="249">
      <x:c r="A249" t="str">
        <x:v>3130033</x:v>
      </x:c>
      <x:c r="B249" t="str">
        <x:v>대림상가(청계상가)</x:v>
      </x:c>
      <x:c r="C249" t="str">
        <x:v>전통시장</x:v>
      </x:c>
      <x:c r="D249" t="str">
        <x:v>중구</x:v>
      </x:c>
      <x:c r="E249" t="str">
        <x:v>을지로동</x:v>
      </x:c>
      <x:c r="F249" s="12" t="n">
        <x:v>11005</x:v>
      </x:c>
      <x:c r="G249" s="12" t="n">
        <x:v>20059670847</x:v>
      </x:c>
      <x:c r="H249" s="12" t="n">
        <x:v>167375</x:v>
      </x:c>
      <x:c r="I249" s="12" t="n">
        <x:v>119848.66824197162</x:v>
      </x:c>
      <x:c r="J249" s="12" t="n">
        <x:v>1822777.9052248977</x:v>
      </x:c>
      <x:c r="K249" s="12" t="n">
        <x:v>90</x:v>
      </x:c>
      <x:c r="L249" s="12" t="n">
        <x:v>81.78100863243981</x:v>
      </x:c>
      <x:c r="M249" s="12" t="n">
        <x:v>6</x:v>
      </x:c>
      <x:c r="N249" s="14" t="n">
        <x:v>0.9492648627805274</x:v>
      </x:c>
      <x:c r="O249" s="14" t="n">
        <x:v>0.05073513721947264</x:v>
      </x:c>
      <x:c r="P249" s="14" t="n">
        <x:v>0.05366719689525721</x:v>
      </x:c>
      <x:c r="Q249" s="14" t="n">
        <x:v>0.4263838009225935</x:v>
      </x:c>
      <x:c r="R249" s="14" t="n">
        <x:v>0.05181815977580981</x:v>
      </x:c>
      <x:c r="S249" s="14" t="n">
        <x:v>0.05532056589881492</x:v>
      </x:c>
      <x:c r="T249" t="str">
        <x:v>고매출밀도·평일집중</x:v>
      </x:c>
      <x:c r="U249" s="16" t="n">
        <x:v>60.296081811475645</x:v>
      </x:c>
      <x:c r="V249" t="str">
        <x:v>전자상거래업</x:v>
      </x:c>
      <x:c r="W249" t="str">
        <x:v>전자상거래업 / 조명용품 / 완구</x:v>
      </x:c>
      <x:c r="X249" s="16" t="n">
        <x:v>53.971966676708135</x:v>
      </x:c>
    </x:row>
    <x:row r="250">
      <x:c r="A250" t="str">
        <x:v>3120018</x:v>
      </x:c>
      <x:c r="B250" t="str">
        <x:v>중림동</x:v>
      </x:c>
      <x:c r="C250" t="str">
        <x:v>발달상권</x:v>
      </x:c>
      <x:c r="D250" t="str">
        <x:v>중구</x:v>
      </x:c>
      <x:c r="E250" t="str">
        <x:v>중림동</x:v>
      </x:c>
      <x:c r="F250" s="12" t="n">
        <x:v>144683</x:v>
      </x:c>
      <x:c r="G250" s="12" t="n">
        <x:v>20052485881</x:v>
      </x:c>
      <x:c r="H250" s="12" t="n">
        <x:v>600675</x:v>
      </x:c>
      <x:c r="I250" s="12" t="n">
        <x:v>33383.25364132018</x:v>
      </x:c>
      <x:c r="J250" s="12" t="n">
        <x:v>138596.00561918123</x:v>
      </x:c>
      <x:c r="K250" s="12" t="n">
        <x:v>4265</x:v>
      </x:c>
      <x:c r="L250" s="12" t="n">
        <x:v>294.7823863204385</x:v>
      </x:c>
      <x:c r="M250" s="12" t="n">
        <x:v>25</x:v>
      </x:c>
      <x:c r="N250" s="14" t="n">
        <x:v>0.8663208876990207</x:v>
      </x:c>
      <x:c r="O250" s="14" t="n">
        <x:v>0.13367911230097926</x:v>
      </x:c>
      <x:c r="P250" s="14" t="n">
        <x:v>0.31760345020536657</x:v>
      </x:c>
      <x:c r="Q250" s="14" t="n">
        <x:v>0.35006494479825234</x:v>
      </x:c>
      <x:c r="R250" s="14" t="n">
        <x:v>0.1996490444505602</x:v>
      </x:c>
      <x:c r="S250" s="14" t="n">
        <x:v>0.29726798654166325</x:v>
      </x:c>
      <x:c r="T250" t="str">
        <x:v>평일집중·직장밀집</x:v>
      </x:c>
      <x:c r="U250" s="16" t="n">
        <x:v>81.01714225130945</x:v>
      </x:c>
      <x:c r="V250" t="str">
        <x:v>화초</x:v>
      </x:c>
      <x:c r="W250" t="str">
        <x:v>화초 / 반찬가게 / 한식음식점</x:v>
      </x:c>
      <x:c r="X250" s="16" t="n">
        <x:v>73.93729480153122</x:v>
      </x:c>
    </x:row>
    <x:row r="251">
      <x:c r="A251" t="str">
        <x:v>3110788</x:v>
      </x:c>
      <x:c r="B251" t="str">
        <x:v>영등포시장역 3번</x:v>
      </x:c>
      <x:c r="C251" t="str">
        <x:v>골목상권</x:v>
      </x:c>
      <x:c r="D251" t="str">
        <x:v>영등포구</x:v>
      </x:c>
      <x:c r="E251" t="str">
        <x:v>영등포동</x:v>
      </x:c>
      <x:c r="F251" s="12" t="n">
        <x:v>10464</x:v>
      </x:c>
      <x:c r="G251" s="12" t="n">
        <x:v>19643457286</x:v>
      </x:c>
      <x:c r="H251" s="12" t="n">
        <x:v>752052</x:v>
      </x:c>
      <x:c r="I251" s="12" t="n">
        <x:v>26119.812574130512</x:v>
      </x:c>
      <x:c r="J251" s="12" t="n">
        <x:v>1877241.7131116209</x:v>
      </x:c>
      <x:c r="K251" s="12" t="n">
        <x:v>82</x:v>
      </x:c>
      <x:c r="L251" s="12" t="n">
        <x:v>78.36391437308868</x:v>
      </x:c>
      <x:c r="M251" s="12" t="n">
        <x:v>2</x:v>
      </x:c>
      <x:c r="N251" s="14" t="n">
        <x:v>0.7599914256254615</x:v>
      </x:c>
      <x:c r="O251" s="14" t="n">
        <x:v>0.24000857437453843</x:v>
      </x:c>
      <x:c r="P251" s="14" t="n">
        <x:v>0.18283823400882365</x:v>
      </x:c>
      <x:c r="Q251" s="14" t="n">
        <x:v>0.22017270498927996</x:v>
      </x:c>
      <x:c r="R251" s="14" t="n">
        <x:v>0.1456815306661695</x:v>
      </x:c>
      <x:c r="S251" s="14" t="n">
        <x:v>0.3442873988796271</x:v>
      </x:c>
      <x:c r="T251" t="str">
        <x:v>고매출밀도</x:v>
      </x:c>
      <x:c r="U251" s="16" t="n">
        <x:v>59.087897088449495</x:v>
      </x:c>
      <x:c r="V251" t="str">
        <x:v>반찬가게</x:v>
      </x:c>
      <x:c r="W251" t="str">
        <x:v>반찬가게 / 한식음식점</x:v>
      </x:c>
      <x:c r="X251" s="16" t="n">
        <x:v>38.06472520693922</x:v>
      </x:c>
    </x:row>
    <x:row r="252">
      <x:c r="A252" t="str">
        <x:v>3130255</x:v>
      </x:c>
      <x:c r="B252" t="str">
        <x:v>영등포전통시장</x:v>
      </x:c>
      <x:c r="C252" t="str">
        <x:v>전통시장</x:v>
      </x:c>
      <x:c r="D252" t="str">
        <x:v>영등포구</x:v>
      </x:c>
      <x:c r="E252" t="str">
        <x:v>영등포동</x:v>
      </x:c>
      <x:c r="F252" s="12" t="n">
        <x:v>55174</x:v>
      </x:c>
      <x:c r="G252" s="12" t="n">
        <x:v>19421824032</x:v>
      </x:c>
      <x:c r="H252" s="12" t="n">
        <x:v>532000</x:v>
      </x:c>
      <x:c r="I252" s="12" t="n">
        <x:v>36507.18803007519</x:v>
      </x:c>
      <x:c r="J252" s="12" t="n">
        <x:v>352010.44027984195</x:v>
      </x:c>
      <x:c r="K252" s="12" t="n">
        <x:v>221</x:v>
      </x:c>
      <x:c r="L252" s="12" t="n">
        <x:v>40.05509841592054</x:v>
      </x:c>
      <x:c r="M252" s="12" t="n">
        <x:v>7</x:v>
      </x:c>
      <x:c r="N252" s="14" t="n">
        <x:v>0.8179039021683584</x:v>
      </x:c>
      <x:c r="O252" s="14" t="n">
        <x:v>0.1820960978316416</x:v>
      </x:c>
      <x:c r="P252" s="14" t="n">
        <x:v>0.10006865878291364</x:v>
      </x:c>
      <x:c r="Q252" s="14" t="n">
        <x:v>0.22717067535626614</x:v>
      </x:c>
      <x:c r="R252" s="14" t="n">
        <x:v>0.04247684360854784</x:v>
      </x:c>
      <x:c r="S252" s="14" t="n">
        <x:v>0.595572623402502</x:v>
      </x:c>
      <x:c r="T252" t="str">
        <x:v>여성소비·고매출밀도</x:v>
      </x:c>
      <x:c r="U252" s="16" t="n">
        <x:v>70.59938585321947</x:v>
      </x:c>
      <x:c r="V252" t="str">
        <x:v>육류판매</x:v>
      </x:c>
      <x:c r="W252" t="str">
        <x:v>육류판매 / 반찬가게 / 인테리어</x:v>
      </x:c>
      <x:c r="X252" s="16" t="n">
        <x:v>55.82033383629967</x:v>
      </x:c>
    </x:row>
    <x:row r="253">
      <x:c r="A253" t="str">
        <x:v>3120124</x:v>
      </x:c>
      <x:c r="B253" t="str">
        <x:v>개봉동 현대아파트</x:v>
      </x:c>
      <x:c r="C253" t="str">
        <x:v>발달상권</x:v>
      </x:c>
      <x:c r="D253" t="str">
        <x:v>구로구</x:v>
      </x:c>
      <x:c r="E253" t="str">
        <x:v>개봉3동</x:v>
      </x:c>
      <x:c r="F253" s="12" t="n">
        <x:v>150870</x:v>
      </x:c>
      <x:c r="G253" s="12" t="n">
        <x:v>19071628702</x:v>
      </x:c>
      <x:c r="H253" s="12" t="n">
        <x:v>708232</x:v>
      </x:c>
      <x:c r="I253" s="12" t="n">
        <x:v>26928.504645370445</x:v>
      </x:c>
      <x:c r="J253" s="12" t="n">
        <x:v>126411.0075031484</x:v>
      </x:c>
      <x:c r="K253" s="12" t="n">
        <x:v>3301</x:v>
      </x:c>
      <x:c r="L253" s="12" t="n">
        <x:v>218.79764035262147</x:v>
      </x:c>
      <x:c r="M253" s="12" t="n">
        <x:v>36</x:v>
      </x:c>
      <x:c r="N253" s="14" t="n">
        <x:v>0.7488405780206029</x:v>
      </x:c>
      <x:c r="O253" s="14" t="n">
        <x:v>0.2511594219793971</x:v>
      </x:c>
      <x:c r="P253" s="14" t="n">
        <x:v>0.3713843969842613</x:v>
      </x:c>
      <x:c r="Q253" s="14" t="n">
        <x:v>0.24668354709037688</x:v>
      </x:c>
      <x:c r="R253" s="14" t="n">
        <x:v>0.15886706522774668</x:v>
      </x:c>
      <x:c r="S253" s="14" t="n">
        <x:v>0.4778645588902573</x:v>
      </x:c>
      <x:c r="T253" t="str">
        <x:v>직장밀집·고매출밀도</x:v>
      </x:c>
      <x:c r="U253" s="16" t="n">
        <x:v>75.4265032662349</x:v>
      </x:c>
      <x:c r="V253" t="str">
        <x:v>의약품</x:v>
      </x:c>
      <x:c r="W253" t="str">
        <x:v>의약품 / 핸드폰 / 인테리어</x:v>
      </x:c>
      <x:c r="X253" s="16" t="n">
        <x:v>74.17132124314749</x:v>
      </x:c>
    </x:row>
    <x:row r="254">
      <x:c r="A254" t="str">
        <x:v>3120242</x:v>
      </x:c>
      <x:c r="B254" t="str">
        <x:v>강동구청역</x:v>
      </x:c>
      <x:c r="C254" t="str">
        <x:v>발달상권</x:v>
      </x:c>
      <x:c r="D254" t="str">
        <x:v>강동구</x:v>
      </x:c>
      <x:c r="E254" t="str">
        <x:v>성내1동</x:v>
      </x:c>
      <x:c r="F254" s="12" t="n">
        <x:v>205710</x:v>
      </x:c>
      <x:c r="G254" s="12" t="n">
        <x:v>18992724977</x:v>
      </x:c>
      <x:c r="H254" s="12" t="n">
        <x:v>608606</x:v>
      </x:c>
      <x:c r="I254" s="12" t="n">
        <x:v>31206.930225794684</x:v>
      </x:c>
      <x:c r="J254" s="12" t="n">
        <x:v>92327.66990909533</x:v>
      </x:c>
      <x:c r="K254" s="12" t="n">
        <x:v>8831</x:v>
      </x:c>
      <x:c r="L254" s="12" t="n">
        <x:v>429.29366584026053</x:v>
      </x:c>
      <x:c r="M254" s="12" t="n">
        <x:v>33</x:v>
      </x:c>
      <x:c r="N254" s="14" t="n">
        <x:v>0.7673059984624659</x:v>
      </x:c>
      <x:c r="O254" s="14" t="n">
        <x:v>0.23269400153753408</x:v>
      </x:c>
      <x:c r="P254" s="14" t="n">
        <x:v>0.37698881901732073</x:v>
      </x:c>
      <x:c r="Q254" s="14" t="n">
        <x:v>0.3282079071091053</x:v>
      </x:c>
      <x:c r="R254" s="14" t="n">
        <x:v>0.2261862408476026</x:v>
      </x:c>
      <x:c r="S254" s="14" t="n">
        <x:v>0.34618370797040576</x:v>
      </x:c>
      <x:c r="T254" t="str">
        <x:v>직장밀집·고매출밀도</x:v>
      </x:c>
      <x:c r="U254" s="16" t="n">
        <x:v>72.03754077517108</x:v>
      </x:c>
      <x:c r="V254" t="str">
        <x:v>일반의류</x:v>
      </x:c>
      <x:c r="W254" t="str">
        <x:v>일반의류 / 분식전문점 / 커피-음료</x:v>
      </x:c>
      <x:c r="X254" s="16" t="n">
        <x:v>68.70749181653375</x:v>
      </x:c>
    </x:row>
    <x:row r="255">
      <x:c r="A255" t="str">
        <x:v>3111077</x:v>
      </x:c>
      <x:c r="B255" t="str">
        <x:v>길동주민센터(강동도서관)</x:v>
      </x:c>
      <x:c r="C255" t="str">
        <x:v>골목상권</x:v>
      </x:c>
      <x:c r="D255" t="str">
        <x:v>강동구</x:v>
      </x:c>
      <x:c r="E255" t="str">
        <x:v>길동</x:v>
      </x:c>
      <x:c r="F255" s="12" t="n">
        <x:v>247203</x:v>
      </x:c>
      <x:c r="G255" s="12" t="n">
        <x:v>18918945538</x:v>
      </x:c>
      <x:c r="H255" s="12" t="n">
        <x:v>788101</x:v>
      </x:c>
      <x:c r="I255" s="12" t="n">
        <x:v>24005.7372570267</x:v>
      </x:c>
      <x:c r="J255" s="12" t="n">
        <x:v>76532.02241882178</x:v>
      </x:c>
      <x:c r="K255" s="12" t="n">
        <x:v>1820</x:v>
      </x:c>
      <x:c r="L255" s="12" t="n">
        <x:v>73.62370197772681</x:v>
      </x:c>
      <x:c r="M255" s="12" t="n">
        <x:v>33</x:v>
      </x:c>
      <x:c r="N255" s="14" t="n">
        <x:v>0.7502474389754227</x:v>
      </x:c>
      <x:c r="O255" s="14" t="n">
        <x:v>0.24975256102457732</x:v>
      </x:c>
      <x:c r="P255" s="14" t="n">
        <x:v>0.28299578283822213</x:v>
      </x:c>
      <x:c r="Q255" s="14" t="n">
        <x:v>0.28321344999053405</x:v>
      </x:c>
      <x:c r="R255" s="14" t="n">
        <x:v>0.10196229536817646</x:v>
      </x:c>
      <x:c r="S255" s="14" t="n">
        <x:v>0.5212864546383473</x:v>
      </x:c>
      <x:c r="T255" t="str">
        <x:v>여성소비·고매출밀도</x:v>
      </x:c>
      <x:c r="U255" s="16" t="n">
        <x:v>69.28806290907838</x:v>
      </x:c>
      <x:c r="V255" t="str">
        <x:v>육류판매</x:v>
      </x:c>
      <x:c r="W255" t="str">
        <x:v>육류판매 / 슈퍼마켓 / 청과상</x:v>
      </x:c>
      <x:c r="X255" s="16" t="n">
        <x:v>59.78879087175992</x:v>
      </x:c>
    </x:row>
    <x:row r="256">
      <x:c r="A256" t="str">
        <x:v>3130219</x:v>
      </x:c>
      <x:c r="B256" t="str">
        <x:v>까치산시장</x:v>
      </x:c>
      <x:c r="C256" t="str">
        <x:v>전통시장</x:v>
      </x:c>
      <x:c r="D256" t="str">
        <x:v>강서구</x:v>
      </x:c>
      <x:c r="E256" t="str">
        <x:v>화곡8동</x:v>
      </x:c>
      <x:c r="F256" s="12" t="n">
        <x:v>39544</x:v>
      </x:c>
      <x:c r="G256" s="12" t="n">
        <x:v>18878748058</x:v>
      </x:c>
      <x:c r="H256" s="12" t="n">
        <x:v>1046266</x:v>
      </x:c>
      <x:c r="I256" s="12" t="n">
        <x:v>18043.927699074615</x:v>
      </x:c>
      <x:c r="J256" s="12" t="n">
        <x:v>477411.189004653</x:v>
      </x:c>
      <x:c r="K256" s="12" t="n">
        <x:v>519</x:v>
      </x:c>
      <x:c r="L256" s="12" t="n">
        <x:v>131.24620675703014</x:v>
      </x:c>
      <x:c r="M256" s="12" t="n">
        <x:v>23</x:v>
      </x:c>
      <x:c r="N256" s="14" t="n">
        <x:v>0.7796959293475201</x:v>
      </x:c>
      <x:c r="O256" s="14" t="n">
        <x:v>0.22030407065247992</x:v>
      </x:c>
      <x:c r="P256" s="14" t="n">
        <x:v>0.32181226346868386</x:v>
      </x:c>
      <x:c r="Q256" s="14" t="n">
        <x:v>0.27039635876897194</x:v>
      </x:c>
      <x:c r="R256" s="14" t="n">
        <x:v>0.2288425429338393</x:v>
      </x:c>
      <x:c r="S256" s="14" t="n">
        <x:v>0.5813402356598153</x:v>
      </x:c>
      <x:c r="T256" t="str">
        <x:v>고매출밀도·여성소비</x:v>
      </x:c>
      <x:c r="U256" s="16" t="n">
        <x:v>79.40029639411985</x:v>
      </x:c>
      <x:c r="V256" t="str">
        <x:v>일반의원</x:v>
      </x:c>
      <x:c r="W256" t="str">
        <x:v>일반의원 / 일반의류 / 의약품</x:v>
      </x:c>
      <x:c r="X256" s="16" t="n">
        <x:v>72.55677602663526</x:v>
      </x:c>
    </x:row>
    <x:row r="257">
      <x:c r="A257" t="str">
        <x:v>3130002</x:v>
      </x:c>
      <x:c r="B257" t="str">
        <x:v>세종마을음식문화거리(금천교시장)</x:v>
      </x:c>
      <x:c r="C257" t="str">
        <x:v>전통시장</x:v>
      </x:c>
      <x:c r="D257" t="str">
        <x:v>종로구</x:v>
      </x:c>
      <x:c r="E257" t="str">
        <x:v>사직동</x:v>
      </x:c>
      <x:c r="F257" s="12" t="n">
        <x:v>49557</x:v>
      </x:c>
      <x:c r="G257" s="12" t="n">
        <x:v>18785899584</x:v>
      </x:c>
      <x:c r="H257" s="12" t="n">
        <x:v>642959</x:v>
      </x:c>
      <x:c r="I257" s="12" t="n">
        <x:v>29217.881053068704</x:v>
      </x:c>
      <x:c r="J257" s="12" t="n">
        <x:v>379076.61044857436</x:v>
      </x:c>
      <x:c r="K257" s="12" t="n">
        <x:v>746</x:v>
      </x:c>
      <x:c r="L257" s="12" t="n">
        <x:v>150.53372883750026</x:v>
      </x:c>
      <x:c r="M257" s="12" t="n">
        <x:v>19</x:v>
      </x:c>
      <x:c r="N257" s="14" t="n">
        <x:v>0.6805710136388218</x:v>
      </x:c>
      <x:c r="O257" s="14" t="n">
        <x:v>0.3194289863611782</x:v>
      </x:c>
      <x:c r="P257" s="14" t="n">
        <x:v>0.5268829819270474</x:v>
      </x:c>
      <x:c r="Q257" s="14" t="n">
        <x:v>0.21382074651464292</x:v>
      </x:c>
      <x:c r="R257" s="14" t="n">
        <x:v>0.37688239103705834</x:v>
      </x:c>
      <x:c r="S257" s="14" t="n">
        <x:v>0.45254399817194296</x:v>
      </x:c>
      <x:c r="T257" t="str">
        <x:v>고매출밀도·2030소비</x:v>
      </x:c>
      <x:c r="U257" s="16" t="n">
        <x:v>70.15164953216905</x:v>
      </x:c>
      <x:c r="V257" t="str">
        <x:v>일반교습학원</x:v>
      </x:c>
      <x:c r="W257" t="str">
        <x:v>일반교습학원 / 피부관리실 / 제과점</x:v>
      </x:c>
      <x:c r="X257" s="16" t="n">
        <x:v>67.38729182325086</x:v>
      </x:c>
    </x:row>
    <x:row r="258">
      <x:c r="A258" t="str">
        <x:v>3110431</x:v>
      </x:c>
      <x:c r="B258" t="str">
        <x:v>상계역</x:v>
      </x:c>
      <x:c r="C258" t="str">
        <x:v>골목상권</x:v>
      </x:c>
      <x:c r="D258" t="str">
        <x:v>노원구</x:v>
      </x:c>
      <x:c r="E258" t="str">
        <x:v>중계4동</x:v>
      </x:c>
      <x:c r="F258" s="12" t="n">
        <x:v>55707</x:v>
      </x:c>
      <x:c r="G258" s="12" t="n">
        <x:v>18731943495</x:v>
      </x:c>
      <x:c r="H258" s="12" t="n">
        <x:v>962841</x:v>
      </x:c>
      <x:c r="I258" s="12" t="n">
        <x:v>19454.866893910832</x:v>
      </x:c>
      <x:c r="J258" s="12" t="n">
        <x:v>336258.34266788734</x:v>
      </x:c>
      <x:c r="K258" s="12" t="n">
        <x:v>627</x:v>
      </x:c>
      <x:c r="L258" s="12" t="n">
        <x:v>112.55318003123486</x:v>
      </x:c>
      <x:c r="M258" s="12" t="n">
        <x:v>27</x:v>
      </x:c>
      <x:c r="N258" s="14" t="n">
        <x:v>0.7136605646695605</x:v>
      </x:c>
      <x:c r="O258" s="14" t="n">
        <x:v>0.28633943533043954</x:v>
      </x:c>
      <x:c r="P258" s="14" t="n">
        <x:v>0.4853100003438805</x:v>
      </x:c>
      <x:c r="Q258" s="14" t="n">
        <x:v>0.20953241034747205</x:v>
      </x:c>
      <x:c r="R258" s="14" t="n">
        <x:v>0.21321662154629514</x:v>
      </x:c>
      <x:c r="S258" s="14" t="n">
        <x:v>0.4370060651840547</x:v>
      </x:c>
      <x:c r="T258" t="str">
        <x:v>고매출밀도·야간활성</x:v>
      </x:c>
      <x:c r="U258" s="16" t="n">
        <x:v>77.93972313698778</x:v>
      </x:c>
      <x:c r="V258" t="str">
        <x:v>제과점</x:v>
      </x:c>
      <x:c r="W258" t="str">
        <x:v>제과점 / 일반의류 / 화초</x:v>
      </x:c>
      <x:c r="X258" s="16" t="n">
        <x:v>71.77410915449909</x:v>
      </x:c>
    </x:row>
    <x:row r="259">
      <x:c r="A259" t="str">
        <x:v>3120064</x:v>
      </x:c>
      <x:c r="B259" t="str">
        <x:v>경희대학교(경희대)</x:v>
      </x:c>
      <x:c r="C259" t="str">
        <x:v>발달상권</x:v>
      </x:c>
      <x:c r="D259" t="str">
        <x:v>동대문구</x:v>
      </x:c>
      <x:c r="E259" t="str">
        <x:v>회기동</x:v>
      </x:c>
      <x:c r="F259" s="12" t="n">
        <x:v>48567</x:v>
      </x:c>
      <x:c r="G259" s="12" t="n">
        <x:v>18715302406</x:v>
      </x:c>
      <x:c r="H259" s="12" t="n">
        <x:v>1198269</x:v>
      </x:c>
      <x:c r="I259" s="12" t="n">
        <x:v>15618.615190745984</x:v>
      </x:c>
      <x:c r="J259" s="12" t="n">
        <x:v>385350.18440504867</x:v>
      </x:c>
      <x:c r="K259" s="12" t="n">
        <x:v>33</x:v>
      </x:c>
      <x:c r="L259" s="12" t="n">
        <x:v>6.794737167212304</x:v>
      </x:c>
      <x:c r="M259" s="12" t="n">
        <x:v>20</x:v>
      </x:c>
      <x:c r="N259" s="14" t="n">
        <x:v>0.7924154394238111</x:v>
      </x:c>
      <x:c r="O259" s="14" t="n">
        <x:v>0.20758456057618885</x:v>
      </x:c>
      <x:c r="P259" s="14" t="n">
        <x:v>0.34174465377324237</x:v>
      </x:c>
      <x:c r="Q259" s="14" t="n">
        <x:v>0.28660045018991503</x:v>
      </x:c>
      <x:c r="R259" s="14" t="n">
        <x:v>0.424900636788567</x:v>
      </x:c>
      <x:c r="S259" s="14" t="n">
        <x:v>0.4427138954668302</x:v>
      </x:c>
      <x:c r="T259" t="str">
        <x:v>고매출밀도·2030소비</x:v>
      </x:c>
      <x:c r="U259" s="16" t="n">
        <x:v>72.09892395383663</x:v>
      </x:c>
      <x:c r="V259" t="str">
        <x:v>의약품</x:v>
      </x:c>
      <x:c r="W259" t="str">
        <x:v>의약품 / 미용실 / 당구장</x:v>
      </x:c>
      <x:c r="X259" s="16" t="n">
        <x:v>63.949757885204974</x:v>
      </x:c>
    </x:row>
    <x:row r="260">
      <x:c r="A260" t="str">
        <x:v>3130208</x:v>
      </x:c>
      <x:c r="B260" t="str">
        <x:v>목동깨비시장(목3동시장)</x:v>
      </x:c>
      <x:c r="C260" t="str">
        <x:v>전통시장</x:v>
      </x:c>
      <x:c r="D260" t="str">
        <x:v>양천구</x:v>
      </x:c>
      <x:c r="E260" t="str">
        <x:v>목3동</x:v>
      </x:c>
      <x:c r="F260" s="12" t="n">
        <x:v>52508</x:v>
      </x:c>
      <x:c r="G260" s="12" t="n">
        <x:v>18674946691</x:v>
      </x:c>
      <x:c r="H260" s="12" t="n">
        <x:v>876046</x:v>
      </x:c>
      <x:c r="I260" s="12" t="n">
        <x:v>21317.312893386876</x:v>
      </x:c>
      <x:c r="J260" s="12" t="n">
        <x:v>355659.0746362459</x:v>
      </x:c>
      <x:c r="K260" s="12" t="n">
        <x:v>465</x:v>
      </x:c>
      <x:c r="L260" s="12" t="n">
        <x:v>88.55793402910032</x:v>
      </x:c>
      <x:c r="M260" s="12" t="n">
        <x:v>29</x:v>
      </x:c>
      <x:c r="N260" s="14" t="n">
        <x:v>0.7335980441969552</x:v>
      </x:c>
      <x:c r="O260" s="14" t="n">
        <x:v>0.2664019558030448</x:v>
      </x:c>
      <x:c r="P260" s="14" t="n">
        <x:v>0.3059481962941042</x:v>
      </x:c>
      <x:c r="Q260" s="14" t="n">
        <x:v>0.2652136782477094</x:v>
      </x:c>
      <x:c r="R260" s="14" t="n">
        <x:v>0.15977588345341745</x:v>
      </x:c>
      <x:c r="S260" s="14" t="n">
        <x:v>0.5531235316445702</x:v>
      </x:c>
      <x:c r="T260" t="str">
        <x:v>고매출밀도·여성소비</x:v>
      </x:c>
      <x:c r="U260" s="16" t="n">
        <x:v>77.09261087258552</x:v>
      </x:c>
      <x:c r="V260" t="str">
        <x:v>육류판매</x:v>
      </x:c>
      <x:c r="W260" t="str">
        <x:v>육류판매 / 수산물판매 / 한식음식점</x:v>
      </x:c>
      <x:c r="X260" s="16" t="n">
        <x:v>71.62623961045539</x:v>
      </x:c>
    </x:row>
    <x:row r="261">
      <x:c r="A261" t="str">
        <x:v>3110660</x:v>
      </x:c>
      <x:c r="B261" t="str">
        <x:v>등촌3동주민센터</x:v>
      </x:c>
      <x:c r="C261" t="str">
        <x:v>골목상권</x:v>
      </x:c>
      <x:c r="D261" t="str">
        <x:v>강서구</x:v>
      </x:c>
      <x:c r="E261" t="str">
        <x:v>등촌3동</x:v>
      </x:c>
      <x:c r="F261" s="12" t="n">
        <x:v>151533</x:v>
      </x:c>
      <x:c r="G261" s="12" t="n">
        <x:v>18517359590</x:v>
      </x:c>
      <x:c r="H261" s="12" t="n">
        <x:v>692019</x:v>
      </x:c>
      <x:c r="I261" s="12" t="n">
        <x:v>26758.455461482994</x:v>
      </x:c>
      <x:c r="J261" s="12" t="n">
        <x:v>122200.1781130183</x:v>
      </x:c>
      <x:c r="K261" s="12" t="n">
        <x:v>4819</x:v>
      </x:c>
      <x:c r="L261" s="12" t="n">
        <x:v>318.0165376518646</x:v>
      </x:c>
      <x:c r="M261" s="12" t="n">
        <x:v>37</x:v>
      </x:c>
      <x:c r="N261" s="14" t="n">
        <x:v>0.8191239468175171</x:v>
      </x:c>
      <x:c r="O261" s="14" t="n">
        <x:v>0.18087605318248293</x:v>
      </x:c>
      <x:c r="P261" s="14" t="n">
        <x:v>0.29892102494943235</x:v>
      </x:c>
      <x:c r="Q261" s="14" t="n">
        <x:v>0.2203284492138547</x:v>
      </x:c>
      <x:c r="R261" s="14" t="n">
        <x:v>0.16757029596572195</x:v>
      </x:c>
      <x:c r="S261" s="14" t="n">
        <x:v>0.526151162407707</x:v>
      </x:c>
      <x:c r="T261" t="str">
        <x:v>직장밀집·여성소비</x:v>
      </x:c>
      <x:c r="U261" s="16" t="n">
        <x:v>75.28959397340155</x:v>
      </x:c>
      <x:c r="V261" t="str">
        <x:v>당구장</x:v>
      </x:c>
      <x:c r="W261" t="str">
        <x:v>당구장 / 예술학원 / 서적</x:v>
      </x:c>
      <x:c r="X261" s="16" t="n">
        <x:v>69.91809219959406</x:v>
      </x:c>
    </x:row>
    <x:row r="262">
      <x:c r="A262" t="str">
        <x:v>3130214</x:v>
      </x:c>
      <x:c r="B262" t="str">
        <x:v>송화벽화시장(송화골목시장)</x:v>
      </x:c>
      <x:c r="C262" t="str">
        <x:v>전통시장</x:v>
      </x:c>
      <x:c r="D262" t="str">
        <x:v>강서구</x:v>
      </x:c>
      <x:c r="E262" t="str">
        <x:v>발산1동</x:v>
      </x:c>
      <x:c r="F262" s="12" t="n">
        <x:v>30423</x:v>
      </x:c>
      <x:c r="G262" s="12" t="n">
        <x:v>18512401968</x:v>
      </x:c>
      <x:c r="H262" s="12" t="n">
        <x:v>977435</x:v>
      </x:c>
      <x:c r="I262" s="12" t="n">
        <x:v>18939.778059922144</x:v>
      </x:c>
      <x:c r="J262" s="12" t="n">
        <x:v>608500.2126023074</x:v>
      </x:c>
      <x:c r="K262" s="12" t="n">
        <x:v>244</x:v>
      </x:c>
      <x:c r="L262" s="12" t="n">
        <x:v>80.20247838806166</x:v>
      </x:c>
      <x:c r="M262" s="12" t="n">
        <x:v>24</x:v>
      </x:c>
      <x:c r="N262" s="14" t="n">
        <x:v>0.765695194254222</x:v>
      </x:c>
      <x:c r="O262" s="14" t="n">
        <x:v>0.23430480574577808</x:v>
      </x:c>
      <x:c r="P262" s="14" t="n">
        <x:v>0.28407544802076007</x:v>
      </x:c>
      <x:c r="Q262" s="14" t="n">
        <x:v>0.2886545776845677</x:v>
      </x:c>
      <x:c r="R262" s="14" t="n">
        <x:v>0.13896864790679225</x:v>
      </x:c>
      <x:c r="S262" s="14" t="n">
        <x:v>0.5604326580599236</x:v>
      </x:c>
      <x:c r="T262" t="str">
        <x:v>고매출밀도·여성소비</x:v>
      </x:c>
      <x:c r="U262" s="16" t="n">
        <x:v>71.1241101026479</x:v>
      </x:c>
      <x:c r="V262" t="str">
        <x:v>육류판매</x:v>
      </x:c>
      <x:c r="W262" t="str">
        <x:v>육류판매 / 일반의원 / 일반의류</x:v>
      </x:c>
      <x:c r="X262" s="16" t="n">
        <x:v>64.11662949995255</x:v>
      </x:c>
    </x:row>
    <x:row r="263">
      <x:c r="A263" t="str">
        <x:v>3120020</x:v>
      </x:c>
      <x:c r="B263" t="str">
        <x:v>시청역_1번</x:v>
      </x:c>
      <x:c r="C263" t="str">
        <x:v>발달상권</x:v>
      </x:c>
      <x:c r="D263" t="str">
        <x:v>중구</x:v>
      </x:c>
      <x:c r="E263" t="str">
        <x:v>소공동</x:v>
      </x:c>
      <x:c r="F263" s="12" t="n">
        <x:v>58426</x:v>
      </x:c>
      <x:c r="G263" s="12" t="n">
        <x:v>18509572447</x:v>
      </x:c>
      <x:c r="H263" s="12" t="n">
        <x:v>836737</x:v>
      </x:c>
      <x:c r="I263" s="12" t="n">
        <x:v>22121.13537109032</x:v>
      </x:c>
      <x:c r="J263" s="12" t="n">
        <x:v>316803.69094238867</x:v>
      </x:c>
      <x:c r="K263" s="12" t="n">
        <x:v>5078</x:v>
      </x:c>
      <x:c r="L263" s="12" t="n">
        <x:v>869.1336049019272</x:v>
      </x:c>
      <x:c r="M263" s="12" t="n">
        <x:v>13</x:v>
      </x:c>
      <x:c r="N263" s="14" t="n">
        <x:v>0.8958779604165106</x:v>
      </x:c>
      <x:c r="O263" s="14" t="n">
        <x:v>0.10412203958348946</x:v>
      </x:c>
      <x:c r="P263" s="14" t="n">
        <x:v>0.2526448768273918</x:v>
      </x:c>
      <x:c r="Q263" s="14" t="n">
        <x:v>0.4610494166969885</x:v>
      </x:c>
      <x:c r="R263" s="14" t="n">
        <x:v>0.21385920276303183</x:v>
      </x:c>
      <x:c r="S263" s="14" t="n">
        <x:v>0.2921473692319912</x:v>
      </x:c>
      <x:c r="T263" t="str">
        <x:v>직장밀집·평일집중</x:v>
      </x:c>
      <x:c r="U263" s="16" t="n">
        <x:v>65.8311924662241</x:v>
      </x:c>
      <x:c r="V263" t="str">
        <x:v>한식음식점</x:v>
      </x:c>
      <x:c r="W263" t="str">
        <x:v>한식음식점 / 분식전문점 / 슈퍼마켓</x:v>
      </x:c>
      <x:c r="X263" s="16" t="n">
        <x:v>64.7924948772065</x:v>
      </x:c>
    </x:row>
    <x:row r="264">
      <x:c r="A264" t="str">
        <x:v>3120099</x:v>
      </x:c>
      <x:c r="B264" t="str">
        <x:v>월드컵경기장역(월드컵경기장)</x:v>
      </x:c>
      <x:c r="C264" t="str">
        <x:v>발달상권</x:v>
      </x:c>
      <x:c r="D264" t="str">
        <x:v>마포구</x:v>
      </x:c>
      <x:c r="E264" t="str">
        <x:v>성산2동</x:v>
      </x:c>
      <x:c r="F264" s="12" t="n">
        <x:v>269851</x:v>
      </x:c>
      <x:c r="G264" s="12" t="n">
        <x:v>18451874686</x:v>
      </x:c>
      <x:c r="H264" s="12" t="n">
        <x:v>573064</x:v>
      </x:c>
      <x:c r="I264" s="12" t="n">
        <x:v>32198.628226515713</x:v>
      </x:c>
      <x:c r="J264" s="12" t="n">
        <x:v>68378.01114689217</x:v>
      </x:c>
      <x:c r="K264" s="12"/>
      <x:c r="L264" s="12"/>
      <x:c r="M264" s="12" t="n">
        <x:v>8</x:v>
      </x:c>
      <x:c r="N264" s="14" t="n">
        <x:v>0.6043825692931546</x:v>
      </x:c>
      <x:c r="O264" s="14" t="n">
        <x:v>0.3956174307068454</x:v>
      </x:c>
      <x:c r="P264" s="14" t="n">
        <x:v>0.39815162426688944</x:v>
      </x:c>
      <x:c r="Q264" s="14" t="n">
        <x:v>0.26132440551737224</x:v>
      </x:c>
      <x:c r="R264" s="14" t="n">
        <x:v>0.24184732841188558</x:v>
      </x:c>
      <x:c r="S264" s="14" t="n">
        <x:v>0.5843335853662972</x:v>
      </x:c>
      <x:c r="T264" t="str">
        <x:v>여성소비·2030소비</x:v>
      </x:c>
      <x:c r="U264" s="16" t="n">
        <x:v>74.29681048196608</x:v>
      </x:c>
      <x:c r="V264" t="str">
        <x:v>일반의류</x:v>
      </x:c>
      <x:c r="W264" t="str">
        <x:v>일반의류 / 커피-음료 / 한식음식점</x:v>
      </x:c>
      <x:c r="X264" s="16" t="n">
        <x:v>65.03172160169424</x:v>
      </x:c>
    </x:row>
    <x:row r="265">
      <x:c r="A265" t="str">
        <x:v>3120158</x:v>
      </x:c>
      <x:c r="B265" t="str">
        <x:v>녹두거리(대학동)</x:v>
      </x:c>
      <x:c r="C265" t="str">
        <x:v>발달상권</x:v>
      </x:c>
      <x:c r="D265" t="str">
        <x:v>관악구</x:v>
      </x:c>
      <x:c r="E265" t="str">
        <x:v>대학동</x:v>
      </x:c>
      <x:c r="F265" s="12" t="n">
        <x:v>117372</x:v>
      </x:c>
      <x:c r="G265" s="12" t="n">
        <x:v>18382386177</x:v>
      </x:c>
      <x:c r="H265" s="12" t="n">
        <x:v>1270463</x:v>
      </x:c>
      <x:c r="I265" s="12" t="n">
        <x:v>14469.044889146713</x:v>
      </x:c>
      <x:c r="J265" s="12" t="n">
        <x:v>156616.4517687353</x:v>
      </x:c>
      <x:c r="K265" s="12" t="n">
        <x:v>395</x:v>
      </x:c>
      <x:c r="L265" s="12" t="n">
        <x:v>33.653682309239</x:v>
      </x:c>
      <x:c r="M265" s="12" t="n">
        <x:v>31</x:v>
      </x:c>
      <x:c r="N265" s="14" t="n">
        <x:v>0.7571072027859727</x:v>
      </x:c>
      <x:c r="O265" s="14" t="n">
        <x:v>0.24289279721402732</x:v>
      </x:c>
      <x:c r="P265" s="14" t="n">
        <x:v>0.3891772142699883</x:v>
      </x:c>
      <x:c r="Q265" s="14" t="n">
        <x:v>0.24916591436485086</x:v>
      </x:c>
      <x:c r="R265" s="14" t="n">
        <x:v>0.40830551059747766</x:v>
      </x:c>
      <x:c r="S265" s="14" t="n">
        <x:v>0.4111499435506609</x:v>
      </x:c>
      <x:c r="T265" t="str">
        <x:v>2030소비·고매출밀도</x:v>
      </x:c>
      <x:c r="U265" s="16" t="n">
        <x:v>69.17412642056495</x:v>
      </x:c>
      <x:c r="V265" t="str">
        <x:v>제과점</x:v>
      </x:c>
      <x:c r="W265" t="str">
        <x:v>제과점 / 화초 / 네일숍</x:v>
      </x:c>
      <x:c r="X265" s="16" t="n">
        <x:v>67.51849665520831</x:v>
      </x:c>
    </x:row>
    <x:row r="266">
      <x:c r="A266" t="str">
        <x:v>3130313</x:v>
      </x:c>
      <x:c r="B266" t="str">
        <x:v>방이시장</x:v>
      </x:c>
      <x:c r="C266" t="str">
        <x:v>전통시장</x:v>
      </x:c>
      <x:c r="D266" t="str">
        <x:v>송파구</x:v>
      </x:c>
      <x:c r="E266" t="str">
        <x:v>방이2동</x:v>
      </x:c>
      <x:c r="F266" s="12" t="n">
        <x:v>143645</x:v>
      </x:c>
      <x:c r="G266" s="12" t="n">
        <x:v>18309890927</x:v>
      </x:c>
      <x:c r="H266" s="12" t="n">
        <x:v>876767</x:v>
      </x:c>
      <x:c r="I266" s="12" t="n">
        <x:v>20883.41706177354</x:v>
      </x:c>
      <x:c r="J266" s="12" t="n">
        <x:v>127466.26006474295</x:v>
      </x:c>
      <x:c r="K266" s="12" t="n">
        <x:v>3965</x:v>
      </x:c>
      <x:c r="L266" s="12" t="n">
        <x:v>276.02770719482055</x:v>
      </x:c>
      <x:c r="M266" s="12" t="n">
        <x:v>37</x:v>
      </x:c>
      <x:c r="N266" s="14" t="n">
        <x:v>0.7479162220899013</x:v>
      </x:c>
      <x:c r="O266" s="14" t="n">
        <x:v>0.2520837779100987</x:v>
      </x:c>
      <x:c r="P266" s="14" t="n">
        <x:v>0.35738948998054837</x:v>
      </x:c>
      <x:c r="Q266" s="14" t="n">
        <x:v>0.27149023054363275</x:v>
      </x:c>
      <x:c r="R266" s="14" t="n">
        <x:v>0.26230192993219026</x:v>
      </x:c>
      <x:c r="S266" s="14" t="n">
        <x:v>0.4995904880848338</x:v>
      </x:c>
      <x:c r="T266" t="str">
        <x:v>직장밀집·여성소비</x:v>
      </x:c>
      <x:c r="U266" s="16" t="n">
        <x:v>74.90269704647191</x:v>
      </x:c>
      <x:c r="V266" t="str">
        <x:v>일반의원</x:v>
      </x:c>
      <x:c r="W266" t="str">
        <x:v>일반의원 / 일반의류 / 수산물판매</x:v>
      </x:c>
      <x:c r="X266" s="16" t="n">
        <x:v>65.85554982855278</x:v>
      </x:c>
    </x:row>
    <x:row r="267">
      <x:c r="A267" t="str">
        <x:v>3111006</x:v>
      </x:c>
      <x:c r="B267" t="str">
        <x:v>석촌고분역 1번</x:v>
      </x:c>
      <x:c r="C267" t="str">
        <x:v>골목상권</x:v>
      </x:c>
      <x:c r="D267" t="str">
        <x:v>송파구</x:v>
      </x:c>
      <x:c r="E267" t="str">
        <x:v>삼전동</x:v>
      </x:c>
      <x:c r="F267" s="12" t="n">
        <x:v>182032</x:v>
      </x:c>
      <x:c r="G267" s="12" t="n">
        <x:v>18034350604</x:v>
      </x:c>
      <x:c r="H267" s="12" t="n">
        <x:v>537674</x:v>
      </x:c>
      <x:c r="I267" s="12" t="n">
        <x:v>33541.422133114116</x:v>
      </x:c>
      <x:c r="J267" s="12" t="n">
        <x:v>99072.41915707129</x:v>
      </x:c>
      <x:c r="K267" s="12" t="n">
        <x:v>1249</x:v>
      </x:c>
      <x:c r="L267" s="12" t="n">
        <x:v>68.6143095719434</x:v>
      </x:c>
      <x:c r="M267" s="12" t="n">
        <x:v>28</x:v>
      </x:c>
      <x:c r="N267" s="14" t="n">
        <x:v>0.7306711143830882</x:v>
      </x:c>
      <x:c r="O267" s="14" t="n">
        <x:v>0.26932888561691176</x:v>
      </x:c>
      <x:c r="P267" s="14" t="n">
        <x:v>0.43066620249011545</x:v>
      </x:c>
      <x:c r="Q267" s="14" t="n">
        <x:v>0.18297403341310797</x:v>
      </x:c>
      <x:c r="R267" s="14" t="n">
        <x:v>0.20026156390676766</x:v>
      </x:c>
      <x:c r="S267" s="14" t="n">
        <x:v>0.5237472556347558</x:v>
      </x:c>
      <x:c r="T267" t="str">
        <x:v>여성소비·고매출밀도</x:v>
      </x:c>
      <x:c r="U267" s="16" t="n">
        <x:v>70.1808216737955</x:v>
      </x:c>
      <x:c r="V267" t="str">
        <x:v>슈퍼마켓</x:v>
      </x:c>
      <x:c r="W267" t="str">
        <x:v>슈퍼마켓 / 미용실 / 스포츠 강습</x:v>
      </x:c>
      <x:c r="X267" s="16" t="n">
        <x:v>66.45543838224202</x:v>
      </x:c>
    </x:row>
    <x:row r="268">
      <x:c r="A268" t="str">
        <x:v>3130320</x:v>
      </x:c>
      <x:c r="B268" t="str">
        <x:v>암사종합시장</x:v>
      </x:c>
      <x:c r="C268" t="str">
        <x:v>전통시장</x:v>
      </x:c>
      <x:c r="D268" t="str">
        <x:v>강동구</x:v>
      </x:c>
      <x:c r="E268" t="str">
        <x:v>암사1동</x:v>
      </x:c>
      <x:c r="F268" s="12" t="n">
        <x:v>37201</x:v>
      </x:c>
      <x:c r="G268" s="12" t="n">
        <x:v>18018722843</x:v>
      </x:c>
      <x:c r="H268" s="12" t="n">
        <x:v>893558</x:v>
      </x:c>
      <x:c r="I268" s="12" t="n">
        <x:v>20165.14075527274</x:v>
      </x:c>
      <x:c r="J268" s="12" t="n">
        <x:v>484361.2495094218</x:v>
      </x:c>
      <x:c r="K268" s="12" t="n">
        <x:v>989</x:v>
      </x:c>
      <x:c r="L268" s="12" t="n">
        <x:v>265.85306846590146</x:v>
      </x:c>
      <x:c r="M268" s="12" t="n">
        <x:v>20</x:v>
      </x:c>
      <x:c r="N268" s="14" t="n">
        <x:v>0.6818251161331768</x:v>
      </x:c>
      <x:c r="O268" s="14" t="n">
        <x:v>0.31817488386682324</x:v>
      </x:c>
      <x:c r="P268" s="14" t="n">
        <x:v>0.29610536398659004</x:v>
      </x:c>
      <x:c r="Q268" s="14" t="n">
        <x:v>0.2486140226492411</x:v>
      </x:c>
      <x:c r="R268" s="14" t="n">
        <x:v>0.12602563521210824</x:v>
      </x:c>
      <x:c r="S268" s="14" t="n">
        <x:v>0.5591092954134519</x:v>
      </x:c>
      <x:c r="T268" t="str">
        <x:v>고매출밀도·여성소비</x:v>
      </x:c>
      <x:c r="U268" s="16" t="n">
        <x:v>76.71145605597148</x:v>
      </x:c>
      <x:c r="V268" t="str">
        <x:v>의료기기</x:v>
      </x:c>
      <x:c r="W268" t="str">
        <x:v>의료기기 / 일반의류 / 반찬가게</x:v>
      </x:c>
      <x:c r="X268" s="16" t="n">
        <x:v>72.34472430380421</x:v>
      </x:c>
    </x:row>
    <x:row r="269">
      <x:c r="A269" t="str">
        <x:v>3111003</x:v>
      </x:c>
      <x:c r="B269" t="str">
        <x:v>삼전역 4번</x:v>
      </x:c>
      <x:c r="C269" t="str">
        <x:v>골목상권</x:v>
      </x:c>
      <x:c r="D269" t="str">
        <x:v>송파구</x:v>
      </x:c>
      <x:c r="E269" t="str">
        <x:v>잠실본동</x:v>
      </x:c>
      <x:c r="F269" s="12" t="n">
        <x:v>272855</x:v>
      </x:c>
      <x:c r="G269" s="12" t="n">
        <x:v>17884642912</x:v>
      </x:c>
      <x:c r="H269" s="12" t="n">
        <x:v>687760</x:v>
      </x:c>
      <x:c r="I269" s="12" t="n">
        <x:v>26004.191741305105</x:v>
      </x:c>
      <x:c r="J269" s="12" t="n">
        <x:v>65546.32648109802</x:v>
      </x:c>
      <x:c r="K269" s="12" t="n">
        <x:v>2463</x:v>
      </x:c>
      <x:c r="L269" s="12" t="n">
        <x:v>90.26772461563834</x:v>
      </x:c>
      <x:c r="M269" s="12" t="n">
        <x:v>33</x:v>
      </x:c>
      <x:c r="N269" s="14" t="n">
        <x:v>0.7852300903126916</x:v>
      </x:c>
      <x:c r="O269" s="14" t="n">
        <x:v>0.21476990968730839</x:v>
      </x:c>
      <x:c r="P269" s="14" t="n">
        <x:v>0.30298978373027075</x:v>
      </x:c>
      <x:c r="Q269" s="14" t="n">
        <x:v>0.27004770409810236</x:v>
      </x:c>
      <x:c r="R269" s="14" t="n">
        <x:v>0.21861559373805628</x:v>
      </x:c>
      <x:c r="S269" s="14" t="n">
        <x:v>0.3793937449233205</x:v>
      </x:c>
      <x:c r="T269" t="str">
        <x:v>평일집중·고매출밀도</x:v>
      </x:c>
      <x:c r="U269" s="16" t="n">
        <x:v>75.77074562639622</x:v>
      </x:c>
      <x:c r="V269" t="str">
        <x:v>자동차미용</x:v>
      </x:c>
      <x:c r="W269" t="str">
        <x:v>자동차미용 / 일반의원 / 스포츠클럽</x:v>
      </x:c>
      <x:c r="X269" s="16" t="n">
        <x:v>66.74300692600839</x:v>
      </x:c>
    </x:row>
    <x:row r="270">
      <x:c r="A270" t="str">
        <x:v>3120005</x:v>
      </x:c>
      <x:c r="B270" t="str">
        <x:v>삼청동</x:v>
      </x:c>
      <x:c r="C270" t="str">
        <x:v>발달상권</x:v>
      </x:c>
      <x:c r="D270" t="str">
        <x:v>종로구</x:v>
      </x:c>
      <x:c r="E270" t="str">
        <x:v>삼청동</x:v>
      </x:c>
      <x:c r="F270" s="12" t="n">
        <x:v>251643</x:v>
      </x:c>
      <x:c r="G270" s="12" t="n">
        <x:v>17822367436</x:v>
      </x:c>
      <x:c r="H270" s="12" t="n">
        <x:v>581589</x:v>
      </x:c>
      <x:c r="I270" s="12" t="n">
        <x:v>30644.264998134422</x:v>
      </x:c>
      <x:c r="J270" s="12" t="n">
        <x:v>70824.01432187663</x:v>
      </x:c>
      <x:c r="K270" s="12" t="n">
        <x:v>3310</x:v>
      </x:c>
      <x:c r="L270" s="12" t="n">
        <x:v>131.53554837607246</x:v>
      </x:c>
      <x:c r="M270" s="12" t="n">
        <x:v>14</x:v>
      </x:c>
      <x:c r="N270" s="14" t="n">
        <x:v>0.6308624200109887</x:v>
      </x:c>
      <x:c r="O270" s="14" t="n">
        <x:v>0.3691375799890113</x:v>
      </x:c>
      <x:c r="P270" s="14" t="n">
        <x:v>0.2779297489958898</x:v>
      </x:c>
      <x:c r="Q270" s="14" t="n">
        <x:v>0.38214775503071946</x:v>
      </x:c>
      <x:c r="R270" s="14" t="n">
        <x:v>0.3166309888551217</x:v>
      </x:c>
      <x:c r="S270" s="14" t="n">
        <x:v>0.5023195255708003</x:v>
      </x:c>
      <x:c r="T270" t="str">
        <x:v>2030소비·여성소비</x:v>
      </x:c>
      <x:c r="U270" s="16" t="n">
        <x:v>72.81033161040055</x:v>
      </x:c>
      <x:c r="V270" t="str">
        <x:v>한식음식점</x:v>
      </x:c>
      <x:c r="W270" t="str">
        <x:v>한식음식점 / 제과점 / 양식음식점</x:v>
      </x:c>
      <x:c r="X270" s="16" t="n">
        <x:v>66.65790406660531</x:v>
      </x:c>
    </x:row>
    <x:row r="271">
      <x:c r="A271" t="str">
        <x:v>3130010</x:v>
      </x:c>
      <x:c r="B271" t="str">
        <x:v>종로신진시장</x:v>
      </x:c>
      <x:c r="C271" t="str">
        <x:v>전통시장</x:v>
      </x:c>
      <x:c r="D271" t="str">
        <x:v>종로구</x:v>
      </x:c>
      <x:c r="E271" t="str">
        <x:v>종로5·6가동</x:v>
      </x:c>
      <x:c r="F271" s="12" t="n">
        <x:v>45117</x:v>
      </x:c>
      <x:c r="G271" s="12" t="n">
        <x:v>17816313870</x:v>
      </x:c>
      <x:c r="H271" s="12" t="n">
        <x:v>319295</x:v>
      </x:c>
      <x:c r="I271" s="12" t="n">
        <x:v>55798.91282356442</x:v>
      </x:c>
      <x:c r="J271" s="12" t="n">
        <x:v>394891.36844205065</x:v>
      </x:c>
      <x:c r="K271" s="12" t="n">
        <x:v>2692</x:v>
      </x:c>
      <x:c r="L271" s="12" t="n">
        <x:v>596.6708779395793</x:v>
      </x:c>
      <x:c r="M271" s="12" t="n">
        <x:v>17</x:v>
      </x:c>
      <x:c r="N271" s="14" t="n">
        <x:v>0.7043944457069671</x:v>
      </x:c>
      <x:c r="O271" s="14" t="n">
        <x:v>0.29560555429303287</x:v>
      </x:c>
      <x:c r="P271" s="14" t="n">
        <x:v>0.292078406901124</x:v>
      </x:c>
      <x:c r="Q271" s="14" t="n">
        <x:v>0.30940645305324316</x:v>
      </x:c>
      <x:c r="R271" s="14" t="n">
        <x:v>0.16149697193227547</x:v>
      </x:c>
      <x:c r="S271" s="14" t="n">
        <x:v>0.4411412402334378</x:v>
      </x:c>
      <x:c r="T271" t="str">
        <x:v>직장밀집·고매출밀도</x:v>
      </x:c>
      <x:c r="U271" s="16" t="n">
        <x:v>70.45509249048114</x:v>
      </x:c>
      <x:c r="V271" t="str">
        <x:v>당구장</x:v>
      </x:c>
      <x:c r="W271" t="str">
        <x:v>당구장 / 운동/경기용품 / 일반의류</x:v>
      </x:c>
      <x:c r="X271" s="16" t="n">
        <x:v>64.70049159854418</x:v>
      </x:c>
    </x:row>
    <x:row r="272">
      <x:c r="A272" t="str">
        <x:v>3110415</x:v>
      </x:c>
      <x:c r="B272" t="str">
        <x:v>수락산역 4번</x:v>
      </x:c>
      <x:c r="C272" t="str">
        <x:v>골목상권</x:v>
      </x:c>
      <x:c r="D272" t="str">
        <x:v>노원구</x:v>
      </x:c>
      <x:c r="E272" t="str">
        <x:v>상계1동</x:v>
      </x:c>
      <x:c r="F272" s="12" t="n">
        <x:v>197508</x:v>
      </x:c>
      <x:c r="G272" s="12" t="n">
        <x:v>17813963607</x:v>
      </x:c>
      <x:c r="H272" s="12" t="n">
        <x:v>885357</x:v>
      </x:c>
      <x:c r="I272" s="12" t="n">
        <x:v>20120.655969286967</x:v>
      </x:c>
      <x:c r="J272" s="12" t="n">
        <x:v>90193.63067318792</x:v>
      </x:c>
      <x:c r="K272" s="12" t="n">
        <x:v>1942</x:v>
      </x:c>
      <x:c r="L272" s="12" t="n">
        <x:v>98.32513113392876</x:v>
      </x:c>
      <x:c r="M272" s="12" t="n">
        <x:v>36</x:v>
      </x:c>
      <x:c r="N272" s="14" t="n">
        <x:v>0.7568098376883587</x:v>
      </x:c>
      <x:c r="O272" s="14" t="n">
        <x:v>0.24319016231164123</x:v>
      </x:c>
      <x:c r="P272" s="14" t="n">
        <x:v>0.31877237162248345</x:v>
      </x:c>
      <x:c r="Q272" s="14" t="n">
        <x:v>0.27823715419808875</x:v>
      </x:c>
      <x:c r="R272" s="14" t="n">
        <x:v>0.20240331273513867</x:v>
      </x:c>
      <x:c r="S272" s="14" t="n">
        <x:v>0.4778594980768336</x:v>
      </x:c>
      <x:c r="T272" t="str">
        <x:v>여성소비·고매출밀도</x:v>
      </x:c>
      <x:c r="U272" s="16" t="n">
        <x:v>71.73282073298161</x:v>
      </x:c>
      <x:c r="V272" t="str">
        <x:v>일반의원</x:v>
      </x:c>
      <x:c r="W272" t="str">
        <x:v>일반의원 / 안경 / 철물점</x:v>
      </x:c>
      <x:c r="X272" s="16" t="n">
        <x:v>68.75893748079395</x:v>
      </x:c>
    </x:row>
    <x:row r="273">
      <x:c r="A273" t="str">
        <x:v>3111032</x:v>
      </x:c>
      <x:c r="B273" t="str">
        <x:v>방이역 1번</x:v>
      </x:c>
      <x:c r="C273" t="str">
        <x:v>골목상권</x:v>
      </x:c>
      <x:c r="D273" t="str">
        <x:v>송파구</x:v>
      </x:c>
      <x:c r="E273" t="str">
        <x:v>오금동</x:v>
      </x:c>
      <x:c r="F273" s="12" t="n">
        <x:v>77913</x:v>
      </x:c>
      <x:c r="G273" s="12" t="n">
        <x:v>17792741048</x:v>
      </x:c>
      <x:c r="H273" s="12" t="n">
        <x:v>200487</x:v>
      </x:c>
      <x:c r="I273" s="12" t="n">
        <x:v>88747.6048222578</x:v>
      </x:c>
      <x:c r="J273" s="12" t="n">
        <x:v>228366.78151271289</x:v>
      </x:c>
      <x:c r="K273" s="12" t="n">
        <x:v>5922</x:v>
      </x:c>
      <x:c r="L273" s="12" t="n">
        <x:v>760.0785491509761</x:v>
      </x:c>
      <x:c r="M273" s="12" t="n">
        <x:v>24</x:v>
      </x:c>
      <x:c r="N273" s="14" t="n">
        <x:v>0.8536488009365649</x:v>
      </x:c>
      <x:c r="O273" s="14" t="n">
        <x:v>0.14635119906343505</x:v>
      </x:c>
      <x:c r="P273" s="14" t="n">
        <x:v>0.3549726295662548</x:v>
      </x:c>
      <x:c r="Q273" s="14" t="n">
        <x:v>0.14402743832929862</x:v>
      </x:c>
      <x:c r="R273" s="14" t="n">
        <x:v>0.08594602432950554</x:v>
      </x:c>
      <x:c r="S273" s="14" t="n">
        <x:v>0.6221736441920706</x:v>
      </x:c>
      <x:c r="T273" t="str">
        <x:v>여성소비·직장밀집</x:v>
      </x:c>
      <x:c r="U273" s="16" t="n">
        <x:v>75.08421459172499</x:v>
      </x:c>
      <x:c r="V273" t="str">
        <x:v>분식전문점</x:v>
      </x:c>
      <x:c r="W273" t="str">
        <x:v>분식전문점 / 피부관리실 / 반찬가게</x:v>
      </x:c>
      <x:c r="X273" s="16" t="n">
        <x:v>68.97248882280356</x:v>
      </x:c>
    </x:row>
    <x:row r="274">
      <x:c r="A274" t="str">
        <x:v>3120239</x:v>
      </x:c>
      <x:c r="B274" t="str">
        <x:v>오금역</x:v>
      </x:c>
      <x:c r="C274" t="str">
        <x:v>발달상권</x:v>
      </x:c>
      <x:c r="D274" t="str">
        <x:v>송파구</x:v>
      </x:c>
      <x:c r="E274" t="str">
        <x:v>가락본동</x:v>
      </x:c>
      <x:c r="F274" s="12" t="n">
        <x:v>151650</x:v>
      </x:c>
      <x:c r="G274" s="12" t="n">
        <x:v>17765939030</x:v>
      </x:c>
      <x:c r="H274" s="12" t="n">
        <x:v>387440</x:v>
      </x:c>
      <x:c r="I274" s="12" t="n">
        <x:v>45854.68467375594</x:v>
      </x:c>
      <x:c r="J274" s="12" t="n">
        <x:v>117150.93326739201</x:v>
      </x:c>
      <x:c r="K274" s="12" t="n">
        <x:v>8853</x:v>
      </x:c>
      <x:c r="L274" s="12" t="n">
        <x:v>583.7784371909</x:v>
      </x:c>
      <x:c r="M274" s="12" t="n">
        <x:v>21</x:v>
      </x:c>
      <x:c r="N274" s="14" t="n">
        <x:v>0.8894549262674127</x:v>
      </x:c>
      <x:c r="O274" s="14" t="n">
        <x:v>0.11054507373258728</x:v>
      </x:c>
      <x:c r="P274" s="14" t="n">
        <x:v>0.23214107568622</x:v>
      </x:c>
      <x:c r="Q274" s="14" t="n">
        <x:v>0.2780530615723947</x:v>
      </x:c>
      <x:c r="R274" s="14" t="n">
        <x:v>0.13101206122961687</x:v>
      </x:c>
      <x:c r="S274" s="14" t="n">
        <x:v>0.5967473855503825</x:v>
      </x:c>
      <x:c r="T274" t="str">
        <x:v>평일집중·여성소비</x:v>
      </x:c>
      <x:c r="U274" s="16" t="n">
        <x:v>71.76097033007834</x:v>
      </x:c>
      <x:c r="V274" t="str">
        <x:v>자동차수리</x:v>
      </x:c>
      <x:c r="W274" t="str">
        <x:v>자동차수리 / 의료기기 / 가전제품수리</x:v>
      </x:c>
      <x:c r="X274" s="16" t="n">
        <x:v>66.61278596691345</x:v>
      </x:c>
    </x:row>
    <x:row r="275">
      <x:c r="A275" t="str">
        <x:v>3130095</x:v>
      </x:c>
      <x:c r="B275" t="str">
        <x:v>청량리전통시장</x:v>
      </x:c>
      <x:c r="C275" t="str">
        <x:v>전통시장</x:v>
      </x:c>
      <x:c r="D275" t="str">
        <x:v>동대문구</x:v>
      </x:c>
      <x:c r="E275" t="str">
        <x:v>제기동</x:v>
      </x:c>
      <x:c r="F275" s="12" t="n">
        <x:v>30889</x:v>
      </x:c>
      <x:c r="G275" s="12" t="n">
        <x:v>17633759039</x:v>
      </x:c>
      <x:c r="H275" s="12" t="n">
        <x:v>664109</x:v>
      </x:c>
      <x:c r="I275" s="12" t="n">
        <x:v>26552.5072525745</x:v>
      </x:c>
      <x:c r="J275" s="12" t="n">
        <x:v>570875.0376833177</x:v>
      </x:c>
      <x:c r="K275" s="12" t="n">
        <x:v>274</x:v>
      </x:c>
      <x:c r="L275" s="12" t="n">
        <x:v>88.7047168895076</x:v>
      </x:c>
      <x:c r="M275" s="12" t="n">
        <x:v>16</x:v>
      </x:c>
      <x:c r="N275" s="14" t="n">
        <x:v>0.7556839518181192</x:v>
      </x:c>
      <x:c r="O275" s="14" t="n">
        <x:v>0.2443160481818808</x:v>
      </x:c>
      <x:c r="P275" s="14" t="n">
        <x:v>0.25054250481867435</x:v>
      </x:c>
      <x:c r="Q275" s="14" t="n">
        <x:v>0.23872112161053557</x:v>
      </x:c>
      <x:c r="R275" s="14" t="n">
        <x:v>0.11730326678646184</x:v>
      </x:c>
      <x:c r="S275" s="14" t="n">
        <x:v>0.38643286090782564</x:v>
      </x:c>
      <x:c r="T275" t="str">
        <x:v>고매출밀도·직장밀집</x:v>
      </x:c>
      <x:c r="U275" s="16" t="n">
        <x:v>64.87038778985512</x:v>
      </x:c>
      <x:c r="V275" t="str">
        <x:v>청과상</x:v>
      </x:c>
      <x:c r="W275" t="str">
        <x:v>청과상 / 편의점 / 일반의원</x:v>
      </x:c>
      <x:c r="X275" s="16" t="n">
        <x:v>59.725255293783164</x:v>
      </x:c>
    </x:row>
    <x:row r="276">
      <x:c r="A276" t="str">
        <x:v>3130148</x:v>
      </x:c>
      <x:c r="B276" t="str">
        <x:v>방학동도깨비시장</x:v>
      </x:c>
      <x:c r="C276" t="str">
        <x:v>전통시장</x:v>
      </x:c>
      <x:c r="D276" t="str">
        <x:v>도봉구</x:v>
      </x:c>
      <x:c r="E276" t="str">
        <x:v>방학2동</x:v>
      </x:c>
      <x:c r="F276" s="12" t="n">
        <x:v>42546</x:v>
      </x:c>
      <x:c r="G276" s="12" t="n">
        <x:v>17470159902</x:v>
      </x:c>
      <x:c r="H276" s="12" t="n">
        <x:v>881159</x:v>
      </x:c>
      <x:c r="I276" s="12" t="n">
        <x:v>19826.342240163238</x:v>
      </x:c>
      <x:c r="J276" s="12" t="n">
        <x:v>410618.1521647158</x:v>
      </x:c>
      <x:c r="K276" s="12" t="n">
        <x:v>107</x:v>
      </x:c>
      <x:c r="L276" s="12" t="n">
        <x:v>25.149250223287737</x:v>
      </x:c>
      <x:c r="M276" s="12" t="n">
        <x:v>18</x:v>
      </x:c>
      <x:c r="N276" s="14" t="n">
        <x:v>0.6987530107610803</x:v>
      </x:c>
      <x:c r="O276" s="14" t="n">
        <x:v>0.3012469892389197</x:v>
      </x:c>
      <x:c r="P276" s="14" t="n">
        <x:v>0.22346065439006535</x:v>
      </x:c>
      <x:c r="Q276" s="14" t="n">
        <x:v>0.2802512089451166</x:v>
      </x:c>
      <x:c r="R276" s="14" t="n">
        <x:v>0.07793927838314299</x:v>
      </x:c>
      <x:c r="S276" s="14" t="n">
        <x:v>0.5845077485427586</x:v>
      </x:c>
      <x:c r="T276" t="str">
        <x:v>고매출밀도·여성소비</x:v>
      </x:c>
      <x:c r="U276" s="16" t="n">
        <x:v>69.91585081878156</x:v>
      </x:c>
      <x:c r="V276" t="str">
        <x:v>분식전문점</x:v>
      </x:c>
      <x:c r="W276" t="str">
        <x:v>분식전문점 / 육류판매 / 커피-음료</x:v>
      </x:c>
      <x:c r="X276" s="16" t="n">
        <x:v>66.43932264899374</x:v>
      </x:c>
    </x:row>
    <x:row r="277">
      <x:c r="A277" t="str">
        <x:v>3110895</x:v>
      </x:c>
      <x:c r="B277" t="str">
        <x:v>샤로수길</x:v>
      </x:c>
      <x:c r="C277" t="str">
        <x:v>골목상권</x:v>
      </x:c>
      <x:c r="D277" t="str">
        <x:v>관악구</x:v>
      </x:c>
      <x:c r="E277" t="str">
        <x:v>낙성대동</x:v>
      </x:c>
      <x:c r="F277" s="12" t="n">
        <x:v>315417</x:v>
      </x:c>
      <x:c r="G277" s="12" t="n">
        <x:v>17452456115</x:v>
      </x:c>
      <x:c r="H277" s="12" t="n">
        <x:v>617328</x:v>
      </x:c>
      <x:c r="I277" s="12" t="n">
        <x:v>28270.96149048804</x:v>
      </x:c>
      <x:c r="J277" s="12" t="n">
        <x:v>55331.37438692271</x:v>
      </x:c>
      <x:c r="K277" s="12" t="n">
        <x:v>3561</x:v>
      </x:c>
      <x:c r="L277" s="12" t="n">
        <x:v>112.89816338371108</x:v>
      </x:c>
      <x:c r="M277" s="12" t="n">
        <x:v>24</x:v>
      </x:c>
      <x:c r="N277" s="14" t="n">
        <x:v>0.734754306127645</x:v>
      </x:c>
      <x:c r="O277" s="14" t="n">
        <x:v>0.26524569387235497</x:v>
      </x:c>
      <x:c r="P277" s="14" t="n">
        <x:v>0.5357601831162089</x:v>
      </x:c>
      <x:c r="Q277" s="14" t="n">
        <x:v>0.215771688476754</x:v>
      </x:c>
      <x:c r="R277" s="14" t="n">
        <x:v>0.46662737945523836</x:v>
      </x:c>
      <x:c r="S277" s="14" t="n">
        <x:v>0.32686681928379113</x:v>
      </x:c>
      <x:c r="T277" t="str">
        <x:v>2030소비·야간활성</x:v>
      </x:c>
      <x:c r="U277" s="16" t="n">
        <x:v>69.20043682903781</x:v>
      </x:c>
      <x:c r="V277" t="str">
        <x:v>화초</x:v>
      </x:c>
      <x:c r="W277" t="str">
        <x:v>화초 / 컴퓨터및주변장치판매 / 한식음식점</x:v>
      </x:c>
      <x:c r="X277" s="16" t="n">
        <x:v>64.27070984809305</x:v>
      </x:c>
    </x:row>
    <x:row r="278">
      <x:c r="A278" t="str">
        <x:v>3110656</x:v>
      </x:c>
      <x:c r="B278" t="str">
        <x:v>까치산역 3번</x:v>
      </x:c>
      <x:c r="C278" t="str">
        <x:v>골목상권</x:v>
      </x:c>
      <x:c r="D278" t="str">
        <x:v>강서구</x:v>
      </x:c>
      <x:c r="E278" t="str">
        <x:v>화곡1동</x:v>
      </x:c>
      <x:c r="F278" s="12" t="n">
        <x:v>201889</x:v>
      </x:c>
      <x:c r="G278" s="12" t="n">
        <x:v>17435759742</x:v>
      </x:c>
      <x:c r="H278" s="12" t="n">
        <x:v>735917</x:v>
      </x:c>
      <x:c r="I278" s="12" t="n">
        <x:v>23692.56280531636</x:v>
      </x:c>
      <x:c r="J278" s="12" t="n">
        <x:v>86363.09923769992</x:v>
      </x:c>
      <x:c r="K278" s="12" t="n">
        <x:v>743</x:v>
      </x:c>
      <x:c r="L278" s="12" t="n">
        <x:v>36.802401319536976</x:v>
      </x:c>
      <x:c r="M278" s="12" t="n">
        <x:v>18</x:v>
      </x:c>
      <x:c r="N278" s="14" t="n">
        <x:v>0.643925176541355</x:v>
      </x:c>
      <x:c r="O278" s="14" t="n">
        <x:v>0.356074823458645</x:v>
      </x:c>
      <x:c r="P278" s="14" t="n">
        <x:v>0.5086254607900871</x:v>
      </x:c>
      <x:c r="Q278" s="14" t="n">
        <x:v>0.06639876140362568</x:v>
      </x:c>
      <x:c r="R278" s="14" t="n">
        <x:v>0.3665845781072245</x:v>
      </x:c>
      <x:c r="S278" s="14" t="n">
        <x:v>0.2548080980548304</x:v>
      </x:c>
      <x:c r="T278" t="str">
        <x:v>2030소비·야간활성</x:v>
      </x:c>
      <x:c r="U278" s="16" t="n">
        <x:v>58.6481393890778</x:v>
      </x:c>
      <x:c r="V278" t="str">
        <x:v>일반교습학원</x:v>
      </x:c>
      <x:c r="W278" t="str">
        <x:v>일반교습학원 / 호프-간이주점 / 여관</x:v>
      </x:c>
      <x:c r="X278" s="16" t="n">
        <x:v>55.168518543372514</x:v>
      </x:c>
    </x:row>
    <x:row r="279">
      <x:c r="A279" t="str">
        <x:v>3130120</x:v>
      </x:c>
      <x:c r="B279" t="str">
        <x:v>돈암시장(돈암제일시장)</x:v>
      </x:c>
      <x:c r="C279" t="str">
        <x:v>전통시장</x:v>
      </x:c>
      <x:c r="D279" t="str">
        <x:v>성북구</x:v>
      </x:c>
      <x:c r="E279" t="str">
        <x:v>삼선동</x:v>
      </x:c>
      <x:c r="F279" s="12" t="n">
        <x:v>20332</x:v>
      </x:c>
      <x:c r="G279" s="12" t="n">
        <x:v>17294721998</x:v>
      </x:c>
      <x:c r="H279" s="12" t="n">
        <x:v>695774</x:v>
      </x:c>
      <x:c r="I279" s="12" t="n">
        <x:v>24856.809823304695</x:v>
      </x:c>
      <x:c r="J279" s="12" t="n">
        <x:v>850615.8763525477</x:v>
      </x:c>
      <x:c r="K279" s="12" t="n">
        <x:v>319</x:v>
      </x:c>
      <x:c r="L279" s="12" t="n">
        <x:v>156.8955341333858</x:v>
      </x:c>
      <x:c r="M279" s="12" t="n">
        <x:v>15</x:v>
      </x:c>
      <x:c r="N279" s="14" t="n">
        <x:v>0.7630477709630774</x:v>
      </x:c>
      <x:c r="O279" s="14" t="n">
        <x:v>0.23695222903692262</x:v>
      </x:c>
      <x:c r="P279" s="14" t="n">
        <x:v>0.3072195394996485</x:v>
      </x:c>
      <x:c r="Q279" s="14" t="n">
        <x:v>0.27676194815698824</x:v>
      </x:c>
      <x:c r="R279" s="14" t="n">
        <x:v>0.17774752744539607</x:v>
      </x:c>
      <x:c r="S279" s="14" t="n">
        <x:v>0.5999459812190038</x:v>
      </x:c>
      <x:c r="T279" t="str">
        <x:v>고매출밀도·여성소비</x:v>
      </x:c>
      <x:c r="U279" s="16" t="n">
        <x:v>73.89692168245483</x:v>
      </x:c>
      <x:c r="V279" t="str">
        <x:v>반찬가게</x:v>
      </x:c>
      <x:c r="W279" t="str">
        <x:v>반찬가게 / 일반의원 / 미곡판매</x:v>
      </x:c>
      <x:c r="X279" s="16" t="n">
        <x:v>67.91551251752932</x:v>
      </x:c>
    </x:row>
    <x:row r="280">
      <x:c r="A280" t="str">
        <x:v>3120111</x:v>
      </x:c>
      <x:c r="B280" t="str">
        <x:v>목동사거리</x:v>
      </x:c>
      <x:c r="C280" t="str">
        <x:v>발달상권</x:v>
      </x:c>
      <x:c r="D280" t="str">
        <x:v>강서구</x:v>
      </x:c>
      <x:c r="E280" t="str">
        <x:v>화곡4동</x:v>
      </x:c>
      <x:c r="F280" s="12" t="n">
        <x:v>126109</x:v>
      </x:c>
      <x:c r="G280" s="12" t="n">
        <x:v>17173506353</x:v>
      </x:c>
      <x:c r="H280" s="12" t="n">
        <x:v>568192</x:v>
      </x:c>
      <x:c r="I280" s="12" t="n">
        <x:v>30224.82955233442</x:v>
      </x:c>
      <x:c r="J280" s="12" t="n">
        <x:v>136179.8630787652</x:v>
      </x:c>
      <x:c r="K280" s="12" t="n">
        <x:v>1559</x:v>
      </x:c>
      <x:c r="L280" s="12" t="n">
        <x:v>123.62321483795765</x:v>
      </x:c>
      <x:c r="M280" s="12" t="n">
        <x:v>32</x:v>
      </x:c>
      <x:c r="N280" s="14" t="n">
        <x:v>0.7554591329995707</x:v>
      </x:c>
      <x:c r="O280" s="14" t="n">
        <x:v>0.24454086700042926</x:v>
      </x:c>
      <x:c r="P280" s="14" t="n">
        <x:v>0.37281032628969035</x:v>
      </x:c>
      <x:c r="Q280" s="14" t="n">
        <x:v>0.23000984224226118</x:v>
      </x:c>
      <x:c r="R280" s="14" t="n">
        <x:v>0.2511347879314463</x:v>
      </x:c>
      <x:c r="S280" s="14" t="n">
        <x:v>0.43367740017162937</x:v>
      </x:c>
      <x:c r="T280" t="str">
        <x:v>고매출밀도·직장밀집</x:v>
      </x:c>
      <x:c r="U280" s="16" t="n">
        <x:v>79.94318294478282</x:v>
      </x:c>
      <x:c r="V280" t="str">
        <x:v>의약품</x:v>
      </x:c>
      <x:c r="W280" t="str">
        <x:v>의약품 / 스포츠클럽 / 커피-음료</x:v>
      </x:c>
      <x:c r="X280" s="16" t="n">
        <x:v>73.63674226537778</x:v>
      </x:c>
    </x:row>
    <x:row r="281">
      <x:c r="A281" t="str">
        <x:v>3120118</x:v>
      </x:c>
      <x:c r="B281" t="str">
        <x:v>마곡역(마곡)</x:v>
      </x:c>
      <x:c r="C281" t="str">
        <x:v>발달상권</x:v>
      </x:c>
      <x:c r="D281" t="str">
        <x:v>강서구</x:v>
      </x:c>
      <x:c r="E281" t="str">
        <x:v>가양1동</x:v>
      </x:c>
      <x:c r="F281" s="12" t="n">
        <x:v>232166</x:v>
      </x:c>
      <x:c r="G281" s="12" t="n">
        <x:v>17137806540</x:v>
      </x:c>
      <x:c r="H281" s="12" t="n">
        <x:v>540681</x:v>
      </x:c>
      <x:c r="I281" s="12" t="n">
        <x:v>31696.70571002125</x:v>
      </x:c>
      <x:c r="J281" s="12" t="n">
        <x:v>73817.0384121706</x:v>
      </x:c>
      <x:c r="K281" s="12" t="n">
        <x:v>3866</x:v>
      </x:c>
      <x:c r="L281" s="12" t="n">
        <x:v>166.51878397353616</x:v>
      </x:c>
      <x:c r="M281" s="12" t="n">
        <x:v>5</x:v>
      </x:c>
      <x:c r="N281" s="14" t="n">
        <x:v>0.8348226467376145</x:v>
      </x:c>
      <x:c r="O281" s="14" t="n">
        <x:v>0.16517735326238547</x:v>
      </x:c>
      <x:c r="P281" s="14" t="n">
        <x:v>0.5275306373017326</x:v>
      </x:c>
      <x:c r="Q281" s="14" t="n">
        <x:v>0.326168718963728</x:v>
      </x:c>
      <x:c r="R281" s="14" t="n">
        <x:v>0.2383984764015197</x:v>
      </x:c>
      <x:c r="S281" s="14" t="n">
        <x:v>0.22947811003822896</x:v>
      </x:c>
      <x:c r="T281" t="str">
        <x:v>야간활성·평일집중</x:v>
      </x:c>
      <x:c r="U281" s="16" t="n">
        <x:v>68.12262841686395</x:v>
      </x:c>
      <x:c r="V281" t="str">
        <x:v>제과점</x:v>
      </x:c>
      <x:c r="W281" t="str">
        <x:v>제과점 / 편의점 / 반찬가게</x:v>
      </x:c>
      <x:c r="X281" s="16" t="n">
        <x:v>53.70207155362749</x:v>
      </x:c>
    </x:row>
    <x:row r="282">
      <x:c r="A282" t="str">
        <x:v>3110069</x:v>
      </x:c>
      <x:c r="B282" t="str">
        <x:v>숙대입구</x:v>
      </x:c>
      <x:c r="C282" t="str">
        <x:v>골목상권</x:v>
      </x:c>
      <x:c r="D282" t="str">
        <x:v>용산구</x:v>
      </x:c>
      <x:c r="E282" t="str">
        <x:v>청파동</x:v>
      </x:c>
      <x:c r="F282" s="12" t="n">
        <x:v>173542</x:v>
      </x:c>
      <x:c r="G282" s="12" t="n">
        <x:v>17092573591</x:v>
      </x:c>
      <x:c r="H282" s="12" t="n">
        <x:v>1229764</x:v>
      </x:c>
      <x:c r="I282" s="12" t="n">
        <x:v>13899.068106563536</x:v>
      </x:c>
      <x:c r="J282" s="12" t="n">
        <x:v>98492.43175139159</x:v>
      </x:c>
      <x:c r="K282" s="12" t="n">
        <x:v>1042</x:v>
      </x:c>
      <x:c r="L282" s="12" t="n">
        <x:v>60.04310195802745</x:v>
      </x:c>
      <x:c r="M282" s="12" t="n">
        <x:v>29</x:v>
      </x:c>
      <x:c r="N282" s="14" t="n">
        <x:v>0.7848363053451194</x:v>
      </x:c>
      <x:c r="O282" s="14" t="n">
        <x:v>0.2151636946548806</x:v>
      </x:c>
      <x:c r="P282" s="14" t="n">
        <x:v>0.39744382236136716</x:v>
      </x:c>
      <x:c r="Q282" s="14" t="n">
        <x:v>0.29273519592360375</x:v>
      </x:c>
      <x:c r="R282" s="14" t="n">
        <x:v>0.4475546149485641</x:v>
      </x:c>
      <x:c r="S282" s="14" t="n">
        <x:v>0.5387234488695436</x:v>
      </x:c>
      <x:c r="T282" t="str">
        <x:v>2030소비·여성소비</x:v>
      </x:c>
      <x:c r="U282" s="16" t="n">
        <x:v>72.5739257528578</x:v>
      </x:c>
      <x:c r="V282" t="str">
        <x:v>화초</x:v>
      </x:c>
      <x:c r="W282" t="str">
        <x:v>화초 / 커피-음료 / 미용실</x:v>
      </x:c>
      <x:c r="X282" s="16" t="n">
        <x:v>70.74645487930093</x:v>
      </x:c>
    </x:row>
    <x:row r="283">
      <x:c r="A283" t="str">
        <x:v>3130146</x:v>
      </x:c>
      <x:c r="B283" t="str">
        <x:v>쌍문시장(쌍문역골목시장)</x:v>
      </x:c>
      <x:c r="C283" t="str">
        <x:v>전통시장</x:v>
      </x:c>
      <x:c r="D283" t="str">
        <x:v>도봉구</x:v>
      </x:c>
      <x:c r="E283" t="str">
        <x:v>쌍문3동</x:v>
      </x:c>
      <x:c r="F283" s="12" t="n">
        <x:v>108994</x:v>
      </x:c>
      <x:c r="G283" s="12" t="n">
        <x:v>17064645348</x:v>
      </x:c>
      <x:c r="H283" s="12" t="n">
        <x:v>898873</x:v>
      </x:c>
      <x:c r="I283" s="12" t="n">
        <x:v>18984.48985340532</x:v>
      </x:c>
      <x:c r="J283" s="12" t="n">
        <x:v>156564.99759619797</x:v>
      </x:c>
      <x:c r="K283" s="12" t="n">
        <x:v>529</x:v>
      </x:c>
      <x:c r="L283" s="12" t="n">
        <x:v>48.53478173110447</x:v>
      </x:c>
      <x:c r="M283" s="12" t="n">
        <x:v>30</x:v>
      </x:c>
      <x:c r="N283" s="14" t="n">
        <x:v>0.756503410984337</x:v>
      </x:c>
      <x:c r="O283" s="14" t="n">
        <x:v>0.2434965890156629</x:v>
      </x:c>
      <x:c r="P283" s="14" t="n">
        <x:v>0.36655089018495784</x:v>
      </x:c>
      <x:c r="Q283" s="14" t="n">
        <x:v>0.24749545319410876</x:v>
      </x:c>
      <x:c r="R283" s="14" t="n">
        <x:v>0.18936672852557895</x:v>
      </x:c>
      <x:c r="S283" s="14" t="n">
        <x:v>0.5536406068414004</x:v>
      </x:c>
      <x:c r="T283" t="str">
        <x:v>여성소비·고매출밀도</x:v>
      </x:c>
      <x:c r="U283" s="16" t="n">
        <x:v>70.56102369453086</x:v>
      </x:c>
      <x:c r="V283" t="str">
        <x:v>애완동물</x:v>
      </x:c>
      <x:c r="W283" t="str">
        <x:v>애완동물 / 육류판매 / 슈퍼마켓</x:v>
      </x:c>
      <x:c r="X283" s="16" t="n">
        <x:v>67.98940942572723</x:v>
      </x:c>
    </x:row>
    <x:row r="284">
      <x:c r="A284" t="str">
        <x:v>3130168</x:v>
      </x:c>
      <x:c r="B284" t="str">
        <x:v>연서시장</x:v>
      </x:c>
      <x:c r="C284" t="str">
        <x:v>전통시장</x:v>
      </x:c>
      <x:c r="D284" t="str">
        <x:v>은평구</x:v>
      </x:c>
      <x:c r="E284" t="str">
        <x:v>불광2동</x:v>
      </x:c>
      <x:c r="F284" s="12" t="n">
        <x:v>21658</x:v>
      </x:c>
      <x:c r="G284" s="12" t="n">
        <x:v>17022133786</x:v>
      </x:c>
      <x:c r="H284" s="12" t="n">
        <x:v>833864</x:v>
      </x:c>
      <x:c r="I284" s="12" t="n">
        <x:v>20413.56118743584</x:v>
      </x:c>
      <x:c r="J284" s="12" t="n">
        <x:v>785951.3244990304</x:v>
      </x:c>
      <x:c r="K284" s="12" t="n">
        <x:v>691</x:v>
      </x:c>
      <x:c r="L284" s="12" t="n">
        <x:v>319.05069720195775</x:v>
      </x:c>
      <x:c r="M284" s="12" t="n">
        <x:v>20</x:v>
      </x:c>
      <x:c r="N284" s="14" t="n">
        <x:v>0.7374993858481473</x:v>
      </x:c>
      <x:c r="O284" s="14" t="n">
        <x:v>0.2625006141518526</x:v>
      </x:c>
      <x:c r="P284" s="14" t="n">
        <x:v>0.29006355678281004</x:v>
      </x:c>
      <x:c r="Q284" s="14" t="n">
        <x:v>0.30050233104189517</x:v>
      </x:c>
      <x:c r="R284" s="14" t="n">
        <x:v>0.137736850295955</x:v>
      </x:c>
      <x:c r="S284" s="14" t="n">
        <x:v>0.5856791082913182</x:v>
      </x:c>
      <x:c r="T284" t="str">
        <x:v>고매출밀도·여성소비</x:v>
      </x:c>
      <x:c r="U284" s="16" t="n">
        <x:v>80.2649697201636</x:v>
      </x:c>
      <x:c r="V284" t="str">
        <x:v>피부관리실</x:v>
      </x:c>
      <x:c r="W284" t="str">
        <x:v>피부관리실 / 육류판매 / 한의원</x:v>
      </x:c>
      <x:c r="X284" s="16" t="n">
        <x:v>72.28823034372195</x:v>
      </x:c>
    </x:row>
    <x:row r="285">
      <x:c r="A285" t="str">
        <x:v>3120084</x:v>
      </x:c>
      <x:c r="B285" t="str">
        <x:v>공릉역</x:v>
      </x:c>
      <x:c r="C285" t="str">
        <x:v>발달상권</x:v>
      </x:c>
      <x:c r="D285" t="str">
        <x:v>노원구</x:v>
      </x:c>
      <x:c r="E285" t="str">
        <x:v>공릉1동</x:v>
      </x:c>
      <x:c r="F285" s="12" t="n">
        <x:v>81040</x:v>
      </x:c>
      <x:c r="G285" s="12" t="n">
        <x:v>16961715462</x:v>
      </x:c>
      <x:c r="H285" s="12" t="n">
        <x:v>756104</x:v>
      </x:c>
      <x:c r="I285" s="12" t="n">
        <x:v>22433.045536063823</x:v>
      </x:c>
      <x:c r="J285" s="12" t="n">
        <x:v>209300.53630306022</x:v>
      </x:c>
      <x:c r="K285" s="12" t="n">
        <x:v>1133</x:v>
      </x:c>
      <x:c r="L285" s="12" t="n">
        <x:v>139.80750246791706</x:v>
      </x:c>
      <x:c r="M285" s="12" t="n">
        <x:v>23</x:v>
      </x:c>
      <x:c r="N285" s="14" t="n">
        <x:v>0.7092040299196006</x:v>
      </x:c>
      <x:c r="O285" s="14" t="n">
        <x:v>0.2907959700803994</x:v>
      </x:c>
      <x:c r="P285" s="14" t="n">
        <x:v>0.517963526783751</x:v>
      </x:c>
      <x:c r="Q285" s="14" t="n">
        <x:v>0.18188080827740982</x:v>
      </x:c>
      <x:c r="R285" s="14" t="n">
        <x:v>0.2973249114630149</x:v>
      </x:c>
      <x:c r="S285" s="14" t="n">
        <x:v>0.38626685129096405</x:v>
      </x:c>
      <x:c r="T285" t="str">
        <x:v>야간활성·고매출밀도</x:v>
      </x:c>
      <x:c r="U285" s="16" t="n">
        <x:v>69.1190514779029</x:v>
      </x:c>
      <x:c r="V285" t="str">
        <x:v>커피-음료</x:v>
      </x:c>
      <x:c r="W285" t="str">
        <x:v>커피-음료 / 당구장 / 세탁소</x:v>
      </x:c>
      <x:c r="X285" s="16" t="n">
        <x:v>64.47719090482046</x:v>
      </x:c>
    </x:row>
    <x:row r="286">
      <x:c r="A286" t="str">
        <x:v>3120206</x:v>
      </x:c>
      <x:c r="B286" t="str">
        <x:v>개나리아파트</x:v>
      </x:c>
      <x:c r="C286" t="str">
        <x:v>발달상권</x:v>
      </x:c>
      <x:c r="D286" t="str">
        <x:v>강남구</x:v>
      </x:c>
      <x:c r="E286" t="str">
        <x:v>역삼2동</x:v>
      </x:c>
      <x:c r="F286" s="12" t="n">
        <x:v>148412</x:v>
      </x:c>
      <x:c r="G286" s="12" t="n">
        <x:v>16806476512</x:v>
      </x:c>
      <x:c r="H286" s="12" t="n">
        <x:v>606999</x:v>
      </x:c>
      <x:c r="I286" s="12" t="n">
        <x:v>27687.815815182563</x:v>
      </x:c>
      <x:c r="J286" s="12" t="n">
        <x:v>113242.03239630218</x:v>
      </x:c>
      <x:c r="K286" s="12" t="n">
        <x:v>6788</x:v>
      </x:c>
      <x:c r="L286" s="12" t="n">
        <x:v>457.37541438697684</x:v>
      </x:c>
      <x:c r="M286" s="12" t="n">
        <x:v>31</x:v>
      </x:c>
      <x:c r="N286" s="14" t="n">
        <x:v>0.8099255945338033</x:v>
      </x:c>
      <x:c r="O286" s="14" t="n">
        <x:v>0.19007440546619675</x:v>
      </x:c>
      <x:c r="P286" s="14" t="n">
        <x:v>0.28847796458337144</x:v>
      </x:c>
      <x:c r="Q286" s="14" t="n">
        <x:v>0.2858030398918157</x:v>
      </x:c>
      <x:c r="R286" s="14" t="n">
        <x:v>0.1781560503691614</x:v>
      </x:c>
      <x:c r="S286" s="14" t="n">
        <x:v>0.45863902957269664</x:v>
      </x:c>
      <x:c r="T286" t="str">
        <x:v>직장밀집·평일집중</x:v>
      </x:c>
      <x:c r="U286" s="16" t="n">
        <x:v>74.05615952376812</x:v>
      </x:c>
      <x:c r="V286" t="str">
        <x:v>일반교습학원</x:v>
      </x:c>
      <x:c r="W286" t="str">
        <x:v>일반교습학원 / 스포츠클럽 / 일반의류</x:v>
      </x:c>
      <x:c r="X286" s="16" t="n">
        <x:v>70.01652518076908</x:v>
      </x:c>
    </x:row>
    <x:row r="287">
      <x:c r="A287" t="str">
        <x:v>3130190</x:v>
      </x:c>
      <x:c r="B287" t="str">
        <x:v>홍대소상공인상점가</x:v>
      </x:c>
      <x:c r="C287" t="str">
        <x:v>전통시장</x:v>
      </x:c>
      <x:c r="D287" t="str">
        <x:v>마포구</x:v>
      </x:c>
      <x:c r="E287" t="str">
        <x:v>서교동</x:v>
      </x:c>
      <x:c r="F287" s="12" t="n">
        <x:v>35891</x:v>
      </x:c>
      <x:c r="G287" s="12" t="n">
        <x:v>16664768526</x:v>
      </x:c>
      <x:c r="H287" s="12" t="n">
        <x:v>514467</x:v>
      </x:c>
      <x:c r="I287" s="12" t="n">
        <x:v>32392.298293184987</x:v>
      </x:c>
      <x:c r="J287" s="12" t="n">
        <x:v>464316.0827505503</x:v>
      </x:c>
      <x:c r="K287" s="12" t="n">
        <x:v>475</x:v>
      </x:c>
      <x:c r="L287" s="12" t="n">
        <x:v>132.34515616728427</x:v>
      </x:c>
      <x:c r="M287" s="12" t="n">
        <x:v>15</x:v>
      </x:c>
      <x:c r="N287" s="14" t="n">
        <x:v>0.606228484076335</x:v>
      </x:c>
      <x:c r="O287" s="14" t="n">
        <x:v>0.393771515923665</x:v>
      </x:c>
      <x:c r="P287" s="14" t="n">
        <x:v>0.5885610353181572</x:v>
      </x:c>
      <x:c r="Q287" s="14" t="n">
        <x:v>0.12121789005639862</x:v>
      </x:c>
      <x:c r="R287" s="14" t="n">
        <x:v>0.6177347385257045</x:v>
      </x:c>
      <x:c r="S287" s="14" t="n">
        <x:v>0.5989574772327084</x:v>
      </x:c>
      <x:c r="T287" t="str">
        <x:v>2030소비·고매출밀도</x:v>
      </x:c>
      <x:c r="U287" s="16" t="n">
        <x:v>67.01998988409505</x:v>
      </x:c>
      <x:c r="V287" t="str">
        <x:v>미용실</x:v>
      </x:c>
      <x:c r="W287" t="str">
        <x:v>미용실 / 일식음식점 / 예술학원</x:v>
      </x:c>
      <x:c r="X287" s="16" t="n">
        <x:v>62.50615655982271</x:v>
      </x:c>
    </x:row>
    <x:row r="288">
      <x:c r="A288" t="str">
        <x:v>3110544</x:v>
      </x:c>
      <x:c r="B288" t="str">
        <x:v>망리단길</x:v>
      </x:c>
      <x:c r="C288" t="str">
        <x:v>골목상권</x:v>
      </x:c>
      <x:c r="D288" t="str">
        <x:v>마포구</x:v>
      </x:c>
      <x:c r="E288" t="str">
        <x:v>망원1동</x:v>
      </x:c>
      <x:c r="F288" s="12" t="n">
        <x:v>311648</x:v>
      </x:c>
      <x:c r="G288" s="12" t="n">
        <x:v>16636274425</x:v>
      </x:c>
      <x:c r="H288" s="12" t="n">
        <x:v>824271</x:v>
      </x:c>
      <x:c r="I288" s="12" t="n">
        <x:v>20183.015567695576</x:v>
      </x:c>
      <x:c r="J288" s="12" t="n">
        <x:v>53381.617802777495</x:v>
      </x:c>
      <x:c r="K288" s="12" t="n">
        <x:v>1811</x:v>
      </x:c>
      <x:c r="L288" s="12" t="n">
        <x:v>58.11043228257522</x:v>
      </x:c>
      <x:c r="M288" s="12" t="n">
        <x:v>42</x:v>
      </x:c>
      <x:c r="N288" s="14" t="n">
        <x:v>0.6730433032634949</x:v>
      </x:c>
      <x:c r="O288" s="14" t="n">
        <x:v>0.32695669673650507</x:v>
      </x:c>
      <x:c r="P288" s="14" t="n">
        <x:v>0.4774148384487232</x:v>
      </x:c>
      <x:c r="Q288" s="14" t="n">
        <x:v>0.19989683309158324</x:v>
      </x:c>
      <x:c r="R288" s="14" t="n">
        <x:v>0.44882403531282217</x:v>
      </x:c>
      <x:c r="S288" s="14" t="n">
        <x:v>0.4744217231797678</x:v>
      </x:c>
      <x:c r="T288" t="str">
        <x:v>2030소비·야간활성</x:v>
      </x:c>
      <x:c r="U288" s="16" t="n">
        <x:v>69.29349202348045</x:v>
      </x:c>
      <x:c r="V288" t="str">
        <x:v>스포츠클럽</x:v>
      </x:c>
      <x:c r="W288" t="str">
        <x:v>스포츠클럽 / 애완동물 / 미용실</x:v>
      </x:c>
      <x:c r="X288" s="16" t="n">
        <x:v>65.68057380943293</x:v>
      </x:c>
    </x:row>
    <x:row r="289">
      <x:c r="A289" t="str">
        <x:v>3120204</x:v>
      </x:c>
      <x:c r="B289" t="str">
        <x:v>르네상스호텔사거리</x:v>
      </x:c>
      <x:c r="C289" t="str">
        <x:v>발달상권</x:v>
      </x:c>
      <x:c r="D289" t="str">
        <x:v>강남구</x:v>
      </x:c>
      <x:c r="E289" t="str">
        <x:v>역삼1동</x:v>
      </x:c>
      <x:c r="F289" s="12" t="n">
        <x:v>160960</x:v>
      </x:c>
      <x:c r="G289" s="12" t="n">
        <x:v>16325399589</x:v>
      </x:c>
      <x:c r="H289" s="12" t="n">
        <x:v>841703</x:v>
      </x:c>
      <x:c r="I289" s="12" t="n">
        <x:v>19395.67708443477</x:v>
      </x:c>
      <x:c r="J289" s="12" t="n">
        <x:v>101425.19625372764</x:v>
      </x:c>
      <x:c r="K289" s="12" t="n">
        <x:v>29100</x:v>
      </x:c>
      <x:c r="L289" s="12" t="n">
        <x:v>1807.9025844930418</x:v>
      </x:c>
      <x:c r="M289" s="12" t="n">
        <x:v>29</x:v>
      </x:c>
      <x:c r="N289" s="14" t="n">
        <x:v>0.9011677087471014</x:v>
      </x:c>
      <x:c r="O289" s="14" t="n">
        <x:v>0.09883229125289865</x:v>
      </x:c>
      <x:c r="P289" s="14" t="n">
        <x:v>0.28338813428599136</x:v>
      </x:c>
      <x:c r="Q289" s="14" t="n">
        <x:v>0.40342316750627377</x:v>
      </x:c>
      <x:c r="R289" s="14" t="n">
        <x:v>0.2391796928897824</x:v>
      </x:c>
      <x:c r="S289" s="14" t="n">
        <x:v>0.24590127746122148</x:v>
      </x:c>
      <x:c r="T289" t="str">
        <x:v>직장밀집·평일집중</x:v>
      </x:c>
      <x:c r="U289" s="16" t="n">
        <x:v>63.963908204352165</x:v>
      </x:c>
      <x:c r="V289" t="str">
        <x:v>커피-음료</x:v>
      </x:c>
      <x:c r="W289" t="str">
        <x:v>커피-음료 / 패스트푸드점 / 가방</x:v>
      </x:c>
      <x:c r="X289" s="16" t="n">
        <x:v>59.25623674874902</x:v>
      </x:c>
    </x:row>
    <x:row r="290">
      <x:c r="A290" t="str">
        <x:v>3130295</x:v>
      </x:c>
      <x:c r="B290" t="str">
        <x:v>인헌시장(원당종합시장)</x:v>
      </x:c>
      <x:c r="C290" t="str">
        <x:v>전통시장</x:v>
      </x:c>
      <x:c r="D290" t="str">
        <x:v>관악구</x:v>
      </x:c>
      <x:c r="E290" t="str">
        <x:v>인헌동</x:v>
      </x:c>
      <x:c r="F290" s="12" t="n">
        <x:v>42171</x:v>
      </x:c>
      <x:c r="G290" s="12" t="n">
        <x:v>16136437323</x:v>
      </x:c>
      <x:c r="H290" s="12" t="n">
        <x:v>910639</x:v>
      </x:c>
      <x:c r="I290" s="12" t="n">
        <x:v>17719.90582766607</x:v>
      </x:c>
      <x:c r="J290" s="12" t="n">
        <x:v>382642.9850608238</x:v>
      </x:c>
      <x:c r="K290" s="12" t="n">
        <x:v>528</x:v>
      </x:c>
      <x:c r="L290" s="12" t="n">
        <x:v>125.20452443622395</x:v>
      </x:c>
      <x:c r="M290" s="12" t="n">
        <x:v>22</x:v>
      </x:c>
      <x:c r="N290" s="14" t="n">
        <x:v>0.7266664476356669</x:v>
      </x:c>
      <x:c r="O290" s="14" t="n">
        <x:v>0.27333355236433315</x:v>
      </x:c>
      <x:c r="P290" s="14" t="n">
        <x:v>0.340551970363824</x:v>
      </x:c>
      <x:c r="Q290" s="14" t="n">
        <x:v>0.2528943608998146</x:v>
      </x:c>
      <x:c r="R290" s="14" t="n">
        <x:v>0.17696308936358887</x:v>
      </x:c>
      <x:c r="S290" s="14" t="n">
        <x:v>0.5862701045859601</x:v>
      </x:c>
      <x:c r="T290" t="str">
        <x:v>여성소비·고매출밀도</x:v>
      </x:c>
      <x:c r="U290" s="16" t="n">
        <x:v>75.5549105868775</x:v>
      </x:c>
      <x:c r="V290" t="str">
        <x:v>육류판매</x:v>
      </x:c>
      <x:c r="W290" t="str">
        <x:v>육류판매 / 청과상 / 수산물판매</x:v>
      </x:c>
      <x:c r="X290" s="16" t="n">
        <x:v>69.07679919941214</x:v>
      </x:c>
    </x:row>
    <x:row r="291">
      <x:c r="A291" t="str">
        <x:v>3130271</x:v>
      </x:c>
      <x:c r="B291" t="str">
        <x:v>남성역골목시장</x:v>
      </x:c>
      <x:c r="C291" t="str">
        <x:v>전통시장</x:v>
      </x:c>
      <x:c r="D291" t="str">
        <x:v>동작구</x:v>
      </x:c>
      <x:c r="E291" t="str">
        <x:v>사당4동</x:v>
      </x:c>
      <x:c r="F291" s="12" t="n">
        <x:v>29047</x:v>
      </x:c>
      <x:c r="G291" s="12" t="n">
        <x:v>16017518514</x:v>
      </x:c>
      <x:c r="H291" s="12" t="n">
        <x:v>753788</x:v>
      </x:c>
      <x:c r="I291" s="12" t="n">
        <x:v>21249.367877970995</x:v>
      </x:c>
      <x:c r="J291" s="12" t="n">
        <x:v>551434.5203979757</x:v>
      </x:c>
      <x:c r="K291" s="12" t="n">
        <x:v>267</x:v>
      </x:c>
      <x:c r="L291" s="12" t="n">
        <x:v>91.91999173752883</x:v>
      </x:c>
      <x:c r="M291" s="12" t="n">
        <x:v>22</x:v>
      </x:c>
      <x:c r="N291" s="14" t="n">
        <x:v>0.7713767671440944</x:v>
      </x:c>
      <x:c r="O291" s="14" t="n">
        <x:v>0.22862323285590552</x:v>
      </x:c>
      <x:c r="P291" s="14" t="n">
        <x:v>0.3070348487315006</x:v>
      </x:c>
      <x:c r="Q291" s="14" t="n">
        <x:v>0.2874885230177921</x:v>
      </x:c>
      <x:c r="R291" s="14" t="n">
        <x:v>0.16329977104217505</x:v>
      </x:c>
      <x:c r="S291" s="14" t="n">
        <x:v>0.539242487495838</x:v>
      </x:c>
      <x:c r="T291" t="str">
        <x:v>고매출밀도·여성소비</x:v>
      </x:c>
      <x:c r="U291" s="16" t="n">
        <x:v>78.22012181257114</x:v>
      </x:c>
      <x:c r="V291" t="str">
        <x:v>슈퍼마켓</x:v>
      </x:c>
      <x:c r="W291" t="str">
        <x:v>슈퍼마켓 / 미용실 / 일반의류</x:v>
      </x:c>
      <x:c r="X291" s="16" t="n">
        <x:v>71.37262063025977</x:v>
      </x:c>
    </x:row>
    <x:row r="292">
      <x:c r="A292" t="str">
        <x:v>3130112</x:v>
      </x:c>
      <x:c r="B292" t="str">
        <x:v>사가정시장</x:v>
      </x:c>
      <x:c r="C292" t="str">
        <x:v>전통시장</x:v>
      </x:c>
      <x:c r="D292" t="str">
        <x:v>중랑구</x:v>
      </x:c>
      <x:c r="E292" t="str">
        <x:v>면목3·8동</x:v>
      </x:c>
      <x:c r="F292" s="12" t="n">
        <x:v>59114</x:v>
      </x:c>
      <x:c r="G292" s="12" t="n">
        <x:v>16001250901</x:v>
      </x:c>
      <x:c r="H292" s="12" t="n">
        <x:v>573171</x:v>
      </x:c>
      <x:c r="I292" s="12" t="n">
        <x:v>27917.062972481162</x:v>
      </x:c>
      <x:c r="J292" s="12" t="n">
        <x:v>270684.6246405251</x:v>
      </x:c>
      <x:c r="K292" s="12" t="n">
        <x:v>351</x:v>
      </x:c>
      <x:c r="L292" s="12" t="n">
        <x:v>59.3767973745644</x:v>
      </x:c>
      <x:c r="M292" s="12" t="n">
        <x:v>28</x:v>
      </x:c>
      <x:c r="N292" s="14" t="n">
        <x:v>0.7864019824983557</x:v>
      </x:c>
      <x:c r="O292" s="14" t="n">
        <x:v>0.2135980175016443</x:v>
      </x:c>
      <x:c r="P292" s="14" t="n">
        <x:v>0.24857073060153248</x:v>
      </x:c>
      <x:c r="Q292" s="14" t="n">
        <x:v>0.29491101546973986</x:v>
      </x:c>
      <x:c r="R292" s="14" t="n">
        <x:v>0.25454497440231094</x:v>
      </x:c>
      <x:c r="S292" s="14" t="n">
        <x:v>0.6163110459310208</x:v>
      </x:c>
      <x:c r="T292" t="str">
        <x:v>여성소비·고매출밀도</x:v>
      </x:c>
      <x:c r="U292" s="16" t="n">
        <x:v>74.81886093999186</x:v>
      </x:c>
      <x:c r="V292" t="str">
        <x:v>의약품</x:v>
      </x:c>
      <x:c r="W292" t="str">
        <x:v>의약품 / 청과상 / 예술학원</x:v>
      </x:c>
      <x:c r="X292" s="16" t="n">
        <x:v>69.08727931119202</x:v>
      </x:c>
    </x:row>
    <x:row r="293">
      <x:c r="A293" t="str">
        <x:v>3110335</x:v>
      </x:c>
      <x:c r="B293" t="str">
        <x:v>석계역 7번</x:v>
      </x:c>
      <x:c r="C293" t="str">
        <x:v>골목상권</x:v>
      </x:c>
      <x:c r="D293" t="str">
        <x:v>성북구</x:v>
      </x:c>
      <x:c r="E293" t="str">
        <x:v>석관동</x:v>
      </x:c>
      <x:c r="F293" s="12" t="n">
        <x:v>140761</x:v>
      </x:c>
      <x:c r="G293" s="12" t="n">
        <x:v>15989711469</x:v>
      </x:c>
      <x:c r="H293" s="12" t="n">
        <x:v>499920</x:v>
      </x:c>
      <x:c r="I293" s="12" t="n">
        <x:v>31984.540464474318</x:v>
      </x:c>
      <x:c r="J293" s="12" t="n">
        <x:v>113594.75613983987</x:v>
      </x:c>
      <x:c r="K293" s="12" t="n">
        <x:v>350</x:v>
      </x:c>
      <x:c r="L293" s="12" t="n">
        <x:v>24.864841824084795</x:v>
      </x:c>
      <x:c r="M293" s="12" t="n">
        <x:v>23</x:v>
      </x:c>
      <x:c r="N293" s="14" t="n">
        <x:v>0.6511566191914003</x:v>
      </x:c>
      <x:c r="O293" s="14" t="n">
        <x:v>0.3488433808085996</x:v>
      </x:c>
      <x:c r="P293" s="14" t="n">
        <x:v>0.6792503024245784</x:v>
      </x:c>
      <x:c r="Q293" s="14" t="n">
        <x:v>0.09227598483315697</x:v>
      </x:c>
      <x:c r="R293" s="14" t="n">
        <x:v>0.32530463974190177</x:v>
      </x:c>
      <x:c r="S293" s="14" t="n">
        <x:v>0.3416746884139789</x:v>
      </x:c>
      <x:c r="T293" t="str">
        <x:v>야간활성·2030소비</x:v>
      </x:c>
      <x:c r="U293" s="16" t="n">
        <x:v>67.48375108741604</x:v>
      </x:c>
      <x:c r="V293" t="str">
        <x:v>편의점</x:v>
      </x:c>
      <x:c r="W293" t="str">
        <x:v>편의점 / 커피-음료 / 한식음식점</x:v>
      </x:c>
      <x:c r="X293" s="16" t="n">
        <x:v>63.88347259754776</x:v>
      </x:c>
    </x:row>
    <x:row r="294">
      <x:c r="A294" t="str">
        <x:v>3110405</x:v>
      </x:c>
      <x:c r="B294" t="str">
        <x:v>방학역 1번</x:v>
      </x:c>
      <x:c r="C294" t="str">
        <x:v>골목상권</x:v>
      </x:c>
      <x:c r="D294" t="str">
        <x:v>도봉구</x:v>
      </x:c>
      <x:c r="E294" t="str">
        <x:v>방학1동</x:v>
      </x:c>
      <x:c r="F294" s="12" t="n">
        <x:v>185625</x:v>
      </x:c>
      <x:c r="G294" s="12" t="n">
        <x:v>15964828779</x:v>
      </x:c>
      <x:c r="H294" s="12" t="n">
        <x:v>895268</x:v>
      </x:c>
      <x:c r="I294" s="12" t="n">
        <x:v>17832.457743379637</x:v>
      </x:c>
      <x:c r="J294" s="12" t="n">
        <x:v>86005.8116040404</x:v>
      </x:c>
      <x:c r="K294" s="12" t="n">
        <x:v>1051</x:v>
      </x:c>
      <x:c r="L294" s="12" t="n">
        <x:v>56.61952861952862</x:v>
      </x:c>
      <x:c r="M294" s="12" t="n">
        <x:v>30</x:v>
      </x:c>
      <x:c r="N294" s="14" t="n">
        <x:v>0.7610747837761073</x:v>
      </x:c>
      <x:c r="O294" s="14" t="n">
        <x:v>0.2389252162238927</x:v>
      </x:c>
      <x:c r="P294" s="14" t="n">
        <x:v>0.28817836205370057</x:v>
      </x:c>
      <x:c r="Q294" s="14" t="n">
        <x:v>0.26092439584941945</x:v>
      </x:c>
      <x:c r="R294" s="14" t="n">
        <x:v>0.16383255863291712</x:v>
      </x:c>
      <x:c r="S294" s="14" t="n">
        <x:v>0.45235572670215357</x:v>
      </x:c>
      <x:c r="T294" t="str">
        <x:v>고매출밀도·여성소비</x:v>
      </x:c>
      <x:c r="U294" s="16" t="n">
        <x:v>75.13700855464865</x:v>
      </x:c>
      <x:c r="V294" t="str">
        <x:v>가전제품</x:v>
      </x:c>
      <x:c r="W294" t="str">
        <x:v>가전제품 / 육류판매 / 일반의원</x:v>
      </x:c>
      <x:c r="X294" s="16" t="n">
        <x:v>67.87346510802018</x:v>
      </x:c>
    </x:row>
    <x:row r="295">
      <x:c r="A295" t="str">
        <x:v>3130315</x:v>
      </x:c>
      <x:c r="B295" t="str">
        <x:v>문정동 로데오거리 상점가(문정동 로데오거리)</x:v>
      </x:c>
      <x:c r="C295" t="str">
        <x:v>전통시장</x:v>
      </x:c>
      <x:c r="D295" t="str">
        <x:v>송파구</x:v>
      </x:c>
      <x:c r="E295" t="str">
        <x:v>가락본동</x:v>
      </x:c>
      <x:c r="F295" s="12" t="n">
        <x:v>75829</x:v>
      </x:c>
      <x:c r="G295" s="12" t="n">
        <x:v>15841914469</x:v>
      </x:c>
      <x:c r="H295" s="12" t="n">
        <x:v>156234</x:v>
      </x:c>
      <x:c r="I295" s="12" t="n">
        <x:v>101398.63582190816</x:v>
      </x:c>
      <x:c r="J295" s="12" t="n">
        <x:v>208916.30469873003</x:v>
      </x:c>
      <x:c r="K295" s="12" t="n">
        <x:v>7986</x:v>
      </x:c>
      <x:c r="L295" s="12" t="n">
        <x:v>1053.1590816178507</x:v>
      </x:c>
      <x:c r="M295" s="12" t="n">
        <x:v>22</x:v>
      </x:c>
      <x:c r="N295" s="14" t="n">
        <x:v>0.686729691748344</x:v>
      </x:c>
      <x:c r="O295" s="14" t="n">
        <x:v>0.313270308251656</x:v>
      </x:c>
      <x:c r="P295" s="14" t="n">
        <x:v>0.2970310143517036</x:v>
      </x:c>
      <x:c r="Q295" s="14" t="n">
        <x:v>0.28131805708968194</x:v>
      </x:c>
      <x:c r="R295" s="14" t="n">
        <x:v>0.21590612559442168</x:v>
      </x:c>
      <x:c r="S295" s="14" t="n">
        <x:v>0.4257568521909686</x:v>
      </x:c>
      <x:c r="T295" t="str">
        <x:v>직장밀집·고매출밀도</x:v>
      </x:c>
      <x:c r="U295" s="16" t="n">
        <x:v>75.01588556645515</x:v>
      </x:c>
      <x:c r="V295" t="str">
        <x:v>당구장</x:v>
      </x:c>
      <x:c r="W295" t="str">
        <x:v>당구장 / 일반의류 / 운동/경기용품</x:v>
      </x:c>
      <x:c r="X295" s="16" t="n">
        <x:v>63.74140921997762</x:v>
      </x:c>
    </x:row>
    <x:row r="296">
      <x:c r="A296" t="str">
        <x:v>3130053</x:v>
      </x:c>
      <x:c r="B296" t="str">
        <x:v>백학시장</x:v>
      </x:c>
      <x:c r="C296" t="str">
        <x:v>전통시장</x:v>
      </x:c>
      <x:c r="D296" t="str">
        <x:v>중구</x:v>
      </x:c>
      <x:c r="E296" t="str">
        <x:v>신당5동</x:v>
      </x:c>
      <x:c r="F296" s="12" t="n">
        <x:v>42212</x:v>
      </x:c>
      <x:c r="G296" s="12" t="n">
        <x:v>15831246718</x:v>
      </x:c>
      <x:c r="H296" s="12" t="n">
        <x:v>810475</x:v>
      </x:c>
      <x:c r="I296" s="12" t="n">
        <x:v>19533.29432493291</x:v>
      </x:c>
      <x:c r="J296" s="12" t="n">
        <x:v>375041.3796550744</x:v>
      </x:c>
      <x:c r="K296" s="12" t="n">
        <x:v>206</x:v>
      </x:c>
      <x:c r="L296" s="12" t="n">
        <x:v>48.80128873306169</x:v>
      </x:c>
      <x:c r="M296" s="12" t="n">
        <x:v>19</x:v>
      </x:c>
      <x:c r="N296" s="14" t="n">
        <x:v>0.7493617370330973</x:v>
      </x:c>
      <x:c r="O296" s="14" t="n">
        <x:v>0.2506382629669027</x:v>
      </x:c>
      <x:c r="P296" s="14" t="n">
        <x:v>0.4313105210618953</x:v>
      </x:c>
      <x:c r="Q296" s="14" t="n">
        <x:v>0.18805223587445327</x:v>
      </x:c>
      <x:c r="R296" s="14" t="n">
        <x:v>0.20972787450939656</x:v>
      </x:c>
      <x:c r="S296" s="14" t="n">
        <x:v>0.44336841166270047</x:v>
      </x:c>
      <x:c r="T296" t="str">
        <x:v>고매출밀도·야간활성</x:v>
      </x:c>
      <x:c r="U296" s="16" t="n">
        <x:v>71.17913829710496</x:v>
      </x:c>
      <x:c r="V296" t="str">
        <x:v>육류판매</x:v>
      </x:c>
      <x:c r="W296" t="str">
        <x:v>육류판매 / 의약품 / 슈퍼마켓</x:v>
      </x:c>
      <x:c r="X296" s="16" t="n">
        <x:v>69.87736588368406</x:v>
      </x:c>
    </x:row>
    <x:row r="297">
      <x:c r="A297" t="str">
        <x:v>3110550</x:v>
      </x:c>
      <x:c r="B297" t="str">
        <x:v>합정역 8번</x:v>
      </x:c>
      <x:c r="C297" t="str">
        <x:v>골목상권</x:v>
      </x:c>
      <x:c r="D297" t="str">
        <x:v>마포구</x:v>
      </x:c>
      <x:c r="E297" t="str">
        <x:v>합정동</x:v>
      </x:c>
      <x:c r="F297" s="12" t="n">
        <x:v>173803</x:v>
      </x:c>
      <x:c r="G297" s="12" t="n">
        <x:v>15760426417</x:v>
      </x:c>
      <x:c r="H297" s="12" t="n">
        <x:v>268732</x:v>
      </x:c>
      <x:c r="I297" s="12" t="n">
        <x:v>58647.37514326541</x:v>
      </x:c>
      <x:c r="J297" s="12" t="n">
        <x:v>90679.82955990403</x:v>
      </x:c>
      <x:c r="K297" s="12" t="n">
        <x:v>1073</x:v>
      </x:c>
      <x:c r="L297" s="12" t="n">
        <x:v>61.73656381075125</x:v>
      </x:c>
      <x:c r="M297" s="12" t="n">
        <x:v>23</x:v>
      </x:c>
      <x:c r="N297" s="14" t="n">
        <x:v>0.8243905289253698</x:v>
      </x:c>
      <x:c r="O297" s="14" t="n">
        <x:v>0.17560947107463026</x:v>
      </x:c>
      <x:c r="P297" s="14" t="n">
        <x:v>0.4093110167401126</x:v>
      </x:c>
      <x:c r="Q297" s="14" t="n">
        <x:v>0.12271404667794147</x:v>
      </x:c>
      <x:c r="R297" s="14" t="n">
        <x:v>0.29800458228299725</x:v>
      </x:c>
      <x:c r="S297" s="14" t="n">
        <x:v>0.26134304491642235</x:v>
      </x:c>
      <x:c r="T297" t="str">
        <x:v>평일집중·2030소비</x:v>
      </x:c>
      <x:c r="U297" s="16" t="n">
        <x:v>75.98083519274391</x:v>
      </x:c>
      <x:c r="V297" t="str">
        <x:v>일반교습학원</x:v>
      </x:c>
      <x:c r="W297" t="str">
        <x:v>일반교습학원 / 중식음식점 / 치킨전문점</x:v>
      </x:c>
      <x:c r="X297" s="16" t="n">
        <x:v>65.54366869593323</x:v>
      </x:c>
    </x:row>
    <x:row r="298">
      <x:c r="A298" t="str">
        <x:v>3110865</x:v>
      </x:c>
      <x:c r="B298" t="str">
        <x:v>남강고등학교(남강중학교)</x:v>
      </x:c>
      <x:c r="C298" t="str">
        <x:v>골목상권</x:v>
      </x:c>
      <x:c r="D298" t="str">
        <x:v>관악구</x:v>
      </x:c>
      <x:c r="E298" t="str">
        <x:v>난곡동</x:v>
      </x:c>
      <x:c r="F298" s="12" t="n">
        <x:v>181632</x:v>
      </x:c>
      <x:c r="G298" s="12" t="n">
        <x:v>15754270000</x:v>
      </x:c>
      <x:c r="H298" s="12" t="n">
        <x:v>921455</x:v>
      </x:c>
      <x:c r="I298" s="12" t="n">
        <x:v>17097.166980481954</x:v>
      </x:c>
      <x:c r="J298" s="12" t="n">
        <x:v>86737.30399929528</x:v>
      </x:c>
      <x:c r="K298" s="12" t="n">
        <x:v>548</x:v>
      </x:c>
      <x:c r="L298" s="12" t="n">
        <x:v>30.170894996476395</x:v>
      </x:c>
      <x:c r="M298" s="12" t="n">
        <x:v>28</x:v>
      </x:c>
      <x:c r="N298" s="14" t="n">
        <x:v>0.7791153697378552</x:v>
      </x:c>
      <x:c r="O298" s="14" t="n">
        <x:v>0.2208846302621448</x:v>
      </x:c>
      <x:c r="P298" s="14" t="n">
        <x:v>0.29817074977133184</x:v>
      </x:c>
      <x:c r="Q298" s="14" t="n">
        <x:v>0.2458179263145801</x:v>
      </x:c>
      <x:c r="R298" s="14" t="n">
        <x:v>0.19558023824651982</x:v>
      </x:c>
      <x:c r="S298" s="14" t="n">
        <x:v>0.5076124725550597</x:v>
      </x:c>
      <x:c r="T298" t="str">
        <x:v>여성소비·고매출밀도</x:v>
      </x:c>
      <x:c r="U298" s="16" t="n">
        <x:v>74.87396000272263</x:v>
      </x:c>
      <x:c r="V298" t="str">
        <x:v>청과상</x:v>
      </x:c>
      <x:c r="W298" t="str">
        <x:v>청과상 / 일반의원 / 의약품</x:v>
      </x:c>
      <x:c r="X298" s="16" t="n">
        <x:v>70.15581575982489</x:v>
      </x:c>
    </x:row>
    <x:row r="299">
      <x:c r="A299" t="str">
        <x:v>3110460</x:v>
      </x:c>
      <x:c r="B299" t="str">
        <x:v>구산역 4번</x:v>
      </x:c>
      <x:c r="C299" t="str">
        <x:v>골목상권</x:v>
      </x:c>
      <x:c r="D299" t="str">
        <x:v>은평구</x:v>
      </x:c>
      <x:c r="E299" t="str">
        <x:v>갈현2동</x:v>
      </x:c>
      <x:c r="F299" s="12" t="n">
        <x:v>149102</x:v>
      </x:c>
      <x:c r="G299" s="12" t="n">
        <x:v>15740620946</x:v>
      </x:c>
      <x:c r="H299" s="12" t="n">
        <x:v>810742</x:v>
      </x:c>
      <x:c r="I299" s="12" t="n">
        <x:v>19415.08019320573</x:v>
      </x:c>
      <x:c r="J299" s="12" t="n">
        <x:v>105569.48227387962</x:v>
      </x:c>
      <x:c r="K299" s="12" t="n">
        <x:v>887</x:v>
      </x:c>
      <x:c r="L299" s="12" t="n">
        <x:v>59.48947700232056</x:v>
      </x:c>
      <x:c r="M299" s="12" t="n">
        <x:v>23</x:v>
      </x:c>
      <x:c r="N299" s="14" t="n">
        <x:v>0.7380915903417626</x:v>
      </x:c>
      <x:c r="O299" s="14" t="n">
        <x:v>0.26190840965823736</x:v>
      </x:c>
      <x:c r="P299" s="14" t="n">
        <x:v>0.3881597079277002</x:v>
      </x:c>
      <x:c r="Q299" s="14" t="n">
        <x:v>0.2323872795456363</x:v>
      </x:c>
      <x:c r="R299" s="14" t="n">
        <x:v>0.1278040586137878</x:v>
      </x:c>
      <x:c r="S299" s="14" t="n">
        <x:v>0.5682527121188958</x:v>
      </x:c>
      <x:c r="T299" t="str">
        <x:v>여성소비·고매출밀도</x:v>
      </x:c>
      <x:c r="U299" s="16" t="n">
        <x:v>81.01933900625214</x:v>
      </x:c>
      <x:c r="V299" t="str">
        <x:v>반찬가게</x:v>
      </x:c>
      <x:c r="W299" t="str">
        <x:v>반찬가게 / 스포츠클럽 / 의약품</x:v>
      </x:c>
      <x:c r="X299" s="16" t="n">
        <x:v>72.40899763262412</x:v>
      </x:c>
    </x:row>
    <x:row r="300">
      <x:c r="A300" t="str">
        <x:v>3130326</x:v>
      </x:c>
      <x:c r="B300" t="str">
        <x:v>고덕 골목형상점가</x:v>
      </x:c>
      <x:c r="C300" t="str">
        <x:v>전통시장</x:v>
      </x:c>
      <x:c r="D300" t="str">
        <x:v>강동구</x:v>
      </x:c>
      <x:c r="E300" t="str">
        <x:v>고덕2동</x:v>
      </x:c>
      <x:c r="F300" s="12" t="n">
        <x:v>29082</x:v>
      </x:c>
      <x:c r="G300" s="12" t="n">
        <x:v>15616098774</x:v>
      </x:c>
      <x:c r="H300" s="12" t="n">
        <x:v>688989</x:v>
      </x:c>
      <x:c r="I300" s="12" t="n">
        <x:v>22665.2367076978</x:v>
      </x:c>
      <x:c r="J300" s="12" t="n">
        <x:v>536967.8417577883</x:v>
      </x:c>
      <x:c r="K300" s="12" t="n">
        <x:v>278</x:v>
      </x:c>
      <x:c r="L300" s="12" t="n">
        <x:v>95.59177498108795</x:v>
      </x:c>
      <x:c r="M300" s="12" t="n">
        <x:v>12</x:v>
      </x:c>
      <x:c r="N300" s="14" t="n">
        <x:v>0.78775306041747</x:v>
      </x:c>
      <x:c r="O300" s="14" t="n">
        <x:v>0.21224693958253008</x:v>
      </x:c>
      <x:c r="P300" s="14" t="n">
        <x:v>0.2753500337843086</x:v>
      </x:c>
      <x:c r="Q300" s="14" t="n">
        <x:v>0.29642980458776136</x:v>
      </x:c>
      <x:c r="R300" s="14" t="n">
        <x:v>0.1839275341791585</x:v>
      </x:c>
      <x:c r="S300" s="14" t="n">
        <x:v>0.5131722111250012</x:v>
      </x:c>
      <x:c r="T300" t="str">
        <x:v>고매출밀도·여성소비</x:v>
      </x:c>
      <x:c r="U300" s="16" t="n">
        <x:v>74.1110429502734</x:v>
      </x:c>
      <x:c r="V300" t="str">
        <x:v>분식전문점</x:v>
      </x:c>
      <x:c r="W300" t="str">
        <x:v>분식전문점 / 일반의원 / 슈퍼마켓</x:v>
      </x:c>
      <x:c r="X300" s="16" t="n">
        <x:v>68.72648788714352</x:v>
      </x:c>
    </x:row>
    <x:row r="301">
      <x:c r="A301" t="str">
        <x:v>3110566</x:v>
      </x:c>
      <x:c r="B301" t="str">
        <x:v>경의선책거리</x:v>
      </x:c>
      <x:c r="C301" t="str">
        <x:v>골목상권</x:v>
      </x:c>
      <x:c r="D301" t="str">
        <x:v>마포구</x:v>
      </x:c>
      <x:c r="E301" t="str">
        <x:v>서교동</x:v>
      </x:c>
      <x:c r="F301" s="12" t="n">
        <x:v>156743</x:v>
      </x:c>
      <x:c r="G301" s="12" t="n">
        <x:v>15508234313</x:v>
      </x:c>
      <x:c r="H301" s="12" t="n">
        <x:v>742518</x:v>
      </x:c>
      <x:c r="I301" s="12" t="n">
        <x:v>20886.004531876668</x:v>
      </x:c>
      <x:c r="J301" s="12" t="n">
        <x:v>98940.52246671302</x:v>
      </x:c>
      <x:c r="K301" s="12" t="n">
        <x:v>1765</x:v>
      </x:c>
      <x:c r="L301" s="12" t="n">
        <x:v>112.60470962020634</x:v>
      </x:c>
      <x:c r="M301" s="12" t="n">
        <x:v>24</x:v>
      </x:c>
      <x:c r="N301" s="14" t="n">
        <x:v>0.6937836707806776</x:v>
      </x:c>
      <x:c r="O301" s="14" t="n">
        <x:v>0.3062163292193224</x:v>
      </x:c>
      <x:c r="P301" s="14" t="n">
        <x:v>0.3968147363392239</x:v>
      </x:c>
      <x:c r="Q301" s="14" t="n">
        <x:v>0.20969621133941402</x:v>
      </x:c>
      <x:c r="R301" s="14" t="n">
        <x:v>0.4032654198910027</x:v>
      </x:c>
      <x:c r="S301" s="14" t="n">
        <x:v>0.5148839409981386</x:v>
      </x:c>
      <x:c r="T301" t="str">
        <x:v>2030소비·여성소비</x:v>
      </x:c>
      <x:c r="U301" s="16" t="n">
        <x:v>69.4617966369254</x:v>
      </x:c>
      <x:c r="V301" t="str">
        <x:v>인테리어</x:v>
      </x:c>
      <x:c r="W301" t="str">
        <x:v>인테리어 / 예술학원 / 미용실</x:v>
      </x:c>
      <x:c r="X301" s="16" t="n">
        <x:v>62.304064462678696</x:v>
      </x:c>
    </x:row>
    <x:row r="302">
      <x:c r="A302" t="str">
        <x:v>3111089</x:v>
      </x:c>
      <x:c r="B302" t="str">
        <x:v>상일여고(상일초등학교)</x:v>
      </x:c>
      <x:c r="C302" t="str">
        <x:v>골목상권</x:v>
      </x:c>
      <x:c r="D302" t="str">
        <x:v>강동구</x:v>
      </x:c>
      <x:c r="E302" t="str">
        <x:v>상일동</x:v>
      </x:c>
      <x:c r="F302" s="12" t="n">
        <x:v>126943</x:v>
      </x:c>
      <x:c r="G302" s="12" t="n">
        <x:v>15467137041</x:v>
      </x:c>
      <x:c r="H302" s="12" t="n">
        <x:v>509295</x:v>
      </x:c>
      <x:c r="I302" s="12" t="n">
        <x:v>30369.701334197274</x:v>
      </x:c>
      <x:c r="J302" s="12" t="n">
        <x:v>121843.16615331291</x:v>
      </x:c>
      <x:c r="K302" s="12" t="n">
        <x:v>1291</x:v>
      </x:c>
      <x:c r="L302" s="12" t="n">
        <x:v>101.69918782445664</x:v>
      </x:c>
      <x:c r="M302" s="12" t="n">
        <x:v>33</x:v>
      </x:c>
      <x:c r="N302" s="14" t="n">
        <x:v>0.7645181532079761</x:v>
      </x:c>
      <x:c r="O302" s="14" t="n">
        <x:v>0.2354818467920239</x:v>
      </x:c>
      <x:c r="P302" s="14" t="n">
        <x:v>0.4870711321707491</x:v>
      </x:c>
      <x:c r="Q302" s="14" t="n">
        <x:v>0.25180535477742133</x:v>
      </x:c>
      <x:c r="R302" s="14" t="n">
        <x:v>0.17840330564638204</x:v>
      </x:c>
      <x:c r="S302" s="14" t="n">
        <x:v>0.40247988477106816</x:v>
      </x:c>
      <x:c r="T302" t="str">
        <x:v>야간활성·고매출밀도</x:v>
      </x:c>
      <x:c r="U302" s="16" t="n">
        <x:v>76.58283202078114</x:v>
      </x:c>
      <x:c r="V302" t="str">
        <x:v>피부관리실</x:v>
      </x:c>
      <x:c r="W302" t="str">
        <x:v>피부관리실 / 의약품 / 일반의원</x:v>
      </x:c>
      <x:c r="X302" s="16" t="n">
        <x:v>69.3678458143732</x:v>
      </x:c>
    </x:row>
    <x:row r="303">
      <x:c r="A303" t="str">
        <x:v>3130274</x:v>
      </x:c>
      <x:c r="B303" t="str">
        <x:v>사당1동먹자골목상점가(사당1동먹자골목)</x:v>
      </x:c>
      <x:c r="C303" t="str">
        <x:v>전통시장</x:v>
      </x:c>
      <x:c r="D303" t="str">
        <x:v>동작구</x:v>
      </x:c>
      <x:c r="E303" t="str">
        <x:v>사당1동</x:v>
      </x:c>
      <x:c r="F303" s="12" t="n">
        <x:v>40304</x:v>
      </x:c>
      <x:c r="G303" s="12" t="n">
        <x:v>15440336721</x:v>
      </x:c>
      <x:c r="H303" s="12" t="n">
        <x:v>262408</x:v>
      </x:c>
      <x:c r="I303" s="12" t="n">
        <x:v>58840.95271866711</x:v>
      </x:c>
      <x:c r="J303" s="12" t="n">
        <x:v>383096.88172389835</x:v>
      </x:c>
      <x:c r="K303" s="12" t="n">
        <x:v>492</x:v>
      </x:c>
      <x:c r="L303" s="12" t="n">
        <x:v>122.07225089321159</x:v>
      </x:c>
      <x:c r="M303" s="12" t="n">
        <x:v>14</x:v>
      </x:c>
      <x:c r="N303" s="14" t="n">
        <x:v>0.6922855654735821</x:v>
      </x:c>
      <x:c r="O303" s="14" t="n">
        <x:v>0.3077144345264179</x:v>
      </x:c>
      <x:c r="P303" s="14" t="n">
        <x:v>0.7237628366485674</x:v>
      </x:c>
      <x:c r="Q303" s="14" t="n">
        <x:v>0.1068458497900656</x:v>
      </x:c>
      <x:c r="R303" s="14" t="n">
        <x:v>0.4724710905480518</x:v>
      </x:c>
      <x:c r="S303" s="14" t="n">
        <x:v>0.35342900324045334</x:v>
      </x:c>
      <x:c r="T303" t="str">
        <x:v>야간활성·2030소비</x:v>
      </x:c>
      <x:c r="U303" s="16" t="n">
        <x:v>68.3383509734636</x:v>
      </x:c>
      <x:c r="V303" t="str">
        <x:v>피부관리실</x:v>
      </x:c>
      <x:c r="W303" t="str">
        <x:v>피부관리실 / 조명용품 / 한식음식점</x:v>
      </x:c>
      <x:c r="X303" s="16" t="n">
        <x:v>64.71278439463</x:v>
      </x:c>
    </x:row>
    <x:row r="304">
      <x:c r="A304" t="str">
        <x:v>3120162</x:v>
      </x:c>
      <x:c r="B304" t="str">
        <x:v>방배동카페골목</x:v>
      </x:c>
      <x:c r="C304" t="str">
        <x:v>발달상권</x:v>
      </x:c>
      <x:c r="D304" t="str">
        <x:v>서초구</x:v>
      </x:c>
      <x:c r="E304" t="str">
        <x:v>방배본동</x:v>
      </x:c>
      <x:c r="F304" s="12" t="n">
        <x:v>95526</x:v>
      </x:c>
      <x:c r="G304" s="12" t="n">
        <x:v>15341157850</x:v>
      </x:c>
      <x:c r="H304" s="12" t="n">
        <x:v>745981</x:v>
      </x:c>
      <x:c r="I304" s="12" t="n">
        <x:v>20565.078534171782</x:v>
      </x:c>
      <x:c r="J304" s="12" t="n">
        <x:v>160596.67368046395</x:v>
      </x:c>
      <x:c r="K304" s="12" t="n">
        <x:v>7381</x:v>
      </x:c>
      <x:c r="L304" s="12" t="n">
        <x:v>772.6692209450831</x:v>
      </x:c>
      <x:c r="M304" s="12" t="n">
        <x:v>26</x:v>
      </x:c>
      <x:c r="N304" s="14" t="n">
        <x:v>0.7360150408725505</x:v>
      </x:c>
      <x:c r="O304" s="14" t="n">
        <x:v>0.26398495912744946</x:v>
      </x:c>
      <x:c r="P304" s="14" t="n">
        <x:v>0.45444498186947474</x:v>
      </x:c>
      <x:c r="Q304" s="14" t="n">
        <x:v>0.259180668948009</x:v>
      </x:c>
      <x:c r="R304" s="14" t="n">
        <x:v>0.22255525015668878</x:v>
      </x:c>
      <x:c r="S304" s="14" t="n">
        <x:v>0.40357746322256893</x:v>
      </x:c>
      <x:c r="T304" t="str">
        <x:v>직장밀집·고매출밀도</x:v>
      </x:c>
      <x:c r="U304" s="16" t="n">
        <x:v>78.02531469601148</x:v>
      </x:c>
      <x:c r="V304" t="str">
        <x:v>슈퍼마켓</x:v>
      </x:c>
      <x:c r="W304" t="str">
        <x:v>슈퍼마켓 / 미용실 / 피부관리실</x:v>
      </x:c>
      <x:c r="X304" s="16" t="n">
        <x:v>74.10832561353541</x:v>
      </x:c>
    </x:row>
    <x:row r="305">
      <x:c r="A305" t="str">
        <x:v>3110992</x:v>
      </x:c>
      <x:c r="B305" t="str">
        <x:v>도곡초등학교</x:v>
      </x:c>
      <x:c r="C305" t="str">
        <x:v>골목상권</x:v>
      </x:c>
      <x:c r="D305" t="str">
        <x:v>강남구</x:v>
      </x:c>
      <x:c r="E305" t="str">
        <x:v>대치4동</x:v>
      </x:c>
      <x:c r="F305" s="12" t="n">
        <x:v>138866</x:v>
      </x:c>
      <x:c r="G305" s="12" t="n">
        <x:v>15332495615</x:v>
      </x:c>
      <x:c r="H305" s="12" t="n">
        <x:v>369614</x:v>
      </x:c>
      <x:c r="I305" s="12" t="n">
        <x:v>41482.45362729767</x:v>
      </x:c>
      <x:c r="J305" s="12" t="n">
        <x:v>110412.16435268533</x:v>
      </x:c>
      <x:c r="K305" s="12" t="n">
        <x:v>1383</x:v>
      </x:c>
      <x:c r="L305" s="12" t="n">
        <x:v>99.59241282963433</x:v>
      </x:c>
      <x:c r="M305" s="12" t="n">
        <x:v>17</x:v>
      </x:c>
      <x:c r="N305" s="14" t="n">
        <x:v>0.7072288580595821</x:v>
      </x:c>
      <x:c r="O305" s="14" t="n">
        <x:v>0.2927711419404179</x:v>
      </x:c>
      <x:c r="P305" s="14" t="n">
        <x:v>0.4436626200202569</x:v>
      </x:c>
      <x:c r="Q305" s="14" t="n">
        <x:v>0.15534386096088898</x:v>
      </x:c>
      <x:c r="R305" s="14" t="n">
        <x:v>0.051357531335579645</x:v>
      </x:c>
      <x:c r="S305" s="14" t="n">
        <x:v>0.5480273864731837</x:v>
      </x:c>
      <x:c r="T305" t="str">
        <x:v>여성소비·고매출밀도</x:v>
      </x:c>
      <x:c r="U305" s="16" t="n">
        <x:v>58.35508461776215</x:v>
      </x:c>
      <x:c r="V305" t="str">
        <x:v>일반교습학원</x:v>
      </x:c>
      <x:c r="W305" t="str">
        <x:v>일반교습학원 / 네일숍 / 미용실</x:v>
      </x:c>
      <x:c r="X305" s="16" t="n">
        <x:v>52.17870289736273</x:v>
      </x:c>
    </x:row>
    <x:row r="306">
      <x:c r="A306" t="str">
        <x:v>3120048</x:v>
      </x:c>
      <x:c r="B306" t="str">
        <x:v>금호역</x:v>
      </x:c>
      <x:c r="C306" t="str">
        <x:v>발달상권</x:v>
      </x:c>
      <x:c r="D306" t="str">
        <x:v>성동구</x:v>
      </x:c>
      <x:c r="E306" t="str">
        <x:v>금호4가동</x:v>
      </x:c>
      <x:c r="F306" s="12" t="n">
        <x:v>61031</x:v>
      </x:c>
      <x:c r="G306" s="12" t="n">
        <x:v>15267589889</x:v>
      </x:c>
      <x:c r="H306" s="12" t="n">
        <x:v>579153</x:v>
      </x:c>
      <x:c r="I306" s="12" t="n">
        <x:v>26361.928348812835</x:v>
      </x:c>
      <x:c r="J306" s="12" t="n">
        <x:v>250161.22772033885</x:v>
      </x:c>
      <x:c r="K306" s="12" t="n">
        <x:v>376</x:v>
      </x:c>
      <x:c r="L306" s="12" t="n">
        <x:v>61.608035260769114</x:v>
      </x:c>
      <x:c r="M306" s="12" t="n">
        <x:v>29</x:v>
      </x:c>
      <x:c r="N306" s="14" t="n">
        <x:v>0.7670185365299341</x:v>
      </x:c>
      <x:c r="O306" s="14" t="n">
        <x:v>0.23298146347006585</x:v>
      </x:c>
      <x:c r="P306" s="14" t="n">
        <x:v>0.2847706613558226</x:v>
      </x:c>
      <x:c r="Q306" s="14" t="n">
        <x:v>0.27190734131462235</x:v>
      </x:c>
      <x:c r="R306" s="14" t="n">
        <x:v>0.21465652050041126</x:v>
      </x:c>
      <x:c r="S306" s="14" t="n">
        <x:v>0.5223024860489164</x:v>
      </x:c>
      <x:c r="T306" t="str">
        <x:v>고매출밀도·여성소비</x:v>
      </x:c>
      <x:c r="U306" s="16" t="n">
        <x:v>71.82729001615417</x:v>
      </x:c>
      <x:c r="V306" t="str">
        <x:v>의약품</x:v>
      </x:c>
      <x:c r="W306" t="str">
        <x:v>의약품 / 화초 / 한식음식점</x:v>
      </x:c>
      <x:c r="X306" s="16" t="n">
        <x:v>69.01351188415799</x:v>
      </x:c>
    </x:row>
    <x:row r="307">
      <x:c r="A307" t="str">
        <x:v>3110789</x:v>
      </x:c>
      <x:c r="B307" t="str">
        <x:v>대림성모병원</x:v>
      </x:c>
      <x:c r="C307" t="str">
        <x:v>골목상권</x:v>
      </x:c>
      <x:c r="D307" t="str">
        <x:v>영등포구</x:v>
      </x:c>
      <x:c r="E307" t="str">
        <x:v>대림1동</x:v>
      </x:c>
      <x:c r="F307" s="12" t="n">
        <x:v>86491</x:v>
      </x:c>
      <x:c r="G307" s="12" t="n">
        <x:v>15235317385</x:v>
      </x:c>
      <x:c r="H307" s="12" t="n">
        <x:v>617177</x:v>
      </x:c>
      <x:c r="I307" s="12" t="n">
        <x:v>24685.491171900445</x:v>
      </x:c>
      <x:c r="J307" s="12" t="n">
        <x:v>176149.1644795412</x:v>
      </x:c>
      <x:c r="K307" s="12" t="n">
        <x:v>549</x:v>
      </x:c>
      <x:c r="L307" s="12" t="n">
        <x:v>63.47481240822745</x:v>
      </x:c>
      <x:c r="M307" s="12" t="n">
        <x:v>17</x:v>
      </x:c>
      <x:c r="N307" s="14" t="n">
        <x:v>0.8312509909028062</x:v>
      </x:c>
      <x:c r="O307" s="14" t="n">
        <x:v>0.16874900909719381</x:v>
      </x:c>
      <x:c r="P307" s="14" t="n">
        <x:v>0.15249850641690454</x:v>
      </x:c>
      <x:c r="Q307" s="14" t="n">
        <x:v>0.2883928329793702</x:v>
      </x:c>
      <x:c r="R307" s="14" t="n">
        <x:v>0.15456285041481596</x:v>
      </x:c>
      <x:c r="S307" s="14" t="n">
        <x:v>0.48623967868851853</x:v>
      </x:c>
      <x:c r="T307" t="str">
        <x:v>평일집중·고매출밀도</x:v>
      </x:c>
      <x:c r="U307" s="16" t="n">
        <x:v>70.5291210721152</x:v>
      </x:c>
      <x:c r="V307" t="str">
        <x:v>의약품</x:v>
      </x:c>
      <x:c r="W307" t="str">
        <x:v>의약품 / 일반의원 / 여관</x:v>
      </x:c>
      <x:c r="X307" s="16" t="n">
        <x:v>62.32285962458703</x:v>
      </x:c>
    </x:row>
    <x:row r="308">
      <x:c r="A308" t="str">
        <x:v>3110850</x:v>
      </x:c>
      <x:c r="B308" t="str">
        <x:v>사당역 10번</x:v>
      </x:c>
      <x:c r="C308" t="str">
        <x:v>골목상권</x:v>
      </x:c>
      <x:c r="D308" t="str">
        <x:v>동작구</x:v>
      </x:c>
      <x:c r="E308" t="str">
        <x:v>사당1동</x:v>
      </x:c>
      <x:c r="F308" s="12" t="n">
        <x:v>202958</x:v>
      </x:c>
      <x:c r="G308" s="12" t="n">
        <x:v>15216025270</x:v>
      </x:c>
      <x:c r="H308" s="12" t="n">
        <x:v>562605</x:v>
      </x:c>
      <x:c r="I308" s="12" t="n">
        <x:v>27045.66306733854</x:v>
      </x:c>
      <x:c r="J308" s="12" t="n">
        <x:v>74971.30081100523</x:v>
      </x:c>
      <x:c r="K308" s="12" t="n">
        <x:v>808</x:v>
      </x:c>
      <x:c r="L308" s="12" t="n">
        <x:v>39.81119246346535</x:v>
      </x:c>
      <x:c r="M308" s="12" t="n">
        <x:v>30</x:v>
      </x:c>
      <x:c r="N308" s="14" t="n">
        <x:v>0.7459192501722232</x:v>
      </x:c>
      <x:c r="O308" s="14" t="n">
        <x:v>0.2540807498277768</x:v>
      </x:c>
      <x:c r="P308" s="14" t="n">
        <x:v>0.5739879907546973</x:v>
      </x:c>
      <x:c r="Q308" s="14" t="n">
        <x:v>0.12977989862394596</x:v>
      </x:c>
      <x:c r="R308" s="14" t="n">
        <x:v>0.39322062975254246</x:v>
      </x:c>
      <x:c r="S308" s="14" t="n">
        <x:v>0.40399171031345166</x:v>
      </x:c>
      <x:c r="T308" t="str">
        <x:v>야간활성·2030소비</x:v>
      </x:c>
      <x:c r="U308" s="16" t="n">
        <x:v>65.9884207553403</x:v>
      </x:c>
      <x:c r="V308" t="str">
        <x:v>반찬가게</x:v>
      </x:c>
      <x:c r="W308" t="str">
        <x:v>반찬가게 / 인테리어 / 커피-음료</x:v>
      </x:c>
      <x:c r="X308" s="16" t="n">
        <x:v>61.399053358161</x:v>
      </x:c>
    </x:row>
    <x:row r="309">
      <x:c r="A309" t="str">
        <x:v>3120075</x:v>
      </x:c>
      <x:c r="B309" t="str">
        <x:v>월곡역</x:v>
      </x:c>
      <x:c r="C309" t="str">
        <x:v>발달상권</x:v>
      </x:c>
      <x:c r="D309" t="str">
        <x:v>성북구</x:v>
      </x:c>
      <x:c r="E309" t="str">
        <x:v>월곡2동</x:v>
      </x:c>
      <x:c r="F309" s="12" t="n">
        <x:v>94516</x:v>
      </x:c>
      <x:c r="G309" s="12" t="n">
        <x:v>15167713581</x:v>
      </x:c>
      <x:c r="H309" s="12" t="n">
        <x:v>764659</x:v>
      </x:c>
      <x:c r="I309" s="12" t="n">
        <x:v>19835.918469540018</x:v>
      </x:c>
      <x:c r="J309" s="12" t="n">
        <x:v>160477.73478564474</x:v>
      </x:c>
      <x:c r="K309" s="12" t="n">
        <x:v>1144</x:v>
      </x:c>
      <x:c r="L309" s="12" t="n">
        <x:v>121.03770790130771</x:v>
      </x:c>
      <x:c r="M309" s="12" t="n">
        <x:v>27</x:v>
      </x:c>
      <x:c r="N309" s="14" t="n">
        <x:v>0.7823555943767792</x:v>
      </x:c>
      <x:c r="O309" s="14" t="n">
        <x:v>0.21764440562322088</x:v>
      </x:c>
      <x:c r="P309" s="14" t="n">
        <x:v>0.3452305456611061</x:v>
      </x:c>
      <x:c r="Q309" s="14" t="n">
        <x:v>0.263507292226736</x:v>
      </x:c>
      <x:c r="R309" s="14" t="n">
        <x:v>0.2579715019079381</x:v>
      </x:c>
      <x:c r="S309" s="14" t="n">
        <x:v>0.48894088772152694</x:v>
      </x:c>
      <x:c r="T309" t="str">
        <x:v>고매출밀도·여성소비</x:v>
      </x:c>
      <x:c r="U309" s="16" t="n">
        <x:v>73.48403555512344</x:v>
      </x:c>
      <x:c r="V309" t="str">
        <x:v>육류판매</x:v>
      </x:c>
      <x:c r="W309" t="str">
        <x:v>육류판매 / 문구 / 패스트푸드점</x:v>
      </x:c>
      <x:c r="X309" s="16" t="n">
        <x:v>68.58234606708979</x:v>
      </x:c>
    </x:row>
    <x:row r="310">
      <x:c r="A310" t="str">
        <x:v>3110714</x:v>
      </x:c>
      <x:c r="B310" t="str">
        <x:v>구로4동주민센터</x:v>
      </x:c>
      <x:c r="C310" t="str">
        <x:v>골목상권</x:v>
      </x:c>
      <x:c r="D310" t="str">
        <x:v>구로구</x:v>
      </x:c>
      <x:c r="E310" t="str">
        <x:v>구로4동</x:v>
      </x:c>
      <x:c r="F310" s="12" t="n">
        <x:v>140331</x:v>
      </x:c>
      <x:c r="G310" s="12" t="n">
        <x:v>15096832577</x:v>
      </x:c>
      <x:c r="H310" s="12" t="n">
        <x:v>871779</x:v>
      </x:c>
      <x:c r="I310" s="12" t="n">
        <x:v>17317.270290979708</x:v>
      </x:c>
      <x:c r="J310" s="12" t="n">
        <x:v>107580.16815243958</x:v>
      </x:c>
      <x:c r="K310" s="12" t="n">
        <x:v>287</x:v>
      </x:c>
      <x:c r="L310" s="12" t="n">
        <x:v>20.451646464430528</x:v>
      </x:c>
      <x:c r="M310" s="12" t="n">
        <x:v>29</x:v>
      </x:c>
      <x:c r="N310" s="14" t="n">
        <x:v>0.7522214789147953</x:v>
      </x:c>
      <x:c r="O310" s="14" t="n">
        <x:v>0.2477785210852047</x:v>
      </x:c>
      <x:c r="P310" s="14" t="n">
        <x:v>0.2978903128893061</x:v>
      </x:c>
      <x:c r="Q310" s="14" t="n">
        <x:v>0.25337111228401216</x:v>
      </x:c>
      <x:c r="R310" s="14" t="n">
        <x:v>0.14552610766493498</x:v>
      </x:c>
      <x:c r="S310" s="14" t="n">
        <x:v>0.5044235836331484</x:v>
      </x:c>
      <x:c r="T310" t="str">
        <x:v>여성소비·고매출밀도</x:v>
      </x:c>
      <x:c r="U310" s="16" t="n">
        <x:v>66.3204784868068</x:v>
      </x:c>
      <x:c r="V310" t="str">
        <x:v>의약품</x:v>
      </x:c>
      <x:c r="W310" t="str">
        <x:v>의약품 / 일반의원 / 당구장</x:v>
      </x:c>
      <x:c r="X310" s="16" t="n">
        <x:v>61.14603216024858</x:v>
      </x:c>
    </x:row>
    <x:row r="311">
      <x:c r="A311" t="str">
        <x:v>3110634</x:v>
      </x:c>
      <x:c r="B311" t="str">
        <x:v>송정역 3번</x:v>
      </x:c>
      <x:c r="C311" t="str">
        <x:v>골목상권</x:v>
      </x:c>
      <x:c r="D311" t="str">
        <x:v>강서구</x:v>
      </x:c>
      <x:c r="E311" t="str">
        <x:v>공항동</x:v>
      </x:c>
      <x:c r="F311" s="12" t="n">
        <x:v>238960</x:v>
      </x:c>
      <x:c r="G311" s="12" t="n">
        <x:v>15076231450</x:v>
      </x:c>
      <x:c r="H311" s="12" t="n">
        <x:v>586798</x:v>
      </x:c>
      <x:c r="I311" s="12" t="n">
        <x:v>25692.370202352427</x:v>
      </x:c>
      <x:c r="J311" s="12" t="n">
        <x:v>63091.02548543689</x:v>
      </x:c>
      <x:c r="K311" s="12" t="n">
        <x:v>1697</x:v>
      </x:c>
      <x:c r="L311" s="12" t="n">
        <x:v>71.01606963508537</x:v>
      </x:c>
      <x:c r="M311" s="12" t="n">
        <x:v>24</x:v>
      </x:c>
      <x:c r="N311" s="14" t="n">
        <x:v>0.8378542552157489</x:v>
      </x:c>
      <x:c r="O311" s="14" t="n">
        <x:v>0.16214574478425112</x:v>
      </x:c>
      <x:c r="P311" s="14" t="n">
        <x:v>0.29535948507874626</x:v>
      </x:c>
      <x:c r="Q311" s="14" t="n">
        <x:v>0.28934496372433977</x:v>
      </x:c>
      <x:c r="R311" s="14" t="n">
        <x:v>0.18849602982182925</x:v>
      </x:c>
      <x:c r="S311" s="14" t="n">
        <x:v>0.4537066518702192</x:v>
      </x:c>
      <x:c r="T311" t="str">
        <x:v>평일집중·여성소비</x:v>
      </x:c>
      <x:c r="U311" s="16" t="n">
        <x:v>68.95686051336406</x:v>
      </x:c>
      <x:c r="V311" t="str">
        <x:v>미용실</x:v>
      </x:c>
      <x:c r="W311" t="str">
        <x:v>미용실 / 반찬가게 / 철물점</x:v>
      </x:c>
      <x:c r="X311" s="16" t="n">
        <x:v>66.63455518202802</x:v>
      </x:c>
    </x:row>
    <x:row r="312">
      <x:c r="A312" t="str">
        <x:v>3111059</x:v>
      </x:c>
      <x:c r="B312" t="str">
        <x:v>강동역 4번(강풀만화거리)</x:v>
      </x:c>
      <x:c r="C312" t="str">
        <x:v>골목상권</x:v>
      </x:c>
      <x:c r="D312" t="str">
        <x:v>강동구</x:v>
      </x:c>
      <x:c r="E312" t="str">
        <x:v>성내2동</x:v>
      </x:c>
      <x:c r="F312" s="12" t="n">
        <x:v>282300</x:v>
      </x:c>
      <x:c r="G312" s="12" t="n">
        <x:v>14894133021</x:v>
      </x:c>
      <x:c r="H312" s="12" t="n">
        <x:v>369125</x:v>
      </x:c>
      <x:c r="I312" s="12" t="n">
        <x:v>40349.83547849645</x:v>
      </x:c>
      <x:c r="J312" s="12" t="n">
        <x:v>52759.94693942614</x:v>
      </x:c>
      <x:c r="K312" s="12" t="n">
        <x:v>830</x:v>
      </x:c>
      <x:c r="L312" s="12" t="n">
        <x:v>29.40134608572441</x:v>
      </x:c>
      <x:c r="M312" s="12" t="n">
        <x:v>30</x:v>
      </x:c>
      <x:c r="N312" s="14" t="n">
        <x:v>0.8303796881337119</x:v>
      </x:c>
      <x:c r="O312" s="14" t="n">
        <x:v>0.16962031186628812</x:v>
      </x:c>
      <x:c r="P312" s="14" t="n">
        <x:v>0.43286897504606353</x:v>
      </x:c>
      <x:c r="Q312" s="14" t="n">
        <x:v>0.36615106970716776</x:v>
      </x:c>
      <x:c r="R312" s="14" t="n">
        <x:v>0.4202615842878875</x:v>
      </x:c>
      <x:c r="S312" s="14" t="n">
        <x:v>0.3256281381508953</x:v>
      </x:c>
      <x:c r="T312" t="str">
        <x:v>2030소비·평일집중</x:v>
      </x:c>
      <x:c r="U312" s="16" t="n">
        <x:v>70.24930893872994</x:v>
      </x:c>
      <x:c r="V312" t="str">
        <x:v>의료기기</x:v>
      </x:c>
      <x:c r="W312" t="str">
        <x:v>의료기기 / 치킨전문점 / 한식음식점</x:v>
      </x:c>
      <x:c r="X312" s="16" t="n">
        <x:v>64.27597477617732</x:v>
      </x:c>
    </x:row>
    <x:row r="313">
      <x:c r="A313" t="str">
        <x:v>3110638</x:v>
      </x:c>
      <x:c r="B313" t="str">
        <x:v>신방화역 2번</x:v>
      </x:c>
      <x:c r="C313" t="str">
        <x:v>골목상권</x:v>
      </x:c>
      <x:c r="D313" t="str">
        <x:v>강서구</x:v>
      </x:c>
      <x:c r="E313" t="str">
        <x:v>방화1동</x:v>
      </x:c>
      <x:c r="F313" s="12" t="n">
        <x:v>180870</x:v>
      </x:c>
      <x:c r="G313" s="12" t="n">
        <x:v>14816388404</x:v>
      </x:c>
      <x:c r="H313" s="12" t="n">
        <x:v>697998</x:v>
      </x:c>
      <x:c r="I313" s="12" t="n">
        <x:v>21226.978306528097</x:v>
      </x:c>
      <x:c r="J313" s="12" t="n">
        <x:v>81917.33512467518</x:v>
      </x:c>
      <x:c r="K313" s="12" t="n">
        <x:v>1614</x:v>
      </x:c>
      <x:c r="L313" s="12" t="n">
        <x:v>89.23536241499419</x:v>
      </x:c>
      <x:c r="M313" s="12" t="n">
        <x:v>36</x:v>
      </x:c>
      <x:c r="N313" s="14" t="n">
        <x:v>0.730425259443003</x:v>
      </x:c>
      <x:c r="O313" s="14" t="n">
        <x:v>0.2695747405569971</x:v>
      </x:c>
      <x:c r="P313" s="14" t="n">
        <x:v>0.35014131970240703</x:v>
      </x:c>
      <x:c r="Q313" s="14" t="n">
        <x:v>0.2527464419054386</x:v>
      </x:c>
      <x:c r="R313" s="14" t="n">
        <x:v>0.2240067667977692</x:v>
      </x:c>
      <x:c r="S313" s="14" t="n">
        <x:v>0.4476814271559778</x:v>
      </x:c>
      <x:c r="T313" t="str">
        <x:v>고매출밀도·여성소비</x:v>
      </x:c>
      <x:c r="U313" s="16" t="n">
        <x:v>67.6670325376343</x:v>
      </x:c>
      <x:c r="V313" t="str">
        <x:v>가전제품</x:v>
      </x:c>
      <x:c r="W313" t="str">
        <x:v>가전제품 / 일반의류 / 가전제품수리</x:v>
      </x:c>
      <x:c r="X313" s="16" t="n">
        <x:v>63.69564338934201</x:v>
      </x:c>
    </x:row>
    <x:row r="314">
      <x:c r="A314" t="str">
        <x:v>3130139</x:v>
      </x:c>
      <x:c r="B314" t="str">
        <x:v>강북종합전통시장(강북종합골목시장)</x:v>
      </x:c>
      <x:c r="C314" t="str">
        <x:v>전통시장</x:v>
      </x:c>
      <x:c r="D314" t="str">
        <x:v>강북구</x:v>
      </x:c>
      <x:c r="E314" t="str">
        <x:v>수유3동</x:v>
      </x:c>
      <x:c r="F314" s="12" t="n">
        <x:v>74901</x:v>
      </x:c>
      <x:c r="G314" s="12" t="n">
        <x:v>14773722144</x:v>
      </x:c>
      <x:c r="H314" s="12" t="n">
        <x:v>558447</x:v>
      </x:c>
      <x:c r="I314" s="12" t="n">
        <x:v>26455.012103207646</x:v>
      </x:c>
      <x:c r="J314" s="12" t="n">
        <x:v>197243.32310650058</x:v>
      </x:c>
      <x:c r="K314" s="12" t="n">
        <x:v>278</x:v>
      </x:c>
      <x:c r="L314" s="12" t="n">
        <x:v>37.1156593369915</x:v>
      </x:c>
      <x:c r="M314" s="12" t="n">
        <x:v>20</x:v>
      </x:c>
      <x:c r="N314" s="14" t="n">
        <x:v>0.7036943681265974</x:v>
      </x:c>
      <x:c r="O314" s="14" t="n">
        <x:v>0.2963056318734026</x:v>
      </x:c>
      <x:c r="P314" s="14" t="n">
        <x:v>0.46918516636750957</x:v>
      </x:c>
      <x:c r="Q314" s="14" t="n">
        <x:v>0.16737911501904582</x:v>
      </x:c>
      <x:c r="R314" s="14" t="n">
        <x:v>0.17693594244708438</x:v>
      </x:c>
      <x:c r="S314" s="14" t="n">
        <x:v>0.4316625094773408</x:v>
      </x:c>
      <x:c r="T314" t="str">
        <x:v>고매출밀도·야간활성</x:v>
      </x:c>
      <x:c r="U314" s="16" t="n">
        <x:v>76.86429500285561</x:v>
      </x:c>
      <x:c r="V314" t="str">
        <x:v>청과상</x:v>
      </x:c>
      <x:c r="W314" t="str">
        <x:v>청과상 / 일반의류 / 제과점</x:v>
      </x:c>
      <x:c r="X314" s="16" t="n">
        <x:v>64.29227518140988</x:v>
      </x:c>
    </x:row>
    <x:row r="315">
      <x:c r="A315" t="str">
        <x:v>3110892</x:v>
      </x:c>
      <x:c r="B315" t="str">
        <x:v>관악구 중앙길</x:v>
      </x:c>
      <x:c r="C315" t="str">
        <x:v>골목상권</x:v>
      </x:c>
      <x:c r="D315" t="str">
        <x:v>관악구</x:v>
      </x:c>
      <x:c r="E315" t="str">
        <x:v>중앙동</x:v>
      </x:c>
      <x:c r="F315" s="12" t="n">
        <x:v>259916</x:v>
      </x:c>
      <x:c r="G315" s="12" t="n">
        <x:v>14723379250</x:v>
      </x:c>
      <x:c r="H315" s="12" t="n">
        <x:v>831438</x:v>
      </x:c>
      <x:c r="I315" s="12" t="n">
        <x:v>17708.33092786233</x:v>
      </x:c>
      <x:c r="J315" s="12" t="n">
        <x:v>56646.68296680466</x:v>
      </x:c>
      <x:c r="K315" s="12" t="n">
        <x:v>431</x:v>
      </x:c>
      <x:c r="L315" s="12" t="n">
        <x:v>16.582280429061697</x:v>
      </x:c>
      <x:c r="M315" s="12" t="n">
        <x:v>30</x:v>
      </x:c>
      <x:c r="N315" s="14" t="n">
        <x:v>0.7681163036671761</x:v>
      </x:c>
      <x:c r="O315" s="14" t="n">
        <x:v>0.23188369633282385</x:v>
      </x:c>
      <x:c r="P315" s="14" t="n">
        <x:v>0.4380860090254077</x:v>
      </x:c>
      <x:c r="Q315" s="14" t="n">
        <x:v>0.20349351267305024</x:v>
      </x:c>
      <x:c r="R315" s="14" t="n">
        <x:v>0.35087672172813184</x:v>
      </x:c>
      <x:c r="S315" s="14" t="n">
        <x:v>0.4444366935667979</x:v>
      </x:c>
      <x:c r="T315" t="str">
        <x:v>2030소비·야간활성</x:v>
      </x:c>
      <x:c r="U315" s="16" t="n">
        <x:v>71.20136266459717</x:v>
      </x:c>
      <x:c r="V315" t="str">
        <x:v>자동차수리</x:v>
      </x:c>
      <x:c r="W315" t="str">
        <x:v>자동차수리 / 제과점 / 화장품</x:v>
      </x:c>
      <x:c r="X315" s="16" t="n">
        <x:v>66.17806455097613</x:v>
      </x:c>
    </x:row>
    <x:row r="316">
      <x:c r="A316" t="str">
        <x:v>3110994</x:v>
      </x:c>
      <x:c r="B316" t="str">
        <x:v>개포고등학교</x:v>
      </x:c>
      <x:c r="C316" t="str">
        <x:v>골목상권</x:v>
      </x:c>
      <x:c r="D316" t="str">
        <x:v>강남구</x:v>
      </x:c>
      <x:c r="E316" t="str">
        <x:v>개포2동</x:v>
      </x:c>
      <x:c r="F316" s="12" t="n">
        <x:v>61589</x:v>
      </x:c>
      <x:c r="G316" s="12" t="n">
        <x:v>14702163802</x:v>
      </x:c>
      <x:c r="H316" s="12" t="n">
        <x:v>412587</x:v>
      </x:c>
      <x:c r="I316" s="12" t="n">
        <x:v>35634.09366266993</x:v>
      </x:c>
      <x:c r="J316" s="12" t="n">
        <x:v>238714.11781324586</x:v>
      </x:c>
      <x:c r="K316" s="12" t="n">
        <x:v>3211</x:v>
      </x:c>
      <x:c r="L316" s="12" t="n">
        <x:v>521.3593336472422</x:v>
      </x:c>
      <x:c r="M316" s="12" t="n">
        <x:v>21</x:v>
      </x:c>
      <x:c r="N316" s="14" t="n">
        <x:v>0.7660834619097247</x:v>
      </x:c>
      <x:c r="O316" s="14" t="n">
        <x:v>0.23391653809027532</x:v>
      </x:c>
      <x:c r="P316" s="14" t="n">
        <x:v>0.35586471722538354</x:v>
      </x:c>
      <x:c r="Q316" s="14" t="n">
        <x:v>0.22938632512999396</x:v>
      </x:c>
      <x:c r="R316" s="14" t="n">
        <x:v>0.17183584491531295</x:v>
      </x:c>
      <x:c r="S316" s="14" t="n">
        <x:v>0.5255497088087742</x:v>
      </x:c>
      <x:c r="T316" t="str">
        <x:v>직장밀집·고매출밀도</x:v>
      </x:c>
      <x:c r="U316" s="16" t="n">
        <x:v>77.33591583894577</x:v>
      </x:c>
      <x:c r="V316" t="str">
        <x:v>한식음식점</x:v>
      </x:c>
      <x:c r="W316" t="str">
        <x:v>한식음식점 / 당구장 / 커피-음료</x:v>
      </x:c>
      <x:c r="X316" s="16" t="n">
        <x:v>70.19691367120859</x:v>
      </x:c>
    </x:row>
    <x:row r="317">
      <x:c r="A317" t="str">
        <x:v>3120238</x:v>
      </x:c>
      <x:c r="B317" t="str">
        <x:v>방이역</x:v>
      </x:c>
      <x:c r="C317" t="str">
        <x:v>발달상권</x:v>
      </x:c>
      <x:c r="D317" t="str">
        <x:v>송파구</x:v>
      </x:c>
      <x:c r="E317" t="str">
        <x:v>방이1동</x:v>
      </x:c>
      <x:c r="F317" s="12" t="n">
        <x:v>45610</x:v>
      </x:c>
      <x:c r="G317" s="12" t="n">
        <x:v>14636845803</x:v>
      </x:c>
      <x:c r="H317" s="12" t="n">
        <x:v>756143</x:v>
      </x:c>
      <x:c r="I317" s="12" t="n">
        <x:v>19357.245657236792</x:v>
      </x:c>
      <x:c r="J317" s="12" t="n">
        <x:v>320913.08491558867</x:v>
      </x:c>
      <x:c r="K317" s="12" t="n">
        <x:v>1298</x:v>
      </x:c>
      <x:c r="L317" s="12" t="n">
        <x:v>284.58671344003506</x:v>
      </x:c>
      <x:c r="M317" s="12" t="n">
        <x:v>21</x:v>
      </x:c>
      <x:c r="N317" s="14" t="n">
        <x:v>0.7939938454921769</x:v>
      </x:c>
      <x:c r="O317" s="14" t="n">
        <x:v>0.20600615450782309</x:v>
      </x:c>
      <x:c r="P317" s="14" t="n">
        <x:v>0.3067923498298809</x:v>
      </x:c>
      <x:c r="Q317" s="14" t="n">
        <x:v>0.26650686216838326</x:v>
      </x:c>
      <x:c r="R317" s="14" t="n">
        <x:v>0.18296146676978148</x:v>
      </x:c>
      <x:c r="S317" s="14" t="n">
        <x:v>0.5059913144321043</x:v>
      </x:c>
      <x:c r="T317" t="str">
        <x:v>고매출밀도·직장밀집</x:v>
      </x:c>
      <x:c r="U317" s="16" t="n">
        <x:v>72.53947307707932</x:v>
      </x:c>
      <x:c r="V317" t="str">
        <x:v>치과의원</x:v>
      </x:c>
      <x:c r="W317" t="str">
        <x:v>치과의원 / 피부관리실 / 커피-음료</x:v>
      </x:c>
      <x:c r="X317" s="16" t="n">
        <x:v>67.40743507509322</x:v>
      </x:c>
    </x:row>
    <x:row r="318">
      <x:c r="A318" t="str">
        <x:v>3111013</x:v>
      </x:c>
      <x:c r="B318" t="str">
        <x:v>송파나루역 1번(송리단길)</x:v>
      </x:c>
      <x:c r="C318" t="str">
        <x:v>골목상권</x:v>
      </x:c>
      <x:c r="D318" t="str">
        <x:v>송파구</x:v>
      </x:c>
      <x:c r="E318" t="str">
        <x:v>송파1동</x:v>
      </x:c>
      <x:c r="F318" s="12" t="n">
        <x:v>191523</x:v>
      </x:c>
      <x:c r="G318" s="12" t="n">
        <x:v>14532293944</x:v>
      </x:c>
      <x:c r="H318" s="12" t="n">
        <x:v>455637</x:v>
      </x:c>
      <x:c r="I318" s="12" t="n">
        <x:v>31894.455331766298</x:v>
      </x:c>
      <x:c r="J318" s="12" t="n">
        <x:v>75877.5392198326</x:v>
      </x:c>
      <x:c r="K318" s="12" t="n">
        <x:v>4799</x:v>
      </x:c>
      <x:c r="L318" s="12" t="n">
        <x:v>250.5704275726675</x:v>
      </x:c>
      <x:c r="M318" s="12" t="n">
        <x:v>23</x:v>
      </x:c>
      <x:c r="N318" s="14" t="n">
        <x:v>0.7124981667656805</x:v>
      </x:c>
      <x:c r="O318" s="14" t="n">
        <x:v>0.28750183323431955</x:v>
      </x:c>
      <x:c r="P318" s="14" t="n">
        <x:v>0.5998705076839725</x:v>
      </x:c>
      <x:c r="Q318" s="14" t="n">
        <x:v>0.16134358003184085</x:v>
      </x:c>
      <x:c r="R318" s="14" t="n">
        <x:v>0.45251867560214826</x:v>
      </x:c>
      <x:c r="S318" s="14" t="n">
        <x:v>0.4649733799108736</x:v>
      </x:c>
      <x:c r="T318" t="str">
        <x:v>야간활성·2030소비</x:v>
      </x:c>
      <x:c r="U318" s="16" t="n">
        <x:v>63.54236359682603</x:v>
      </x:c>
      <x:c r="V318" t="str">
        <x:v>화장품</x:v>
      </x:c>
      <x:c r="W318" t="str">
        <x:v>화장품 / 양식음식점 / 커피-음료</x:v>
      </x:c>
      <x:c r="X318" s="16" t="n">
        <x:v>58.450200901537855</x:v>
      </x:c>
    </x:row>
    <x:row r="319">
      <x:c r="A319" t="str">
        <x:v>3110062</x:v>
      </x:c>
      <x:c r="B319" t="str">
        <x:v>한강로동땡땡거리(은행나무길)</x:v>
      </x:c>
      <x:c r="C319" t="str">
        <x:v>골목상권</x:v>
      </x:c>
      <x:c r="D319" t="str">
        <x:v>용산구</x:v>
      </x:c>
      <x:c r="E319" t="str">
        <x:v>한강로동</x:v>
      </x:c>
      <x:c r="F319" s="12" t="n">
        <x:v>132684</x:v>
      </x:c>
      <x:c r="G319" s="12" t="n">
        <x:v>14476685186</x:v>
      </x:c>
      <x:c r="H319" s="12" t="n">
        <x:v>329121</x:v>
      </x:c>
      <x:c r="I319" s="12" t="n">
        <x:v>43985.90544510986</x:v>
      </x:c>
      <x:c r="J319" s="12" t="n">
        <x:v>109106.48748907178</x:v>
      </x:c>
      <x:c r="K319" s="12" t="n">
        <x:v>2802</x:v>
      </x:c>
      <x:c r="L319" s="12" t="n">
        <x:v>211.17843899791987</x:v>
      </x:c>
      <x:c r="M319" s="12" t="n">
        <x:v>13</x:v>
      </x:c>
      <x:c r="N319" s="14" t="n">
        <x:v>0.7248709590057394</x:v>
      </x:c>
      <x:c r="O319" s="14" t="n">
        <x:v>0.27512904099426067</x:v>
      </x:c>
      <x:c r="P319" s="14" t="n">
        <x:v>0.658536905825618</x:v>
      </x:c>
      <x:c r="Q319" s="14" t="n">
        <x:v>0.20418874321164643</x:v>
      </x:c>
      <x:c r="R319" s="14" t="n">
        <x:v>0.48466079671230616</x:v>
      </x:c>
      <x:c r="S319" s="14" t="n">
        <x:v>0.3941245766342798</x:v>
      </x:c>
      <x:c r="T319" t="str">
        <x:v>야간활성·2030소비</x:v>
      </x:c>
      <x:c r="U319" s="16" t="n">
        <x:v>66.89339815408167</x:v>
      </x:c>
      <x:c r="V319" t="str">
        <x:v>한식음식점</x:v>
      </x:c>
      <x:c r="W319" t="str">
        <x:v>한식음식점 / 자동차수리 / 양식음식점</x:v>
      </x:c>
      <x:c r="X319" s="16" t="n">
        <x:v>59.90254193191832</x:v>
      </x:c>
    </x:row>
    <x:row r="320">
      <x:c r="A320" t="str">
        <x:v>3110645</x:v>
      </x:c>
      <x:c r="B320" t="str">
        <x:v>우장산역 4번</x:v>
      </x:c>
      <x:c r="C320" t="str">
        <x:v>골목상권</x:v>
      </x:c>
      <x:c r="D320" t="str">
        <x:v>강서구</x:v>
      </x:c>
      <x:c r="E320" t="str">
        <x:v>발산1동</x:v>
      </x:c>
      <x:c r="F320" s="12" t="n">
        <x:v>180103</x:v>
      </x:c>
      <x:c r="G320" s="12" t="n">
        <x:v>14461357104</x:v>
      </x:c>
      <x:c r="H320" s="12" t="n">
        <x:v>622081</x:v>
      </x:c>
      <x:c r="I320" s="12" t="n">
        <x:v>23246.742954695612</x:v>
      </x:c>
      <x:c r="J320" s="12" t="n">
        <x:v>80294.92625886298</x:v>
      </x:c>
      <x:c r="K320" s="12" t="n">
        <x:v>536</x:v>
      </x:c>
      <x:c r="L320" s="12" t="n">
        <x:v>29.76074801641283</x:v>
      </x:c>
      <x:c r="M320" s="12" t="n">
        <x:v>27</x:v>
      </x:c>
      <x:c r="N320" s="14" t="n">
        <x:v>0.7444657789428446</x:v>
      </x:c>
      <x:c r="O320" s="14" t="n">
        <x:v>0.25553422105715534</x:v>
      </x:c>
      <x:c r="P320" s="14" t="n">
        <x:v>0.3850687263271941</x:v>
      </x:c>
      <x:c r="Q320" s="14" t="n">
        <x:v>0.2411947584113818</x:v>
      </x:c>
      <x:c r="R320" s="14" t="n">
        <x:v>0.19337838647428784</x:v>
      </x:c>
      <x:c r="S320" s="14" t="n">
        <x:v>0.5279514574664776</x:v>
      </x:c>
      <x:c r="T320" t="str">
        <x:v>여성소비·고매출밀도</x:v>
      </x:c>
      <x:c r="U320" s="16" t="n">
        <x:v>64.23269785818027</x:v>
      </x:c>
      <x:c r="V320" t="str">
        <x:v>일반교습학원</x:v>
      </x:c>
      <x:c r="W320" t="str">
        <x:v>일반교습학원 / 의약품 / 예술학원</x:v>
      </x:c>
      <x:c r="X320" s="16" t="n">
        <x:v>61.19805431403628</x:v>
      </x:c>
    </x:row>
    <x:row r="321">
      <x:c r="A321" t="str">
        <x:v>3130323</x:v>
      </x:c>
      <x:c r="B321" t="str">
        <x:v>둔촌역전통시장</x:v>
      </x:c>
      <x:c r="C321" t="str">
        <x:v>전통시장</x:v>
      </x:c>
      <x:c r="D321" t="str">
        <x:v>강동구</x:v>
      </x:c>
      <x:c r="E321" t="str">
        <x:v>성내3동</x:v>
      </x:c>
      <x:c r="F321" s="12" t="n">
        <x:v>36613</x:v>
      </x:c>
      <x:c r="G321" s="12" t="n">
        <x:v>14312819445</x:v>
      </x:c>
      <x:c r="H321" s="12" t="n">
        <x:v>533868</x:v>
      </x:c>
      <x:c r="I321" s="12" t="n">
        <x:v>26809.659775450113</x:v>
      </x:c>
      <x:c r="J321" s="12" t="n">
        <x:v>390921.788572365</x:v>
      </x:c>
      <x:c r="K321" s="12" t="n">
        <x:v>262</x:v>
      </x:c>
      <x:c r="L321" s="12" t="n">
        <x:v>71.55928222216153</x:v>
      </x:c>
      <x:c r="M321" s="12" t="n">
        <x:v>17</x:v>
      </x:c>
      <x:c r="N321" s="14" t="n">
        <x:v>0.6683023720627952</x:v>
      </x:c>
      <x:c r="O321" s="14" t="n">
        <x:v>0.3316976279372048</x:v>
      </x:c>
      <x:c r="P321" s="14" t="n">
        <x:v>0.365837538866543</x:v>
      </x:c>
      <x:c r="Q321" s="14" t="n">
        <x:v>0.23128178118367929</x:v>
      </x:c>
      <x:c r="R321" s="14" t="n">
        <x:v>0.14311523036193796</x:v>
      </x:c>
      <x:c r="S321" s="14" t="n">
        <x:v>0.531647007163095</x:v>
      </x:c>
      <x:c r="T321" t="str">
        <x:v>고매출밀도·여성소비</x:v>
      </x:c>
      <x:c r="U321" s="16" t="n">
        <x:v>61.13078433278868</x:v>
      </x:c>
      <x:c r="V321" t="str">
        <x:v>육류판매</x:v>
      </x:c>
      <x:c r="W321" t="str">
        <x:v>육류판매 / 일반의류 / 청과상</x:v>
      </x:c>
      <x:c r="X321" s="16" t="n">
        <x:v>58.86615494852079</x:v>
      </x:c>
    </x:row>
    <x:row r="322">
      <x:c r="A322" t="str">
        <x:v>3110128</x:v>
      </x:c>
      <x:c r="B322" t="str">
        <x:v>성원중학교</x:v>
      </x:c>
      <x:c r="C322" t="str">
        <x:v>골목상권</x:v>
      </x:c>
      <x:c r="D322" t="str">
        <x:v>성동구</x:v>
      </x:c>
      <x:c r="E322" t="str">
        <x:v>성수1가1동</x:v>
      </x:c>
      <x:c r="F322" s="12" t="n">
        <x:v>247340</x:v>
      </x:c>
      <x:c r="G322" s="12" t="n">
        <x:v>14296257285</x:v>
      </x:c>
      <x:c r="H322" s="12" t="n">
        <x:v>575090</x:v>
      </x:c>
      <x:c r="I322" s="12" t="n">
        <x:v>24859.16514806378</x:v>
      </x:c>
      <x:c r="J322" s="12" t="n">
        <x:v>57800.02136734859</x:v>
      </x:c>
      <x:c r="K322" s="12" t="n">
        <x:v>1406</x:v>
      </x:c>
      <x:c r="L322" s="12" t="n">
        <x:v>56.84482898035093</x:v>
      </x:c>
      <x:c r="M322" s="12" t="n">
        <x:v>35</x:v>
      </x:c>
      <x:c r="N322" s="14" t="n">
        <x:v>0.8117909046150745</x:v>
      </x:c>
      <x:c r="O322" s="14" t="n">
        <x:v>0.18820909538492542</x:v>
      </x:c>
      <x:c r="P322" s="14" t="n">
        <x:v>0.33500863943076414</x:v>
      </x:c>
      <x:c r="Q322" s="14" t="n">
        <x:v>0.24992133142069428</x:v>
      </x:c>
      <x:c r="R322" s="14" t="n">
        <x:v>0.19668798909700091</x:v>
      </x:c>
      <x:c r="S322" s="14" t="n">
        <x:v>0.37864028704069314</x:v>
      </x:c>
      <x:c r="T322" t="str">
        <x:v>평일집중·고매출밀도</x:v>
      </x:c>
      <x:c r="U322" s="16" t="n">
        <x:v>78.47688932656332</x:v>
      </x:c>
      <x:c r="V322" t="str">
        <x:v>육류판매</x:v>
      </x:c>
      <x:c r="W322" t="str">
        <x:v>육류판매 / 미용실 / 예술학원</x:v>
      </x:c>
      <x:c r="X322" s="16" t="n">
        <x:v>74.39622792482278</x:v>
      </x:c>
    </x:row>
    <x:row r="323">
      <x:c r="A323" t="str">
        <x:v>3110272</x:v>
      </x:c>
      <x:c r="B323" t="str">
        <x:v>신내1동주민센터</x:v>
      </x:c>
      <x:c r="C323" t="str">
        <x:v>골목상권</x:v>
      </x:c>
      <x:c r="D323" t="str">
        <x:v>중랑구</x:v>
      </x:c>
      <x:c r="E323" t="str">
        <x:v>신내1동</x:v>
      </x:c>
      <x:c r="F323" s="12" t="n">
        <x:v>146352</x:v>
      </x:c>
      <x:c r="G323" s="12" t="n">
        <x:v>14253532989</x:v>
      </x:c>
      <x:c r="H323" s="12" t="n">
        <x:v>570754</x:v>
      </x:c>
      <x:c r="I323" s="12" t="n">
        <x:v>24973.163550321155</x:v>
      </x:c>
      <x:c r="J323" s="12" t="n">
        <x:v>97392.12985815022</x:v>
      </x:c>
      <x:c r="K323" s="12" t="n">
        <x:v>976</x:v>
      </x:c>
      <x:c r="L323" s="12" t="n">
        <x:v>66.68853175904668</x:v>
      </x:c>
      <x:c r="M323" s="12" t="n">
        <x:v>29</x:v>
      </x:c>
      <x:c r="N323" s="14" t="n">
        <x:v>0.7368109209909515</x:v>
      </x:c>
      <x:c r="O323" s="14" t="n">
        <x:v>0.2631890790090485</x:v>
      </x:c>
      <x:c r="P323" s="14" t="n">
        <x:v>0.45501828837841124</x:v>
      </x:c>
      <x:c r="Q323" s="14" t="n">
        <x:v>0.21796011223305556</x:v>
      </x:c>
      <x:c r="R323" s="14" t="n">
        <x:v>0.19176056835237734</x:v>
      </x:c>
      <x:c r="S323" s="14" t="n">
        <x:v>0.4466372604541632</x:v>
      </x:c>
      <x:c r="T323" t="str">
        <x:v>야간활성·고매출밀도</x:v>
      </x:c>
      <x:c r="U323" s="16" t="n">
        <x:v>67.48216370211263</x:v>
      </x:c>
      <x:c r="V323" t="str">
        <x:v>서적</x:v>
      </x:c>
      <x:c r="W323" t="str">
        <x:v>서적 / 일반의원 / 예술학원</x:v>
      </x:c>
      <x:c r="X323" s="16" t="n">
        <x:v>66.28607082426274</x:v>
      </x:c>
    </x:row>
    <x:row r="324">
      <x:c r="A324" t="str">
        <x:v>3120147</x:v>
      </x:c>
      <x:c r="B324" t="str">
        <x:v>보라매역</x:v>
      </x:c>
      <x:c r="C324" t="str">
        <x:v>발달상권</x:v>
      </x:c>
      <x:c r="D324" t="str">
        <x:v>동작구</x:v>
      </x:c>
      <x:c r="E324" t="str">
        <x:v>대방동</x:v>
      </x:c>
      <x:c r="F324" s="12" t="n">
        <x:v>93027</x:v>
      </x:c>
      <x:c r="G324" s="12" t="n">
        <x:v>14224095576</x:v>
      </x:c>
      <x:c r="H324" s="12" t="n">
        <x:v>640741</x:v>
      </x:c>
      <x:c r="I324" s="12" t="n">
        <x:v>22199.44654080198</x:v>
      </x:c>
      <x:c r="J324" s="12" t="n">
        <x:v>152902.87310135766</x:v>
      </x:c>
      <x:c r="K324" s="12" t="n">
        <x:v>2307</x:v>
      </x:c>
      <x:c r="L324" s="12" t="n">
        <x:v>247.99251830113838</x:v>
      </x:c>
      <x:c r="M324" s="12" t="n">
        <x:v>21</x:v>
      </x:c>
      <x:c r="N324" s="14" t="n">
        <x:v>0.7689626017737888</x:v>
      </x:c>
      <x:c r="O324" s="14" t="n">
        <x:v>0.23103739822621114</x:v>
      </x:c>
      <x:c r="P324" s="14" t="n">
        <x:v>0.43732641690736623</x:v>
      </x:c>
      <x:c r="Q324" s="14" t="n">
        <x:v>0.22487268676659797</x:v>
      </x:c>
      <x:c r="R324" s="14" t="n">
        <x:v>0.2311930984595347</x:v>
      </x:c>
      <x:c r="S324" s="14" t="n">
        <x:v>0.39978023998901735</x:v>
      </x:c>
      <x:c r="T324" t="str">
        <x:v>직장밀집·고매출밀도</x:v>
      </x:c>
      <x:c r="U324" s="16" t="n">
        <x:v>70.04617219464822</x:v>
      </x:c>
      <x:c r="V324" t="str">
        <x:v>호프-간이주점</x:v>
      </x:c>
      <x:c r="W324" t="str">
        <x:v>호프-간이주점 / 일반교습학원 / 안경</x:v>
      </x:c>
      <x:c r="X324" s="16" t="n">
        <x:v>67.55740158836363</x:v>
      </x:c>
    </x:row>
    <x:row r="325">
      <x:c r="A325" t="str">
        <x:v>3110396</x:v>
      </x:c>
      <x:c r="B325" t="str">
        <x:v>쌍문역1번(쌍리단길)</x:v>
      </x:c>
      <x:c r="C325" t="str">
        <x:v>골목상권</x:v>
      </x:c>
      <x:c r="D325" t="str">
        <x:v>도봉구</x:v>
      </x:c>
      <x:c r="E325" t="str">
        <x:v>창1동</x:v>
      </x:c>
      <x:c r="F325" s="12" t="n">
        <x:v>52971</x:v>
      </x:c>
      <x:c r="G325" s="12" t="n">
        <x:v>14160875184</x:v>
      </x:c>
      <x:c r="H325" s="12" t="n">
        <x:v>987155</x:v>
      </x:c>
      <x:c r="I325" s="12" t="n">
        <x:v>14345.138487876777</x:v>
      </x:c>
      <x:c r="J325" s="12" t="n">
        <x:v>267332.6005550207</x:v>
      </x:c>
      <x:c r="K325" s="12" t="n">
        <x:v>382</x:v>
      </x:c>
      <x:c r="L325" s="12" t="n">
        <x:v>72.11493081119858</x:v>
      </x:c>
      <x:c r="M325" s="12" t="n">
        <x:v>18</x:v>
      </x:c>
      <x:c r="N325" s="14" t="n">
        <x:v>0.8052652337395251</x:v>
      </x:c>
      <x:c r="O325" s="14" t="n">
        <x:v>0.19473476626047492</x:v>
      </x:c>
      <x:c r="P325" s="14" t="n">
        <x:v>0.33159555352239306</x:v>
      </x:c>
      <x:c r="Q325" s="14" t="n">
        <x:v>0.24992415391096637</x:v>
      </x:c>
      <x:c r="R325" s="14" t="n">
        <x:v>0.27736971295657736</x:v>
      </x:c>
      <x:c r="S325" s="14" t="n">
        <x:v>0.5350200022637245</x:v>
      </x:c>
      <x:c r="T325" t="str">
        <x:v>고매출밀도·여성소비</x:v>
      </x:c>
      <x:c r="U325" s="16" t="n">
        <x:v>70.73303408528164</x:v>
      </x:c>
      <x:c r="V325" t="str">
        <x:v>편의점</x:v>
      </x:c>
      <x:c r="W325" t="str">
        <x:v>편의점 / 일반의원 / 커피-음료</x:v>
      </x:c>
      <x:c r="X325" s="16" t="n">
        <x:v>68.60432292304074</x:v>
      </x:c>
    </x:row>
    <x:row r="326">
      <x:c r="A326" t="str">
        <x:v>3110438</x:v>
      </x:c>
      <x:c r="B326" t="str">
        <x:v>경춘선숲길 우측</x:v>
      </x:c>
      <x:c r="C326" t="str">
        <x:v>골목상권</x:v>
      </x:c>
      <x:c r="D326" t="str">
        <x:v>노원구</x:v>
      </x:c>
      <x:c r="E326" t="str">
        <x:v>공릉2동</x:v>
      </x:c>
      <x:c r="F326" s="12" t="n">
        <x:v>100071</x:v>
      </x:c>
      <x:c r="G326" s="12" t="n">
        <x:v>14143324153</x:v>
      </x:c>
      <x:c r="H326" s="12" t="n">
        <x:v>519375</x:v>
      </x:c>
      <x:c r="I326" s="12" t="n">
        <x:v>27231.430378820696</x:v>
      </x:c>
      <x:c r="J326" s="12" t="n">
        <x:v>141332.89517442614</x:v>
      </x:c>
      <x:c r="K326" s="12" t="n">
        <x:v>798</x:v>
      </x:c>
      <x:c r="L326" s="12" t="n">
        <x:v>79.74338219863897</x:v>
      </x:c>
      <x:c r="M326" s="12" t="n">
        <x:v>24</x:v>
      </x:c>
      <x:c r="N326" s="14" t="n">
        <x:v>0.7913204435483464</x:v>
      </x:c>
      <x:c r="O326" s="14" t="n">
        <x:v>0.20867955645165365</x:v>
      </x:c>
      <x:c r="P326" s="14" t="n">
        <x:v>0.37151756525961027</x:v>
      </x:c>
      <x:c r="Q326" s="14" t="n">
        <x:v>0.24712405705971377</x:v>
      </x:c>
      <x:c r="R326" s="14" t="n">
        <x:v>0.2898772045135067</x:v>
      </x:c>
      <x:c r="S326" s="14" t="n">
        <x:v>0.41874192742331895</x:v>
      </x:c>
      <x:c r="T326" t="str">
        <x:v>고매출밀도·2030소비</x:v>
      </x:c>
      <x:c r="U326" s="16" t="n">
        <x:v>76.16780092643411</x:v>
      </x:c>
      <x:c r="V326" t="str">
        <x:v>육류판매</x:v>
      </x:c>
      <x:c r="W326" t="str">
        <x:v>육류판매 / 미용실 / 치킨전문점</x:v>
      </x:c>
      <x:c r="X326" s="16" t="n">
        <x:v>65.48589151000803</x:v>
      </x:c>
    </x:row>
    <x:row r="327">
      <x:c r="A327" t="str">
        <x:v>3110430</x:v>
      </x:c>
      <x:c r="B327" t="str">
        <x:v>중계초등학교</x:v>
      </x:c>
      <x:c r="C327" t="str">
        <x:v>골목상권</x:v>
      </x:c>
      <x:c r="D327" t="str">
        <x:v>노원구</x:v>
      </x:c>
      <x:c r="E327" t="str">
        <x:v>중계4동</x:v>
      </x:c>
      <x:c r="F327" s="12" t="n">
        <x:v>11185</x:v>
      </x:c>
      <x:c r="G327" s="12" t="n">
        <x:v>14137130673</x:v>
      </x:c>
      <x:c r="H327" s="12" t="n">
        <x:v>380571</x:v>
      </x:c>
      <x:c r="I327" s="12" t="n">
        <x:v>37147.156964140726</x:v>
      </x:c>
      <x:c r="J327" s="12" t="n">
        <x:v>1263936.5822977202</x:v>
      </x:c>
      <x:c r="K327" s="12" t="n">
        <x:v>214</x:v>
      </x:c>
      <x:c r="L327" s="12" t="n">
        <x:v>191.32767098793028</x:v>
      </x:c>
      <x:c r="M327" s="12" t="n">
        <x:v>8</x:v>
      </x:c>
      <x:c r="N327" s="14" t="n">
        <x:v>0.7542575444510076</x:v>
      </x:c>
      <x:c r="O327" s="14" t="n">
        <x:v>0.24574245554899243</x:v>
      </x:c>
      <x:c r="P327" s="14" t="n">
        <x:v>0.1956874816389412</x:v>
      </x:c>
      <x:c r="Q327" s="14" t="n">
        <x:v>0.28887078958670953</x:v>
      </x:c>
      <x:c r="R327" s="14" t="n">
        <x:v>0.10995253916473437</x:v>
      </x:c>
      <x:c r="S327" s="14" t="n">
        <x:v>0.5700472167517893</x:v>
      </x:c>
      <x:c r="T327" t="str">
        <x:v>고매출밀도·여성소비</x:v>
      </x:c>
      <x:c r="U327" s="16" t="n">
        <x:v>82.0711539067147</x:v>
      </x:c>
      <x:c r="V327" t="str">
        <x:v>예술학원</x:v>
      </x:c>
      <x:c r="W327" t="str">
        <x:v>예술학원 / 일반교습학원 / 일반의원</x:v>
      </x:c>
      <x:c r="X327" s="16" t="n">
        <x:v>70.8790441012022</x:v>
      </x:c>
    </x:row>
    <x:row r="328">
      <x:c r="A328" t="str">
        <x:v>3111060</x:v>
      </x:c>
      <x:c r="B328" t="str">
        <x:v>암사역 2번(서울강동초등학교)</x:v>
      </x:c>
      <x:c r="C328" t="str">
        <x:v>골목상권</x:v>
      </x:c>
      <x:c r="D328" t="str">
        <x:v>강동구</x:v>
      </x:c>
      <x:c r="E328" t="str">
        <x:v>천호2동</x:v>
      </x:c>
      <x:c r="F328" s="12" t="n">
        <x:v>219221</x:v>
      </x:c>
      <x:c r="G328" s="12" t="n">
        <x:v>14129947115</x:v>
      </x:c>
      <x:c r="H328" s="12" t="n">
        <x:v>355590</x:v>
      </x:c>
      <x:c r="I328" s="12" t="n">
        <x:v>39736.626775218654</x:v>
      </x:c>
      <x:c r="J328" s="12" t="n">
        <x:v>64455.262566086276</x:v>
      </x:c>
      <x:c r="K328" s="12" t="n">
        <x:v>471</x:v>
      </x:c>
      <x:c r="L328" s="12" t="n">
        <x:v>21.485167935553623</x:v>
      </x:c>
      <x:c r="M328" s="12" t="n">
        <x:v>31</x:v>
      </x:c>
      <x:c r="N328" s="14" t="n">
        <x:v>0.7409020957966975</x:v>
      </x:c>
      <x:c r="O328" s="14" t="n">
        <x:v>0.2590979042033025</x:v>
      </x:c>
      <x:c r="P328" s="14" t="n">
        <x:v>0.2626344509853461</x:v>
      </x:c>
      <x:c r="Q328" s="14" t="n">
        <x:v>0.14973344979854866</x:v>
      </x:c>
      <x:c r="R328" s="14" t="n">
        <x:v>0.1481613279909293</x:v>
      </x:c>
      <x:c r="S328" s="14" t="n">
        <x:v>0.5340580378385938</x:v>
      </x:c>
      <x:c r="T328" t="str">
        <x:v>여성소비·고매출밀도</x:v>
      </x:c>
      <x:c r="U328" s="16" t="n">
        <x:v>71.31679679291972</x:v>
      </x:c>
      <x:c r="V328" t="str">
        <x:v>육류판매</x:v>
      </x:c>
      <x:c r="W328" t="str">
        <x:v>육류판매 / 반찬가게 / 당구장</x:v>
      </x:c>
      <x:c r="X328" s="16" t="n">
        <x:v>61.71617606751626</x:v>
      </x:c>
    </x:row>
    <x:row r="329">
      <x:c r="A329" t="str">
        <x:v>3110913</x:v>
      </x:c>
      <x:c r="B329" t="str">
        <x:v>방현초등학교(방배119안전센터)</x:v>
      </x:c>
      <x:c r="C329" t="str">
        <x:v>골목상권</x:v>
      </x:c>
      <x:c r="D329" t="str">
        <x:v>서초구</x:v>
      </x:c>
      <x:c r="E329" t="str">
        <x:v>방배3동</x:v>
      </x:c>
      <x:c r="F329" s="12" t="n">
        <x:v>148771</x:v>
      </x:c>
      <x:c r="G329" s="12" t="n">
        <x:v>14081016440</x:v>
      </x:c>
      <x:c r="H329" s="12" t="n">
        <x:v>56524</x:v>
      </x:c>
      <x:c r="I329" s="12" t="n">
        <x:v>249115.71084848914</x:v>
      </x:c>
      <x:c r="J329" s="12" t="n">
        <x:v>94648.9331926249</x:v>
      </x:c>
      <x:c r="K329" s="12" t="n">
        <x:v>5183</x:v>
      </x:c>
      <x:c r="L329" s="12" t="n">
        <x:v>348.3877906312386</x:v>
      </x:c>
      <x:c r="M329" s="12" t="n">
        <x:v>7</x:v>
      </x:c>
      <x:c r="N329" s="14" t="n">
        <x:v>0.9801687105337973</x:v>
      </x:c>
      <x:c r="O329" s="14" t="n">
        <x:v>0.01983128946620277</x:v>
      </x:c>
      <x:c r="P329" s="14" t="n">
        <x:v>0.04072564217530308</x:v>
      </x:c>
      <x:c r="Q329" s="14" t="n">
        <x:v>0.5176656183209456</x:v>
      </x:c>
      <x:c r="R329" s="14" t="n">
        <x:v>0.2656577477158318</x:v>
      </x:c>
      <x:c r="S329" s="14" t="n">
        <x:v>0.40491543201408264</x:v>
      </x:c>
      <x:c r="T329" t="str">
        <x:v>평일집중·직장밀집</x:v>
      </x:c>
      <x:c r="U329" s="16" t="n">
        <x:v>65.51702141458559</x:v>
      </x:c>
      <x:c r="V329" t="str">
        <x:v>의약품</x:v>
      </x:c>
      <x:c r="W329" t="str">
        <x:v>의약품 / 일반교습학원 / 조명용품</x:v>
      </x:c>
      <x:c r="X329" s="16" t="n">
        <x:v>56.559179235818405</x:v>
      </x:c>
    </x:row>
    <x:row r="330">
      <x:c r="A330" t="str">
        <x:v>3130310</x:v>
      </x:c>
      <x:c r="B330" t="str">
        <x:v>강남개포시장</x:v>
      </x:c>
      <x:c r="C330" t="str">
        <x:v>전통시장</x:v>
      </x:c>
      <x:c r="D330" t="str">
        <x:v>강남구</x:v>
      </x:c>
      <x:c r="E330" t="str">
        <x:v>개포2동</x:v>
      </x:c>
      <x:c r="F330" s="12" t="n">
        <x:v>25364</x:v>
      </x:c>
      <x:c r="G330" s="12" t="n">
        <x:v>14036057481</x:v>
      </x:c>
      <x:c r="H330" s="12" t="n">
        <x:v>656294</x:v>
      </x:c>
      <x:c r="I330" s="12" t="n">
        <x:v>21386.8441293079</x:v>
      </x:c>
      <x:c r="J330" s="12" t="n">
        <x:v>553385.0134442517</x:v>
      </x:c>
      <x:c r="K330" s="12" t="n">
        <x:v>5643</x:v>
      </x:c>
      <x:c r="L330" s="12" t="n">
        <x:v>2224.806812805551</x:v>
      </x:c>
      <x:c r="M330" s="12" t="n">
        <x:v>29</x:v>
      </x:c>
      <x:c r="N330" s="14" t="n">
        <x:v>0.7307260711124756</x:v>
      </x:c>
      <x:c r="O330" s="14" t="n">
        <x:v>0.2692739288875245</x:v>
      </x:c>
      <x:c r="P330" s="14" t="n">
        <x:v>0.4441349467568485</x:v>
      </x:c>
      <x:c r="Q330" s="14" t="n">
        <x:v>0.22932994149940386</x:v>
      </x:c>
      <x:c r="R330" s="14" t="n">
        <x:v>0.13761400027141996</x:v>
      </x:c>
      <x:c r="S330" s="14" t="n">
        <x:v>0.44937704704744647</x:v>
      </x:c>
      <x:c r="T330" t="str">
        <x:v>직장밀집·고매출밀도</x:v>
      </x:c>
      <x:c r="U330" s="16" t="n">
        <x:v>80.7070453796155</x:v>
      </x:c>
      <x:c r="V330" t="str">
        <x:v>분식전문점</x:v>
      </x:c>
      <x:c r="W330" t="str">
        <x:v>분식전문점 / 일식음식점 / 예술학원</x:v>
      </x:c>
      <x:c r="X330" s="16" t="n">
        <x:v>73.9328608780999</x:v>
      </x:c>
    </x:row>
    <x:row r="331">
      <x:c r="A331" t="str">
        <x:v>3130223</x:v>
      </x:c>
      <x:c r="B331" t="str">
        <x:v>고척근린시장</x:v>
      </x:c>
      <x:c r="C331" t="str">
        <x:v>전통시장</x:v>
      </x:c>
      <x:c r="D331" t="str">
        <x:v>구로구</x:v>
      </x:c>
      <x:c r="E331" t="str">
        <x:v>고척2동</x:v>
      </x:c>
      <x:c r="F331" s="12" t="n">
        <x:v>29145</x:v>
      </x:c>
      <x:c r="G331" s="12" t="n">
        <x:v>13923290180</x:v>
      </x:c>
      <x:c r="H331" s="12" t="n">
        <x:v>650397</x:v>
      </x:c>
      <x:c r="I331" s="12" t="n">
        <x:v>21407.37146696556</x:v>
      </x:c>
      <x:c r="J331" s="12" t="n">
        <x:v>477724.8303311031</x:v>
      </x:c>
      <x:c r="K331" s="12" t="n">
        <x:v>428</x:v>
      </x:c>
      <x:c r="L331" s="12" t="n">
        <x:v>146.85194716074798</x:v>
      </x:c>
      <x:c r="M331" s="12" t="n">
        <x:v>15</x:v>
      </x:c>
      <x:c r="N331" s="14" t="n">
        <x:v>0.7204067620746808</x:v>
      </x:c>
      <x:c r="O331" s="14" t="n">
        <x:v>0.27959323792531915</x:v>
      </x:c>
      <x:c r="P331" s="14" t="n">
        <x:v>0.2110099560533615</x:v>
      </x:c>
      <x:c r="Q331" s="14" t="n">
        <x:v>0.2731578604504815</x:v>
      </x:c>
      <x:c r="R331" s="14" t="n">
        <x:v>0.12998232857343206</x:v>
      </x:c>
      <x:c r="S331" s="14" t="n">
        <x:v>0.5588027427005763</x:v>
      </x:c>
      <x:c r="T331" t="str">
        <x:v>고매출밀도·여성소비</x:v>
      </x:c>
      <x:c r="U331" s="16" t="n">
        <x:v>70.8570514179586</x:v>
      </x:c>
      <x:c r="V331" t="str">
        <x:v>일반의원</x:v>
      </x:c>
      <x:c r="W331" t="str">
        <x:v>일반의원 / 일반의류 / 반찬가게</x:v>
      </x:c>
      <x:c r="X331" s="16" t="n">
        <x:v>68.21185039681134</x:v>
      </x:c>
    </x:row>
    <x:row r="332">
      <x:c r="A332" t="str">
        <x:v>3130205</x:v>
      </x:c>
      <x:c r="B332" t="str">
        <x:v>신곡종합시장(신월6동 골목시장)</x:v>
      </x:c>
      <x:c r="C332" t="str">
        <x:v>전통시장</x:v>
      </x:c>
      <x:c r="D332" t="str">
        <x:v>양천구</x:v>
      </x:c>
      <x:c r="E332" t="str">
        <x:v>신월6동</x:v>
      </x:c>
      <x:c r="F332" s="12" t="n">
        <x:v>20768</x:v>
      </x:c>
      <x:c r="G332" s="12" t="n">
        <x:v>13877409865</x:v>
      </x:c>
      <x:c r="H332" s="12" t="n">
        <x:v>608650</x:v>
      </x:c>
      <x:c r="I332" s="12" t="n">
        <x:v>22800.311944467263</x:v>
      </x:c>
      <x:c r="J332" s="12" t="n">
        <x:v>668211.1837923729</x:v>
      </x:c>
      <x:c r="K332" s="12" t="n">
        <x:v>245</x:v>
      </x:c>
      <x:c r="L332" s="12" t="n">
        <x:v>117.96995377503852</x:v>
      </x:c>
      <x:c r="M332" s="12" t="n">
        <x:v>16</x:v>
      </x:c>
      <x:c r="N332" s="14" t="n">
        <x:v>0.7956616076353092</x:v>
      </x:c>
      <x:c r="O332" s="14" t="n">
        <x:v>0.20433839236469073</x:v>
      </x:c>
      <x:c r="P332" s="14" t="n">
        <x:v>0.21623293231168106</x:v>
      </x:c>
      <x:c r="Q332" s="14" t="n">
        <x:v>0.29011117270189524</x:v>
      </x:c>
      <x:c r="R332" s="14" t="n">
        <x:v>0.15960791924048284</x:v>
      </x:c>
      <x:c r="S332" s="14" t="n">
        <x:v>0.5666650031597953</x:v>
      </x:c>
      <x:c r="T332" t="str">
        <x:v>고매출밀도·여성소비</x:v>
      </x:c>
      <x:c r="U332" s="16" t="n">
        <x:v>76.65031098913428</x:v>
      </x:c>
      <x:c r="V332" t="str">
        <x:v>미용실</x:v>
      </x:c>
      <x:c r="W332" t="str">
        <x:v>미용실 / 일반의원 / 치과의원</x:v>
      </x:c>
      <x:c r="X332" s="16" t="n">
        <x:v>71.5697892996171</x:v>
      </x:c>
    </x:row>
    <x:row r="333">
      <x:c r="A333" t="str">
        <x:v>3130048</x:v>
      </x:c>
      <x:c r="B333" t="str">
        <x:v>동평화시장</x:v>
      </x:c>
      <x:c r="C333" t="str">
        <x:v>전통시장</x:v>
      </x:c>
      <x:c r="D333" t="str">
        <x:v>중구</x:v>
      </x:c>
      <x:c r="E333" t="str">
        <x:v>신당동</x:v>
      </x:c>
      <x:c r="F333" s="12" t="n">
        <x:v>8633</x:v>
      </x:c>
      <x:c r="G333" s="12" t="n">
        <x:v>13873478040</x:v>
      </x:c>
      <x:c r="H333" s="12" t="n">
        <x:v>258586</x:v>
      </x:c>
      <x:c r="I333" s="12" t="n">
        <x:v>53651.31151725152</x:v>
      </x:c>
      <x:c r="J333" s="12" t="n">
        <x:v>1607028.6157766709</x:v>
      </x:c>
      <x:c r="K333" s="12" t="n">
        <x:v>126</x:v>
      </x:c>
      <x:c r="L333" s="12" t="n">
        <x:v>145.95158114212904</x:v>
      </x:c>
      <x:c r="M333" s="12" t="n">
        <x:v>5</x:v>
      </x:c>
      <x:c r="N333" s="14" t="n">
        <x:v>0.9182386929413412</x:v>
      </x:c>
      <x:c r="O333" s="14" t="n">
        <x:v>0.0817613070586588</x:v>
      </x:c>
      <x:c r="P333" s="14" t="n">
        <x:v>0.1636157489459651</x:v>
      </x:c>
      <x:c r="Q333" s="14" t="n">
        <x:v>0.3964115282514982</x:v>
      </x:c>
      <x:c r="R333" s="14" t="n">
        <x:v>0.2237012515572483</x:v>
      </x:c>
      <x:c r="S333" s="14" t="n">
        <x:v>0.48921420233855073</x:v>
      </x:c>
      <x:c r="T333" t="str">
        <x:v>고매출밀도·평일집중</x:v>
      </x:c>
      <x:c r="U333" s="16" t="n">
        <x:v>69.65332280766134</x:v>
      </x:c>
      <x:c r="V333" t="str">
        <x:v>일반의류</x:v>
      </x:c>
      <x:c r="W333" t="str">
        <x:v>일반의류 / 커피-음료 / 한식음식점</x:v>
      </x:c>
      <x:c r="X333" s="16" t="n">
        <x:v>46.88818178147595</x:v>
      </x:c>
    </x:row>
    <x:row r="334">
      <x:c r="A334" t="str">
        <x:v>3120042</x:v>
      </x:c>
      <x:c r="B334" t="str">
        <x:v>숙대입구역(남영역, 남영동)</x:v>
      </x:c>
      <x:c r="C334" t="str">
        <x:v>발달상권</x:v>
      </x:c>
      <x:c r="D334" t="str">
        <x:v>용산구</x:v>
      </x:c>
      <x:c r="E334" t="str">
        <x:v>남영동</x:v>
      </x:c>
      <x:c r="F334" s="12" t="n">
        <x:v>87154</x:v>
      </x:c>
      <x:c r="G334" s="12" t="n">
        <x:v>13761330912</x:v>
      </x:c>
      <x:c r="H334" s="12" t="n">
        <x:v>566862</x:v>
      </x:c>
      <x:c r="I334" s="12" t="n">
        <x:v>24276.333414481833</x:v>
      </x:c>
      <x:c r="J334" s="12" t="n">
        <x:v>157896.72203226472</x:v>
      </x:c>
      <x:c r="K334" s="12" t="n">
        <x:v>5031</x:v>
      </x:c>
      <x:c r="L334" s="12" t="n">
        <x:v>577.254056038736</x:v>
      </x:c>
      <x:c r="M334" s="12" t="n">
        <x:v>30</x:v>
      </x:c>
      <x:c r="N334" s="14" t="n">
        <x:v>0.8055136329389359</x:v>
      </x:c>
      <x:c r="O334" s="14" t="n">
        <x:v>0.1944863670610641</x:v>
      </x:c>
      <x:c r="P334" s="14" t="n">
        <x:v>0.42728432813664763</x:v>
      </x:c>
      <x:c r="Q334" s="14" t="n">
        <x:v>0.24224445065070463</x:v>
      </x:c>
      <x:c r="R334" s="14" t="n">
        <x:v>0.42490048995923746</x:v>
      </x:c>
      <x:c r="S334" s="14" t="n">
        <x:v>0.49377545205854284</x:v>
      </x:c>
      <x:c r="T334" t="str">
        <x:v>직장밀집·2030소비</x:v>
      </x:c>
      <x:c r="U334" s="16" t="n">
        <x:v>78.48243467629356</x:v>
      </x:c>
      <x:c r="V334" t="str">
        <x:v>철물점</x:v>
      </x:c>
      <x:c r="W334" t="str">
        <x:v>철물점 / 인테리어 / 일반의원</x:v>
      </x:c>
      <x:c r="X334" s="16" t="n">
        <x:v>71.2331676635637</x:v>
      </x:c>
    </x:row>
    <x:row r="335">
      <x:c r="A335" t="str">
        <x:v>3120199</x:v>
      </x:c>
      <x:c r="B335" t="str">
        <x:v>경복아파트교차로</x:v>
      </x:c>
      <x:c r="C335" t="str">
        <x:v>발달상권</x:v>
      </x:c>
      <x:c r="D335" t="str">
        <x:v>강남구</x:v>
      </x:c>
      <x:c r="E335" t="str">
        <x:v>역삼1동</x:v>
      </x:c>
      <x:c r="F335" s="12" t="n">
        <x:v>112742</x:v>
      </x:c>
      <x:c r="G335" s="12" t="n">
        <x:v>13680885957</x:v>
      </x:c>
      <x:c r="H335" s="12" t="n">
        <x:v>622012</x:v>
      </x:c>
      <x:c r="I335" s="12" t="n">
        <x:v>21994.569167475867</x:v>
      </x:c>
      <x:c r="J335" s="12" t="n">
        <x:v>121346.84462755673</x:v>
      </x:c>
      <x:c r="K335" s="12" t="n">
        <x:v>6656</x:v>
      </x:c>
      <x:c r="L335" s="12" t="n">
        <x:v>590.374483333629</x:v>
      </x:c>
      <x:c r="M335" s="12" t="n">
        <x:v>15</x:v>
      </x:c>
      <x:c r="N335" s="14" t="n">
        <x:v>0.7207385243171939</x:v>
      </x:c>
      <x:c r="O335" s="14" t="n">
        <x:v>0.2792614756828062</x:v>
      </x:c>
      <x:c r="P335" s="14" t="n">
        <x:v>0.3803231426936746</x:v>
      </x:c>
      <x:c r="Q335" s="14" t="n">
        <x:v>0.256138252815932</x:v>
      </x:c>
      <x:c r="R335" s="14" t="n">
        <x:v>0.2649096555874462</x:v>
      </x:c>
      <x:c r="S335" s="14" t="n">
        <x:v>0.33211051647391493</x:v>
      </x:c>
      <x:c r="T335" t="str">
        <x:v>직장밀집·고매출밀도</x:v>
      </x:c>
      <x:c r="U335" s="16" t="n">
        <x:v>59.95082479828581</x:v>
      </x:c>
      <x:c r="V335" t="str">
        <x:v>운동/경기용품</x:v>
      </x:c>
      <x:c r="W335" t="str">
        <x:v>운동/경기용품 / 커피-음료 / 한식음식점</x:v>
      </x:c>
      <x:c r="X335" s="16" t="n">
        <x:v>58.178481631324715</x:v>
      </x:c>
    </x:row>
    <x:row r="336">
      <x:c r="A336" t="str">
        <x:v>3111044</x:v>
      </x:c>
      <x:c r="B336" t="str">
        <x:v>남천초등학교</x:v>
      </x:c>
      <x:c r="C336" t="str">
        <x:v>골목상권</x:v>
      </x:c>
      <x:c r="D336" t="str">
        <x:v>송파구</x:v>
      </x:c>
      <x:c r="E336" t="str">
        <x:v>마천2동</x:v>
      </x:c>
      <x:c r="F336" s="12" t="n">
        <x:v>129883</x:v>
      </x:c>
      <x:c r="G336" s="12" t="n">
        <x:v>13654003950</x:v>
      </x:c>
      <x:c r="H336" s="12" t="n">
        <x:v>408372</x:v>
      </x:c>
      <x:c r="I336" s="12" t="n">
        <x:v>33435.2109106403</x:v>
      </x:c>
      <x:c r="J336" s="12" t="n">
        <x:v>105125.41248662258</x:v>
      </x:c>
      <x:c r="K336" s="12" t="n">
        <x:v>563</x:v>
      </x:c>
      <x:c r="L336" s="12" t="n">
        <x:v>43.34670434159975</x:v>
      </x:c>
      <x:c r="M336" s="12" t="n">
        <x:v>24</x:v>
      </x:c>
      <x:c r="N336" s="14" t="n">
        <x:v>0.8557104639624775</x:v>
      </x:c>
      <x:c r="O336" s="14" t="n">
        <x:v>0.14428953603752254</x:v>
      </x:c>
      <x:c r="P336" s="14" t="n">
        <x:v>0.17378284309050607</x:v>
      </x:c>
      <x:c r="Q336" s="14" t="n">
        <x:v>0.5012469410483802</x:v>
      </x:c>
      <x:c r="R336" s="14" t="n">
        <x:v>0.0673114551867403</x:v>
      </x:c>
      <x:c r="S336" s="14" t="n">
        <x:v>0.5549900959271364</x:v>
      </x:c>
      <x:c r="T336" t="str">
        <x:v>평일집중·여성소비</x:v>
      </x:c>
      <x:c r="U336" s="16" t="n">
        <x:v>85.06152578431379</x:v>
      </x:c>
      <x:c r="V336" t="str">
        <x:v>인테리어</x:v>
      </x:c>
      <x:c r="W336" t="str">
        <x:v>인테리어 / 제과점 / 미용실</x:v>
      </x:c>
      <x:c r="X336" s="16" t="n">
        <x:v>68.47133592732447</x:v>
      </x:c>
    </x:row>
    <x:row r="337">
      <x:c r="A337" t="str">
        <x:v>3110584</x:v>
      </x:c>
      <x:c r="B337" t="str">
        <x:v>아현역 4번</x:v>
      </x:c>
      <x:c r="C337" t="str">
        <x:v>골목상권</x:v>
      </x:c>
      <x:c r="D337" t="str">
        <x:v>마포구</x:v>
      </x:c>
      <x:c r="E337" t="str">
        <x:v>아현동</x:v>
      </x:c>
      <x:c r="F337" s="12" t="n">
        <x:v>14177</x:v>
      </x:c>
      <x:c r="G337" s="12" t="n">
        <x:v>13652638589</x:v>
      </x:c>
      <x:c r="H337" s="12" t="n">
        <x:v>433348</x:v>
      </x:c>
      <x:c r="I337" s="12" t="n">
        <x:v>31505.022727692292</x:v>
      </x:c>
      <x:c r="J337" s="12" t="n">
        <x:v>963013.2319249489</x:v>
      </x:c>
      <x:c r="K337" s="12" t="n">
        <x:v>222</x:v>
      </x:c>
      <x:c r="L337" s="12" t="n">
        <x:v>156.59166255202086</x:v>
      </x:c>
      <x:c r="M337" s="12" t="n">
        <x:v>4</x:v>
      </x:c>
      <x:c r="N337" s="14" t="n">
        <x:v>0.8555679081266567</x:v>
      </x:c>
      <x:c r="O337" s="14" t="n">
        <x:v>0.1444320918733433</x:v>
      </x:c>
      <x:c r="P337" s="14" t="n">
        <x:v>0.16255686272894718</x:v>
      </x:c>
      <x:c r="Q337" s="14" t="n">
        <x:v>0.3454584885737797</x:v>
      </x:c>
      <x:c r="R337" s="14" t="n">
        <x:v>0.2601346382128273</x:v>
      </x:c>
      <x:c r="S337" s="14" t="n">
        <x:v>0.5565736279815031</x:v>
      </x:c>
      <x:c r="T337" t="str">
        <x:v>고매출밀도·평일집중</x:v>
      </x:c>
      <x:c r="U337" s="16" t="n">
        <x:v>60.78321774689282</x:v>
      </x:c>
      <x:c r="V337" t="str">
        <x:v>일반의원</x:v>
      </x:c>
      <x:c r="W337" t="str">
        <x:v>일반의원 / 의약품 / 피부관리실</x:v>
      </x:c>
      <x:c r="X337" s="16" t="n">
        <x:v>55.24387075009686</x:v>
      </x:c>
    </x:row>
    <x:row r="338">
      <x:c r="A338" t="str">
        <x:v>3120024</x:v>
      </x:c>
      <x:c r="B338" t="str">
        <x:v>회현역</x:v>
      </x:c>
      <x:c r="C338" t="str">
        <x:v>발달상권</x:v>
      </x:c>
      <x:c r="D338" t="str">
        <x:v>중구</x:v>
      </x:c>
      <x:c r="E338" t="str">
        <x:v>회현동</x:v>
      </x:c>
      <x:c r="F338" s="12" t="n">
        <x:v>106867</x:v>
      </x:c>
      <x:c r="G338" s="12" t="n">
        <x:v>13613677202</x:v>
      </x:c>
      <x:c r="H338" s="12" t="n">
        <x:v>705771</x:v>
      </x:c>
      <x:c r="I338" s="12" t="n">
        <x:v>19289.085556079805</x:v>
      </x:c>
      <x:c r="J338" s="12" t="n">
        <x:v>127388.97135692029</x:v>
      </x:c>
      <x:c r="K338" s="12" t="n">
        <x:v>2868</x:v>
      </x:c>
      <x:c r="L338" s="12" t="n">
        <x:v>268.3709657798946</x:v>
      </x:c>
      <x:c r="M338" s="12" t="n">
        <x:v>14</x:v>
      </x:c>
      <x:c r="N338" s="14" t="n">
        <x:v>0.8238227413202036</x:v>
      </x:c>
      <x:c r="O338" s="14" t="n">
        <x:v>0.17617725867979633</x:v>
      </x:c>
      <x:c r="P338" s="14" t="n">
        <x:v>0.3256833199591829</x:v>
      </x:c>
      <x:c r="Q338" s="14" t="n">
        <x:v>0.2927915860539441</x:v>
      </x:c>
      <x:c r="R338" s="14" t="n">
        <x:v>0.2059747020142398</x:v>
      </x:c>
      <x:c r="S338" s="14" t="n">
        <x:v>0.3241087840213945</x:v>
      </x:c>
      <x:c r="T338" t="str">
        <x:v>직장밀집·평일집중</x:v>
      </x:c>
      <x:c r="U338" s="16" t="n">
        <x:v>70.59869292430572</x:v>
      </x:c>
      <x:c r="V338" t="str">
        <x:v>여관</x:v>
      </x:c>
      <x:c r="W338" t="str">
        <x:v>여관 / 한식음식점 / 커피-음료</x:v>
      </x:c>
      <x:c r="X338" s="16" t="n">
        <x:v>64.74831115621342</x:v>
      </x:c>
    </x:row>
    <x:row r="339">
      <x:c r="A339" t="str">
        <x:v>3130110</x:v>
      </x:c>
      <x:c r="B339" t="str">
        <x:v>면목골목시장(면목시장)</x:v>
      </x:c>
      <x:c r="C339" t="str">
        <x:v>전통시장</x:v>
      </x:c>
      <x:c r="D339" t="str">
        <x:v>중랑구</x:v>
      </x:c>
      <x:c r="E339" t="str">
        <x:v>면목7동</x:v>
      </x:c>
      <x:c r="F339" s="12" t="n">
        <x:v>60053</x:v>
      </x:c>
      <x:c r="G339" s="12" t="n">
        <x:v>13610812648</x:v>
      </x:c>
      <x:c r="H339" s="12" t="n">
        <x:v>471530</x:v>
      </x:c>
      <x:c r="I339" s="12" t="n">
        <x:v>28865.210374737555</x:v>
      </x:c>
      <x:c r="J339" s="12" t="n">
        <x:v>226646.67290560005</x:v>
      </x:c>
      <x:c r="K339" s="12" t="n">
        <x:v>186</x:v>
      </x:c>
      <x:c r="L339" s="12" t="n">
        <x:v>30.97264083393003</x:v>
      </x:c>
      <x:c r="M339" s="12" t="n">
        <x:v>23</x:v>
      </x:c>
      <x:c r="N339" s="14" t="n">
        <x:v>0.7182249024959174</x:v>
      </x:c>
      <x:c r="O339" s="14" t="n">
        <x:v>0.28177509750408253</x:v>
      </x:c>
      <x:c r="P339" s="14" t="n">
        <x:v>0.343971261457922</x:v>
      </x:c>
      <x:c r="Q339" s="14" t="n">
        <x:v>0.24666938138284775</x:v>
      </x:c>
      <x:c r="R339" s="14" t="n">
        <x:v>0.12956510177657396</x:v>
      </x:c>
      <x:c r="S339" s="14" t="n">
        <x:v>0.567680026815692</x:v>
      </x:c>
      <x:c r="T339" t="str">
        <x:v>여성소비·고매출밀도</x:v>
      </x:c>
      <x:c r="U339" s="16" t="n">
        <x:v>73.06943691440716</x:v>
      </x:c>
      <x:c r="V339" t="str">
        <x:v>당구장</x:v>
      </x:c>
      <x:c r="W339" t="str">
        <x:v>당구장 / 청과상 / 애완동물</x:v>
      </x:c>
      <x:c r="X339" s="16" t="n">
        <x:v>68.46054160636685</x:v>
      </x:c>
    </x:row>
    <x:row r="340">
      <x:c r="A340" t="str">
        <x:v>3120105</x:v>
      </x:c>
      <x:c r="B340" t="str">
        <x:v>상수역(홍대)</x:v>
      </x:c>
      <x:c r="C340" t="str">
        <x:v>발달상권</x:v>
      </x:c>
      <x:c r="D340" t="str">
        <x:v>마포구</x:v>
      </x:c>
      <x:c r="E340" t="str">
        <x:v>서강동</x:v>
      </x:c>
      <x:c r="F340" s="12" t="n">
        <x:v>102057</x:v>
      </x:c>
      <x:c r="G340" s="12" t="n">
        <x:v>13567339842</x:v>
      </x:c>
      <x:c r="H340" s="12" t="n">
        <x:v>783164</x:v>
      </x:c>
      <x:c r="I340" s="12" t="n">
        <x:v>17323.7531883488</x:v>
      </x:c>
      <x:c r="J340" s="12" t="n">
        <x:v>132938.8463505688</x:v>
      </x:c>
      <x:c r="K340" s="12" t="n">
        <x:v>1416</x:v>
      </x:c>
      <x:c r="L340" s="12" t="n">
        <x:v>138.74599488521122</x:v>
      </x:c>
      <x:c r="M340" s="12" t="n">
        <x:v>23</x:v>
      </x:c>
      <x:c r="N340" s="14" t="n">
        <x:v>0.6547267745517419</x:v>
      </x:c>
      <x:c r="O340" s="14" t="n">
        <x:v>0.34527322544825806</x:v>
      </x:c>
      <x:c r="P340" s="14" t="n">
        <x:v>0.5106647837884977</x:v>
      </x:c>
      <x:c r="Q340" s="14" t="n">
        <x:v>0.18662938973206564</x:v>
      </x:c>
      <x:c r="R340" s="14" t="n">
        <x:v>0.6452536975523636</x:v>
      </x:c>
      <x:c r="S340" s="14" t="n">
        <x:v>0.46910331746077893</x:v>
      </x:c>
      <x:c r="T340" t="str">
        <x:v>2030소비·야간활성</x:v>
      </x:c>
      <x:c r="U340" s="16" t="n">
        <x:v>68.94597765291024</x:v>
      </x:c>
      <x:c r="V340" t="str">
        <x:v>한식음식점</x:v>
      </x:c>
      <x:c r="W340" t="str">
        <x:v>한식음식점 / 제과점 / 분식전문점</x:v>
      </x:c>
      <x:c r="X340" s="16" t="n">
        <x:v>65.93327548289825</x:v>
      </x:c>
    </x:row>
    <x:row r="341">
      <x:c r="A341" t="str">
        <x:v>3110502</x:v>
      </x:c>
      <x:c r="B341" t="str">
        <x:v>남가좌파출소</x:v>
      </x:c>
      <x:c r="C341" t="str">
        <x:v>골목상권</x:v>
      </x:c>
      <x:c r="D341" t="str">
        <x:v>서대문구</x:v>
      </x:c>
      <x:c r="E341" t="str">
        <x:v>남가좌2동</x:v>
      </x:c>
      <x:c r="F341" s="12" t="n">
        <x:v>125757</x:v>
      </x:c>
      <x:c r="G341" s="12" t="n">
        <x:v>13553130281</x:v>
      </x:c>
      <x:c r="H341" s="12" t="n">
        <x:v>539965</x:v>
      </x:c>
      <x:c r="I341" s="12" t="n">
        <x:v>25100.01626216514</x:v>
      </x:c>
      <x:c r="J341" s="12" t="n">
        <x:v>107772.37275857407</x:v>
      </x:c>
      <x:c r="K341" s="12" t="n">
        <x:v>386</x:v>
      </x:c>
      <x:c r="L341" s="12" t="n">
        <x:v>30.694116430894503</x:v>
      </x:c>
      <x:c r="M341" s="12" t="n">
        <x:v>27</x:v>
      </x:c>
      <x:c r="N341" s="14" t="n">
        <x:v>0.7717934031567656</x:v>
      </x:c>
      <x:c r="O341" s="14" t="n">
        <x:v>0.22820659684323447</x:v>
      </x:c>
      <x:c r="P341" s="14" t="n">
        <x:v>0.27251612626920635</x:v>
      </x:c>
      <x:c r="Q341" s="14" t="n">
        <x:v>0.2865139953272467</x:v>
      </x:c>
      <x:c r="R341" s="14" t="n">
        <x:v>0.19074309656892466</x:v>
      </x:c>
      <x:c r="S341" s="14" t="n">
        <x:v>0.4808376172798925</x:v>
      </x:c>
      <x:c r="T341" t="str">
        <x:v>고매출밀도·여성소비</x:v>
      </x:c>
      <x:c r="U341" s="16" t="n">
        <x:v>77.62881344695714</x:v>
      </x:c>
      <x:c r="V341" t="str">
        <x:v>일반의원</x:v>
      </x:c>
      <x:c r="W341" t="str">
        <x:v>일반의원 / 자동차수리 / 화장품</x:v>
      </x:c>
      <x:c r="X341" s="16" t="n">
        <x:v>68.83271706505873</x:v>
      </x:c>
    </x:row>
    <x:row r="342">
      <x:c r="A342" t="str">
        <x:v>3130185</x:v>
      </x:c>
      <x:c r="B342" t="str">
        <x:v>망원월드컵시장</x:v>
      </x:c>
      <x:c r="C342" t="str">
        <x:v>전통시장</x:v>
      </x:c>
      <x:c r="D342" t="str">
        <x:v>마포구</x:v>
      </x:c>
      <x:c r="E342" t="str">
        <x:v>망원2동</x:v>
      </x:c>
      <x:c r="F342" s="12" t="n">
        <x:v>30025</x:v>
      </x:c>
      <x:c r="G342" s="12" t="n">
        <x:v>13500599203</x:v>
      </x:c>
      <x:c r="H342" s="12" t="n">
        <x:v>676504</x:v>
      </x:c>
      <x:c r="I342" s="12" t="n">
        <x:v>19956.42184377328</x:v>
      </x:c>
      <x:c r="J342" s="12" t="n">
        <x:v>449645.2690424646</x:v>
      </x:c>
      <x:c r="K342" s="12" t="n">
        <x:v>474</x:v>
      </x:c>
      <x:c r="L342" s="12" t="n">
        <x:v>157.8684429641965</x:v>
      </x:c>
      <x:c r="M342" s="12" t="n">
        <x:v>17</x:v>
      </x:c>
      <x:c r="N342" s="14" t="n">
        <x:v>0.776083592546896</x:v>
      </x:c>
      <x:c r="O342" s="14" t="n">
        <x:v>0.22391640745310407</x:v>
      </x:c>
      <x:c r="P342" s="14" t="n">
        <x:v>0.2015225476359177</x:v>
      </x:c>
      <x:c r="Q342" s="14" t="n">
        <x:v>0.26671415504282636</x:v>
      </x:c>
      <x:c r="R342" s="14" t="n">
        <x:v>0.17867819544364857</x:v>
      </x:c>
      <x:c r="S342" s="14" t="n">
        <x:v>0.606516619364602</x:v>
      </x:c>
      <x:c r="T342" t="str">
        <x:v>여성소비·고매출밀도</x:v>
      </x:c>
      <x:c r="U342" s="16" t="n">
        <x:v>85.78279413103216</x:v>
      </x:c>
      <x:c r="V342" t="str">
        <x:v>인테리어</x:v>
      </x:c>
      <x:c r="W342" t="str">
        <x:v>인테리어 / 청과상 / 육류판매</x:v>
      </x:c>
      <x:c r="X342" s="16" t="n">
        <x:v>71.73122886927521</x:v>
      </x:c>
    </x:row>
    <x:row r="343">
      <x:c r="A343" t="str">
        <x:v>3110220</x:v>
      </x:c>
      <x:c r="B343" t="str">
        <x:v>외대앞역 1번</x:v>
      </x:c>
      <x:c r="C343" t="str">
        <x:v>골목상권</x:v>
      </x:c>
      <x:c r="D343" t="str">
        <x:v>동대문구</x:v>
      </x:c>
      <x:c r="E343" t="str">
        <x:v>이문1동</x:v>
      </x:c>
      <x:c r="F343" s="12" t="n">
        <x:v>98625</x:v>
      </x:c>
      <x:c r="G343" s="12" t="n">
        <x:v>13487506131</x:v>
      </x:c>
      <x:c r="H343" s="12" t="n">
        <x:v>1085838</x:v>
      </x:c>
      <x:c r="I343" s="12" t="n">
        <x:v>12421.28764235549</x:v>
      </x:c>
      <x:c r="J343" s="12" t="n">
        <x:v>136755.448730038</x:v>
      </x:c>
      <x:c r="K343" s="12" t="n">
        <x:v>494</x:v>
      </x:c>
      <x:c r="L343" s="12" t="n">
        <x:v>50.08871989860583</x:v>
      </x:c>
      <x:c r="M343" s="12" t="n">
        <x:v>26</x:v>
      </x:c>
      <x:c r="N343" s="14" t="n">
        <x:v>0.7545460318723469</x:v>
      </x:c>
      <x:c r="O343" s="14" t="n">
        <x:v>0.2454539681276531</x:v>
      </x:c>
      <x:c r="P343" s="14" t="n">
        <x:v>0.4099967710331638</x:v>
      </x:c>
      <x:c r="Q343" s="14" t="n">
        <x:v>0.24728749663617114</x:v>
      </x:c>
      <x:c r="R343" s="14" t="n">
        <x:v>0.44997551526970275</x:v>
      </x:c>
      <x:c r="S343" s="14" t="n">
        <x:v>0.4662021696173863</x:v>
      </x:c>
      <x:c r="T343" t="str">
        <x:v>2030소비·고매출밀도</x:v>
      </x:c>
      <x:c r="U343" s="16" t="n">
        <x:v>70.95825390371223</x:v>
      </x:c>
      <x:c r="V343" t="str">
        <x:v>한식음식점</x:v>
      </x:c>
      <x:c r="W343" t="str">
        <x:v>한식음식점 / 분식전문점 / 일반의원</x:v>
      </x:c>
      <x:c r="X343" s="16" t="n">
        <x:v>68.06656886633893</x:v>
      </x:c>
    </x:row>
    <x:row r="344">
      <x:c r="A344" t="str">
        <x:v>3120154</x:v>
      </x:c>
      <x:c r="B344" t="str">
        <x:v>장승배기역</x:v>
      </x:c>
      <x:c r="C344" t="str">
        <x:v>발달상권</x:v>
      </x:c>
      <x:c r="D344" t="str">
        <x:v>동작구</x:v>
      </x:c>
      <x:c r="E344" t="str">
        <x:v>상도2동</x:v>
      </x:c>
      <x:c r="F344" s="12" t="n">
        <x:v>84828</x:v>
      </x:c>
      <x:c r="G344" s="12" t="n">
        <x:v>13454996297</x:v>
      </x:c>
      <x:c r="H344" s="12" t="n">
        <x:v>607693</x:v>
      </x:c>
      <x:c r="I344" s="12" t="n">
        <x:v>22141.107922915024</x:v>
      </x:c>
      <x:c r="J344" s="12" t="n">
        <x:v>158615.0362734003</x:v>
      </x:c>
      <x:c r="K344" s="12" t="n">
        <x:v>551</x:v>
      </x:c>
      <x:c r="L344" s="12" t="n">
        <x:v>64.95496769934455</x:v>
      </x:c>
      <x:c r="M344" s="12" t="n">
        <x:v>23</x:v>
      </x:c>
      <x:c r="N344" s="14" t="n">
        <x:v>0.7815529313333709</x:v>
      </x:c>
      <x:c r="O344" s="14" t="n">
        <x:v>0.21844706866662916</x:v>
      </x:c>
      <x:c r="P344" s="14" t="n">
        <x:v>0.3246578445342251</x:v>
      </x:c>
      <x:c r="Q344" s="14" t="n">
        <x:v>0.26222171185484944</x:v>
      </x:c>
      <x:c r="R344" s="14" t="n">
        <x:v>0.23251867135017762</x:v>
      </x:c>
      <x:c r="S344" s="14" t="n">
        <x:v>0.5023384683135896</x:v>
      </x:c>
      <x:c r="T344" t="str">
        <x:v>고매출밀도·여성소비</x:v>
      </x:c>
      <x:c r="U344" s="16" t="n">
        <x:v>72.86112777957219</x:v>
      </x:c>
      <x:c r="V344" t="str">
        <x:v>인테리어</x:v>
      </x:c>
      <x:c r="W344" t="str">
        <x:v>인테리어 / 일반의류 / 한식음식점</x:v>
      </x:c>
      <x:c r="X344" s="16" t="n">
        <x:v>68.62694491626362</x:v>
      </x:c>
    </x:row>
    <x:row r="345">
      <x:c r="A345" t="str">
        <x:v>3120058</x:v>
      </x:c>
      <x:c r="B345" t="str">
        <x:v>구의사거리</x:v>
      </x:c>
      <x:c r="C345" t="str">
        <x:v>발달상권</x:v>
      </x:c>
      <x:c r="D345" t="str">
        <x:v>광진구</x:v>
      </x:c>
      <x:c r="E345" t="str">
        <x:v>구의1동</x:v>
      </x:c>
      <x:c r="F345" s="12" t="n">
        <x:v>92657</x:v>
      </x:c>
      <x:c r="G345" s="12" t="n">
        <x:v>13340548195</x:v>
      </x:c>
      <x:c r="H345" s="12" t="n">
        <x:v>333663</x:v>
      </x:c>
      <x:c r="I345" s="12" t="n">
        <x:v>39982.102285839304</x:v>
      </x:c>
      <x:c r="J345" s="12" t="n">
        <x:v>143977.76956948746</x:v>
      </x:c>
      <x:c r="K345" s="12" t="n">
        <x:v>1201</x:v>
      </x:c>
      <x:c r="L345" s="12" t="n">
        <x:v>129.61783783200406</x:v>
      </x:c>
      <x:c r="M345" s="12" t="n">
        <x:v>18</x:v>
      </x:c>
      <x:c r="N345" s="14" t="n">
        <x:v>0.8196984308409824</x:v>
      </x:c>
      <x:c r="O345" s="14" t="n">
        <x:v>0.1803015691590176</x:v>
      </x:c>
      <x:c r="P345" s="14" t="n">
        <x:v>0.2261938665407295</x:v>
      </x:c>
      <x:c r="Q345" s="14" t="n">
        <x:v>0.28962183858742097</x:v>
      </x:c>
      <x:c r="R345" s="14" t="n">
        <x:v>0.2411659389084048</x:v>
      </x:c>
      <x:c r="S345" s="14" t="n">
        <x:v>0.3657540929861316</x:v>
      </x:c>
      <x:c r="T345" t="str">
        <x:v>평일집중·고매출밀도</x:v>
      </x:c>
      <x:c r="U345" s="16" t="n">
        <x:v>78.56422008464983</x:v>
      </x:c>
      <x:c r="V345" t="str">
        <x:v>조명용품</x:v>
      </x:c>
      <x:c r="W345" t="str">
        <x:v>조명용품 / 자동차수리 / 의약품</x:v>
      </x:c>
      <x:c r="X345" s="16" t="n">
        <x:v>70.98817191579629</x:v>
      </x:c>
    </x:row>
    <x:row r="346">
      <x:c r="A346" t="str">
        <x:v>3110861</x:v>
      </x:c>
      <x:c r="B346" t="str">
        <x:v>관악구신사동주민센터</x:v>
      </x:c>
      <x:c r="C346" t="str">
        <x:v>골목상권</x:v>
      </x:c>
      <x:c r="D346" t="str">
        <x:v>관악구</x:v>
      </x:c>
      <x:c r="E346" t="str">
        <x:v>신사동</x:v>
      </x:c>
      <x:c r="F346" s="12" t="n">
        <x:v>200822</x:v>
      </x:c>
      <x:c r="G346" s="12" t="n">
        <x:v>13319813447</x:v>
      </x:c>
      <x:c r="H346" s="12" t="n">
        <x:v>777634</x:v>
      </x:c>
      <x:c r="I346" s="12" t="n">
        <x:v>17128.640783453397</x:v>
      </x:c>
      <x:c r="J346" s="12" t="n">
        <x:v>66326.46546195137</x:v>
      </x:c>
      <x:c r="K346" s="12" t="n">
        <x:v>1871</x:v>
      </x:c>
      <x:c r="L346" s="12" t="n">
        <x:v>93.1670832876876</x:v>
      </x:c>
      <x:c r="M346" s="12" t="n">
        <x:v>27</x:v>
      </x:c>
      <x:c r="N346" s="14" t="n">
        <x:v>0.772569151733706</x:v>
      </x:c>
      <x:c r="O346" s="14" t="n">
        <x:v>0.22743084826629403</x:v>
      </x:c>
      <x:c r="P346" s="14" t="n">
        <x:v>0.3386572070208665</x:v>
      </x:c>
      <x:c r="Q346" s="14" t="n">
        <x:v>0.2276311282484886</x:v>
      </x:c>
      <x:c r="R346" s="14" t="n">
        <x:v>0.26285398222214307</x:v>
      </x:c>
      <x:c r="S346" s="14" t="n">
        <x:v>0.4498218873590505</x:v>
      </x:c>
      <x:c r="T346" t="str">
        <x:v>2030소비·평일집중</x:v>
      </x:c>
      <x:c r="U346" s="16" t="n">
        <x:v>73.45098304972015</x:v>
      </x:c>
      <x:c r="V346" t="str">
        <x:v>일반의원</x:v>
      </x:c>
      <x:c r="W346" t="str">
        <x:v>일반의원 / 당구장 / 의약품</x:v>
      </x:c>
      <x:c r="X346" s="16" t="n">
        <x:v>68.20364205889739</x:v>
      </x:c>
    </x:row>
    <x:row r="347">
      <x:c r="A347" t="str">
        <x:v>3110772</x:v>
      </x:c>
      <x:c r="B347" t="str">
        <x:v>신우어린이공원</x:v>
      </x:c>
      <x:c r="C347" t="str">
        <x:v>골목상권</x:v>
      </x:c>
      <x:c r="D347" t="str">
        <x:v>영등포구</x:v>
      </x:c>
      <x:c r="E347" t="str">
        <x:v>대림3동</x:v>
      </x:c>
      <x:c r="F347" s="12" t="n">
        <x:v>40126</x:v>
      </x:c>
      <x:c r="G347" s="12" t="n">
        <x:v>13304165288</x:v>
      </x:c>
      <x:c r="H347" s="12" t="n">
        <x:v>38775</x:v>
      </x:c>
      <x:c r="I347" s="12" t="n">
        <x:v>343111.9352159897</x:v>
      </x:c>
      <x:c r="J347" s="12" t="n">
        <x:v>331559.71908488264</x:v>
      </x:c>
      <x:c r="K347" s="12" t="n">
        <x:v>158</x:v>
      </x:c>
      <x:c r="L347" s="12" t="n">
        <x:v>39.37596570801974</x:v>
      </x:c>
      <x:c r="M347" s="12" t="n">
        <x:v>4</x:v>
      </x:c>
      <x:c r="N347" s="14" t="n">
        <x:v>0.965912327591942</x:v>
      </x:c>
      <x:c r="O347" s="14" t="n">
        <x:v>0.034087672408057955</x:v>
      </x:c>
      <x:c r="P347" s="14" t="n">
        <x:v>0.20115360152762407</x:v>
      </x:c>
      <x:c r="Q347" s="14" t="n">
        <x:v>0.31265790329227905</x:v>
      </x:c>
      <x:c r="R347" s="14" t="n">
        <x:v>0.2799530382683562</x:v>
      </x:c>
      <x:c r="S347" s="14" t="n">
        <x:v>0.6694870945442812</x:v>
      </x:c>
      <x:c r="T347" t="str">
        <x:v>평일집중·여성소비</x:v>
      </x:c>
      <x:c r="U347" s="16" t="n">
        <x:v>67.18427639998238</x:v>
      </x:c>
      <x:c r="V347" t="str">
        <x:v>의약품</x:v>
      </x:c>
      <x:c r="W347" t="str">
        <x:v>의약품 / 의료기기 / 철물점</x:v>
      </x:c>
      <x:c r="X347" s="16" t="n">
        <x:v>48.655877279004756</x:v>
      </x:c>
    </x:row>
    <x:row r="348">
      <x:c r="A348" t="str">
        <x:v>3120232</x:v>
      </x:c>
      <x:c r="B348" t="str">
        <x:v>송파나루역</x:v>
      </x:c>
      <x:c r="C348" t="str">
        <x:v>발달상권</x:v>
      </x:c>
      <x:c r="D348" t="str">
        <x:v>송파구</x:v>
      </x:c>
      <x:c r="E348" t="str">
        <x:v>송파1동</x:v>
      </x:c>
      <x:c r="F348" s="12" t="n">
        <x:v>60912</x:v>
      </x:c>
      <x:c r="G348" s="12" t="n">
        <x:v>13287413636</x:v>
      </x:c>
      <x:c r="H348" s="12" t="n">
        <x:v>336141</x:v>
      </x:c>
      <x:c r="I348" s="12" t="n">
        <x:v>39529.285734260324</x:v>
      </x:c>
      <x:c r="J348" s="12" t="n">
        <x:v>218141.14847649066</x:v>
      </x:c>
      <x:c r="K348" s="12" t="n">
        <x:v>1569</x:v>
      </x:c>
      <x:c r="L348" s="12" t="n">
        <x:v>257.5847123719464</x:v>
      </x:c>
      <x:c r="M348" s="12" t="n">
        <x:v>24</x:v>
      </x:c>
      <x:c r="N348" s="14" t="n">
        <x:v>0.7810808100292062</x:v>
      </x:c>
      <x:c r="O348" s="14" t="n">
        <x:v>0.2189191899707938</x:v>
      </x:c>
      <x:c r="P348" s="14" t="n">
        <x:v>0.2522924375528938</x:v>
      </x:c>
      <x:c r="Q348" s="14" t="n">
        <x:v>0.27518383540747027</x:v>
      </x:c>
      <x:c r="R348" s="14" t="n">
        <x:v>0.17605667687366633</x:v>
      </x:c>
      <x:c r="S348" s="14" t="n">
        <x:v>0.24268193489991538</x:v>
      </x:c>
      <x:c r="T348" t="str">
        <x:v>고매출밀도·직장밀집</x:v>
      </x:c>
      <x:c r="U348" s="16" t="n">
        <x:v>79.00312783360762</x:v>
      </x:c>
      <x:c r="V348" t="str">
        <x:v>인테리어</x:v>
      </x:c>
      <x:c r="W348" t="str">
        <x:v>인테리어 / 조명용품 / 호프-간이주점</x:v>
      </x:c>
      <x:c r="X348" s="16" t="n">
        <x:v>67.83987479837783</x:v>
      </x:c>
    </x:row>
    <x:row r="349">
      <x:c r="A349" t="str">
        <x:v>3110939</x:v>
      </x:c>
      <x:c r="B349" t="str">
        <x:v>양재역 8번(양재동우체국)</x:v>
      </x:c>
      <x:c r="C349" t="str">
        <x:v>골목상권</x:v>
      </x:c>
      <x:c r="D349" t="str">
        <x:v>서초구</x:v>
      </x:c>
      <x:c r="E349" t="str">
        <x:v>양재1동</x:v>
      </x:c>
      <x:c r="F349" s="12" t="n">
        <x:v>218114</x:v>
      </x:c>
      <x:c r="G349" s="12" t="n">
        <x:v>13217738350</x:v>
      </x:c>
      <x:c r="H349" s="12" t="n">
        <x:v>461045</x:v>
      </x:c>
      <x:c r="I349" s="12" t="n">
        <x:v>28669.08512184277</x:v>
      </x:c>
      <x:c r="J349" s="12" t="n">
        <x:v>60600.13731351495</x:v>
      </x:c>
      <x:c r="K349" s="12" t="n">
        <x:v>6972</x:v>
      </x:c>
      <x:c r="L349" s="12" t="n">
        <x:v>319.6493576753441</x:v>
      </x:c>
      <x:c r="M349" s="12" t="n">
        <x:v>27</x:v>
      </x:c>
      <x:c r="N349" s="14" t="n">
        <x:v>0.8239075085791814</x:v>
      </x:c>
      <x:c r="O349" s="14" t="n">
        <x:v>0.1760924914208186</x:v>
      </x:c>
      <x:c r="P349" s="14" t="n">
        <x:v>0.4861552965299846</x:v>
      </x:c>
      <x:c r="Q349" s="14" t="n">
        <x:v>0.3050673948315825</x:v>
      </x:c>
      <x:c r="R349" s="14" t="n">
        <x:v>0.20960708834125166</x:v>
      </x:c>
      <x:c r="S349" s="14" t="n">
        <x:v>0.27155471419964977</x:v>
      </x:c>
      <x:c r="T349" t="str">
        <x:v>직장밀집·평일집중</x:v>
      </x:c>
      <x:c r="U349" s="16" t="n">
        <x:v>64.59385706338699</x:v>
      </x:c>
      <x:c r="V349" t="str">
        <x:v>스포츠 강습</x:v>
      </x:c>
      <x:c r="W349" t="str">
        <x:v>스포츠 강습 / 예술학원 / 미용실</x:v>
      </x:c>
      <x:c r="X349" s="16" t="n">
        <x:v>61.93338673785901</x:v>
      </x:c>
    </x:row>
    <x:row r="350">
      <x:c r="A350" t="str">
        <x:v>3120196</x:v>
      </x:c>
      <x:c r="B350" t="str">
        <x:v>서울세관</x:v>
      </x:c>
      <x:c r="C350" t="str">
        <x:v>발달상권</x:v>
      </x:c>
      <x:c r="D350" t="str">
        <x:v>강남구</x:v>
      </x:c>
      <x:c r="E350" t="str">
        <x:v>논현2동</x:v>
      </x:c>
      <x:c r="F350" s="12" t="n">
        <x:v>185480</x:v>
      </x:c>
      <x:c r="G350" s="12" t="n">
        <x:v>13127861828</x:v>
      </x:c>
      <x:c r="H350" s="12" t="n">
        <x:v>364313</x:v>
      </x:c>
      <x:c r="I350" s="12" t="n">
        <x:v>36034.56870328536</x:v>
      </x:c>
      <x:c r="J350" s="12" t="n">
        <x:v>70777.77565236144</x:v>
      </x:c>
      <x:c r="K350" s="12" t="n">
        <x:v>8018</x:v>
      </x:c>
      <x:c r="L350" s="12" t="n">
        <x:v>432.2838041837395</x:v>
      </x:c>
      <x:c r="M350" s="12" t="n">
        <x:v>24</x:v>
      </x:c>
      <x:c r="N350" s="14" t="n">
        <x:v>0.7239977977775529</x:v>
      </x:c>
      <x:c r="O350" s="14" t="n">
        <x:v>0.2760022022224471</x:v>
      </x:c>
      <x:c r="P350" s="14" t="n">
        <x:v>0.4055973327387766</x:v>
      </x:c>
      <x:c r="Q350" s="14" t="n">
        <x:v>0.22459187113863643</x:v>
      </x:c>
      <x:c r="R350" s="14" t="n">
        <x:v>0.3048069187828749</x:v>
      </x:c>
      <x:c r="S350" s="14" t="n">
        <x:v>0.2321286478275082</x:v>
      </x:c>
      <x:c r="T350" t="str">
        <x:v>직장밀집·2030소비</x:v>
      </x:c>
      <x:c r="U350" s="16" t="n">
        <x:v>72.37618107119569</x:v>
      </x:c>
      <x:c r="V350" t="str">
        <x:v>화초</x:v>
      </x:c>
      <x:c r="W350" t="str">
        <x:v>화초 / 의료기기 / 중식음식점</x:v>
      </x:c>
      <x:c r="X350" s="16" t="n">
        <x:v>60.156736729567</x:v>
      </x:c>
    </x:row>
    <x:row r="351">
      <x:c r="A351" t="str">
        <x:v>3110429</x:v>
      </x:c>
      <x:c r="B351" t="str">
        <x:v>공릉동 국수거리</x:v>
      </x:c>
      <x:c r="C351" t="str">
        <x:v>골목상권</x:v>
      </x:c>
      <x:c r="D351" t="str">
        <x:v>노원구</x:v>
      </x:c>
      <x:c r="E351" t="str">
        <x:v>공릉1동</x:v>
      </x:c>
      <x:c r="F351" s="12" t="n">
        <x:v>160554</x:v>
      </x:c>
      <x:c r="G351" s="12" t="n">
        <x:v>13075247714</x:v>
      </x:c>
      <x:c r="H351" s="12" t="n">
        <x:v>462495</x:v>
      </x:c>
      <x:c r="I351" s="12" t="n">
        <x:v>28271.111501745963</x:v>
      </x:c>
      <x:c r="J351" s="12" t="n">
        <x:v>81438.31803629932</x:v>
      </x:c>
      <x:c r="K351" s="12" t="n">
        <x:v>2039</x:v>
      </x:c>
      <x:c r="L351" s="12" t="n">
        <x:v>126.99777022061114</x:v>
      </x:c>
      <x:c r="M351" s="12" t="n">
        <x:v>30</x:v>
      </x:c>
      <x:c r="N351" s="14" t="n">
        <x:v>0.8022905428222161</x:v>
      </x:c>
      <x:c r="O351" s="14" t="n">
        <x:v>0.1977094571777839</x:v>
      </x:c>
      <x:c r="P351" s="14" t="n">
        <x:v>0.2913620893714259</x:v>
      </x:c>
      <x:c r="Q351" s="14" t="n">
        <x:v>0.325851901103034</x:v>
      </x:c>
      <x:c r="R351" s="14" t="n">
        <x:v>0.17195632214237988</x:v>
      </x:c>
      <x:c r="S351" s="14" t="n">
        <x:v>0.40808802148251216</x:v>
      </x:c>
      <x:c r="T351" t="str">
        <x:v>평일집중·직장밀집</x:v>
      </x:c>
      <x:c r="U351" s="16" t="n">
        <x:v>69.41127417281973</x:v>
      </x:c>
      <x:c r="V351" t="str">
        <x:v>예술학원</x:v>
      </x:c>
      <x:c r="W351" t="str">
        <x:v>예술학원 / 의료기기 / 인테리어</x:v>
      </x:c>
      <x:c r="X351" s="16" t="n">
        <x:v>66.94823799245005</x:v>
      </x:c>
    </x:row>
    <x:row r="352">
      <x:c r="A352" t="str">
        <x:v>3130025</x:v>
      </x:c>
      <x:c r="B352" t="str">
        <x:v>삼익패션타운(남대문시장)</x:v>
      </x:c>
      <x:c r="C352" t="str">
        <x:v>전통시장</x:v>
      </x:c>
      <x:c r="D352" t="str">
        <x:v>중구</x:v>
      </x:c>
      <x:c r="E352" t="str">
        <x:v>회현동</x:v>
      </x:c>
      <x:c r="F352" s="12" t="n">
        <x:v>17829</x:v>
      </x:c>
      <x:c r="G352" s="12" t="n">
        <x:v>13020326427</x:v>
      </x:c>
      <x:c r="H352" s="12" t="n">
        <x:v>235708</x:v>
      </x:c>
      <x:c r="I352" s="12" t="n">
        <x:v>55239.221524089124</x:v>
      </x:c>
      <x:c r="J352" s="12" t="n">
        <x:v>730289.2157159684</x:v>
      </x:c>
      <x:c r="K352" s="12" t="n">
        <x:v>5304</x:v>
      </x:c>
      <x:c r="L352" s="12" t="n">
        <x:v>2974.928487295979</x:v>
      </x:c>
      <x:c r="M352" s="12" t="n">
        <x:v>7</x:v>
      </x:c>
      <x:c r="N352" s="14" t="n">
        <x:v>0.7733662305208502</x:v>
      </x:c>
      <x:c r="O352" s="14" t="n">
        <x:v>0.2266337694791498</x:v>
      </x:c>
      <x:c r="P352" s="14" t="n">
        <x:v>0.03644832206479058</x:v>
      </x:c>
      <x:c r="Q352" s="14" t="n">
        <x:v>0.40948285597079676</x:v>
      </x:c>
      <x:c r="R352" s="14" t="n">
        <x:v>0.10170856509817364</x:v>
      </x:c>
      <x:c r="S352" s="14" t="n">
        <x:v>0.7155124027214221</x:v>
      </x:c>
      <x:c r="T352" t="str">
        <x:v>직장밀집·여성소비</x:v>
      </x:c>
      <x:c r="U352" s="16" t="n">
        <x:v>70.38816269149154</x:v>
      </x:c>
      <x:c r="V352" t="str">
        <x:v>일반의류</x:v>
      </x:c>
      <x:c r="W352" t="str">
        <x:v>일반의류 / 가방 / 일반의원</x:v>
      </x:c>
      <x:c r="X352" s="16" t="n">
        <x:v>53.00469472230935</x:v>
      </x:c>
    </x:row>
    <x:row r="353">
      <x:c r="A353" t="str">
        <x:v>3130170</x:v>
      </x:c>
      <x:c r="B353" t="str">
        <x:v>제일시장</x:v>
      </x:c>
      <x:c r="C353" t="str">
        <x:v>전통시장</x:v>
      </x:c>
      <x:c r="D353" t="str">
        <x:v>은평구</x:v>
      </x:c>
      <x:c r="E353" t="str">
        <x:v>대조동</x:v>
      </x:c>
      <x:c r="F353" s="12" t="n">
        <x:v>21253</x:v>
      </x:c>
      <x:c r="G353" s="12" t="n">
        <x:v>13004166086</x:v>
      </x:c>
      <x:c r="H353" s="12" t="n">
        <x:v>800338</x:v>
      </x:c>
      <x:c r="I353" s="12" t="n">
        <x:v>16248.342682716553</x:v>
      </x:c>
      <x:c r="J353" s="12" t="n">
        <x:v>611874.3747235684</x:v>
      </x:c>
      <x:c r="K353" s="12" t="n">
        <x:v>298</x:v>
      </x:c>
      <x:c r="L353" s="12" t="n">
        <x:v>140.2154989883781</x:v>
      </x:c>
      <x:c r="M353" s="12" t="n">
        <x:v>21</x:v>
      </x:c>
      <x:c r="N353" s="14" t="n">
        <x:v>0.7003784079476882</x:v>
      </x:c>
      <x:c r="O353" s="14" t="n">
        <x:v>0.29962159205231176</x:v>
      </x:c>
      <x:c r="P353" s="14" t="n">
        <x:v>0.298048541780213</x:v>
      </x:c>
      <x:c r="Q353" s="14" t="n">
        <x:v>0.2722890222704896</x:v>
      </x:c>
      <x:c r="R353" s="14" t="n">
        <x:v>0.14239348173148209</x:v>
      </x:c>
      <x:c r="S353" s="14" t="n">
        <x:v>0.5890302980093759</x:v>
      </x:c>
      <x:c r="T353" t="str">
        <x:v>고매출밀도·여성소비</x:v>
      </x:c>
      <x:c r="U353" s="16" t="n">
        <x:v>69.15545192267818</x:v>
      </x:c>
      <x:c r="V353" t="str">
        <x:v>일반의류</x:v>
      </x:c>
      <x:c r="W353" t="str">
        <x:v>일반의류 / 호프-간이주점 / 가방</x:v>
      </x:c>
      <x:c r="X353" s="16" t="n">
        <x:v>66.12437724718998</x:v>
      </x:c>
    </x:row>
    <x:row r="354">
      <x:c r="A354" t="str">
        <x:v>3110058</x:v>
      </x:c>
      <x:c r="B354" t="str">
        <x:v>성심여자고등학교</x:v>
      </x:c>
      <x:c r="C354" t="str">
        <x:v>골목상권</x:v>
      </x:c>
      <x:c r="D354" t="str">
        <x:v>용산구</x:v>
      </x:c>
      <x:c r="E354" t="str">
        <x:v>원효로2동</x:v>
      </x:c>
      <x:c r="F354" s="12" t="n">
        <x:v>135620</x:v>
      </x:c>
      <x:c r="G354" s="12" t="n">
        <x:v>12949740546</x:v>
      </x:c>
      <x:c r="H354" s="12" t="n">
        <x:v>117209</x:v>
      </x:c>
      <x:c r="I354" s="12" t="n">
        <x:v>110484.18249451833</x:v>
      </x:c>
      <x:c r="J354" s="12" t="n">
        <x:v>95485.4781448164</x:v>
      </x:c>
      <x:c r="K354" s="12" t="n">
        <x:v>949</x:v>
      </x:c>
      <x:c r="L354" s="12" t="n">
        <x:v>69.97492995133462</x:v>
      </x:c>
      <x:c r="M354" s="12" t="n">
        <x:v>12</x:v>
      </x:c>
      <x:c r="N354" s="14" t="n">
        <x:v>0.9853716452212231</x:v>
      </x:c>
      <x:c r="O354" s="14" t="n">
        <x:v>0.014628354778776893</x:v>
      </x:c>
      <x:c r="P354" s="14" t="n">
        <x:v>0.0702649768748502</x:v>
      </x:c>
      <x:c r="Q354" s="14" t="n">
        <x:v>0.30319489815668776</x:v>
      </x:c>
      <x:c r="R354" s="14" t="n">
        <x:v>0.0215755043128105</x:v>
      </x:c>
      <x:c r="S354" s="14" t="n">
        <x:v>0.030465623507944527</x:v>
      </x:c>
      <x:c r="T354" t="str">
        <x:v>평일집중·고매출밀도</x:v>
      </x:c>
      <x:c r="U354" s="16" t="n">
        <x:v>67.21525731718128</x:v>
      </x:c>
      <x:c r="V354" t="str">
        <x:v>커피-음료</x:v>
      </x:c>
      <x:c r="W354" t="str">
        <x:v>커피-음료 / 컴퓨터및주변장치판매 / 미용실</x:v>
      </x:c>
      <x:c r="X354" s="16" t="n">
        <x:v>56.25187126966267</x:v>
      </x:c>
    </x:row>
    <x:row r="355">
      <x:c r="A355" t="str">
        <x:v>3110718</x:v>
      </x:c>
      <x:c r="B355" t="str">
        <x:v>한국SGI본부</x:v>
      </x:c>
      <x:c r="C355" t="str">
        <x:v>골목상권</x:v>
      </x:c>
      <x:c r="D355" t="str">
        <x:v>구로구</x:v>
      </x:c>
      <x:c r="E355" t="str">
        <x:v>구로5동</x:v>
      </x:c>
      <x:c r="F355" s="12" t="n">
        <x:v>113693</x:v>
      </x:c>
      <x:c r="G355" s="12" t="n">
        <x:v>12770314821</x:v>
      </x:c>
      <x:c r="H355" s="12" t="n">
        <x:v>321805</x:v>
      </x:c>
      <x:c r="I355" s="12" t="n">
        <x:v>39683.39466757819</x:v>
      </x:c>
      <x:c r="J355" s="12" t="n">
        <x:v>112322.78874688855</x:v>
      </x:c>
      <x:c r="K355" s="12" t="n">
        <x:v>1266</x:v>
      </x:c>
      <x:c r="L355" s="12" t="n">
        <x:v>111.35250191304654</x:v>
      </x:c>
      <x:c r="M355" s="12" t="n">
        <x:v>16</x:v>
      </x:c>
      <x:c r="N355" s="14" t="n">
        <x:v>0.6747497540021687</x:v>
      </x:c>
      <x:c r="O355" s="14" t="n">
        <x:v>0.3252502459978312</x:v>
      </x:c>
      <x:c r="P355" s="14" t="n">
        <x:v>0.7391390379411853</x:v>
      </x:c>
      <x:c r="Q355" s="14" t="n">
        <x:v>0.07666051023191138</x:v>
      </x:c>
      <x:c r="R355" s="14" t="n">
        <x:v>0.505310993695196</x:v>
      </x:c>
      <x:c r="S355" s="14" t="n">
        <x:v>0.32552866137363334</x:v>
      </x:c>
      <x:c r="T355" t="str">
        <x:v>야간활성·2030소비</x:v>
      </x:c>
      <x:c r="U355" s="16" t="n">
        <x:v>60.743286517731434</x:v>
      </x:c>
      <x:c r="V355" t="str">
        <x:v>중식음식점</x:v>
      </x:c>
      <x:c r="W355" t="str">
        <x:v>중식음식점 / 여관 / 한식음식점</x:v>
      </x:c>
      <x:c r="X355" s="16" t="n">
        <x:v>56.337380108309205</x:v>
      </x:c>
    </x:row>
    <x:row r="356">
      <x:c r="A356" t="str">
        <x:v>3130179</x:v>
      </x:c>
      <x:c r="B356" t="str">
        <x:v>이화여대 3,5,7길 상점가</x:v>
      </x:c>
      <x:c r="C356" t="str">
        <x:v>전통시장</x:v>
      </x:c>
      <x:c r="D356" t="str">
        <x:v>서대문구</x:v>
      </x:c>
      <x:c r="E356" t="str">
        <x:v>신촌동</x:v>
      </x:c>
      <x:c r="F356" s="12" t="n">
        <x:v>55638</x:v>
      </x:c>
      <x:c r="G356" s="12" t="n">
        <x:v>12753104311</x:v>
      </x:c>
      <x:c r="H356" s="12" t="n">
        <x:v>849962</x:v>
      </x:c>
      <x:c r="I356" s="12" t="n">
        <x:v>15004.32291208313</x:v>
      </x:c>
      <x:c r="J356" s="12" t="n">
        <x:v>229215.72146734246</x:v>
      </x:c>
      <x:c r="K356" s="12" t="n">
        <x:v>173</x:v>
      </x:c>
      <x:c r="L356" s="12" t="n">
        <x:v>31.093856716632516</x:v>
      </x:c>
      <x:c r="M356" s="12" t="n">
        <x:v>23</x:v>
      </x:c>
      <x:c r="N356" s="14" t="n">
        <x:v>0.7812063854450504</x:v>
      </x:c>
      <x:c r="O356" s="14" t="n">
        <x:v>0.21879361455494958</x:v>
      </x:c>
      <x:c r="P356" s="14" t="n">
        <x:v>0.3587893445718402</x:v>
      </x:c>
      <x:c r="Q356" s="14" t="n">
        <x:v>0.34511301826362045</x:v>
      </x:c>
      <x:c r="R356" s="14" t="n">
        <x:v>0.5321958095446492</x:v>
      </x:c>
      <x:c r="S356" s="14" t="n">
        <x:v>0.700033291839355</x:v>
      </x:c>
      <x:c r="T356" t="str">
        <x:v>여성소비·2030소비</x:v>
      </x:c>
      <x:c r="U356" s="16" t="n">
        <x:v>66.08673154734058</x:v>
      </x:c>
      <x:c r="V356" t="str">
        <x:v>일반의류</x:v>
      </x:c>
      <x:c r="W356" t="str">
        <x:v>일반의류 / 화초 / 피부관리실</x:v>
      </x:c>
      <x:c r="X356" s="16" t="n">
        <x:v>63.164852847089875</x:v>
      </x:c>
    </x:row>
    <x:row r="357">
      <x:c r="A357" t="str">
        <x:v>3130159</x:v>
      </x:c>
      <x:c r="B357" t="str">
        <x:v>공릉동 도깨비시장</x:v>
      </x:c>
      <x:c r="C357" t="str">
        <x:v>전통시장</x:v>
      </x:c>
      <x:c r="D357" t="str">
        <x:v>노원구</x:v>
      </x:c>
      <x:c r="E357" t="str">
        <x:v>공릉1동</x:v>
      </x:c>
      <x:c r="F357" s="12" t="n">
        <x:v>57720</x:v>
      </x:c>
      <x:c r="G357" s="12" t="n">
        <x:v>12683789466</x:v>
      </x:c>
      <x:c r="H357" s="12" t="n">
        <x:v>636609</x:v>
      </x:c>
      <x:c r="I357" s="12" t="n">
        <x:v>19923.987040711017</x:v>
      </x:c>
      <x:c r="J357" s="12" t="n">
        <x:v>219746.87224532224</x:v>
      </x:c>
      <x:c r="K357" s="12" t="n">
        <x:v>818</x:v>
      </x:c>
      <x:c r="L357" s="12" t="n">
        <x:v>141.71864171864172</x:v>
      </x:c>
      <x:c r="M357" s="12" t="n">
        <x:v>18</x:v>
      </x:c>
      <x:c r="N357" s="14" t="n">
        <x:v>0.6922869144538984</x:v>
      </x:c>
      <x:c r="O357" s="14" t="n">
        <x:v>0.30771308554610155</x:v>
      </x:c>
      <x:c r="P357" s="14" t="n">
        <x:v>0.233139997153592</x:v>
      </x:c>
      <x:c r="Q357" s="14" t="n">
        <x:v>0.28974258299156164</x:v>
      </x:c>
      <x:c r="R357" s="14" t="n">
        <x:v>0.09797111583498118</x:v>
      </x:c>
      <x:c r="S357" s="14" t="n">
        <x:v>0.6336842346323442</x:v>
      </x:c>
      <x:c r="T357" t="str">
        <x:v>여성소비·고매출밀도</x:v>
      </x:c>
      <x:c r="U357" s="16" t="n">
        <x:v>68.6493714266897</x:v>
      </x:c>
      <x:c r="V357" t="str">
        <x:v>육류판매</x:v>
      </x:c>
      <x:c r="W357" t="str">
        <x:v>육류판매 / 화장품 / 반찬가게</x:v>
      </x:c>
      <x:c r="X357" s="16" t="n">
        <x:v>65.84960974917938</x:v>
      </x:c>
    </x:row>
    <x:row r="358">
      <x:c r="A358" t="str">
        <x:v>3130194</x:v>
      </x:c>
      <x:c r="B358" t="str">
        <x:v>용강동 상점가</x:v>
      </x:c>
      <x:c r="C358" t="str">
        <x:v>전통시장</x:v>
      </x:c>
      <x:c r="D358" t="str">
        <x:v>마포구</x:v>
      </x:c>
      <x:c r="E358" t="str">
        <x:v>용강동</x:v>
      </x:c>
      <x:c r="F358" s="12" t="n">
        <x:v>54198</x:v>
      </x:c>
      <x:c r="G358" s="12" t="n">
        <x:v>12676678911</x:v>
      </x:c>
      <x:c r="H358" s="12" t="n">
        <x:v>135301</x:v>
      </x:c>
      <x:c r="I358" s="12" t="n">
        <x:v>93692.42585790201</x:v>
      </x:c>
      <x:c r="J358" s="12" t="n">
        <x:v>233895.6956160744</x:v>
      </x:c>
      <x:c r="K358" s="12" t="n">
        <x:v>1613</x:v>
      </x:c>
      <x:c r="L358" s="12" t="n">
        <x:v>297.61245802428135</x:v>
      </x:c>
      <x:c r="M358" s="12" t="n">
        <x:v>9</x:v>
      </x:c>
      <x:c r="N358" s="14" t="n">
        <x:v>0.7779708369391861</x:v>
      </x:c>
      <x:c r="O358" s="14" t="n">
        <x:v>0.2220291630608139</x:v>
      </x:c>
      <x:c r="P358" s="14" t="n">
        <x:v>0.6895653034498477</x:v>
      </x:c>
      <x:c r="Q358" s="14" t="n">
        <x:v>0.15438872600154951</x:v>
      </x:c>
      <x:c r="R358" s="14" t="n">
        <x:v>0.1561576824575296</x:v>
      </x:c>
      <x:c r="S358" s="14" t="n">
        <x:v>0.18334584446902696</x:v>
      </x:c>
      <x:c r="T358" t="str">
        <x:v>야간활성·직장밀집</x:v>
      </x:c>
      <x:c r="U358" s="16" t="n">
        <x:v>65.2269546273</x:v>
      </x:c>
      <x:c r="V358" t="str">
        <x:v>한식음식점</x:v>
      </x:c>
      <x:c r="W358" t="str">
        <x:v>한식음식점 / 일식음식점 / 호프-간이주점</x:v>
      </x:c>
      <x:c r="X358" s="16" t="n">
        <x:v>62.520821616355036</x:v>
      </x:c>
    </x:row>
    <x:row r="359">
      <x:c r="A359" t="str">
        <x:v>3130171</x:v>
      </x:c>
      <x:c r="B359" t="str">
        <x:v>불광먹자골목 골목형상점가</x:v>
      </x:c>
      <x:c r="C359" t="str">
        <x:v>전통시장</x:v>
      </x:c>
      <x:c r="D359" t="str">
        <x:v>은평구</x:v>
      </x:c>
      <x:c r="E359" t="str">
        <x:v>불광1동</x:v>
      </x:c>
      <x:c r="F359" s="12" t="n">
        <x:v>45981</x:v>
      </x:c>
      <x:c r="G359" s="12" t="n">
        <x:v>12648051638</x:v>
      </x:c>
      <x:c r="H359" s="12" t="n">
        <x:v>362265</x:v>
      </x:c>
      <x:c r="I359" s="12" t="n">
        <x:v>34913.81071315197</x:v>
      </x:c>
      <x:c r="J359" s="12" t="n">
        <x:v>275071.26069463475</x:v>
      </x:c>
      <x:c r="K359" s="12" t="n">
        <x:v>469</x:v>
      </x:c>
      <x:c r="L359" s="12" t="n">
        <x:v>101.99865161697223</x:v>
      </x:c>
      <x:c r="M359" s="12" t="n">
        <x:v>21</x:v>
      </x:c>
      <x:c r="N359" s="14" t="n">
        <x:v>0.7587836996305597</x:v>
      </x:c>
      <x:c r="O359" s="14" t="n">
        <x:v>0.24121630036944036</x:v>
      </x:c>
      <x:c r="P359" s="14" t="n">
        <x:v>0.4127260921608201</x:v>
      </x:c>
      <x:c r="Q359" s="14" t="n">
        <x:v>0.2470639304326977</x:v>
      </x:c>
      <x:c r="R359" s="14" t="n">
        <x:v>0.1343653861986233</x:v>
      </x:c>
      <x:c r="S359" s="14" t="n">
        <x:v>0.4031007565372497</x:v>
      </x:c>
      <x:c r="T359" t="str">
        <x:v>고매출밀도·직장밀집</x:v>
      </x:c>
      <x:c r="U359" s="16" t="n">
        <x:v>63.31119323471919</x:v>
      </x:c>
      <x:c r="V359" t="str">
        <x:v>의약품</x:v>
      </x:c>
      <x:c r="W359" t="str">
        <x:v>의약품 / 미곡판매 / 여관</x:v>
      </x:c>
      <x:c r="X359" s="16" t="n">
        <x:v>59.82896609881209</x:v>
      </x:c>
    </x:row>
    <x:row r="360">
      <x:c r="A360" t="str">
        <x:v>3110810</x:v>
      </x:c>
      <x:c r="B360" t="str">
        <x:v>영신초등학교</x:v>
      </x:c>
      <x:c r="C360" t="str">
        <x:v>골목상권</x:v>
      </x:c>
      <x:c r="D360" t="str">
        <x:v>영등포구</x:v>
      </x:c>
      <x:c r="E360" t="str">
        <x:v>신길1동</x:v>
      </x:c>
      <x:c r="F360" s="12" t="n">
        <x:v>117632</x:v>
      </x:c>
      <x:c r="G360" s="12" t="n">
        <x:v>12611052513</x:v>
      </x:c>
      <x:c r="H360" s="12" t="n">
        <x:v>476238</x:v>
      </x:c>
      <x:c r="I360" s="12" t="n">
        <x:v>26480.56751666184</x:v>
      </x:c>
      <x:c r="J360" s="12" t="n">
        <x:v>107207.6689421246</x:v>
      </x:c>
      <x:c r="K360" s="12" t="n">
        <x:v>513</x:v>
      </x:c>
      <x:c r="L360" s="12" t="n">
        <x:v>43.610582154515775</x:v>
      </x:c>
      <x:c r="M360" s="12" t="n">
        <x:v>32</x:v>
      </x:c>
      <x:c r="N360" s="14" t="n">
        <x:v>0.7696176377820146</x:v>
      </x:c>
      <x:c r="O360" s="14" t="n">
        <x:v>0.23038236221798533</x:v>
      </x:c>
      <x:c r="P360" s="14" t="n">
        <x:v>0.32858120095277094</x:v>
      </x:c>
      <x:c r="Q360" s="14" t="n">
        <x:v>0.2567638394703432</x:v>
      </x:c>
      <x:c r="R360" s="14" t="n">
        <x:v>0.1805504357905769</x:v>
      </x:c>
      <x:c r="S360" s="14" t="n">
        <x:v>0.4852316493561492</x:v>
      </x:c>
      <x:c r="T360" t="str">
        <x:v>여성소비·고매출밀도</x:v>
      </x:c>
      <x:c r="U360" s="16" t="n">
        <x:v>81.1507070567684</x:v>
      </x:c>
      <x:c r="V360" t="str">
        <x:v>육류판매</x:v>
      </x:c>
      <x:c r="W360" t="str">
        <x:v>육류판매 / 일반의류 / 일반교습학원</x:v>
      </x:c>
      <x:c r="X360" s="16" t="n">
        <x:v>70.66370561901056</x:v>
      </x:c>
    </x:row>
    <x:row r="361">
      <x:c r="A361" t="str">
        <x:v>3110136</x:v>
      </x:c>
      <x:c r="B361" t="str">
        <x:v>경수초등학교</x:v>
      </x:c>
      <x:c r="C361" t="str">
        <x:v>골목상권</x:v>
      </x:c>
      <x:c r="D361" t="str">
        <x:v>성동구</x:v>
      </x:c>
      <x:c r="E361" t="str">
        <x:v>성수2가1동</x:v>
      </x:c>
      <x:c r="F361" s="12" t="n">
        <x:v>260628</x:v>
      </x:c>
      <x:c r="G361" s="12" t="n">
        <x:v>12550808002</x:v>
      </x:c>
      <x:c r="H361" s="12" t="n">
        <x:v>295398</x:v>
      </x:c>
      <x:c r="I361" s="12" t="n">
        <x:v>42487.789362148695</x:v>
      </x:c>
      <x:c r="J361" s="12" t="n">
        <x:v>48156.02315177187</x:v>
      </x:c>
      <x:c r="K361" s="12" t="n">
        <x:v>4863</x:v>
      </x:c>
      <x:c r="L361" s="12" t="n">
        <x:v>186.58778028454347</x:v>
      </x:c>
      <x:c r="M361" s="12" t="n">
        <x:v>16</x:v>
      </x:c>
      <x:c r="N361" s="14" t="n">
        <x:v>0.7893809365437857</x:v>
      </x:c>
      <x:c r="O361" s="14" t="n">
        <x:v>0.21061906345621428</x:v>
      </x:c>
      <x:c r="P361" s="14" t="n">
        <x:v>0.3485210260807876</x:v>
      </x:c>
      <x:c r="Q361" s="14" t="n">
        <x:v>0.38236223518320694</x:v>
      </x:c>
      <x:c r="R361" s="14" t="n">
        <x:v>0.4478406119434158</x:v>
      </x:c>
      <x:c r="S361" s="14" t="n">
        <x:v>0.41334249453687083</x:v>
      </x:c>
      <x:c r="T361" t="str">
        <x:v>2030소비·직장밀집</x:v>
      </x:c>
      <x:c r="U361" s="16" t="n">
        <x:v>66.8932026760675</x:v>
      </x:c>
      <x:c r="V361" t="str">
        <x:v>일반의류</x:v>
      </x:c>
      <x:c r="W361" t="str">
        <x:v>일반의류 / 한식음식점 / 중식음식점</x:v>
      </x:c>
      <x:c r="X361" s="16" t="n">
        <x:v>64.22363561168456</x:v>
      </x:c>
    </x:row>
    <x:row r="362">
      <x:c r="A362" t="str">
        <x:v>3130172</x:v>
      </x:c>
      <x:c r="B362" t="str">
        <x:v>모래내시장(서중시장)</x:v>
      </x:c>
      <x:c r="C362" t="str">
        <x:v>전통시장</x:v>
      </x:c>
      <x:c r="D362" t="str">
        <x:v>서대문구</x:v>
      </x:c>
      <x:c r="E362" t="str">
        <x:v>남가좌1동</x:v>
      </x:c>
      <x:c r="F362" s="12" t="n">
        <x:v>24841</x:v>
      </x:c>
      <x:c r="G362" s="12" t="n">
        <x:v>12548043586</x:v>
      </x:c>
      <x:c r="H362" s="12" t="n">
        <x:v>552590</x:v>
      </x:c>
      <x:c r="I362" s="12" t="n">
        <x:v>22707.692115311533</x:v>
      </x:c>
      <x:c r="J362" s="12" t="n">
        <x:v>505134.39821263234</x:v>
      </x:c>
      <x:c r="K362" s="12" t="n">
        <x:v>802</x:v>
      </x:c>
      <x:c r="L362" s="12" t="n">
        <x:v>322.8533472887565</x:v>
      </x:c>
      <x:c r="M362" s="12" t="n">
        <x:v>12</x:v>
      </x:c>
      <x:c r="N362" s="14" t="n">
        <x:v>0.7672851493552343</x:v>
      </x:c>
      <x:c r="O362" s="14" t="n">
        <x:v>0.2327148506447657</x:v>
      </x:c>
      <x:c r="P362" s="14" t="n">
        <x:v>0.17877205929558684</x:v>
      </x:c>
      <x:c r="Q362" s="14" t="n">
        <x:v>0.29199633455911395</x:v>
      </x:c>
      <x:c r="R362" s="14" t="n">
        <x:v>0.10034618921828153</x:v>
      </x:c>
      <x:c r="S362" s="14" t="n">
        <x:v>0.5795630404977141</x:v>
      </x:c>
      <x:c r="T362" t="str">
        <x:v>고매출밀도·여성소비</x:v>
      </x:c>
      <x:c r="U362" s="16" t="n">
        <x:v>86.83090466388907</x:v>
      </x:c>
      <x:c r="V362" t="str">
        <x:v>인테리어</x:v>
      </x:c>
      <x:c r="W362" t="str">
        <x:v>인테리어 / 육류판매 / 반찬가게</x:v>
      </x:c>
      <x:c r="X362" s="16" t="n">
        <x:v>70.15260756420422</x:v>
      </x:c>
    </x:row>
    <x:row r="363">
      <x:c r="A363" t="str">
        <x:v>3110244</x:v>
      </x:c>
      <x:c r="B363" t="str">
        <x:v>중화역 4번</x:v>
      </x:c>
      <x:c r="C363" t="str">
        <x:v>골목상권</x:v>
      </x:c>
      <x:c r="D363" t="str">
        <x:v>중랑구</x:v>
      </x:c>
      <x:c r="E363" t="str">
        <x:v>중화2동</x:v>
      </x:c>
      <x:c r="F363" s="12" t="n">
        <x:v>63066</x:v>
      </x:c>
      <x:c r="G363" s="12" t="n">
        <x:v>12547398591</x:v>
      </x:c>
      <x:c r="H363" s="12" t="n">
        <x:v>322033</x:v>
      </x:c>
      <x:c r="I363" s="12" t="n">
        <x:v>38963.08325854804</x:v>
      </x:c>
      <x:c r="J363" s="12" t="n">
        <x:v>198956.62624869184</x:v>
      </x:c>
      <x:c r="K363" s="12" t="n">
        <x:v>176</x:v>
      </x:c>
      <x:c r="L363" s="12" t="n">
        <x:v>27.907271747058637</x:v>
      </x:c>
      <x:c r="M363" s="12" t="n">
        <x:v>17</x:v>
      </x:c>
      <x:c r="N363" s="14" t="n">
        <x:v>0.6034924290546912</x:v>
      </x:c>
      <x:c r="O363" s="14" t="n">
        <x:v>0.3965075709453088</x:v>
      </x:c>
      <x:c r="P363" s="14" t="n">
        <x:v>0.19587759711107755</x:v>
      </x:c>
      <x:c r="Q363" s="14" t="n">
        <x:v>0.3422554538181563</x:v>
      </x:c>
      <x:c r="R363" s="14" t="n">
        <x:v>0.13097228051548077</x:v>
      </x:c>
      <x:c r="S363" s="14" t="n">
        <x:v>0.5735265642363302</x:v>
      </x:c>
      <x:c r="T363" t="str">
        <x:v>여성소비·고매출밀도</x:v>
      </x:c>
      <x:c r="U363" s="16" t="n">
        <x:v>77.30086344743641</x:v>
      </x:c>
      <x:c r="V363" t="str">
        <x:v>반찬가게</x:v>
      </x:c>
      <x:c r="W363" t="str">
        <x:v>반찬가게 / 일반의류 / 청과상</x:v>
      </x:c>
      <x:c r="X363" s="16" t="n">
        <x:v>64.52366569341473</x:v>
      </x:c>
    </x:row>
    <x:row r="364">
      <x:c r="A364" t="str">
        <x:v>3110625</x:v>
      </x:c>
      <x:c r="B364" t="str">
        <x:v>신정2동주민센터</x:v>
      </x:c>
      <x:c r="C364" t="str">
        <x:v>골목상권</x:v>
      </x:c>
      <x:c r="D364" t="str">
        <x:v>양천구</x:v>
      </x:c>
      <x:c r="E364" t="str">
        <x:v>신정2동</x:v>
      </x:c>
      <x:c r="F364" s="12" t="n">
        <x:v>100874</x:v>
      </x:c>
      <x:c r="G364" s="12" t="n">
        <x:v>12546908426</x:v>
      </x:c>
      <x:c r="H364" s="12" t="n">
        <x:v>466636</x:v>
      </x:c>
      <x:c r="I364" s="12" t="n">
        <x:v>26887.999267094696</x:v>
      </x:c>
      <x:c r="J364" s="12" t="n">
        <x:v>124381.98570493884</x:v>
      </x:c>
      <x:c r="K364" s="12" t="n">
        <x:v>6826</x:v>
      </x:c>
      <x:c r="L364" s="12" t="n">
        <x:v>676.6857664016495</x:v>
      </x:c>
      <x:c r="M364" s="12" t="n">
        <x:v>27</x:v>
      </x:c>
      <x:c r="N364" s="14" t="n">
        <x:v>0.7833118683351423</x:v>
      </x:c>
      <x:c r="O364" s="14" t="n">
        <x:v>0.21668813166485767</x:v>
      </x:c>
      <x:c r="P364" s="14" t="n">
        <x:v>0.39968190328131115</x:v>
      </x:c>
      <x:c r="Q364" s="14" t="n">
        <x:v>0.23864394975540407</x:v>
      </x:c>
      <x:c r="R364" s="14" t="n">
        <x:v>0.12981867856983115</x:v>
      </x:c>
      <x:c r="S364" s="14" t="n">
        <x:v>0.4530684338318929</x:v>
      </x:c>
      <x:c r="T364" t="str">
        <x:v>직장밀집·고매출밀도</x:v>
      </x:c>
      <x:c r="U364" s="16" t="n">
        <x:v>73.02186724504895</x:v>
      </x:c>
      <x:c r="V364" t="str">
        <x:v>청과상</x:v>
      </x:c>
      <x:c r="W364" t="str">
        <x:v>청과상 / 예술학원 / 커피-음료</x:v>
      </x:c>
      <x:c r="X364" s="16" t="n">
        <x:v>68.95924038099608</x:v>
      </x:c>
    </x:row>
    <x:row r="365">
      <x:c r="A365" t="str">
        <x:v>3120073</x:v>
      </x:c>
      <x:c r="B365" t="str">
        <x:v>미아사거리</x:v>
      </x:c>
      <x:c r="C365" t="str">
        <x:v>발달상권</x:v>
      </x:c>
      <x:c r="D365" t="str">
        <x:v>성북구</x:v>
      </x:c>
      <x:c r="E365" t="str">
        <x:v>길음2동</x:v>
      </x:c>
      <x:c r="F365" s="12" t="n">
        <x:v>90503</x:v>
      </x:c>
      <x:c r="G365" s="12" t="n">
        <x:v>12525044749</x:v>
      </x:c>
      <x:c r="H365" s="12" t="n">
        <x:v>543991</x:v>
      </x:c>
      <x:c r="I365" s="12" t="n">
        <x:v>23024.360235739194</x:v>
      </x:c>
      <x:c r="J365" s="12" t="n">
        <x:v>138393.69688297625</x:v>
      </x:c>
      <x:c r="K365" s="12" t="n">
        <x:v>231</x:v>
      </x:c>
      <x:c r="L365" s="12" t="n">
        <x:v>25.524015778482482</x:v>
      </x:c>
      <x:c r="M365" s="12" t="n">
        <x:v>21</x:v>
      </x:c>
      <x:c r="N365" s="14" t="n">
        <x:v>0.6940839538871975</x:v>
      </x:c>
      <x:c r="O365" s="14" t="n">
        <x:v>0.3059160461128026</x:v>
      </x:c>
      <x:c r="P365" s="14" t="n">
        <x:v>0.3123911812221183</x:v>
      </x:c>
      <x:c r="Q365" s="14" t="n">
        <x:v>0.27169518634028794</x:v>
      </x:c>
      <x:c r="R365" s="14" t="n">
        <x:v>0.1856462597617183</x:v>
      </x:c>
      <x:c r="S365" s="14" t="n">
        <x:v>0.5299402092379703</x:v>
      </x:c>
      <x:c r="T365" t="str">
        <x:v>여성소비·고매출밀도</x:v>
      </x:c>
      <x:c r="U365" s="16" t="n">
        <x:v>74.49794362287767</x:v>
      </x:c>
      <x:c r="V365" t="str">
        <x:v>의약품</x:v>
      </x:c>
      <x:c r="W365" t="str">
        <x:v>의약품 / 제과점 / 패스트푸드점</x:v>
      </x:c>
      <x:c r="X365" s="16" t="n">
        <x:v>66.2576041177617</x:v>
      </x:c>
    </x:row>
    <x:row r="366">
      <x:c r="A366" t="str">
        <x:v>3130106</x:v>
      </x:c>
      <x:c r="B366" t="str">
        <x:v>중랑동부시장</x:v>
      </x:c>
      <x:c r="C366" t="str">
        <x:v>전통시장</x:v>
      </x:c>
      <x:c r="D366" t="str">
        <x:v>중랑구</x:v>
      </x:c>
      <x:c r="E366" t="str">
        <x:v>면목2동</x:v>
      </x:c>
      <x:c r="F366" s="12" t="n">
        <x:v>50468</x:v>
      </x:c>
      <x:c r="G366" s="12" t="n">
        <x:v>12444430863</x:v>
      </x:c>
      <x:c r="H366" s="12" t="n">
        <x:v>698141</x:v>
      </x:c>
      <x:c r="I366" s="12" t="n">
        <x:v>17825.09673977033</x:v>
      </x:c>
      <x:c r="J366" s="12" t="n">
        <x:v>246580.62263216297</x:v>
      </x:c>
      <x:c r="K366" s="12" t="n">
        <x:v>341</x:v>
      </x:c>
      <x:c r="L366" s="12" t="n">
        <x:v>67.56756756756756</x:v>
      </x:c>
      <x:c r="M366" s="12" t="n">
        <x:v>23</x:v>
      </x:c>
      <x:c r="N366" s="14" t="n">
        <x:v>0.7278106032899417</x:v>
      </x:c>
      <x:c r="O366" s="14" t="n">
        <x:v>0.27218939671005826</x:v>
      </x:c>
      <x:c r="P366" s="14" t="n">
        <x:v>0.33368477439545563</x:v>
      </x:c>
      <x:c r="Q366" s="14" t="n">
        <x:v>0.2559645537081723</x:v>
      </x:c>
      <x:c r="R366" s="14" t="n">
        <x:v>0.2749484384354685</x:v>
      </x:c>
      <x:c r="S366" s="14" t="n">
        <x:v>0.48929746784194095</x:v>
      </x:c>
      <x:c r="T366" t="str">
        <x:v>고매출밀도·여성소비</x:v>
      </x:c>
      <x:c r="U366" s="16" t="n">
        <x:v>67.09651168612889</x:v>
      </x:c>
      <x:c r="V366" t="str">
        <x:v>청과상</x:v>
      </x:c>
      <x:c r="W366" t="str">
        <x:v>청과상 / 피부관리실 / 육류판매</x:v>
      </x:c>
      <x:c r="X366" s="16" t="n">
        <x:v>64.42609495091897</x:v>
      </x:c>
    </x:row>
    <x:row r="367">
      <x:c r="A367" t="str">
        <x:v>3110064</x:v>
      </x:c>
      <x:c r="B367" t="str">
        <x:v>효창공원앞역 2번</x:v>
      </x:c>
      <x:c r="C367" t="str">
        <x:v>골목상권</x:v>
      </x:c>
      <x:c r="D367" t="str">
        <x:v>용산구</x:v>
      </x:c>
      <x:c r="E367" t="str">
        <x:v>효창동</x:v>
      </x:c>
      <x:c r="F367" s="12" t="n">
        <x:v>131550</x:v>
      </x:c>
      <x:c r="G367" s="12" t="n">
        <x:v>12433679024</x:v>
      </x:c>
      <x:c r="H367" s="12" t="n">
        <x:v>290760</x:v>
      </x:c>
      <x:c r="I367" s="12" t="n">
        <x:v>42762.687522355205</x:v>
      </x:c>
      <x:c r="J367" s="12" t="n">
        <x:v>94516.75426833903</x:v>
      </x:c>
      <x:c r="K367" s="12" t="n">
        <x:v>818</x:v>
      </x:c>
      <x:c r="L367" s="12" t="n">
        <x:v>62.18167996959331</x:v>
      </x:c>
      <x:c r="M367" s="12" t="n">
        <x:v>15</x:v>
      </x:c>
      <x:c r="N367" s="14" t="n">
        <x:v>0.9009836387425147</x:v>
      </x:c>
      <x:c r="O367" s="14" t="n">
        <x:v>0.0990163612574852</x:v>
      </x:c>
      <x:c r="P367" s="14" t="n">
        <x:v>0.17213226808162135</x:v>
      </x:c>
      <x:c r="Q367" s="14" t="n">
        <x:v>0.26375300413256025</x:v>
      </x:c>
      <x:c r="R367" s="14" t="n">
        <x:v>0.12834899364215727</x:v>
      </x:c>
      <x:c r="S367" s="14" t="n">
        <x:v>0.6663646317399097</x:v>
      </x:c>
      <x:c r="T367" t="str">
        <x:v>여성소비·평일집중</x:v>
      </x:c>
      <x:c r="U367" s="16" t="n">
        <x:v>79.61170268734611</x:v>
      </x:c>
      <x:c r="V367" t="str">
        <x:v>화장품</x:v>
      </x:c>
      <x:c r="W367" t="str">
        <x:v>화장품 / 일반의류 / 슈퍼마켓</x:v>
      </x:c>
      <x:c r="X367" s="16" t="n">
        <x:v>69.61683948158087</x:v>
      </x:c>
    </x:row>
    <x:row r="368">
      <x:c r="A368" t="str">
        <x:v>3110902</x:v>
      </x:c>
      <x:c r="B368" t="str">
        <x:v>사당역 4번</x:v>
      </x:c>
      <x:c r="C368" t="str">
        <x:v>골목상권</x:v>
      </x:c>
      <x:c r="D368" t="str">
        <x:v>관악구</x:v>
      </x:c>
      <x:c r="E368" t="str">
        <x:v>남현동</x:v>
      </x:c>
      <x:c r="F368" s="12" t="n">
        <x:v>250733</x:v>
      </x:c>
      <x:c r="G368" s="12" t="n">
        <x:v>12212115454</x:v>
      </x:c>
      <x:c r="H368" s="12" t="n">
        <x:v>616384</x:v>
      </x:c>
      <x:c r="I368" s="12" t="n">
        <x:v>19812.51209311079</x:v>
      </x:c>
      <x:c r="J368" s="12" t="n">
        <x:v>48705.65683017393</x:v>
      </x:c>
      <x:c r="K368" s="12" t="n">
        <x:v>1640</x:v>
      </x:c>
      <x:c r="L368" s="12" t="n">
        <x:v>65.4082230899004</x:v>
      </x:c>
      <x:c r="M368" s="12" t="n">
        <x:v>24</x:v>
      </x:c>
      <x:c r="N368" s="14" t="n">
        <x:v>0.7846634349384034</x:v>
      </x:c>
      <x:c r="O368" s="14" t="n">
        <x:v>0.21533656506159657</x:v>
      </x:c>
      <x:c r="P368" s="14" t="n">
        <x:v>0.3270289095319586</x:v>
      </x:c>
      <x:c r="Q368" s="14" t="n">
        <x:v>0.2837870895549756</x:v>
      </x:c>
      <x:c r="R368" s="14" t="n">
        <x:v>0.2946375728720653</x:v>
      </x:c>
      <x:c r="S368" s="14" t="n">
        <x:v>0.46629036586243855</x:v>
      </x:c>
      <x:c r="T368" t="str">
        <x:v>2030소비·평일집중</x:v>
      </x:c>
      <x:c r="U368" s="16" t="n">
        <x:v>70.74156446359935</x:v>
      </x:c>
      <x:c r="V368" t="str">
        <x:v>예술학원</x:v>
      </x:c>
      <x:c r="W368" t="str">
        <x:v>예술학원 / 미용실 / 일반의류</x:v>
      </x:c>
      <x:c r="X368" s="16" t="n">
        <x:v>68.97988751590665</x:v>
      </x:c>
    </x:row>
    <x:row r="369">
      <x:c r="A369" t="str">
        <x:v>3120030</x:v>
      </x:c>
      <x:c r="B369" t="str">
        <x:v>중부경찰서(영화인의거리)</x:v>
      </x:c>
      <x:c r="C369" t="str">
        <x:v>발달상권</x:v>
      </x:c>
      <x:c r="D369" t="str">
        <x:v>중구</x:v>
      </x:c>
      <x:c r="E369" t="str">
        <x:v>명동</x:v>
      </x:c>
      <x:c r="F369" s="12" t="n">
        <x:v>137954</x:v>
      </x:c>
      <x:c r="G369" s="12" t="n">
        <x:v>12205555550</x:v>
      </x:c>
      <x:c r="H369" s="12" t="n">
        <x:v>684517</x:v>
      </x:c>
      <x:c r="I369" s="12" t="n">
        <x:v>17830.902008277368</x:v>
      </x:c>
      <x:c r="J369" s="12" t="n">
        <x:v>88475.54655899793</x:v>
      </x:c>
      <x:c r="K369" s="12" t="n">
        <x:v>8058</x:v>
      </x:c>
      <x:c r="L369" s="12" t="n">
        <x:v>584.107746060281</x:v>
      </x:c>
      <x:c r="M369" s="12" t="n">
        <x:v>16</x:v>
      </x:c>
      <x:c r="N369" s="14" t="n">
        <x:v>0.8386137251245397</x:v>
      </x:c>
      <x:c r="O369" s="14" t="n">
        <x:v>0.1613862748754603</x:v>
      </x:c>
      <x:c r="P369" s="14" t="n">
        <x:v>0.3857828405852448</x:v>
      </x:c>
      <x:c r="Q369" s="14" t="n">
        <x:v>0.37044935599019085</x:v>
      </x:c>
      <x:c r="R369" s="14" t="n">
        <x:v>0.36456679958332583</x:v>
      </x:c>
      <x:c r="S369" s="14" t="n">
        <x:v>0.34892610586660266</x:v>
      </x:c>
      <x:c r="T369" t="str">
        <x:v>직장밀집·평일집중</x:v>
      </x:c>
      <x:c r="U369" s="16" t="n">
        <x:v>64.41575838408015</x:v>
      </x:c>
      <x:c r="V369" t="str">
        <x:v>문구</x:v>
      </x:c>
      <x:c r="W369" t="str">
        <x:v>문구 / 한식음식점 / 커피-음료</x:v>
      </x:c>
      <x:c r="X369" s="16" t="n">
        <x:v>61.55736521432315</x:v>
      </x:c>
    </x:row>
    <x:row r="370">
      <x:c r="A370" t="str">
        <x:v>3130210</x:v>
      </x:c>
      <x:c r="B370" t="str">
        <x:v>목2동시장</x:v>
      </x:c>
      <x:c r="C370" t="str">
        <x:v>전통시장</x:v>
      </x:c>
      <x:c r="D370" t="str">
        <x:v>양천구</x:v>
      </x:c>
      <x:c r="E370" t="str">
        <x:v>목2동</x:v>
      </x:c>
      <x:c r="F370" s="12" t="n">
        <x:v>42782</x:v>
      </x:c>
      <x:c r="G370" s="12" t="n">
        <x:v>12180608273</x:v>
      </x:c>
      <x:c r="H370" s="12" t="n">
        <x:v>589807</x:v>
      </x:c>
      <x:c r="I370" s="12" t="n">
        <x:v>20651.854374397048</x:v>
      </x:c>
      <x:c r="J370" s="12" t="n">
        <x:v>284713.3905147024</x:v>
      </x:c>
      <x:c r="K370" s="12" t="n">
        <x:v>1016</x:v>
      </x:c>
      <x:c r="L370" s="12" t="n">
        <x:v>237.4830536206816</x:v>
      </x:c>
      <x:c r="M370" s="12" t="n">
        <x:v>21</x:v>
      </x:c>
      <x:c r="N370" s="14" t="n">
        <x:v>0.7539960429856277</x:v>
      </x:c>
      <x:c r="O370" s="14" t="n">
        <x:v>0.24600395701437233</x:v>
      </x:c>
      <x:c r="P370" s="14" t="n">
        <x:v>0.503587131243425</x:v>
      </x:c>
      <x:c r="Q370" s="14" t="n">
        <x:v>0.18233504503408474</x:v>
      </x:c>
      <x:c r="R370" s="14" t="n">
        <x:v>0.31823549679307545</x:v>
      </x:c>
      <x:c r="S370" s="14" t="n">
        <x:v>0.4493898730109831</x:v>
      </x:c>
      <x:c r="T370" t="str">
        <x:v>고매출밀도·야간활성</x:v>
      </x:c>
      <x:c r="U370" s="16" t="n">
        <x:v>69.15472169938168</x:v>
      </x:c>
      <x:c r="V370" t="str">
        <x:v>의약품</x:v>
      </x:c>
      <x:c r="W370" t="str">
        <x:v>의약품 / 한식음식점 / 한의원</x:v>
      </x:c>
      <x:c r="X370" s="16" t="n">
        <x:v>64.77464558544509</x:v>
      </x:c>
    </x:row>
    <x:row r="371">
      <x:c r="A371" t="str">
        <x:v>3120140</x:v>
      </x:c>
      <x:c r="B371" t="str">
        <x:v>문래동주민센터</x:v>
      </x:c>
      <x:c r="C371" t="str">
        <x:v>발달상권</x:v>
      </x:c>
      <x:c r="D371" t="str">
        <x:v>영등포구</x:v>
      </x:c>
      <x:c r="E371" t="str">
        <x:v>문래동</x:v>
      </x:c>
      <x:c r="F371" s="12" t="n">
        <x:v>101046</x:v>
      </x:c>
      <x:c r="G371" s="12" t="n">
        <x:v>12109761270</x:v>
      </x:c>
      <x:c r="H371" s="12" t="n">
        <x:v>832250</x:v>
      </x:c>
      <x:c r="I371" s="12" t="n">
        <x:v>14550.629342144788</x:v>
      </x:c>
      <x:c r="J371" s="12" t="n">
        <x:v>119844.04399976248</x:v>
      </x:c>
      <x:c r="K371" s="12" t="n">
        <x:v>25596</x:v>
      </x:c>
      <x:c r="L371" s="12" t="n">
        <x:v>2533.103734932605</x:v>
      </x:c>
      <x:c r="M371" s="12" t="n">
        <x:v>17</x:v>
      </x:c>
      <x:c r="N371" s="14" t="n">
        <x:v>0.8325474324565277</x:v>
      </x:c>
      <x:c r="O371" s="14" t="n">
        <x:v>0.16745256754347232</x:v>
      </x:c>
      <x:c r="P371" s="14" t="n">
        <x:v>0.14204692154100573</x:v>
      </x:c>
      <x:c r="Q371" s="14" t="n">
        <x:v>0.493931306294034</x:v>
      </x:c>
      <x:c r="R371" s="14" t="n">
        <x:v>0.27206329650460565</x:v>
      </x:c>
      <x:c r="S371" s="14" t="n">
        <x:v>0.3219580331991136</x:v>
      </x:c>
      <x:c r="T371" t="str">
        <x:v>직장밀집·평일집중</x:v>
      </x:c>
      <x:c r="U371" s="16" t="n">
        <x:v>74.77956018929103</x:v>
      </x:c>
      <x:c r="V371" t="str">
        <x:v>반찬가게</x:v>
      </x:c>
      <x:c r="W371" t="str">
        <x:v>반찬가게 / 한식음식점 / 커피-음료</x:v>
      </x:c>
      <x:c r="X371" s="16" t="n">
        <x:v>61.858461585167085</x:v>
      </x:c>
    </x:row>
    <x:row r="372">
      <x:c r="A372" t="str">
        <x:v>3110419</x:v>
      </x:c>
      <x:c r="B372" t="str">
        <x:v>수락산디자인거리</x:v>
      </x:c>
      <x:c r="C372" t="str">
        <x:v>골목상권</x:v>
      </x:c>
      <x:c r="D372" t="str">
        <x:v>노원구</x:v>
      </x:c>
      <x:c r="E372" t="str">
        <x:v>상계1동</x:v>
      </x:c>
      <x:c r="F372" s="12" t="n">
        <x:v>125994</x:v>
      </x:c>
      <x:c r="G372" s="12" t="n">
        <x:v>12074178203</x:v>
      </x:c>
      <x:c r="H372" s="12" t="n">
        <x:v>553604</x:v>
      </x:c>
      <x:c r="I372" s="12" t="n">
        <x:v>21810.135409064962</x:v>
      </x:c>
      <x:c r="J372" s="12" t="n">
        <x:v>95831.37453370796</x:v>
      </x:c>
      <x:c r="K372" s="12" t="n">
        <x:v>1062</x:v>
      </x:c>
      <x:c r="L372" s="12" t="n">
        <x:v>84.28972808228963</x:v>
      </x:c>
      <x:c r="M372" s="12" t="n">
        <x:v>27</x:v>
      </x:c>
      <x:c r="N372" s="14" t="n">
        <x:v>0.6649949731572634</x:v>
      </x:c>
      <x:c r="O372" s="14" t="n">
        <x:v>0.3350050268427366</x:v>
      </x:c>
      <x:c r="P372" s="14" t="n">
        <x:v>0.5370744463907926</x:v>
      </x:c>
      <x:c r="Q372" s="14" t="n">
        <x:v>0.1971971740824902</x:v>
      </x:c>
      <x:c r="R372" s="14" t="n">
        <x:v>0.17422513231395945</x:v>
      </x:c>
      <x:c r="S372" s="14" t="n">
        <x:v>0.37798348709695617</x:v>
      </x:c>
      <x:c r="T372" t="str">
        <x:v>야간활성·고매출밀도</x:v>
      </x:c>
      <x:c r="U372" s="16" t="n">
        <x:v>63.66194395920386</x:v>
      </x:c>
      <x:c r="V372" t="str">
        <x:v>호프-간이주점</x:v>
      </x:c>
      <x:c r="W372" t="str">
        <x:v>호프-간이주점 / 일반의류 / 한식음식점</x:v>
      </x:c>
      <x:c r="X372" s="16" t="n">
        <x:v>61.20751923056547</x:v>
      </x:c>
    </x:row>
    <x:row r="373">
      <x:c r="A373" t="str">
        <x:v>3130042</x:v>
      </x:c>
      <x:c r="B373" t="str">
        <x:v>약수시장</x:v>
      </x:c>
      <x:c r="C373" t="str">
        <x:v>전통시장</x:v>
      </x:c>
      <x:c r="D373" t="str">
        <x:v>중구</x:v>
      </x:c>
      <x:c r="E373" t="str">
        <x:v>약수동</x:v>
      </x:c>
      <x:c r="F373" s="12" t="n">
        <x:v>28173</x:v>
      </x:c>
      <x:c r="G373" s="12" t="n">
        <x:v>12059056176</x:v>
      </x:c>
      <x:c r="H373" s="12" t="n">
        <x:v>378955</x:v>
      </x:c>
      <x:c r="I373" s="12" t="n">
        <x:v>31821.86849625945</x:v>
      </x:c>
      <x:c r="J373" s="12" t="n">
        <x:v>428035.9271643062</x:v>
      </x:c>
      <x:c r="K373" s="12" t="n">
        <x:v>3917</x:v>
      </x:c>
      <x:c r="L373" s="12" t="n">
        <x:v>1390.3382671352006</x:v>
      </x:c>
      <x:c r="M373" s="12" t="n">
        <x:v>17</x:v>
      </x:c>
      <x:c r="N373" s="14" t="n">
        <x:v>0.7602586721708958</x:v>
      </x:c>
      <x:c r="O373" s="14" t="n">
        <x:v>0.23974132782910423</x:v>
      </x:c>
      <x:c r="P373" s="14" t="n">
        <x:v>0.2800848153209565</x:v>
      </x:c>
      <x:c r="Q373" s="14" t="n">
        <x:v>0.31457714456541397</x:v>
      </x:c>
      <x:c r="R373" s="14" t="n">
        <x:v>0.19440232102622224</x:v>
      </x:c>
      <x:c r="S373" s="14" t="n">
        <x:v>0.5071174634853115</x:v>
      </x:c>
      <x:c r="T373" t="str">
        <x:v>직장밀집·고매출밀도</x:v>
      </x:c>
      <x:c r="U373" s="16" t="n">
        <x:v>83.6587549434386</x:v>
      </x:c>
      <x:c r="V373" t="str">
        <x:v>육류판매</x:v>
      </x:c>
      <x:c r="W373" t="str">
        <x:v>육류판매 / 일반의원 / 인테리어</x:v>
      </x:c>
      <x:c r="X373" s="16" t="n">
        <x:v>73.31201749868428</x:v>
      </x:c>
    </x:row>
    <x:row r="374">
      <x:c r="A374" t="str">
        <x:v>3110710</x:v>
      </x:c>
      <x:c r="B374" t="str">
        <x:v>남구로역 3번</x:v>
      </x:c>
      <x:c r="C374" t="str">
        <x:v>골목상권</x:v>
      </x:c>
      <x:c r="D374" t="str">
        <x:v>구로구</x:v>
      </x:c>
      <x:c r="E374" t="str">
        <x:v>구로2동</x:v>
      </x:c>
      <x:c r="F374" s="12" t="n">
        <x:v>224117</x:v>
      </x:c>
      <x:c r="G374" s="12" t="n">
        <x:v>12051649283</x:v>
      </x:c>
      <x:c r="H374" s="12" t="n">
        <x:v>506052</x:v>
      </x:c>
      <x:c r="I374" s="12" t="n">
        <x:v>23815.04130603179</x:v>
      </x:c>
      <x:c r="J374" s="12" t="n">
        <x:v>53773.918457769825</x:v>
      </x:c>
      <x:c r="K374" s="12" t="n">
        <x:v>412</x:v>
      </x:c>
      <x:c r="L374" s="12" t="n">
        <x:v>18.383255174752474</x:v>
      </x:c>
      <x:c r="M374" s="12" t="n">
        <x:v>21</x:v>
      </x:c>
      <x:c r="N374" s="14" t="n">
        <x:v>0.7504315465566473</x:v>
      </x:c>
      <x:c r="O374" s="14" t="n">
        <x:v>0.24956845344335266</x:v>
      </x:c>
      <x:c r="P374" s="14" t="n">
        <x:v>0.3773949721069061</x:v>
      </x:c>
      <x:c r="Q374" s="14" t="n">
        <x:v>0.25336144566595914</x:v>
      </x:c>
      <x:c r="R374" s="14" t="n">
        <x:v>0.12752755684385608</x:v>
      </x:c>
      <x:c r="S374" s="14" t="n">
        <x:v>0.4483718797411672</x:v>
      </x:c>
      <x:c r="T374" t="str">
        <x:v>균형형</x:v>
      </x:c>
      <x:c r="U374" s="16" t="n">
        <x:v>57.5377647922733</x:v>
      </x:c>
      <x:c r="V374" t="str">
        <x:v>일반의원</x:v>
      </x:c>
      <x:c r="W374" t="str">
        <x:v>일반의원 / 일반의류 / 미용실</x:v>
      </x:c>
      <x:c r="X374" s="16" t="n">
        <x:v>54.38796832088923</x:v>
      </x:c>
    </x:row>
    <x:row r="375">
      <x:c r="A375" t="str">
        <x:v>3120087</x:v>
      </x:c>
      <x:c r="B375" t="str">
        <x:v>응암역</x:v>
      </x:c>
      <x:c r="C375" t="str">
        <x:v>발달상권</x:v>
      </x:c>
      <x:c r="D375" t="str">
        <x:v>은평구</x:v>
      </x:c>
      <x:c r="E375" t="str">
        <x:v>응암1동</x:v>
      </x:c>
      <x:c r="F375" s="12" t="n">
        <x:v>58470</x:v>
      </x:c>
      <x:c r="G375" s="12" t="n">
        <x:v>12010067723</x:v>
      </x:c>
      <x:c r="H375" s="12" t="n">
        <x:v>568431</x:v>
      </x:c>
      <x:c r="I375" s="12" t="n">
        <x:v>21128.453098089303</x:v>
      </x:c>
      <x:c r="J375" s="12" t="n">
        <x:v>205405.63918248675</x:v>
      </x:c>
      <x:c r="K375" s="12" t="n">
        <x:v>457</x:v>
      </x:c>
      <x:c r="L375" s="12" t="n">
        <x:v>78.15974003762614</x:v>
      </x:c>
      <x:c r="M375" s="12" t="n">
        <x:v>21</x:v>
      </x:c>
      <x:c r="N375" s="14" t="n">
        <x:v>0.8202964962581502</x:v>
      </x:c>
      <x:c r="O375" s="14" t="n">
        <x:v>0.1797035037418498</x:v>
      </x:c>
      <x:c r="P375" s="14" t="n">
        <x:v>0.30590203292228346</x:v>
      </x:c>
      <x:c r="Q375" s="14" t="n">
        <x:v>0.2974367237879063</x:v>
      </x:c>
      <x:c r="R375" s="14" t="n">
        <x:v>0.20441748061906412</x:v>
      </x:c>
      <x:c r="S375" s="14" t="n">
        <x:v>0.4207497268581389</x:v>
      </x:c>
      <x:c r="T375" t="str">
        <x:v>고매출밀도·평일집중</x:v>
      </x:c>
      <x:c r="U375" s="16" t="n">
        <x:v>63.76688476244606</x:v>
      </x:c>
      <x:c r="V375" t="str">
        <x:v>일반의원</x:v>
      </x:c>
      <x:c r="W375" t="str">
        <x:v>일반의원 / 분식전문점 / 네일숍</x:v>
      </x:c>
      <x:c r="X375" s="16" t="n">
        <x:v>60.5588744302209</x:v>
      </x:c>
    </x:row>
    <x:row r="376">
      <x:c r="A376" t="str">
        <x:v>3130153</x:v>
      </x:c>
      <x:c r="B376" t="str">
        <x:v>창동역상점가</x:v>
      </x:c>
      <x:c r="C376" t="str">
        <x:v>전통시장</x:v>
      </x:c>
      <x:c r="D376" t="str">
        <x:v>도봉구</x:v>
      </x:c>
      <x:c r="E376" t="str">
        <x:v>창4동</x:v>
      </x:c>
      <x:c r="F376" s="12" t="n">
        <x:v>33628</x:v>
      </x:c>
      <x:c r="G376" s="12" t="n">
        <x:v>11918508546</x:v>
      </x:c>
      <x:c r="H376" s="12" t="n">
        <x:v>616726</x:v>
      </x:c>
      <x:c r="I376" s="12" t="n">
        <x:v>19325.45173383318</x:v>
      </x:c>
      <x:c r="J376" s="12" t="n">
        <x:v>354422.1644462948</x:v>
      </x:c>
      <x:c r="K376" s="12" t="n">
        <x:v>694</x:v>
      </x:c>
      <x:c r="L376" s="12" t="n">
        <x:v>206.37563934816225</x:v>
      </x:c>
      <x:c r="M376" s="12" t="n">
        <x:v>18</x:v>
      </x:c>
      <x:c r="N376" s="14" t="n">
        <x:v>0.73570054845015</x:v>
      </x:c>
      <x:c r="O376" s="14" t="n">
        <x:v>0.26429945154984996</x:v>
      </x:c>
      <x:c r="P376" s="14" t="n">
        <x:v>0.5491481985131934</x:v>
      </x:c>
      <x:c r="Q376" s="14" t="n">
        <x:v>0.18800160199171953</x:v>
      </x:c>
      <x:c r="R376" s="14" t="n">
        <x:v>0.24592038833446836</x:v>
      </x:c>
      <x:c r="S376" s="14" t="n">
        <x:v>0.3106399461569006</x:v>
      </x:c>
      <x:c r="T376" t="str">
        <x:v>고매출밀도·야간활성</x:v>
      </x:c>
      <x:c r="U376" s="16" t="n">
        <x:v>82.4120546613219</x:v>
      </x:c>
      <x:c r="V376" t="str">
        <x:v>피부관리실</x:v>
      </x:c>
      <x:c r="W376" t="str">
        <x:v>피부관리실 / 한식음식점 / 당구장</x:v>
      </x:c>
      <x:c r="X376" s="16" t="n">
        <x:v>73.30302141347013</x:v>
      </x:c>
    </x:row>
    <x:row r="377">
      <x:c r="A377" t="str">
        <x:v>3110313</x:v>
      </x:c>
      <x:c r="B377" t="str">
        <x:v>안암역 3번</x:v>
      </x:c>
      <x:c r="C377" t="str">
        <x:v>골목상권</x:v>
      </x:c>
      <x:c r="D377" t="str">
        <x:v>성북구</x:v>
      </x:c>
      <x:c r="E377" t="str">
        <x:v>안암동</x:v>
      </x:c>
      <x:c r="F377" s="12" t="n">
        <x:v>82289</x:v>
      </x:c>
      <x:c r="G377" s="12" t="n">
        <x:v>11899040677</x:v>
      </x:c>
      <x:c r="H377" s="12" t="n">
        <x:v>703143</x:v>
      </x:c>
      <x:c r="I377" s="12" t="n">
        <x:v>16922.64685419609</x:v>
      </x:c>
      <x:c r="J377" s="12" t="n">
        <x:v>144600.62313310406</x:v>
      </x:c>
      <x:c r="K377" s="12" t="n">
        <x:v>442</x:v>
      </x:c>
      <x:c r="L377" s="12" t="n">
        <x:v>53.71313298253716</x:v>
      </x:c>
      <x:c r="M377" s="12" t="n">
        <x:v>20</x:v>
      </x:c>
      <x:c r="N377" s="14" t="n">
        <x:v>0.7489939589186262</x:v>
      </x:c>
      <x:c r="O377" s="14" t="n">
        <x:v>0.2510060410813738</x:v>
      </x:c>
      <x:c r="P377" s="14" t="n">
        <x:v>0.5691661300133901</x:v>
      </x:c>
      <x:c r="Q377" s="14" t="n">
        <x:v>0.188855977889351</x:v>
      </x:c>
      <x:c r="R377" s="14" t="n">
        <x:v>0.5299858966941491</x:v>
      </x:c>
      <x:c r="S377" s="14" t="n">
        <x:v>0.3789712807450385</x:v>
      </x:c>
      <x:c r="T377" t="str">
        <x:v>2030소비·야간활성</x:v>
      </x:c>
      <x:c r="U377" s="16" t="n">
        <x:v>66.06351729824789</x:v>
      </x:c>
      <x:c r="V377" t="str">
        <x:v>편의점</x:v>
      </x:c>
      <x:c r="W377" t="str">
        <x:v>편의점 / 분식전문점 / 일식음식점</x:v>
      </x:c>
      <x:c r="X377" s="16" t="n">
        <x:v>63.72091207007877</x:v>
      </x:c>
    </x:row>
    <x:row r="378">
      <x:c r="A378" t="str">
        <x:v>3130117</x:v>
      </x:c>
      <x:c r="B378" t="str">
        <x:v>정릉시장</x:v>
      </x:c>
      <x:c r="C378" t="str">
        <x:v>전통시장</x:v>
      </x:c>
      <x:c r="D378" t="str">
        <x:v>성북구</x:v>
      </x:c>
      <x:c r="E378" t="str">
        <x:v>정릉3동</x:v>
      </x:c>
      <x:c r="F378" s="12" t="n">
        <x:v>53318</x:v>
      </x:c>
      <x:c r="G378" s="12" t="n">
        <x:v>11874113822</x:v>
      </x:c>
      <x:c r="H378" s="12" t="n">
        <x:v>632631</x:v>
      </x:c>
      <x:c r="I378" s="12" t="n">
        <x:v>18769.415065022105</x:v>
      </x:c>
      <x:c r="J378" s="12" t="n">
        <x:v>222703.66146517123</x:v>
      </x:c>
      <x:c r="K378" s="12" t="n">
        <x:v>336</x:v>
      </x:c>
      <x:c r="L378" s="12" t="n">
        <x:v>63.01811770884129</x:v>
      </x:c>
      <x:c r="M378" s="12" t="n">
        <x:v>22</x:v>
      </x:c>
      <x:c r="N378" s="14" t="n">
        <x:v>0.744075369787204</x:v>
      </x:c>
      <x:c r="O378" s="14" t="n">
        <x:v>0.25592463021279604</x:v>
      </x:c>
      <x:c r="P378" s="14" t="n">
        <x:v>0.3324530309525948</x:v>
      </x:c>
      <x:c r="Q378" s="14" t="n">
        <x:v>0.260537624144058</x:v>
      </x:c>
      <x:c r="R378" s="14" t="n">
        <x:v>0.1794288746881106</x:v>
      </x:c>
      <x:c r="S378" s="14" t="n">
        <x:v>0.5480060463075457</x:v>
      </x:c>
      <x:c r="T378" t="str">
        <x:v>여성소비·고매출밀도</x:v>
      </x:c>
      <x:c r="U378" s="16" t="n">
        <x:v>73.38793637911311</x:v>
      </x:c>
      <x:c r="V378" t="str">
        <x:v>일반의류</x:v>
      </x:c>
      <x:c r="W378" t="str">
        <x:v>일반의류 / 커피-음료 / 패스트푸드점</x:v>
      </x:c>
      <x:c r="X378" s="16" t="n">
        <x:v>71.96187529316876</x:v>
      </x:c>
    </x:row>
    <x:row r="379">
      <x:c r="A379" t="str">
        <x:v>3130186</x:v>
      </x:c>
      <x:c r="B379" t="str">
        <x:v>망원시장</x:v>
      </x:c>
      <x:c r="C379" t="str">
        <x:v>전통시장</x:v>
      </x:c>
      <x:c r="D379" t="str">
        <x:v>마포구</x:v>
      </x:c>
      <x:c r="E379" t="str">
        <x:v>망원1동</x:v>
      </x:c>
      <x:c r="F379" s="12" t="n">
        <x:v>42916</x:v>
      </x:c>
      <x:c r="G379" s="12" t="n">
        <x:v>11854444245</x:v>
      </x:c>
      <x:c r="H379" s="12" t="n">
        <x:v>755176</x:v>
      </x:c>
      <x:c r="I379" s="12" t="n">
        <x:v>15697.591349566193</x:v>
      </x:c>
      <x:c r="J379" s="12" t="n">
        <x:v>276224.35094137385</x:v>
      </x:c>
      <x:c r="K379" s="12" t="n">
        <x:v>329</x:v>
      </x:c>
      <x:c r="L379" s="12" t="n">
        <x:v>76.66138503122379</x:v>
      </x:c>
      <x:c r="M379" s="12" t="n">
        <x:v>15</x:v>
      </x:c>
      <x:c r="N379" s="14" t="n">
        <x:v>0.6513924732706861</x:v>
      </x:c>
      <x:c r="O379" s="14" t="n">
        <x:v>0.348607526729314</x:v>
      </x:c>
      <x:c r="P379" s="14" t="n">
        <x:v>0.31840988054687164</x:v>
      </x:c>
      <x:c r="Q379" s="14" t="n">
        <x:v>0.2562125975058732</x:v>
      </x:c>
      <x:c r="R379" s="14" t="n">
        <x:v>0.21980073516301735</x:v>
      </x:c>
      <x:c r="S379" s="14" t="n">
        <x:v>0.5757133037154877</x:v>
      </x:c>
      <x:c r="T379" t="str">
        <x:v>여성소비·고매출밀도</x:v>
      </x:c>
      <x:c r="U379" s="16" t="n">
        <x:v>77.16013800857438</x:v>
      </x:c>
      <x:c r="V379" t="str">
        <x:v>육류판매</x:v>
      </x:c>
      <x:c r="W379" t="str">
        <x:v>육류판매 / 분식전문점 / 청과상</x:v>
      </x:c>
      <x:c r="X379" s="16" t="n">
        <x:v>63.85592524936165</x:v>
      </x:c>
    </x:row>
    <x:row r="380">
      <x:c r="A380" t="str">
        <x:v>3110576</x:v>
      </x:c>
      <x:c r="B380" t="str">
        <x:v>대흥역 3번</x:v>
      </x:c>
      <x:c r="C380" t="str">
        <x:v>골목상권</x:v>
      </x:c>
      <x:c r="D380" t="str">
        <x:v>마포구</x:v>
      </x:c>
      <x:c r="E380" t="str">
        <x:v>대흥동</x:v>
      </x:c>
      <x:c r="F380" s="12" t="n">
        <x:v>76040</x:v>
      </x:c>
      <x:c r="G380" s="12" t="n">
        <x:v>11816946798</x:v>
      </x:c>
      <x:c r="H380" s="12" t="n">
        <x:v>223954</x:v>
      </x:c>
      <x:c r="I380" s="12" t="n">
        <x:v>52765.06245925502</x:v>
      </x:c>
      <x:c r="J380" s="12" t="n">
        <x:v>155404.35031562336</x:v>
      </x:c>
      <x:c r="K380" s="12" t="n">
        <x:v>1564</x:v>
      </x:c>
      <x:c r="L380" s="12" t="n">
        <x:v>205.68122041031037</x:v>
      </x:c>
      <x:c r="M380" s="12" t="n">
        <x:v>15</x:v>
      </x:c>
      <x:c r="N380" s="14" t="n">
        <x:v>0.7694991342889855</x:v>
      </x:c>
      <x:c r="O380" s="14" t="n">
        <x:v>0.23050086571101444</x:v>
      </x:c>
      <x:c r="P380" s="14" t="n">
        <x:v>0.47932713524263765</x:v>
      </x:c>
      <x:c r="Q380" s="14" t="n">
        <x:v>0.24719689755177657</x:v>
      </x:c>
      <x:c r="R380" s="14" t="n">
        <x:v>0.228095662278533</x:v>
      </x:c>
      <x:c r="S380" s="14" t="n">
        <x:v>0.5135862163674269</x:v>
      </x:c>
      <x:c r="T380" t="str">
        <x:v>여성소비·직장밀집</x:v>
      </x:c>
      <x:c r="U380" s="16" t="n">
        <x:v>67.17734639628056</x:v>
      </x:c>
      <x:c r="V380" t="str">
        <x:v>일반교습학원</x:v>
      </x:c>
      <x:c r="W380" t="str">
        <x:v>일반교습학원 / 미용실 / 청과상</x:v>
      </x:c>
      <x:c r="X380" s="16" t="n">
        <x:v>66.14963303029378</x:v>
      </x:c>
    </x:row>
    <x:row r="381">
      <x:c r="A381" t="str">
        <x:v>3110991</x:v>
      </x:c>
      <x:c r="B381" t="str">
        <x:v>삼성중앙역 5번</x:v>
      </x:c>
      <x:c r="C381" t="str">
        <x:v>골목상권</x:v>
      </x:c>
      <x:c r="D381" t="str">
        <x:v>강남구</x:v>
      </x:c>
      <x:c r="E381" t="str">
        <x:v>삼성1동</x:v>
      </x:c>
      <x:c r="F381" s="12" t="n">
        <x:v>26622</x:v>
      </x:c>
      <x:c r="G381" s="12" t="n">
        <x:v>11771878159</x:v>
      </x:c>
      <x:c r="H381" s="12" t="n">
        <x:v>79966</x:v>
      </x:c>
      <x:c r="I381" s="12" t="n">
        <x:v>147211.04168021408</x:v>
      </x:c>
      <x:c r="J381" s="12" t="n">
        <x:v>442186.0926677184</x:v>
      </x:c>
      <x:c r="K381" s="12" t="n">
        <x:v>2236</x:v>
      </x:c>
      <x:c r="L381" s="12" t="n">
        <x:v>839.9068439636391</x:v>
      </x:c>
      <x:c r="M381" s="12" t="n">
        <x:v>5</x:v>
      </x:c>
      <x:c r="N381" s="14" t="n">
        <x:v>0.8466709797178763</x:v>
      </x:c>
      <x:c r="O381" s="14" t="n">
        <x:v>0.1533290202821237</x:v>
      </x:c>
      <x:c r="P381" s="14" t="n">
        <x:v>0.7397039589084317</x:v>
      </x:c>
      <x:c r="Q381" s="14" t="n">
        <x:v>0.19207964493510182</x:v>
      </x:c>
      <x:c r="R381" s="14" t="n">
        <x:v>0.1112131208221079</x:v>
      </x:c>
      <x:c r="S381" s="14" t="n">
        <x:v>0.10930545021112463</x:v>
      </x:c>
      <x:c r="T381" t="str">
        <x:v>야간활성·직장밀집</x:v>
      </x:c>
      <x:c r="U381" s="16" t="n">
        <x:v>71.684746220102</x:v>
      </x:c>
      <x:c r="V381" t="str">
        <x:v>한식음식점</x:v>
      </x:c>
      <x:c r="W381" t="str">
        <x:v>한식음식점 / 중식음식점 / 피부관리실</x:v>
      </x:c>
      <x:c r="X381" s="16" t="n">
        <x:v>47.7402123307446</x:v>
      </x:c>
    </x:row>
    <x:row r="382">
      <x:c r="A382" t="str">
        <x:v>3120044</x:v>
      </x:c>
      <x:c r="B382" t="str">
        <x:v>삼각지역</x:v>
      </x:c>
      <x:c r="C382" t="str">
        <x:v>발달상권</x:v>
      </x:c>
      <x:c r="D382" t="str">
        <x:v>용산구</x:v>
      </x:c>
      <x:c r="E382" t="str">
        <x:v>한강로동</x:v>
      </x:c>
      <x:c r="F382" s="12" t="n">
        <x:v>134419</x:v>
      </x:c>
      <x:c r="G382" s="12" t="n">
        <x:v>11711271425</x:v>
      </x:c>
      <x:c r="H382" s="12" t="n">
        <x:v>237416</x:v>
      </x:c>
      <x:c r="I382" s="12" t="n">
        <x:v>49328.06308336422</x:v>
      </x:c>
      <x:c r="J382" s="12" t="n">
        <x:v>87125.119402763</x:v>
      </x:c>
      <x:c r="K382" s="12" t="n">
        <x:v>3985</x:v>
      </x:c>
      <x:c r="L382" s="12" t="n">
        <x:v>296.4610657719519</x:v>
      </x:c>
      <x:c r="M382" s="12" t="n">
        <x:v>17</x:v>
      </x:c>
      <x:c r="N382" s="14" t="n">
        <x:v>0.6831267326724092</x:v>
      </x:c>
      <x:c r="O382" s="14" t="n">
        <x:v>0.3168732673275908</x:v>
      </x:c>
      <x:c r="P382" s="14" t="n">
        <x:v>0.680920874652173</x:v>
      </x:c>
      <x:c r="Q382" s="14" t="n">
        <x:v>0.14707117429822528</x:v>
      </x:c>
      <x:c r="R382" s="14" t="n">
        <x:v>0.519825509978734</x:v>
      </x:c>
      <x:c r="S382" s="14" t="n">
        <x:v>0.34137669172841323</x:v>
      </x:c>
      <x:c r="T382" t="str">
        <x:v>야간활성·2030소비</x:v>
      </x:c>
      <x:c r="U382" s="16" t="n">
        <x:v>69.30714202216811</x:v>
      </x:c>
      <x:c r="V382" t="str">
        <x:v>치킨전문점</x:v>
      </x:c>
      <x:c r="W382" t="str">
        <x:v>치킨전문점 / 호프-간이주점 / 중식음식점</x:v>
      </x:c>
      <x:c r="X382" s="16" t="n">
        <x:v>61.10453857512901</x:v>
      </x:c>
    </x:row>
    <x:row r="383">
      <x:c r="A383" t="str">
        <x:v>3110776</x:v>
      </x:c>
      <x:c r="B383" t="str">
        <x:v>도신초등학교</x:v>
      </x:c>
      <x:c r="C383" t="str">
        <x:v>골목상권</x:v>
      </x:c>
      <x:c r="D383" t="str">
        <x:v>영등포구</x:v>
      </x:c>
      <x:c r="E383" t="str">
        <x:v>대림3동</x:v>
      </x:c>
      <x:c r="F383" s="12" t="n">
        <x:v>113740</x:v>
      </x:c>
      <x:c r="G383" s="12" t="n">
        <x:v>11620102939</x:v>
      </x:c>
      <x:c r="H383" s="12" t="n">
        <x:v>198981</x:v>
      </x:c>
      <x:c r="I383" s="12" t="n">
        <x:v>58398.05277388293</x:v>
      </x:c>
      <x:c r="J383" s="12" t="n">
        <x:v>102163.73253912432</x:v>
      </x:c>
      <x:c r="K383" s="12" t="n">
        <x:v>454</x:v>
      </x:c>
      <x:c r="L383" s="12" t="n">
        <x:v>39.915596975558294</x:v>
      </x:c>
      <x:c r="M383" s="12" t="n">
        <x:v>15</x:v>
      </x:c>
      <x:c r="N383" s="14" t="n">
        <x:v>0.9196074068445049</x:v>
      </x:c>
      <x:c r="O383" s="14" t="n">
        <x:v>0.08039259315549512</x:v>
      </x:c>
      <x:c r="P383" s="14" t="n">
        <x:v>0.07584586019819252</x:v>
      </x:c>
      <x:c r="Q383" s="14" t="n">
        <x:v>0.5279653658152503</x:v>
      </x:c>
      <x:c r="R383" s="14" t="n">
        <x:v>0.1602242511769198</x:v>
      </x:c>
      <x:c r="S383" s="14" t="n">
        <x:v>0.3017231881167589</x:v>
      </x:c>
      <x:c r="T383" t="str">
        <x:v>평일집중·고매출밀도</x:v>
      </x:c>
      <x:c r="U383" s="16" t="n">
        <x:v>68.72351528727481</x:v>
      </x:c>
      <x:c r="V383" t="str">
        <x:v>화초</x:v>
      </x:c>
      <x:c r="W383" t="str">
        <x:v>화초 / 의료기기 / 조명용품</x:v>
      </x:c>
      <x:c r="X383" s="16" t="n">
        <x:v>59.36452848628187</x:v>
      </x:c>
    </x:row>
    <x:row r="384">
      <x:c r="A384" t="str">
        <x:v>3110507</x:v>
      </x:c>
      <x:c r="B384" t="str">
        <x:v>명지대학교</x:v>
      </x:c>
      <x:c r="C384" t="str">
        <x:v>골목상권</x:v>
      </x:c>
      <x:c r="D384" t="str">
        <x:v>서대문구</x:v>
      </x:c>
      <x:c r="E384" t="str">
        <x:v>홍은2동</x:v>
      </x:c>
      <x:c r="F384" s="12" t="n">
        <x:v>176999</x:v>
      </x:c>
      <x:c r="G384" s="12" t="n">
        <x:v>11600247284</x:v>
      </x:c>
      <x:c r="H384" s="12" t="n">
        <x:v>593550</x:v>
      </x:c>
      <x:c r="I384" s="12" t="n">
        <x:v>19543.841772386488</x:v>
      </x:c>
      <x:c r="J384" s="12" t="n">
        <x:v>65538.49052254533</x:v>
      </x:c>
      <x:c r="K384" s="12" t="n">
        <x:v>912</x:v>
      </x:c>
      <x:c r="L384" s="12" t="n">
        <x:v>51.52571483454708</x:v>
      </x:c>
      <x:c r="M384" s="12" t="n">
        <x:v>33</x:v>
      </x:c>
      <x:c r="N384" s="14" t="n">
        <x:v>0.7498468442131876</x:v>
      </x:c>
      <x:c r="O384" s="14" t="n">
        <x:v>0.25015315578681246</x:v>
      </x:c>
      <x:c r="P384" s="14" t="n">
        <x:v>0.4275500351480266</x:v>
      </x:c>
      <x:c r="Q384" s="14" t="n">
        <x:v>0.2411725811965027</x:v>
      </x:c>
      <x:c r="R384" s="14" t="n">
        <x:v>0.2971840268228544</x:v>
      </x:c>
      <x:c r="S384" s="14" t="n">
        <x:v>0.4532568273998874</x:v>
      </x:c>
      <x:c r="T384" t="str">
        <x:v>2030소비·야간활성</x:v>
      </x:c>
      <x:c r="U384" s="16" t="n">
        <x:v>73.77985186808036</x:v>
      </x:c>
      <x:c r="V384" t="str">
        <x:v>미용실</x:v>
      </x:c>
      <x:c r="W384" t="str">
        <x:v>미용실 / 청과상 / 패스트푸드점</x:v>
      </x:c>
      <x:c r="X384" s="16" t="n">
        <x:v>70.35119753805137</x:v>
      </x:c>
    </x:row>
    <x:row r="385">
      <x:c r="A385" t="str">
        <x:v>3130073</x:v>
      </x:c>
      <x:c r="B385" t="str">
        <x:v>뚝도시장</x:v>
      </x:c>
      <x:c r="C385" t="str">
        <x:v>전통시장</x:v>
      </x:c>
      <x:c r="D385" t="str">
        <x:v>성동구</x:v>
      </x:c>
      <x:c r="E385" t="str">
        <x:v>성수2가1동</x:v>
      </x:c>
      <x:c r="F385" s="12" t="n">
        <x:v>21456</x:v>
      </x:c>
      <x:c r="G385" s="12" t="n">
        <x:v>11599250468</x:v>
      </x:c>
      <x:c r="H385" s="12" t="n">
        <x:v>362819</x:v>
      </x:c>
      <x:c r="I385" s="12" t="n">
        <x:v>31969.798902483057</x:v>
      </x:c>
      <x:c r="J385" s="12" t="n">
        <x:v>540606.3790082028</x:v>
      </x:c>
      <x:c r="K385" s="12" t="n">
        <x:v>477</x:v>
      </x:c>
      <x:c r="L385" s="12" t="n">
        <x:v>222.31543624161074</x:v>
      </x:c>
      <x:c r="M385" s="12" t="n">
        <x:v>17</x:v>
      </x:c>
      <x:c r="N385" s="14" t="n">
        <x:v>0.7513369803542723</x:v>
      </x:c>
      <x:c r="O385" s="14" t="n">
        <x:v>0.24866301964572768</x:v>
      </x:c>
      <x:c r="P385" s="14" t="n">
        <x:v>0.44454507308256186</x:v>
      </x:c>
      <x:c r="Q385" s="14" t="n">
        <x:v>0.18656476071191602</x:v>
      </x:c>
      <x:c r="R385" s="14" t="n">
        <x:v>0.2570584221994231</x:v>
      </x:c>
      <x:c r="S385" s="14" t="n">
        <x:v>0.45638791002956725</x:v>
      </x:c>
      <x:c r="T385" t="str">
        <x:v>고매출밀도·직장밀집</x:v>
      </x:c>
      <x:c r="U385" s="16" t="n">
        <x:v>74.87375986766723</x:v>
      </x:c>
      <x:c r="V385" t="str">
        <x:v>애완동물</x:v>
      </x:c>
      <x:c r="W385" t="str">
        <x:v>애완동물 / 슈퍼마켓 / 한식음식점</x:v>
      </x:c>
      <x:c r="X385" s="16" t="n">
        <x:v>68.5171409126187</x:v>
      </x:c>
    </x:row>
    <x:row r="386">
      <x:c r="A386" t="str">
        <x:v>3130163</x:v>
      </x:c>
      <x:c r="B386" t="str">
        <x:v>응암오거리상점가</x:v>
      </x:c>
      <x:c r="C386" t="str">
        <x:v>전통시장</x:v>
      </x:c>
      <x:c r="D386" t="str">
        <x:v>은평구</x:v>
      </x:c>
      <x:c r="E386" t="str">
        <x:v>응암3동</x:v>
      </x:c>
      <x:c r="F386" s="12" t="n">
        <x:v>53602</x:v>
      </x:c>
      <x:c r="G386" s="12" t="n">
        <x:v>11594836051</x:v>
      </x:c>
      <x:c r="H386" s="12" t="n">
        <x:v>536582</x:v>
      </x:c>
      <x:c r="I386" s="12" t="n">
        <x:v>21608.69364048738</x:v>
      </x:c>
      <x:c r="J386" s="12" t="n">
        <x:v>216313.49671654042</x:v>
      </x:c>
      <x:c r="K386" s="12" t="n">
        <x:v>266</x:v>
      </x:c>
      <x:c r="L386" s="12" t="n">
        <x:v>49.62501399201522</x:v>
      </x:c>
      <x:c r="M386" s="12" t="n">
        <x:v>15</x:v>
      </x:c>
      <x:c r="N386" s="14" t="n">
        <x:v>0.6987132422886899</x:v>
      </x:c>
      <x:c r="O386" s="14" t="n">
        <x:v>0.30128675771131</x:v>
      </x:c>
      <x:c r="P386" s="14" t="n">
        <x:v>0.45555719233688025</x:v>
      </x:c>
      <x:c r="Q386" s="14" t="n">
        <x:v>0.14983771701111395</x:v>
      </x:c>
      <x:c r="R386" s="14" t="n">
        <x:v>0.27802674482162887</x:v>
      </x:c>
      <x:c r="S386" s="14" t="n">
        <x:v>0.4309391318706107</x:v>
      </x:c>
      <x:c r="T386" t="str">
        <x:v>고매출밀도·2030소비</x:v>
      </x:c>
      <x:c r="U386" s="16" t="n">
        <x:v>67.09790037500072</x:v>
      </x:c>
      <x:c r="V386" t="str">
        <x:v>일반의류</x:v>
      </x:c>
      <x:c r="W386" t="str">
        <x:v>일반의류 / 분식전문점 / 일반의원</x:v>
      </x:c>
      <x:c r="X386" s="16" t="n">
        <x:v>59.56868848335781</x:v>
      </x:c>
    </x:row>
    <x:row r="387">
      <x:c r="A387" t="str">
        <x:v>3110262</x:v>
      </x:c>
      <x:c r="B387" t="str">
        <x:v>상봉역 3번</x:v>
      </x:c>
      <x:c r="C387" t="str">
        <x:v>골목상권</x:v>
      </x:c>
      <x:c r="D387" t="str">
        <x:v>중랑구</x:v>
      </x:c>
      <x:c r="E387" t="str">
        <x:v>상봉2동</x:v>
      </x:c>
      <x:c r="F387" s="12" t="n">
        <x:v>121975</x:v>
      </x:c>
      <x:c r="G387" s="12" t="n">
        <x:v>11567486355</x:v>
      </x:c>
      <x:c r="H387" s="12" t="n">
        <x:v>402789</x:v>
      </x:c>
      <x:c r="I387" s="12" t="n">
        <x:v>28718.476311418635</x:v>
      </x:c>
      <x:c r="J387" s="12" t="n">
        <x:v>94834.89530641524</x:v>
      </x:c>
      <x:c r="K387" s="12" t="n">
        <x:v>628</x:v>
      </x:c>
      <x:c r="L387" s="12" t="n">
        <x:v>51.48596023775364</x:v>
      </x:c>
      <x:c r="M387" s="12" t="n">
        <x:v>15</x:v>
      </x:c>
      <x:c r="N387" s="14" t="n">
        <x:v>0.668925879619073</x:v>
      </x:c>
      <x:c r="O387" s="14" t="n">
        <x:v>0.331074120380927</x:v>
      </x:c>
      <x:c r="P387" s="14" t="n">
        <x:v>0.6734491637098629</x:v>
      </x:c>
      <x:c r="Q387" s="14" t="n">
        <x:v>0.05523024254304383</x:v>
      </x:c>
      <x:c r="R387" s="14" t="n">
        <x:v>0.5555614423718073</x:v>
      </x:c>
      <x:c r="S387" s="14" t="n">
        <x:v>0.3434107563293512</x:v>
      </x:c>
      <x:c r="T387" t="str">
        <x:v>2030소비·야간활성</x:v>
      </x:c>
      <x:c r="U387" s="16" t="n">
        <x:v>64.05170256143344</x:v>
      </x:c>
      <x:c r="V387" t="str">
        <x:v>세탁소</x:v>
      </x:c>
      <x:c r="W387" t="str">
        <x:v>세탁소 / 노래방 / 한식음식점</x:v>
      </x:c>
      <x:c r="X387" s="16" t="n">
        <x:v>59.02910664357769</x:v>
      </x:c>
    </x:row>
    <x:row r="388">
      <x:c r="A388" t="str">
        <x:v>3110249</x:v>
      </x:c>
      <x:c r="B388" t="str">
        <x:v>중화역 1번</x:v>
      </x:c>
      <x:c r="C388" t="str">
        <x:v>골목상권</x:v>
      </x:c>
      <x:c r="D388" t="str">
        <x:v>중랑구</x:v>
      </x:c>
      <x:c r="E388" t="str">
        <x:v>중화1동</x:v>
      </x:c>
      <x:c r="F388" s="12" t="n">
        <x:v>170317</x:v>
      </x:c>
      <x:c r="G388" s="12" t="n">
        <x:v>11487893276</x:v>
      </x:c>
      <x:c r="H388" s="12" t="n">
        <x:v>533331</x:v>
      </x:c>
      <x:c r="I388" s="12" t="n">
        <x:v>21539.894129536817</x:v>
      </x:c>
      <x:c r="J388" s="12" t="n">
        <x:v>67450.0682609487</x:v>
      </x:c>
      <x:c r="K388" s="12" t="n">
        <x:v>792</x:v>
      </x:c>
      <x:c r="L388" s="12" t="n">
        <x:v>46.50152362946741</x:v>
      </x:c>
      <x:c r="M388" s="12" t="n">
        <x:v>26</x:v>
      </x:c>
      <x:c r="N388" s="14" t="n">
        <x:v>0.7282664177842245</x:v>
      </x:c>
      <x:c r="O388" s="14" t="n">
        <x:v>0.2717335822157754</x:v>
      </x:c>
      <x:c r="P388" s="14" t="n">
        <x:v>0.15295487752057352</x:v>
      </x:c>
      <x:c r="Q388" s="14" t="n">
        <x:v>0.2591034873398836</x:v>
      </x:c>
      <x:c r="R388" s="14" t="n">
        <x:v>0.13104216333076596</x:v>
      </x:c>
      <x:c r="S388" s="14" t="n">
        <x:v>0.5438720902859474</x:v>
      </x:c>
      <x:c r="T388" t="str">
        <x:v>여성소비·고매출밀도</x:v>
      </x:c>
      <x:c r="U388" s="16" t="n">
        <x:v>77.88239830080568</x:v>
      </x:c>
      <x:c r="V388" t="str">
        <x:v>육류판매</x:v>
      </x:c>
      <x:c r="W388" t="str">
        <x:v>육류판매 / 분식전문점 / 자동차수리</x:v>
      </x:c>
      <x:c r="X388" s="16" t="n">
        <x:v>70.1330243017378</x:v>
      </x:c>
    </x:row>
    <x:row r="389">
      <x:c r="A389" t="str">
        <x:v>3110147</x:v>
      </x:c>
      <x:c r="B389" t="str">
        <x:v>능동우편취급국</x:v>
      </x:c>
      <x:c r="C389" t="str">
        <x:v>골목상권</x:v>
      </x:c>
      <x:c r="D389" t="str">
        <x:v>광진구</x:v>
      </x:c>
      <x:c r="E389" t="str">
        <x:v>군자동</x:v>
      </x:c>
      <x:c r="F389" s="12" t="n">
        <x:v>157029</x:v>
      </x:c>
      <x:c r="G389" s="12" t="n">
        <x:v>11462243737</x:v>
      </x:c>
      <x:c r="H389" s="12" t="n">
        <x:v>198112</x:v>
      </x:c>
      <x:c r="I389" s="12" t="n">
        <x:v>57857.392469916005</x:v>
      </x:c>
      <x:c r="J389" s="12" t="n">
        <x:v>72994.4388425068</x:v>
      </x:c>
      <x:c r="K389" s="12" t="n">
        <x:v>225</x:v>
      </x:c>
      <x:c r="L389" s="12" t="n">
        <x:v>14.32856351374587</x:v>
      </x:c>
      <x:c r="M389" s="12" t="n">
        <x:v>15</x:v>
      </x:c>
      <x:c r="N389" s="14" t="n">
        <x:v>0.8893166495923729</x:v>
      </x:c>
      <x:c r="O389" s="14" t="n">
        <x:v>0.11068335040762708</x:v>
      </x:c>
      <x:c r="P389" s="14" t="n">
        <x:v>0.14685640400110433</x:v>
      </x:c>
      <x:c r="Q389" s="14" t="n">
        <x:v>0.49820213110340006</x:v>
      </x:c>
      <x:c r="R389" s="14" t="n">
        <x:v>0.10084532099668436</x:v>
      </x:c>
      <x:c r="S389" s="14" t="n">
        <x:v>0.15253711010839238</x:v>
      </x:c>
      <x:c r="T389" t="str">
        <x:v>평일집중·고매출밀도</x:v>
      </x:c>
      <x:c r="U389" s="16" t="n">
        <x:v>74.67455845318086</x:v>
      </x:c>
      <x:c r="V389" t="str">
        <x:v>의료기기</x:v>
      </x:c>
      <x:c r="W389" t="str">
        <x:v>의료기기 / 인테리어 / 세탁소</x:v>
      </x:c>
      <x:c r="X389" s="16" t="n">
        <x:v>65.71111219354547</x:v>
      </x:c>
    </x:row>
    <x:row r="390">
      <x:c r="A390" t="str">
        <x:v>3130202</x:v>
      </x:c>
      <x:c r="B390" t="str">
        <x:v>신영시장</x:v>
      </x:c>
      <x:c r="C390" t="str">
        <x:v>전통시장</x:v>
      </x:c>
      <x:c r="D390" t="str">
        <x:v>양천구</x:v>
      </x:c>
      <x:c r="E390" t="str">
        <x:v>신월1동</x:v>
      </x:c>
      <x:c r="F390" s="12" t="n">
        <x:v>45406</x:v>
      </x:c>
      <x:c r="G390" s="12" t="n">
        <x:v>11461174194</x:v>
      </x:c>
      <x:c r="H390" s="12" t="n">
        <x:v>476992</x:v>
      </x:c>
      <x:c r="I390" s="12" t="n">
        <x:v>24028.021841037167</x:v>
      </x:c>
      <x:c r="J390" s="12" t="n">
        <x:v>252415.41192793904</x:v>
      </x:c>
      <x:c r="K390" s="12" t="n">
        <x:v>227</x:v>
      </x:c>
      <x:c r="L390" s="12" t="n">
        <x:v>49.99339294366383</x:v>
      </x:c>
      <x:c r="M390" s="12" t="n">
        <x:v>23</x:v>
      </x:c>
      <x:c r="N390" s="14" t="n">
        <x:v>0.6777869223091227</x:v>
      </x:c>
      <x:c r="O390" s="14" t="n">
        <x:v>0.3222130776908773</x:v>
      </x:c>
      <x:c r="P390" s="14" t="n">
        <x:v>0.3141826833837929</x:v>
      </x:c>
      <x:c r="Q390" s="14" t="n">
        <x:v>0.23657642865418263</x:v>
      </x:c>
      <x:c r="R390" s="14" t="n">
        <x:v>0.10462990455443731</x:v>
      </x:c>
      <x:c r="S390" s="14" t="n">
        <x:v>0.5321229072840318</x:v>
      </x:c>
      <x:c r="T390" t="str">
        <x:v>고매출밀도·여성소비</x:v>
      </x:c>
      <x:c r="U390" s="16" t="n">
        <x:v>75.32256716172932</x:v>
      </x:c>
      <x:c r="V390" t="str">
        <x:v>일반교습학원</x:v>
      </x:c>
      <x:c r="W390" t="str">
        <x:v>일반교습학원 / 예술학원 / 반찬가게</x:v>
      </x:c>
      <x:c r="X390" s="16" t="n">
        <x:v>69.5610413840977</x:v>
      </x:c>
    </x:row>
    <x:row r="391">
      <x:c r="A391" t="str">
        <x:v>3110837</x:v>
      </x:c>
      <x:c r="B391" t="str">
        <x:v>숭실대입구역 1번</x:v>
      </x:c>
      <x:c r="C391" t="str">
        <x:v>골목상권</x:v>
      </x:c>
      <x:c r="D391" t="str">
        <x:v>동작구</x:v>
      </x:c>
      <x:c r="E391" t="str">
        <x:v>상도1동</x:v>
      </x:c>
      <x:c r="F391" s="12" t="n">
        <x:v>148274</x:v>
      </x:c>
      <x:c r="G391" s="12" t="n">
        <x:v>11428174638</x:v>
      </x:c>
      <x:c r="H391" s="12" t="n">
        <x:v>488130</x:v>
      </x:c>
      <x:c r="I391" s="12" t="n">
        <x:v>23412.153807387378</x:v>
      </x:c>
      <x:c r="J391" s="12" t="n">
        <x:v>77074.70384558318</x:v>
      </x:c>
      <x:c r="K391" s="12" t="n">
        <x:v>802</x:v>
      </x:c>
      <x:c r="L391" s="12" t="n">
        <x:v>54.08905135087743</x:v>
      </x:c>
      <x:c r="M391" s="12" t="n">
        <x:v>26</x:v>
      </x:c>
      <x:c r="N391" s="14" t="n">
        <x:v>0.7922984015218547</x:v>
      </x:c>
      <x:c r="O391" s="14" t="n">
        <x:v>0.20770159847814534</x:v>
      </x:c>
      <x:c r="P391" s="14" t="n">
        <x:v>0.39389811431756316</x:v>
      </x:c>
      <x:c r="Q391" s="14" t="n">
        <x:v>0.2571604748870307</x:v>
      </x:c>
      <x:c r="R391" s="14" t="n">
        <x:v>0.2919260863328785</x:v>
      </x:c>
      <x:c r="S391" s="14" t="n">
        <x:v>0.4494978589073255</x:v>
      </x:c>
      <x:c r="T391" t="str">
        <x:v>2030소비·평일집중</x:v>
      </x:c>
      <x:c r="U391" s="16" t="n">
        <x:v>71.04212980589782</x:v>
      </x:c>
      <x:c r="V391" t="str">
        <x:v>일반의원</x:v>
      </x:c>
      <x:c r="W391" t="str">
        <x:v>일반의원 / 스포츠클럽 / 일반교습학원</x:v>
      </x:c>
      <x:c r="X391" s="16" t="n">
        <x:v>67.40636672395868</x:v>
      </x:c>
    </x:row>
    <x:row r="392">
      <x:c r="A392" t="str">
        <x:v>3130069</x:v>
      </x:c>
      <x:c r="B392" t="str">
        <x:v>한양대앞상점가(한양시장, 왕십리맛골목)</x:v>
      </x:c>
      <x:c r="C392" t="str">
        <x:v>전통시장</x:v>
      </x:c>
      <x:c r="D392" t="str">
        <x:v>성동구</x:v>
      </x:c>
      <x:c r="E392" t="str">
        <x:v>사근동</x:v>
      </x:c>
      <x:c r="F392" s="12" t="n">
        <x:v>23243</x:v>
      </x:c>
      <x:c r="G392" s="12" t="n">
        <x:v>11371710316</x:v>
      </x:c>
      <x:c r="H392" s="12" t="n">
        <x:v>905770</x:v>
      </x:c>
      <x:c r="I392" s="12" t="n">
        <x:v>12554.743826799298</x:v>
      </x:c>
      <x:c r="J392" s="12" t="n">
        <x:v>489253.1220582541</x:v>
      </x:c>
      <x:c r="K392" s="12" t="n">
        <x:v>176</x:v>
      </x:c>
      <x:c r="L392" s="12" t="n">
        <x:v>75.72172266919073</x:v>
      </x:c>
      <x:c r="M392" s="12" t="n">
        <x:v>15</x:v>
      </x:c>
      <x:c r="N392" s="14" t="n">
        <x:v>0.727066816885665</x:v>
      </x:c>
      <x:c r="O392" s="14" t="n">
        <x:v>0.27293318311433495</x:v>
      </x:c>
      <x:c r="P392" s="14" t="n">
        <x:v>0.6085663956162283</x:v>
      </x:c>
      <x:c r="Q392" s="14" t="n">
        <x:v>0.1366294710140416</x:v>
      </x:c>
      <x:c r="R392" s="14" t="n">
        <x:v>0.6293460205304794</x:v>
      </x:c>
      <x:c r="S392" s="14" t="n">
        <x:v>0.30322056112777257</x:v>
      </x:c>
      <x:c r="T392" t="str">
        <x:v>2030소비·고매출밀도</x:v>
      </x:c>
      <x:c r="U392" s="16" t="n">
        <x:v>67.16048564255759</x:v>
      </x:c>
      <x:c r="V392" t="str">
        <x:v>분식전문점</x:v>
      </x:c>
      <x:c r="W392" t="str">
        <x:v>분식전문점 / 중식음식점 / 당구장</x:v>
      </x:c>
      <x:c r="X392" s="16" t="n">
        <x:v>63.25484012995503</x:v>
      </x:c>
    </x:row>
    <x:row r="393">
      <x:c r="A393" t="str">
        <x:v>3110404</x:v>
      </x:c>
      <x:c r="B393" t="str">
        <x:v>신창초등학교</x:v>
      </x:c>
      <x:c r="C393" t="str">
        <x:v>골목상권</x:v>
      </x:c>
      <x:c r="D393" t="str">
        <x:v>도봉구</x:v>
      </x:c>
      <x:c r="E393" t="str">
        <x:v>창3동</x:v>
      </x:c>
      <x:c r="F393" s="12" t="n">
        <x:v>297142</x:v>
      </x:c>
      <x:c r="G393" s="12" t="n">
        <x:v>11309225480</x:v>
      </x:c>
      <x:c r="H393" s="12" t="n">
        <x:v>423001</x:v>
      </x:c>
      <x:c r="I393" s="12" t="n">
        <x:v>26735.694430982432</x:v>
      </x:c>
      <x:c r="J393" s="12" t="n">
        <x:v>38060.00323077855</x:v>
      </x:c>
      <x:c r="K393" s="12" t="n">
        <x:v>390</x:v>
      </x:c>
      <x:c r="L393" s="12" t="n">
        <x:v>13.125037860686136</x:v>
      </x:c>
      <x:c r="M393" s="12" t="n">
        <x:v>32</x:v>
      </x:c>
      <x:c r="N393" s="14" t="n">
        <x:v>0.8072307980015622</x:v>
      </x:c>
      <x:c r="O393" s="14" t="n">
        <x:v>0.19276920199843783</x:v>
      </x:c>
      <x:c r="P393" s="14" t="n">
        <x:v>0.3107178088556423</x:v>
      </x:c>
      <x:c r="Q393" s="14" t="n">
        <x:v>0.3281451088372853</x:v>
      </x:c>
      <x:c r="R393" s="14" t="n">
        <x:v>0.10956633371501229</x:v>
      </x:c>
      <x:c r="S393" s="14" t="n">
        <x:v>0.46690947849065256</x:v>
      </x:c>
      <x:c r="T393" t="str">
        <x:v>평일집중·여성소비</x:v>
      </x:c>
      <x:c r="U393" s="16" t="n">
        <x:v>76.76885619378622</x:v>
      </x:c>
      <x:c r="V393" t="str">
        <x:v>미곡판매</x:v>
      </x:c>
      <x:c r="W393" t="str">
        <x:v>미곡판매 / 일반교습학원 / 반찬가게</x:v>
      </x:c>
      <x:c r="X393" s="16" t="n">
        <x:v>68.80809142220994</x:v>
      </x:c>
    </x:row>
    <x:row r="394">
      <x:c r="A394" t="str">
        <x:v>3110942</x:v>
      </x:c>
      <x:c r="B394" t="str">
        <x:v>염곡동 구룡사(포이동성당)</x:v>
      </x:c>
      <x:c r="C394" t="str">
        <x:v>골목상권</x:v>
      </x:c>
      <x:c r="D394" t="str">
        <x:v>서초구</x:v>
      </x:c>
      <x:c r="E394" t="str">
        <x:v>양재2동</x:v>
      </x:c>
      <x:c r="F394" s="12" t="n">
        <x:v>252432</x:v>
      </x:c>
      <x:c r="G394" s="12" t="n">
        <x:v>11285331093</x:v>
      </x:c>
      <x:c r="H394" s="12" t="n">
        <x:v>313300</x:v>
      </x:c>
      <x:c r="I394" s="12" t="n">
        <x:v>36020.84613150335</x:v>
      </x:c>
      <x:c r="J394" s="12" t="n">
        <x:v>44706.420315173986</x:v>
      </x:c>
      <x:c r="K394" s="12" t="n">
        <x:v>2939</x:v>
      </x:c>
      <x:c r="L394" s="12" t="n">
        <x:v>116.42739430817011</x:v>
      </x:c>
      <x:c r="M394" s="12" t="n">
        <x:v>17</x:v>
      </x:c>
      <x:c r="N394" s="14" t="n">
        <x:v>0.8615017528400661</x:v>
      </x:c>
      <x:c r="O394" s="14" t="n">
        <x:v>0.1384982471599338</x:v>
      </x:c>
      <x:c r="P394" s="14" t="n">
        <x:v>0.3757596961980422</x:v>
      </x:c>
      <x:c r="Q394" s="14" t="n">
        <x:v>0.40140353257423034</x:v>
      </x:c>
      <x:c r="R394" s="14" t="n">
        <x:v>0.21334603470282074</x:v>
      </x:c>
      <x:c r="S394" s="14" t="n">
        <x:v>0.2660012950671876</x:v>
      </x:c>
      <x:c r="T394" t="str">
        <x:v>평일집중·직장밀집</x:v>
      </x:c>
      <x:c r="U394" s="16" t="n">
        <x:v>68.6644972653579</x:v>
      </x:c>
      <x:c r="V394" t="str">
        <x:v>화초</x:v>
      </x:c>
      <x:c r="W394" t="str">
        <x:v>화초 / 미용실 / 철물점</x:v>
      </x:c>
      <x:c r="X394" s="16" t="n">
        <x:v>65.54300277117213</x:v>
      </x:c>
    </x:row>
    <x:row r="395">
      <x:c r="A395" t="str">
        <x:v>3110840</x:v>
      </x:c>
      <x:c r="B395" t="str">
        <x:v>중앙대학교</x:v>
      </x:c>
      <x:c r="C395" t="str">
        <x:v>골목상권</x:v>
      </x:c>
      <x:c r="D395" t="str">
        <x:v>동작구</x:v>
      </x:c>
      <x:c r="E395" t="str">
        <x:v>흑석동</x:v>
      </x:c>
      <x:c r="F395" s="12" t="n">
        <x:v>107472</x:v>
      </x:c>
      <x:c r="G395" s="12" t="n">
        <x:v>11198879183</x:v>
      </x:c>
      <x:c r="H395" s="12" t="n">
        <x:v>752196</x:v>
      </x:c>
      <x:c r="I395" s="12" t="n">
        <x:v>14888.24612600971</x:v>
      </x:c>
      <x:c r="J395" s="12" t="n">
        <x:v>104202.76149136519</x:v>
      </x:c>
      <x:c r="K395" s="12" t="n">
        <x:v>61</x:v>
      </x:c>
      <x:c r="L395" s="12" t="n">
        <x:v>5.675896977817478</x:v>
      </x:c>
      <x:c r="M395" s="12" t="n">
        <x:v>16</x:v>
      </x:c>
      <x:c r="N395" s="14" t="n">
        <x:v>0.8124285873903601</x:v>
      </x:c>
      <x:c r="O395" s="14" t="n">
        <x:v>0.18757141260963991</x:v>
      </x:c>
      <x:c r="P395" s="14" t="n">
        <x:v>0.39113082938239246</x:v>
      </x:c>
      <x:c r="Q395" s="14" t="n">
        <x:v>0.2722444019780261</x:v>
      </x:c>
      <x:c r="R395" s="14" t="n">
        <x:v>0.4000234367025227</x:v>
      </x:c>
      <x:c r="S395" s="14" t="n">
        <x:v>0.469424491781304</x:v>
      </x:c>
      <x:c r="T395" t="str">
        <x:v>2030소비·평일집중</x:v>
      </x:c>
      <x:c r="U395" s="16" t="n">
        <x:v>70.2882189069661</x:v>
      </x:c>
      <x:c r="V395" t="str">
        <x:v>편의점</x:v>
      </x:c>
      <x:c r="W395" t="str">
        <x:v>편의점 / 의약품 / 커피-음료</x:v>
      </x:c>
      <x:c r="X395" s="16" t="n">
        <x:v>63.16666873551817</x:v>
      </x:c>
    </x:row>
    <x:row r="396">
      <x:c r="A396" t="str">
        <x:v>3120010</x:v>
      </x:c>
      <x:c r="B396" t="str">
        <x:v>원남동사거리</x:v>
      </x:c>
      <x:c r="C396" t="str">
        <x:v>발달상권</x:v>
      </x:c>
      <x:c r="D396" t="str">
        <x:v>종로구</x:v>
      </x:c>
      <x:c r="E396" t="str">
        <x:v>종로1·2·3·4가동</x:v>
      </x:c>
      <x:c r="F396" s="12" t="n">
        <x:v>99120</x:v>
      </x:c>
      <x:c r="G396" s="12" t="n">
        <x:v>11191178057</x:v>
      </x:c>
      <x:c r="H396" s="12" t="n">
        <x:v>252579</x:v>
      </x:c>
      <x:c r="I396" s="12" t="n">
        <x:v>44307.6346687571</x:v>
      </x:c>
      <x:c r="J396" s="12" t="n">
        <x:v>112905.3476291364</x:v>
      </x:c>
      <x:c r="K396" s="12" t="n">
        <x:v>3838</x:v>
      </x:c>
      <x:c r="L396" s="12" t="n">
        <x:v>387.20742534301854</x:v>
      </x:c>
      <x:c r="M396" s="12" t="n">
        <x:v>10</x:v>
      </x:c>
      <x:c r="N396" s="14" t="n">
        <x:v>0.8740414120997485</x:v>
      </x:c>
      <x:c r="O396" s="14" t="n">
        <x:v>0.12595858790025147</x:v>
      </x:c>
      <x:c r="P396" s="14" t="n">
        <x:v>0.1320689388080567</x:v>
      </x:c>
      <x:c r="Q396" s="14" t="n">
        <x:v>0.33641912002687385</x:v>
      </x:c>
      <x:c r="R396" s="14" t="n">
        <x:v>0.24018724716105194</x:v>
      </x:c>
      <x:c r="S396" s="14" t="n">
        <x:v>0.3995605828291755</x:v>
      </x:c>
      <x:c r="T396" t="str">
        <x:v>평일집중·직장밀집</x:v>
      </x:c>
      <x:c r="U396" s="16" t="n">
        <x:v>65.7697369264562</x:v>
      </x:c>
      <x:c r="V396" t="str">
        <x:v>커피-음료</x:v>
      </x:c>
      <x:c r="W396" t="str">
        <x:v>커피-음료 / 시계및귀금속 / 의약품</x:v>
      </x:c>
      <x:c r="X396" s="16" t="n">
        <x:v>54.14166839692297</x:v>
      </x:c>
    </x:row>
    <x:row r="397">
      <x:c r="A397" t="str">
        <x:v>3110180</x:v>
      </x:c>
      <x:c r="B397" t="str">
        <x:v>광진정보도서관</x:v>
      </x:c>
      <x:c r="C397" t="str">
        <x:v>골목상권</x:v>
      </x:c>
      <x:c r="D397" t="str">
        <x:v>광진구</x:v>
      </x:c>
      <x:c r="E397" t="str">
        <x:v>광장동</x:v>
      </x:c>
      <x:c r="F397" s="12" t="n">
        <x:v>74699</x:v>
      </x:c>
      <x:c r="G397" s="12" t="n">
        <x:v>11186922747</x:v>
      </x:c>
      <x:c r="H397" s="12" t="n">
        <x:v>178169</x:v>
      </x:c>
      <x:c r="I397" s="12" t="n">
        <x:v>62788.267021760235</x:v>
      </x:c>
      <x:c r="J397" s="12" t="n">
        <x:v>149760.00678723946</x:v>
      </x:c>
      <x:c r="K397" s="12" t="n">
        <x:v>7034</x:v>
      </x:c>
      <x:c r="L397" s="12" t="n">
        <x:v>941.6458051647278</x:v>
      </x:c>
      <x:c r="M397" s="12" t="n">
        <x:v>12</x:v>
      </x:c>
      <x:c r="N397" s="14" t="n">
        <x:v>0.6829448206432671</x:v>
      </x:c>
      <x:c r="O397" s="14" t="n">
        <x:v>0.3170551793567329</x:v>
      </x:c>
      <x:c r="P397" s="14" t="n">
        <x:v>0.3304858455370542</x:v>
      </x:c>
      <x:c r="Q397" s="14" t="n">
        <x:v>0.2762348966634908</x:v>
      </x:c>
      <x:c r="R397" s="14" t="n">
        <x:v>0.1470763806285539</x:v>
      </x:c>
      <x:c r="S397" s="14" t="n">
        <x:v>0.5765130921932521</x:v>
      </x:c>
      <x:c r="T397" t="str">
        <x:v>직장밀집·여성소비</x:v>
      </x:c>
      <x:c r="U397" s="16" t="n">
        <x:v>84.56333981589805</x:v>
      </x:c>
      <x:c r="V397" t="str">
        <x:v>일반의류</x:v>
      </x:c>
      <x:c r="W397" t="str">
        <x:v>일반의류 / 조명용품 / 자동차수리</x:v>
      </x:c>
      <x:c r="X397" s="16" t="n">
        <x:v>68.44877098101956</x:v>
      </x:c>
    </x:row>
    <x:row r="398">
      <x:c r="A398" t="str">
        <x:v>3110469</x:v>
      </x:c>
      <x:c r="B398" t="str">
        <x:v>응암정보도서관</x:v>
      </x:c>
      <x:c r="C398" t="str">
        <x:v>골목상권</x:v>
      </x:c>
      <x:c r="D398" t="str">
        <x:v>은평구</x:v>
      </x:c>
      <x:c r="E398" t="str">
        <x:v>응암3동</x:v>
      </x:c>
      <x:c r="F398" s="12" t="n">
        <x:v>197026</x:v>
      </x:c>
      <x:c r="G398" s="12" t="n">
        <x:v>11136098250</x:v>
      </x:c>
      <x:c r="H398" s="12" t="n">
        <x:v>560370</x:v>
      </x:c>
      <x:c r="I398" s="12" t="n">
        <x:v>19872.75951603405</x:v>
      </x:c>
      <x:c r="J398" s="12" t="n">
        <x:v>56520.95789388203</x:v>
      </x:c>
      <x:c r="K398" s="12" t="n">
        <x:v>543</x:v>
      </x:c>
      <x:c r="L398" s="12" t="n">
        <x:v>27.55981444073371</x:v>
      </x:c>
      <x:c r="M398" s="12" t="n">
        <x:v>33</x:v>
      </x:c>
      <x:c r="N398" s="14" t="n">
        <x:v>0.7494723746712634</x:v>
      </x:c>
      <x:c r="O398" s="14" t="n">
        <x:v>0.2505276253287367</x:v>
      </x:c>
      <x:c r="P398" s="14" t="n">
        <x:v>0.3010420567185639</x:v>
      </x:c>
      <x:c r="Q398" s="14" t="n">
        <x:v>0.2579690724262423</x:v>
      </x:c>
      <x:c r="R398" s="14" t="n">
        <x:v>0.14012558958879515</x:v>
      </x:c>
      <x:c r="S398" s="14" t="n">
        <x:v>0.5388089170280085</x:v>
      </x:c>
      <x:c r="T398" t="str">
        <x:v>여성소비</x:v>
      </x:c>
      <x:c r="U398" s="16" t="n">
        <x:v>73.80607022632884</x:v>
      </x:c>
      <x:c r="V398" t="str">
        <x:v>청과상</x:v>
      </x:c>
      <x:c r="W398" t="str">
        <x:v>청과상 / 일반의류 / 육류판매</x:v>
      </x:c>
      <x:c r="X398" s="16" t="n">
        <x:v>66.31573680378544</x:v>
      </x:c>
    </x:row>
    <x:row r="399">
      <x:c r="A399" t="str">
        <x:v>3110314</x:v>
      </x:c>
      <x:c r="B399" t="str">
        <x:v>종암경찰서</x:v>
      </x:c>
      <x:c r="C399" t="str">
        <x:v>골목상권</x:v>
      </x:c>
      <x:c r="D399" t="str">
        <x:v>성북구</x:v>
      </x:c>
      <x:c r="E399" t="str">
        <x:v>종암동</x:v>
      </x:c>
      <x:c r="F399" s="12" t="n">
        <x:v>84094</x:v>
      </x:c>
      <x:c r="G399" s="12" t="n">
        <x:v>11124542002</x:v>
      </x:c>
      <x:c r="H399" s="12" t="n">
        <x:v>386798</x:v>
      </x:c>
      <x:c r="I399" s="12" t="n">
        <x:v>28760.598560488936</x:v>
      </x:c>
      <x:c r="J399" s="12" t="n">
        <x:v>132286.98839394012</x:v>
      </x:c>
      <x:c r="K399" s="12" t="n">
        <x:v>4425</x:v>
      </x:c>
      <x:c r="L399" s="12" t="n">
        <x:v>526.1968749256783</x:v>
      </x:c>
      <x:c r="M399" s="12" t="n">
        <x:v>27</x:v>
      </x:c>
      <x:c r="N399" s="14" t="n">
        <x:v>0.7863155014765884</x:v>
      </x:c>
      <x:c r="O399" s="14" t="n">
        <x:v>0.21368449852341165</x:v>
      </x:c>
      <x:c r="P399" s="14" t="n">
        <x:v>0.3789963276907946</x:v>
      </x:c>
      <x:c r="Q399" s="14" t="n">
        <x:v>0.23888026064553844</x:v>
      </x:c>
      <x:c r="R399" s="14" t="n">
        <x:v>0.1773056826649932</x:v>
      </x:c>
      <x:c r="S399" s="14" t="n">
        <x:v>0.49081675470490077</x:v>
      </x:c>
      <x:c r="T399" t="str">
        <x:v>직장밀집·고매출밀도</x:v>
      </x:c>
      <x:c r="U399" s="16" t="n">
        <x:v>72.62441113780052</x:v>
      </x:c>
      <x:c r="V399" t="str">
        <x:v>반찬가게</x:v>
      </x:c>
      <x:c r="W399" t="str">
        <x:v>반찬가게 / 스포츠클럽 / 치킨전문점</x:v>
      </x:c>
      <x:c r="X399" s="16" t="n">
        <x:v>64.17407605345197</x:v>
      </x:c>
    </x:row>
    <x:row r="400">
      <x:c r="A400" t="str">
        <x:v>3130147</x:v>
      </x:c>
      <x:c r="B400" t="str">
        <x:v>쌍문역동측상점가</x:v>
      </x:c>
      <x:c r="C400" t="str">
        <x:v>전통시장</x:v>
      </x:c>
      <x:c r="D400" t="str">
        <x:v>도봉구</x:v>
      </x:c>
      <x:c r="E400" t="str">
        <x:v>창1동</x:v>
      </x:c>
      <x:c r="F400" s="12" t="n">
        <x:v>33857</x:v>
      </x:c>
      <x:c r="G400" s="12" t="n">
        <x:v>11063776307</x:v>
      </x:c>
      <x:c r="H400" s="12" t="n">
        <x:v>616754</x:v>
      </x:c>
      <x:c r="I400" s="12" t="n">
        <x:v>17938.718365831435</x:v>
      </x:c>
      <x:c r="J400" s="12" t="n">
        <x:v>326779.58197713917</x:v>
      </x:c>
      <x:c r="K400" s="12" t="n">
        <x:v>403</x:v>
      </x:c>
      <x:c r="L400" s="12" t="n">
        <x:v>119.03003810142658</x:v>
      </x:c>
      <x:c r="M400" s="12" t="n">
        <x:v>21</x:v>
      </x:c>
      <x:c r="N400" s="14" t="n">
        <x:v>0.7440286184918434</x:v>
      </x:c>
      <x:c r="O400" s="14" t="n">
        <x:v>0.2559713815081565</x:v>
      </x:c>
      <x:c r="P400" s="14" t="n">
        <x:v>0.4347938124848424</x:v>
      </x:c>
      <x:c r="Q400" s="14" t="n">
        <x:v>0.22187247318502748</x:v>
      </x:c>
      <x:c r="R400" s="14" t="n">
        <x:v>0.21885238030960852</x:v>
      </x:c>
      <x:c r="S400" s="14" t="n">
        <x:v>0.5352916654011667</x:v>
      </x:c>
      <x:c r="T400" t="str">
        <x:v>고매출밀도·여성소비</x:v>
      </x:c>
      <x:c r="U400" s="16" t="n">
        <x:v>75.92842071006774</x:v>
      </x:c>
      <x:c r="V400" t="str">
        <x:v>제과점</x:v>
      </x:c>
      <x:c r="W400" t="str">
        <x:v>제과점 / 피부관리실 / 당구장</x:v>
      </x:c>
      <x:c r="X400" s="16" t="n">
        <x:v>69.96635701153215</x:v>
      </x:c>
    </x:row>
    <x:row r="401">
      <x:c r="A401" t="str">
        <x:v>3130225</x:v>
      </x:c>
      <x:c r="B401" t="str">
        <x:v>개봉중앙시장</x:v>
      </x:c>
      <x:c r="C401" t="str">
        <x:v>전통시장</x:v>
      </x:c>
      <x:c r="D401" t="str">
        <x:v>구로구</x:v>
      </x:c>
      <x:c r="E401" t="str">
        <x:v>개봉2동</x:v>
      </x:c>
      <x:c r="F401" s="12" t="n">
        <x:v>79713</x:v>
      </x:c>
      <x:c r="G401" s="12" t="n">
        <x:v>10948194559</x:v>
      </x:c>
      <x:c r="H401" s="12" t="n">
        <x:v>639087</x:v>
      </x:c>
      <x:c r="I401" s="12" t="n">
        <x:v>17130.992429825674</x:v>
      </x:c>
      <x:c r="J401" s="12" t="n">
        <x:v>137345.15774089546</x:v>
      </x:c>
      <x:c r="K401" s="12" t="n">
        <x:v>3096</x:v>
      </x:c>
      <x:c r="L401" s="12" t="n">
        <x:v>388.3933611832449</x:v>
      </x:c>
      <x:c r="M401" s="12" t="n">
        <x:v>25</x:v>
      </x:c>
      <x:c r="N401" s="14" t="n">
        <x:v>0.7225675980060924</x:v>
      </x:c>
      <x:c r="O401" s="14" t="n">
        <x:v>0.2774324019939076</x:v>
      </x:c>
      <x:c r="P401" s="14" t="n">
        <x:v>0.3967308802006466</x:v>
      </x:c>
      <x:c r="Q401" s="14" t="n">
        <x:v>0.21931061903044136</x:v>
      </x:c>
      <x:c r="R401" s="14" t="n">
        <x:v>0.21799101405611038</x:v>
      </x:c>
      <x:c r="S401" s="14" t="n">
        <x:v>0.4954393220516022</x:v>
      </x:c>
      <x:c r="T401" t="str">
        <x:v>직장밀집·고매출밀도</x:v>
      </x:c>
      <x:c r="U401" s="16" t="n">
        <x:v>73.58405520001484</x:v>
      </x:c>
      <x:c r="V401" t="str">
        <x:v>슈퍼마켓</x:v>
      </x:c>
      <x:c r="W401" t="str">
        <x:v>슈퍼마켓 / 일반의원 / 미용실</x:v>
      </x:c>
      <x:c r="X401" s="16" t="n">
        <x:v>69.2674047411066</x:v>
      </x:c>
    </x:row>
    <x:row r="402">
      <x:c r="A402" t="str">
        <x:v>3120086</x:v>
      </x:c>
      <x:c r="B402" t="str">
        <x:v>태릉입구역</x:v>
      </x:c>
      <x:c r="C402" t="str">
        <x:v>발달상권</x:v>
      </x:c>
      <x:c r="D402" t="str">
        <x:v>노원구</x:v>
      </x:c>
      <x:c r="E402" t="str">
        <x:v>공릉1동</x:v>
      </x:c>
      <x:c r="F402" s="12" t="n">
        <x:v>72480</x:v>
      </x:c>
      <x:c r="G402" s="12" t="n">
        <x:v>10922973575</x:v>
      </x:c>
      <x:c r="H402" s="12" t="n">
        <x:v>573730</x:v>
      </x:c>
      <x:c r="I402" s="12" t="n">
        <x:v>19038.52609241281</x:v>
      </x:c>
      <x:c r="J402" s="12" t="n">
        <x:v>150703.27780077263</x:v>
      </x:c>
      <x:c r="K402" s="12" t="n">
        <x:v>1207</x:v>
      </x:c>
      <x:c r="L402" s="12" t="n">
        <x:v>166.52869757174392</x:v>
      </x:c>
      <x:c r="M402" s="12" t="n">
        <x:v>27</x:v>
      </x:c>
      <x:c r="N402" s="14" t="n">
        <x:v>0.7457080108334877</x:v>
      </x:c>
      <x:c r="O402" s="14" t="n">
        <x:v>0.2542919891665123</x:v>
      </x:c>
      <x:c r="P402" s="14" t="n">
        <x:v>0.4591139617400384</x:v>
      </x:c>
      <x:c r="Q402" s="14" t="n">
        <x:v>0.22189414506571303</x:v>
      </x:c>
      <x:c r="R402" s="14" t="n">
        <x:v>0.28000851819327044</x:v>
      </x:c>
      <x:c r="S402" s="14" t="n">
        <x:v>0.41412154803276635</x:v>
      </x:c>
      <x:c r="T402" t="str">
        <x:v>고매출밀도·직장밀집</x:v>
      </x:c>
      <x:c r="U402" s="16" t="n">
        <x:v>65.39933928733429</x:v>
      </x:c>
      <x:c r="V402" t="str">
        <x:v>호프-간이주점</x:v>
      </x:c>
      <x:c r="W402" t="str">
        <x:v>호프-간이주점 / 의약품 / 당구장</x:v>
      </x:c>
      <x:c r="X402" s="16" t="n">
        <x:v>60.45577790722037</x:v>
      </x:c>
    </x:row>
    <x:row r="403">
      <x:c r="A403" t="str">
        <x:v>3110855</x:v>
      </x:c>
      <x:c r="B403" t="str">
        <x:v>신대방역 2번</x:v>
      </x:c>
      <x:c r="C403" t="str">
        <x:v>골목상권</x:v>
      </x:c>
      <x:c r="D403" t="str">
        <x:v>관악구</x:v>
      </x:c>
      <x:c r="E403" t="str">
        <x:v>조원동</x:v>
      </x:c>
      <x:c r="F403" s="12" t="n">
        <x:v>155155</x:v>
      </x:c>
      <x:c r="G403" s="12" t="n">
        <x:v>10922378143</x:v>
      </x:c>
      <x:c r="H403" s="12" t="n">
        <x:v>462800</x:v>
      </x:c>
      <x:c r="I403" s="12" t="n">
        <x:v>23600.644215643908</x:v>
      </x:c>
      <x:c r="J403" s="12" t="n">
        <x:v>70396.55920208823</x:v>
      </x:c>
      <x:c r="K403" s="12" t="n">
        <x:v>788</x:v>
      </x:c>
      <x:c r="L403" s="12" t="n">
        <x:v>50.78792175566369</x:v>
      </x:c>
      <x:c r="M403" s="12" t="n">
        <x:v>24</x:v>
      </x:c>
      <x:c r="N403" s="14" t="n">
        <x:v>0.7465113546014317</x:v>
      </x:c>
      <x:c r="O403" s="14" t="n">
        <x:v>0.2534886453985683</x:v>
      </x:c>
      <x:c r="P403" s="14" t="n">
        <x:v>0.41182333051550346</x:v>
      </x:c>
      <x:c r="Q403" s="14" t="n">
        <x:v>0.21999699420221766</x:v>
      </x:c>
      <x:c r="R403" s="14" t="n">
        <x:v>0.33366123817418175</x:v>
      </x:c>
      <x:c r="S403" s="14" t="n">
        <x:v>0.39811657489507596</x:v>
      </x:c>
      <x:c r="T403" t="str">
        <x:v>2030소비·고매출밀도</x:v>
      </x:c>
      <x:c r="U403" s="16" t="n">
        <x:v>68.3912003126834</x:v>
      </x:c>
      <x:c r="V403" t="str">
        <x:v>화장품</x:v>
      </x:c>
      <x:c r="W403" t="str">
        <x:v>화장품 / 일반의원 / 자동차수리</x:v>
      </x:c>
      <x:c r="X403" s="16" t="n">
        <x:v>65.08827614886988</x:v>
      </x:c>
    </x:row>
    <x:row r="404">
      <x:c r="A404" t="str">
        <x:v>3110757</x:v>
      </x:c>
      <x:c r="B404" t="str">
        <x:v>양평역 2번</x:v>
      </x:c>
      <x:c r="C404" t="str">
        <x:v>골목상권</x:v>
      </x:c>
      <x:c r="D404" t="str">
        <x:v>영등포구</x:v>
      </x:c>
      <x:c r="E404" t="str">
        <x:v>양평1동</x:v>
      </x:c>
      <x:c r="F404" s="12" t="n">
        <x:v>73590</x:v>
      </x:c>
      <x:c r="G404" s="12" t="n">
        <x:v>10876152934</x:v>
      </x:c>
      <x:c r="H404" s="12" t="n">
        <x:v>594858</x:v>
      </x:c>
      <x:c r="I404" s="12" t="n">
        <x:v>18283.61211247054</x:v>
      </x:c>
      <x:c r="J404" s="12" t="n">
        <x:v>147793.89773066994</x:v>
      </x:c>
      <x:c r="K404" s="12" t="n">
        <x:v>2082</x:v>
      </x:c>
      <x:c r="L404" s="12" t="n">
        <x:v>282.918874847126</x:v>
      </x:c>
      <x:c r="M404" s="12" t="n">
        <x:v>18</x:v>
      </x:c>
      <x:c r="N404" s="14" t="n">
        <x:v>0.8021776203354001</x:v>
      </x:c>
      <x:c r="O404" s="14" t="n">
        <x:v>0.1978223796645999</x:v>
      </x:c>
      <x:c r="P404" s="14" t="n">
        <x:v>0.3371079883897484</x:v>
      </x:c>
      <x:c r="Q404" s="14" t="n">
        <x:v>0.25813972615475544</x:v>
      </x:c>
      <x:c r="R404" s="14" t="n">
        <x:v>0.26080042393784164</x:v>
      </x:c>
      <x:c r="S404" s="14" t="n">
        <x:v>0.41514200373968374</x:v>
      </x:c>
      <x:c r="T404" t="str">
        <x:v>직장밀집·고매출밀도</x:v>
      </x:c>
      <x:c r="U404" s="16" t="n">
        <x:v>75.07792710093075</x:v>
      </x:c>
      <x:c r="V404" t="str">
        <x:v>미용실</x:v>
      </x:c>
      <x:c r="W404" t="str">
        <x:v>미용실 / 일반의류 / 일반의원</x:v>
      </x:c>
      <x:c r="X404" s="16" t="n">
        <x:v>68.18110171232226</x:v>
      </x:c>
    </x:row>
    <x:row r="405">
      <x:c r="A405" t="str">
        <x:v>3110068</x:v>
      </x:c>
      <x:c r="B405" t="str">
        <x:v>남영역 1번</x:v>
      </x:c>
      <x:c r="C405" t="str">
        <x:v>골목상권</x:v>
      </x:c>
      <x:c r="D405" t="str">
        <x:v>용산구</x:v>
      </x:c>
      <x:c r="E405" t="str">
        <x:v>원효로1동</x:v>
      </x:c>
      <x:c r="F405" s="12" t="n">
        <x:v>145312</x:v>
      </x:c>
      <x:c r="G405" s="12" t="n">
        <x:v>10864204047</x:v>
      </x:c>
      <x:c r="H405" s="12" t="n">
        <x:v>490905</x:v>
      </x:c>
      <x:c r="I405" s="12" t="n">
        <x:v>22130.970446420386</x:v>
      </x:c>
      <x:c r="J405" s="12" t="n">
        <x:v>74764.67220188284</x:v>
      </x:c>
      <x:c r="K405" s="12" t="n">
        <x:v>857</x:v>
      </x:c>
      <x:c r="L405" s="12" t="n">
        <x:v>58.976547016075756</x:v>
      </x:c>
      <x:c r="M405" s="12" t="n">
        <x:v>14</x:v>
      </x:c>
      <x:c r="N405" s="14" t="n">
        <x:v>0.7892636754523946</x:v>
      </x:c>
      <x:c r="O405" s="14" t="n">
        <x:v>0.2107363245476054</x:v>
      </x:c>
      <x:c r="P405" s="14" t="n">
        <x:v>0.3786470013084797</x:v>
      </x:c>
      <x:c r="Q405" s="14" t="n">
        <x:v>0.2752153409550188</x:v>
      </x:c>
      <x:c r="R405" s="14" t="n">
        <x:v>0.31370574146581104</x:v>
      </x:c>
      <x:c r="S405" s="14" t="n">
        <x:v>0.3724280708918832</x:v>
      </x:c>
      <x:c r="T405" t="str">
        <x:v>2030소비·평일집중</x:v>
      </x:c>
      <x:c r="U405" s="16" t="n">
        <x:v>66.67801693053481</x:v>
      </x:c>
      <x:c r="V405" t="str">
        <x:v>한식음식점</x:v>
      </x:c>
      <x:c r="W405" t="str">
        <x:v>한식음식점 / 일반교습학원 / 분식전문점</x:v>
      </x:c>
      <x:c r="X405" s="16" t="n">
        <x:v>63.8031150387471</x:v>
      </x:c>
    </x:row>
    <x:row r="406">
      <x:c r="A406" t="str">
        <x:v>3130182</x:v>
      </x:c>
      <x:c r="B406" t="str">
        <x:v>영천시장</x:v>
      </x:c>
      <x:c r="C406" t="str">
        <x:v>전통시장</x:v>
      </x:c>
      <x:c r="D406" t="str">
        <x:v>서대문구</x:v>
      </x:c>
      <x:c r="E406" t="str">
        <x:v>천연동</x:v>
      </x:c>
      <x:c r="F406" s="12" t="n">
        <x:v>41803</x:v>
      </x:c>
      <x:c r="G406" s="12" t="n">
        <x:v>10704606462</x:v>
      </x:c>
      <x:c r="H406" s="12" t="n">
        <x:v>475190</x:v>
      </x:c>
      <x:c r="I406" s="12" t="n">
        <x:v>22527.00280308929</x:v>
      </x:c>
      <x:c r="J406" s="12" t="n">
        <x:v>256072.68526182332</x:v>
      </x:c>
      <x:c r="K406" s="12" t="n">
        <x:v>352</x:v>
      </x:c>
      <x:c r="L406" s="12" t="n">
        <x:v>84.204482931847</x:v>
      </x:c>
      <x:c r="M406" s="12" t="n">
        <x:v>17</x:v>
      </x:c>
      <x:c r="N406" s="14" t="n">
        <x:v>0.7599728674640183</x:v>
      </x:c>
      <x:c r="O406" s="14" t="n">
        <x:v>0.24002713253598168</x:v>
      </x:c>
      <x:c r="P406" s="14" t="n">
        <x:v>0.21091629739167145</x:v>
      </x:c>
      <x:c r="Q406" s="14" t="n">
        <x:v>0.2946748354736481</x:v>
      </x:c>
      <x:c r="R406" s="14" t="n">
        <x:v>0.09921308660622857</x:v>
      </x:c>
      <x:c r="S406" s="14" t="n">
        <x:v>0.5160523285568683</x:v>
      </x:c>
      <x:c r="T406" t="str">
        <x:v>고매출밀도·여성소비</x:v>
      </x:c>
      <x:c r="U406" s="16" t="n">
        <x:v>78.14320251711582</x:v>
      </x:c>
      <x:c r="V406" t="str">
        <x:v>육류판매</x:v>
      </x:c>
      <x:c r="W406" t="str">
        <x:v>육류판매 / 일반의원 / 노래방</x:v>
      </x:c>
      <x:c r="X406" s="16" t="n">
        <x:v>66.96370940555788</x:v>
      </x:c>
    </x:row>
    <x:row r="407">
      <x:c r="A407" t="str">
        <x:v>3110690</x:v>
      </x:c>
      <x:c r="B407" t="str">
        <x:v>오류2동버들시장</x:v>
      </x:c>
      <x:c r="C407" t="str">
        <x:v>골목상권</x:v>
      </x:c>
      <x:c r="D407" t="str">
        <x:v>구로구</x:v>
      </x:c>
      <x:c r="E407" t="str">
        <x:v>오류2동</x:v>
      </x:c>
      <x:c r="F407" s="12" t="n">
        <x:v>163596</x:v>
      </x:c>
      <x:c r="G407" s="12" t="n">
        <x:v>10672107674</x:v>
      </x:c>
      <x:c r="H407" s="12" t="n">
        <x:v>431224</x:v>
      </x:c>
      <x:c r="I407" s="12" t="n">
        <x:v>24748.40842346437</x:v>
      </x:c>
      <x:c r="J407" s="12" t="n">
        <x:v>65234.52696887455</x:v>
      </x:c>
      <x:c r="K407" s="12" t="n">
        <x:v>839</x:v>
      </x:c>
      <x:c r="L407" s="12" t="n">
        <x:v>51.28487249076994</x:v>
      </x:c>
      <x:c r="M407" s="12" t="n">
        <x:v>29</x:v>
      </x:c>
      <x:c r="N407" s="14" t="n">
        <x:v>0.7076855602197328</x:v>
      </x:c>
      <x:c r="O407" s="14" t="n">
        <x:v>0.29231443978026717</x:v>
      </x:c>
      <x:c r="P407" s="14" t="n">
        <x:v>0.31007909562813507</x:v>
      </x:c>
      <x:c r="Q407" s="14" t="n">
        <x:v>0.2956353732905562</x:v>
      </x:c>
      <x:c r="R407" s="14" t="n">
        <x:v>0.16228386509062126</x:v>
      </x:c>
      <x:c r="S407" s="14" t="n">
        <x:v>0.38612218194154624</x:v>
      </x:c>
      <x:c r="T407" t="str">
        <x:v>균형형</x:v>
      </x:c>
      <x:c r="U407" s="16" t="n">
        <x:v>79.44367367995329</x:v>
      </x:c>
      <x:c r="V407" t="str">
        <x:v>핸드폰</x:v>
      </x:c>
      <x:c r="W407" t="str">
        <x:v>핸드폰 / 일식음식점 / 제과점</x:v>
      </x:c>
      <x:c r="X407" s="16" t="n">
        <x:v>66.76561431211786</x:v>
      </x:c>
    </x:row>
    <x:row r="408">
      <x:c r="A408" t="str">
        <x:v>3120109</x:v>
      </x:c>
      <x:c r="B408" t="str">
        <x:v>서울남부지방법원</x:v>
      </x:c>
      <x:c r="C408" t="str">
        <x:v>발달상권</x:v>
      </x:c>
      <x:c r="D408" t="str">
        <x:v>양천구</x:v>
      </x:c>
      <x:c r="E408" t="str">
        <x:v>신정1동</x:v>
      </x:c>
      <x:c r="F408" s="12" t="n">
        <x:v>112835</x:v>
      </x:c>
      <x:c r="G408" s="12" t="n">
        <x:v>10605872771</x:v>
      </x:c>
      <x:c r="H408" s="12" t="n">
        <x:v>332714</x:v>
      </x:c>
      <x:c r="I408" s="12" t="n">
        <x:v>31876.845491923996</x:v>
      </x:c>
      <x:c r="J408" s="12" t="n">
        <x:v>93994.52980901315</x:v>
      </x:c>
      <x:c r="K408" s="12" t="n">
        <x:v>9625</x:v>
      </x:c>
      <x:c r="L408" s="12" t="n">
        <x:v>853.0154650596003</x:v>
      </x:c>
      <x:c r="M408" s="12" t="n">
        <x:v>31</x:v>
      </x:c>
      <x:c r="N408" s="14" t="n">
        <x:v>0.7682273051849718</x:v>
      </x:c>
      <x:c r="O408" s="14" t="n">
        <x:v>0.23177269481502816</x:v>
      </x:c>
      <x:c r="P408" s="14" t="n">
        <x:v>0.3427188588325184</x:v>
      </x:c>
      <x:c r="Q408" s="14" t="n">
        <x:v>0.27967117521063084</x:v>
      </x:c>
      <x:c r="R408" s="14" t="n">
        <x:v>0.16474674001159578</x:v>
      </x:c>
      <x:c r="S408" s="14" t="n">
        <x:v>0.4584184639942255</x:v>
      </x:c>
      <x:c r="T408" t="str">
        <x:v>직장밀집·고매출밀도</x:v>
      </x:c>
      <x:c r="U408" s="16" t="n">
        <x:v>79.4613116296145</x:v>
      </x:c>
      <x:c r="V408" t="str">
        <x:v>당구장</x:v>
      </x:c>
      <x:c r="W408" t="str">
        <x:v>당구장 / 가전제품 / 조명용품</x:v>
      </x:c>
      <x:c r="X408" s="16" t="n">
        <x:v>69.98975864077883</x:v>
      </x:c>
    </x:row>
    <x:row r="409">
      <x:c r="A409" t="str">
        <x:v>3110659</x:v>
      </x:c>
      <x:c r="B409" t="str">
        <x:v>화곡역 4번</x:v>
      </x:c>
      <x:c r="C409" t="str">
        <x:v>골목상권</x:v>
      </x:c>
      <x:c r="D409" t="str">
        <x:v>강서구</x:v>
      </x:c>
      <x:c r="E409" t="str">
        <x:v>화곡본동</x:v>
      </x:c>
      <x:c r="F409" s="12" t="n">
        <x:v>372788</x:v>
      </x:c>
      <x:c r="G409" s="12" t="n">
        <x:v>10594143169</x:v>
      </x:c>
      <x:c r="H409" s="12" t="n">
        <x:v>604722</x:v>
      </x:c>
      <x:c r="I409" s="12" t="n">
        <x:v>17519.03051154084</x:v>
      </x:c>
      <x:c r="J409" s="12" t="n">
        <x:v>28418.680775668745</x:v>
      </x:c>
      <x:c r="K409" s="12" t="n">
        <x:v>874</x:v>
      </x:c>
      <x:c r="L409" s="12" t="n">
        <x:v>23.44496067469983</x:v>
      </x:c>
      <x:c r="M409" s="12" t="n">
        <x:v>28</x:v>
      </x:c>
      <x:c r="N409" s="14" t="n">
        <x:v>0.7578465062180056</x:v>
      </x:c>
      <x:c r="O409" s="14" t="n">
        <x:v>0.2421534937819944</x:v>
      </x:c>
      <x:c r="P409" s="14" t="n">
        <x:v>0.4244482848936662</x:v>
      </x:c>
      <x:c r="Q409" s="14" t="n">
        <x:v>0.22913689453463718</x:v>
      </x:c>
      <x:c r="R409" s="14" t="n">
        <x:v>0.28076360405470746</x:v>
      </x:c>
      <x:c r="S409" s="14" t="n">
        <x:v>0.44418288680198975</x:v>
      </x:c>
      <x:c r="T409" t="str">
        <x:v>2030소비·야간활성</x:v>
      </x:c>
      <x:c r="U409" s="16" t="n">
        <x:v>72.34428187963525</x:v>
      </x:c>
      <x:c r="V409" t="str">
        <x:v>예술학원</x:v>
      </x:c>
      <x:c r="W409" t="str">
        <x:v>예술학원 / 자동차수리 / 일반교습학원</x:v>
      </x:c>
      <x:c r="X409" s="16" t="n">
        <x:v>66.33887531771843</x:v>
      </x:c>
    </x:row>
    <x:row r="410">
      <x:c r="A410" t="str">
        <x:v>3111028</x:v>
      </x:c>
      <x:c r="B410" t="str">
        <x:v>문현중학교(장지역 1번)</x:v>
      </x:c>
      <x:c r="C410" t="str">
        <x:v>골목상권</x:v>
      </x:c>
      <x:c r="D410" t="str">
        <x:v>송파구</x:v>
      </x:c>
      <x:c r="E410" t="str">
        <x:v>장지동</x:v>
      </x:c>
      <x:c r="F410" s="12" t="n">
        <x:v>53688</x:v>
      </x:c>
      <x:c r="G410" s="12" t="n">
        <x:v>10541385939</x:v>
      </x:c>
      <x:c r="H410" s="12" t="n">
        <x:v>230736</x:v>
      </x:c>
      <x:c r="I410" s="12" t="n">
        <x:v>45685.91784116913</x:v>
      </x:c>
      <x:c r="J410" s="12" t="n">
        <x:v>196345.29017657577</x:v>
      </x:c>
      <x:c r="K410" s="12" t="n">
        <x:v>780</x:v>
      </x:c>
      <x:c r="L410" s="12" t="n">
        <x:v>145.28386231560125</x:v>
      </x:c>
      <x:c r="M410" s="12" t="n">
        <x:v>17</x:v>
      </x:c>
      <x:c r="N410" s="14" t="n">
        <x:v>0.7820995231279901</x:v>
      </x:c>
      <x:c r="O410" s="14" t="n">
        <x:v>0.21790047687200992</x:v>
      </x:c>
      <x:c r="P410" s="14" t="n">
        <x:v>0.28587818266388965</x:v>
      </x:c>
      <x:c r="Q410" s="14" t="n">
        <x:v>0.32028469648463365</x:v>
      </x:c>
      <x:c r="R410" s="14" t="n">
        <x:v>0.396243937008936</x:v>
      </x:c>
      <x:c r="S410" s="14" t="n">
        <x:v>0.38072854738688455</x:v>
      </x:c>
      <x:c r="T410" t="str">
        <x:v>2030소비·고매출밀도</x:v>
      </x:c>
      <x:c r="U410" s="16" t="n">
        <x:v>74.99254083481836</x:v>
      </x:c>
      <x:c r="V410" t="str">
        <x:v>의약품</x:v>
      </x:c>
      <x:c r="W410" t="str">
        <x:v>의약품 / 일반교습학원 / 자동차수리</x:v>
      </x:c>
      <x:c r="X410" s="16" t="n">
        <x:v>63.233509407818154</x:v>
      </x:c>
    </x:row>
    <x:row r="411">
      <x:c r="A411" t="str">
        <x:v>3120074</x:v>
      </x:c>
      <x:c r="B411" t="str">
        <x:v>안암역</x:v>
      </x:c>
      <x:c r="C411" t="str">
        <x:v>발달상권</x:v>
      </x:c>
      <x:c r="D411" t="str">
        <x:v>성북구</x:v>
      </x:c>
      <x:c r="E411" t="str">
        <x:v>안암동</x:v>
      </x:c>
      <x:c r="F411" s="12" t="n">
        <x:v>27617</x:v>
      </x:c>
      <x:c r="G411" s="12" t="n">
        <x:v>10531495607</x:v>
      </x:c>
      <x:c r="H411" s="12" t="n">
        <x:v>457242</x:v>
      </x:c>
      <x:c r="I411" s="12" t="n">
        <x:v>23032.651434032745</x:v>
      </x:c>
      <x:c r="J411" s="12" t="n">
        <x:v>381341.0438135931</x:v>
      </x:c>
      <x:c r="K411" s="12" t="n">
        <x:v>182</x:v>
      </x:c>
      <x:c r="L411" s="12" t="n">
        <x:v>65.90143752036789</x:v>
      </x:c>
      <x:c r="M411" s="12" t="n">
        <x:v>15</x:v>
      </x:c>
      <x:c r="N411" s="14" t="n">
        <x:v>0.8618100250611442</x:v>
      </x:c>
      <x:c r="O411" s="14" t="n">
        <x:v>0.1381899749388558</x:v>
      </x:c>
      <x:c r="P411" s="14" t="n">
        <x:v>0.2735727410914923</x:v>
      </x:c>
      <x:c r="Q411" s="14" t="n">
        <x:v>0.2838963107018462</x:v>
      </x:c>
      <x:c r="R411" s="14" t="n">
        <x:v>0.3513405069969945</x:v>
      </x:c>
      <x:c r="S411" s="14" t="n">
        <x:v>0.42257961177346387</x:v>
      </x:c>
      <x:c r="T411" t="str">
        <x:v>고매출밀도·평일집중</x:v>
      </x:c>
      <x:c r="U411" s="16" t="n">
        <x:v>63.160726946226085</x:v>
      </x:c>
      <x:c r="V411" t="str">
        <x:v>한식음식점</x:v>
      </x:c>
      <x:c r="W411" t="str">
        <x:v>한식음식점 / 스포츠클럽 / 의약품</x:v>
      </x:c>
      <x:c r="X411" s="16" t="n">
        <x:v>60.81145591460925</x:v>
      </x:c>
    </x:row>
    <x:row r="412">
      <x:c r="A412" t="str">
        <x:v>3110651</x:v>
      </x:c>
      <x:c r="B412" t="str">
        <x:v>화원중학교</x:v>
      </x:c>
      <x:c r="C412" t="str">
        <x:v>골목상권</x:v>
      </x:c>
      <x:c r="D412" t="str">
        <x:v>강서구</x:v>
      </x:c>
      <x:c r="E412" t="str">
        <x:v>화곡1동</x:v>
      </x:c>
      <x:c r="F412" s="12" t="n">
        <x:v>142874</x:v>
      </x:c>
      <x:c r="G412" s="12" t="n">
        <x:v>10480296039</x:v>
      </x:c>
      <x:c r="H412" s="12" t="n">
        <x:v>246330</x:v>
      </x:c>
      <x:c r="I412" s="12" t="n">
        <x:v>42545.75585190598</x:v>
      </x:c>
      <x:c r="J412" s="12" t="n">
        <x:v>73353.41656984476</x:v>
      </x:c>
      <x:c r="K412" s="12" t="n">
        <x:v>502</x:v>
      </x:c>
      <x:c r="L412" s="12" t="n">
        <x:v>35.13585396923163</x:v>
      </x:c>
      <x:c r="M412" s="12" t="n">
        <x:v>18</x:v>
      </x:c>
      <x:c r="N412" s="14" t="n">
        <x:v>0.844055225642658</x:v>
      </x:c>
      <x:c r="O412" s="14" t="n">
        <x:v>0.155944774357342</x:v>
      </x:c>
      <x:c r="P412" s="14" t="n">
        <x:v>0.6187427135520823</x:v>
      </x:c>
      <x:c r="Q412" s="14" t="n">
        <x:v>0.146920727264773</x:v>
      </x:c>
      <x:c r="R412" s="14" t="n">
        <x:v>0.11895289573508583</x:v>
      </x:c>
      <x:c r="S412" s="14" t="n">
        <x:v>0.25848173266472746</x:v>
      </x:c>
      <x:c r="T412" t="str">
        <x:v>야간활성·평일집중</x:v>
      </x:c>
      <x:c r="U412" s="16" t="n">
        <x:v>74.04581472997832</x:v>
      </x:c>
      <x:c r="V412" t="str">
        <x:v>조명용품</x:v>
      </x:c>
      <x:c r="W412" t="str">
        <x:v>조명용품 / 일반교습학원 / 육류판매</x:v>
      </x:c>
      <x:c r="X412" s="16" t="n">
        <x:v>63.703516965511426</x:v>
      </x:c>
    </x:row>
    <x:row r="413">
      <x:c r="A413" t="str">
        <x:v>3111010</x:v>
      </x:c>
      <x:c r="B413" t="str">
        <x:v>석촌역 7번</x:v>
      </x:c>
      <x:c r="C413" t="str">
        <x:v>골목상권</x:v>
      </x:c>
      <x:c r="D413" t="str">
        <x:v>송파구</x:v>
      </x:c>
      <x:c r="E413" t="str">
        <x:v>석촌동</x:v>
      </x:c>
      <x:c r="F413" s="12" t="n">
        <x:v>200178</x:v>
      </x:c>
      <x:c r="G413" s="12" t="n">
        <x:v>10437001308</x:v>
      </x:c>
      <x:c r="H413" s="12" t="n">
        <x:v>352006</x:v>
      </x:c>
      <x:c r="I413" s="12" t="n">
        <x:v>29650.066498866498</x:v>
      </x:c>
      <x:c r="J413" s="12" t="n">
        <x:v>52138.60318316698</x:v>
      </x:c>
      <x:c r="K413" s="12" t="n">
        <x:v>1639</x:v>
      </x:c>
      <x:c r="L413" s="12" t="n">
        <x:v>81.87712935487417</x:v>
      </x:c>
      <x:c r="M413" s="12" t="n">
        <x:v>19</x:v>
      </x:c>
      <x:c r="N413" s="14" t="n">
        <x:v>0.6780394560816702</x:v>
      </x:c>
      <x:c r="O413" s="14" t="n">
        <x:v>0.32196054391832984</x:v>
      </x:c>
      <x:c r="P413" s="14" t="n">
        <x:v>0.6173306441057312</x:v>
      </x:c>
      <x:c r="Q413" s="14" t="n">
        <x:v>0.1880787024042404</x:v>
      </x:c>
      <x:c r="R413" s="14" t="n">
        <x:v>0.3367254439554584</x:v>
      </x:c>
      <x:c r="S413" s="14" t="n">
        <x:v>0.34530499715828916</x:v>
      </x:c>
      <x:c r="T413" t="str">
        <x:v>야간활성·2030소비</x:v>
      </x:c>
      <x:c r="U413" s="16" t="n">
        <x:v>65.16809189022804</x:v>
      </x:c>
      <x:c r="V413" t="str">
        <x:v>일식음식점</x:v>
      </x:c>
      <x:c r="W413" t="str">
        <x:v>일식음식점 / 네일숍 / 치킨전문점</x:v>
      </x:c>
      <x:c r="X413" s="16" t="n">
        <x:v>59.318256004826445</x:v>
      </x:c>
    </x:row>
    <x:row r="414">
      <x:c r="A414" t="str">
        <x:v>3110456</x:v>
      </x:c>
      <x:c r="B414" t="str">
        <x:v>구산보건지소</x:v>
      </x:c>
      <x:c r="C414" t="str">
        <x:v>골목상권</x:v>
      </x:c>
      <x:c r="D414" t="str">
        <x:v>은평구</x:v>
      </x:c>
      <x:c r="E414" t="str">
        <x:v>구산동</x:v>
      </x:c>
      <x:c r="F414" s="12" t="n">
        <x:v>170875</x:v>
      </x:c>
      <x:c r="G414" s="12" t="n">
        <x:v>10367242996</x:v>
      </x:c>
      <x:c r="H414" s="12" t="n">
        <x:v>175912</x:v>
      </x:c>
      <x:c r="I414" s="12" t="n">
        <x:v>58934.25687843922</x:v>
      </x:c>
      <x:c r="J414" s="12" t="n">
        <x:v>60671.50253694221</x:v>
      </x:c>
      <x:c r="K414" s="12" t="n">
        <x:v>745</x:v>
      </x:c>
      <x:c r="L414" s="12" t="n">
        <x:v>43.599122165325525</x:v>
      </x:c>
      <x:c r="M414" s="12" t="n">
        <x:v>19</x:v>
      </x:c>
      <x:c r="N414" s="14" t="n">
        <x:v>0.7533882037889488</x:v>
      </x:c>
      <x:c r="O414" s="14" t="n">
        <x:v>0.2466117962110512</x:v>
      </x:c>
      <x:c r="P414" s="14" t="n">
        <x:v>0.2939154240115392</x:v>
      </x:c>
      <x:c r="Q414" s="14" t="n">
        <x:v>0.22969218980579204</x:v>
      </x:c>
      <x:c r="R414" s="14" t="n">
        <x:v>0.05804264761925331</x:v>
      </x:c>
      <x:c r="S414" s="14" t="n">
        <x:v>0.30545173680426</x:v>
      </x:c>
      <x:c r="T414" t="str">
        <x:v>균형형</x:v>
      </x:c>
      <x:c r="U414" s="16" t="n">
        <x:v>67.2317144570743</x:v>
      </x:c>
      <x:c r="V414" t="str">
        <x:v>반찬가게</x:v>
      </x:c>
      <x:c r="W414" t="str">
        <x:v>반찬가게 / 세탁소 / 자동차수리</x:v>
      </x:c>
      <x:c r="X414" s="16" t="n">
        <x:v>59.40498439278012</x:v>
      </x:c>
    </x:row>
    <x:row r="415">
      <x:c r="A415" t="str">
        <x:v>3120137</x:v>
      </x:c>
      <x:c r="B415" t="str">
        <x:v>문래역(문래로데오거리)</x:v>
      </x:c>
      <x:c r="C415" t="str">
        <x:v>발달상권</x:v>
      </x:c>
      <x:c r="D415" t="str">
        <x:v>영등포구</x:v>
      </x:c>
      <x:c r="E415" t="str">
        <x:v>문래동</x:v>
      </x:c>
      <x:c r="F415" s="12" t="n">
        <x:v>43658</x:v>
      </x:c>
      <x:c r="G415" s="12" t="n">
        <x:v>10262572563</x:v>
      </x:c>
      <x:c r="H415" s="12" t="n">
        <x:v>318630</x:v>
      </x:c>
      <x:c r="I415" s="12" t="n">
        <x:v>32208.431607193295</x:v>
      </x:c>
      <x:c r="J415" s="12" t="n">
        <x:v>235067.40031609326</x:v>
      </x:c>
      <x:c r="K415" s="12" t="n">
        <x:v>2644</x:v>
      </x:c>
      <x:c r="L415" s="12" t="n">
        <x:v>605.6163818773191</x:v>
      </x:c>
      <x:c r="M415" s="12" t="n">
        <x:v>8</x:v>
      </x:c>
      <x:c r="N415" s="14" t="n">
        <x:v>0.7866637229057515</x:v>
      </x:c>
      <x:c r="O415" s="14" t="n">
        <x:v>0.2133362770942485</x:v>
      </x:c>
      <x:c r="P415" s="14" t="n">
        <x:v>0.5625055135602844</x:v>
      </x:c>
      <x:c r="Q415" s="14" t="n">
        <x:v>0.22061215402877146</x:v>
      </x:c>
      <x:c r="R415" s="14" t="n">
        <x:v>0.2707571470937038</x:v>
      </x:c>
      <x:c r="S415" s="14" t="n">
        <x:v>0.37554662209115336</x:v>
      </x:c>
      <x:c r="T415" t="str">
        <x:v>직장밀집·야간활성</x:v>
      </x:c>
      <x:c r="U415" s="16" t="n">
        <x:v>57.0124642981636</x:v>
      </x:c>
      <x:c r="V415" t="str">
        <x:v>일반의원</x:v>
      </x:c>
      <x:c r="W415" t="str">
        <x:v>일반의원 / 호프-간이주점 / 일식음식점</x:v>
      </x:c>
      <x:c r="X415" s="16" t="n">
        <x:v>53.56737484067395</x:v>
      </x:c>
    </x:row>
    <x:row r="416">
      <x:c r="A416" t="str">
        <x:v>3110881</x:v>
      </x:c>
      <x:c r="B416" t="str">
        <x:v>구립대학경로당(관악산샘말공원)</x:v>
      </x:c>
      <x:c r="C416" t="str">
        <x:v>골목상권</x:v>
      </x:c>
      <x:c r="D416" t="str">
        <x:v>관악구</x:v>
      </x:c>
      <x:c r="E416" t="str">
        <x:v>대학동</x:v>
      </x:c>
      <x:c r="F416" s="12" t="n">
        <x:v>234224</x:v>
      </x:c>
      <x:c r="G416" s="12" t="n">
        <x:v>10231148359</x:v>
      </x:c>
      <x:c r="H416" s="12" t="n">
        <x:v>1038349</x:v>
      </x:c>
      <x:c r="I416" s="12" t="n">
        <x:v>9853.284742413196</x:v>
      </x:c>
      <x:c r="J416" s="12" t="n">
        <x:v>43681.041904330894</x:v>
      </x:c>
      <x:c r="K416" s="12" t="n">
        <x:v>226</x:v>
      </x:c>
      <x:c r="L416" s="12" t="n">
        <x:v>9.648883120431723</x:v>
      </x:c>
      <x:c r="M416" s="12" t="n">
        <x:v>24</x:v>
      </x:c>
      <x:c r="N416" s="14" t="n">
        <x:v>0.7203724399633642</x:v>
      </x:c>
      <x:c r="O416" s="14" t="n">
        <x:v>0.27962756003663575</x:v>
      </x:c>
      <x:c r="P416" s="14" t="n">
        <x:v>0.45707071756870415</x:v>
      </x:c>
      <x:c r="Q416" s="14" t="n">
        <x:v>0.1725988954550356</x:v>
      </x:c>
      <x:c r="R416" s="14" t="n">
        <x:v>0.47123326178325825</x:v>
      </x:c>
      <x:c r="S416" s="14" t="n">
        <x:v>0.3445012846382477</x:v>
      </x:c>
      <x:c r="T416" t="str">
        <x:v>2030소비·야간활성</x:v>
      </x:c>
      <x:c r="U416" s="16" t="n">
        <x:v>67.20024463475498</x:v>
      </x:c>
      <x:c r="V416" t="str">
        <x:v>피부관리실</x:v>
      </x:c>
      <x:c r="W416" t="str">
        <x:v>피부관리실 / 육류판매 / 슈퍼마켓</x:v>
      </x:c>
      <x:c r="X416" s="16" t="n">
        <x:v>62.441967639133715</x:v>
      </x:c>
    </x:row>
    <x:row r="417">
      <x:c r="A417" t="str">
        <x:v>3110657</x:v>
      </x:c>
      <x:c r="B417" t="str">
        <x:v>양천향교역 5번</x:v>
      </x:c>
      <x:c r="C417" t="str">
        <x:v>골목상권</x:v>
      </x:c>
      <x:c r="D417" t="str">
        <x:v>강서구</x:v>
      </x:c>
      <x:c r="E417" t="str">
        <x:v>가양1동</x:v>
      </x:c>
      <x:c r="F417" s="12" t="n">
        <x:v>124877</x:v>
      </x:c>
      <x:c r="G417" s="12" t="n">
        <x:v>10227202103</x:v>
      </x:c>
      <x:c r="H417" s="12" t="n">
        <x:v>179488</x:v>
      </x:c>
      <x:c r="I417" s="12" t="n">
        <x:v>56979.86552304332</x:v>
      </x:c>
      <x:c r="J417" s="12" t="n">
        <x:v>81898.20465738287</x:v>
      </x:c>
      <x:c r="K417" s="12" t="n">
        <x:v>3725</x:v>
      </x:c>
      <x:c r="L417" s="12" t="n">
        <x:v>298.2935208244913</x:v>
      </x:c>
      <x:c r="M417" s="12" t="n">
        <x:v>16</x:v>
      </x:c>
      <x:c r="N417" s="14" t="n">
        <x:v>0.905444734125638</x:v>
      </x:c>
      <x:c r="O417" s="14" t="n">
        <x:v>0.09455526587436208</x:v>
      </x:c>
      <x:c r="P417" s="14" t="n">
        <x:v>0.2658385744819186</x:v>
      </x:c>
      <x:c r="Q417" s="14" t="n">
        <x:v>0.28347697999920907</x:v>
      </x:c>
      <x:c r="R417" s="14" t="n">
        <x:v>0.22006444414937362</x:v>
      </x:c>
      <x:c r="S417" s="14" t="n">
        <x:v>0.25409411252738595</x:v>
      </x:c>
      <x:c r="T417" t="str">
        <x:v>평일집중·직장밀집</x:v>
      </x:c>
      <x:c r="U417" s="16" t="n">
        <x:v>62.21435565558723</x:v>
      </x:c>
      <x:c r="V417" t="str">
        <x:v>자동차수리</x:v>
      </x:c>
      <x:c r="W417" t="str">
        <x:v>자동차수리 / 당구장 / 한식음식점</x:v>
      </x:c>
      <x:c r="X417" s="16" t="n">
        <x:v>57.2726548844681</x:v>
      </x:c>
    </x:row>
    <x:row r="418">
      <x:c r="A418" t="str">
        <x:v>3120138</x:v>
      </x:c>
      <x:c r="B418" t="str">
        <x:v>당산2동(영등포우체국)</x:v>
      </x:c>
      <x:c r="C418" t="str">
        <x:v>발달상권</x:v>
      </x:c>
      <x:c r="D418" t="str">
        <x:v>영등포구</x:v>
      </x:c>
      <x:c r="E418" t="str">
        <x:v>당산2동</x:v>
      </x:c>
      <x:c r="F418" s="12" t="n">
        <x:v>94477</x:v>
      </x:c>
      <x:c r="G418" s="12" t="n">
        <x:v>10209531028</x:v>
      </x:c>
      <x:c r="H418" s="12" t="n">
        <x:v>536946</x:v>
      </x:c>
      <x:c r="I418" s="12" t="n">
        <x:v>19014.074093111783</x:v>
      </x:c>
      <x:c r="J418" s="12" t="n">
        <x:v>108063.66658551816</x:v>
      </x:c>
      <x:c r="K418" s="12" t="n">
        <x:v>9848</x:v>
      </x:c>
      <x:c r="L418" s="12" t="n">
        <x:v>1042.3701006594197</x:v>
      </x:c>
      <x:c r="M418" s="12" t="n">
        <x:v>22</x:v>
      </x:c>
      <x:c r="N418" s="14" t="n">
        <x:v>0.8472865713690448</x:v>
      </x:c>
      <x:c r="O418" s="14" t="n">
        <x:v>0.15271342863095513</x:v>
      </x:c>
      <x:c r="P418" s="14" t="n">
        <x:v>0.2882670742591919</x:v>
      </x:c>
      <x:c r="Q418" s="14" t="n">
        <x:v>0.36791437419587614</x:v>
      </x:c>
      <x:c r="R418" s="14" t="n">
        <x:v>0.2731371450218585</x:v>
      </x:c>
      <x:c r="S418" s="14" t="n">
        <x:v>0.39981589083819374</x:v>
      </x:c>
      <x:c r="T418" t="str">
        <x:v>직장밀집·평일집중</x:v>
      </x:c>
      <x:c r="U418" s="16" t="n">
        <x:v>68.16908004659142</x:v>
      </x:c>
      <x:c r="V418" t="str">
        <x:v>의약품</x:v>
      </x:c>
      <x:c r="W418" t="str">
        <x:v>의약품 / 커피-음료 / 일반의원</x:v>
      </x:c>
      <x:c r="X418" s="16" t="n">
        <x:v>61.03495861352043</x:v>
      </x:c>
    </x:row>
    <x:row r="419">
      <x:c r="A419" t="str">
        <x:v>3130283</x:v>
      </x:c>
      <x:c r="B419" t="str">
        <x:v>신원시장</x:v>
      </x:c>
      <x:c r="C419" t="str">
        <x:v>전통시장</x:v>
      </x:c>
      <x:c r="D419" t="str">
        <x:v>관악구</x:v>
      </x:c>
      <x:c r="E419" t="str">
        <x:v>신원동</x:v>
      </x:c>
      <x:c r="F419" s="12" t="n">
        <x:v>26568</x:v>
      </x:c>
      <x:c r="G419" s="12" t="n">
        <x:v>10187331503</x:v>
      </x:c>
      <x:c r="H419" s="12" t="n">
        <x:v>501368</x:v>
      </x:c>
      <x:c r="I419" s="12" t="n">
        <x:v>20319.070030396833</x:v>
      </x:c>
      <x:c r="J419" s="12" t="n">
        <x:v>383443.672952424</x:v>
      </x:c>
      <x:c r="K419" s="12" t="n">
        <x:v>103</x:v>
      </x:c>
      <x:c r="L419" s="12" t="n">
        <x:v>38.76844323998796</x:v>
      </x:c>
      <x:c r="M419" s="12" t="n">
        <x:v>14</x:v>
      </x:c>
      <x:c r="N419" s="14" t="n">
        <x:v>0.6760065484245782</x:v>
      </x:c>
      <x:c r="O419" s="14" t="n">
        <x:v>0.32399345157542186</x:v>
      </x:c>
      <x:c r="P419" s="14" t="n">
        <x:v>0.3132608173259325</x:v>
      </x:c>
      <x:c r="Q419" s="14" t="n">
        <x:v>0.2618430308481147</x:v>
      </x:c>
      <x:c r="R419" s="14" t="n">
        <x:v>0.11275167286563169</x:v>
      </x:c>
      <x:c r="S419" s="14" t="n">
        <x:v>0.5893009609270197</x:v>
      </x:c>
      <x:c r="T419" t="str">
        <x:v>여성소비·고매출밀도</x:v>
      </x:c>
      <x:c r="U419" s="16" t="n">
        <x:v>73.1687028149901</x:v>
      </x:c>
      <x:c r="V419" t="str">
        <x:v>청과상</x:v>
      </x:c>
      <x:c r="W419" t="str">
        <x:v>청과상 / 피부관리실 / 육류판매</x:v>
      </x:c>
      <x:c r="X419" s="16" t="n">
        <x:v>70.0362147312209</x:v>
      </x:c>
    </x:row>
    <x:row r="420">
      <x:c r="A420" t="str">
        <x:v>3130157</x:v>
      </x:c>
      <x:c r="B420" t="str">
        <x:v>상계중앙시장</x:v>
      </x:c>
      <x:c r="C420" t="str">
        <x:v>전통시장</x:v>
      </x:c>
      <x:c r="D420" t="str">
        <x:v>노원구</x:v>
      </x:c>
      <x:c r="E420" t="str">
        <x:v>상계5동</x:v>
      </x:c>
      <x:c r="F420" s="12" t="n">
        <x:v>52463</x:v>
      </x:c>
      <x:c r="G420" s="12" t="n">
        <x:v>10173724677</x:v>
      </x:c>
      <x:c r="H420" s="12" t="n">
        <x:v>277934</x:v>
      </x:c>
      <x:c r="I420" s="12" t="n">
        <x:v>36604.82228514683</x:v>
      </x:c>
      <x:c r="J420" s="12" t="n">
        <x:v>193921.90071097726</x:v>
      </x:c>
      <x:c r="K420" s="12" t="n">
        <x:v>224</x:v>
      </x:c>
      <x:c r="L420" s="12" t="n">
        <x:v>42.69675771496102</x:v>
      </x:c>
      <x:c r="M420" s="12" t="n">
        <x:v>15</x:v>
      </x:c>
      <x:c r="N420" s="14" t="n">
        <x:v>0.7708134170102626</x:v>
      </x:c>
      <x:c r="O420" s="14" t="n">
        <x:v>0.22918658298973743</x:v>
      </x:c>
      <x:c r="P420" s="14" t="n">
        <x:v>0.2821150125566741</x:v>
      </x:c>
      <x:c r="Q420" s="14" t="n">
        <x:v>0.28877860707611913</x:v>
      </x:c>
      <x:c r="R420" s="14" t="n">
        <x:v>0.19641139911299765</x:v>
      </x:c>
      <x:c r="S420" s="14" t="n">
        <x:v>0.6258823762348606</x:v>
      </x:c>
      <x:c r="T420" t="str">
        <x:v>여성소비·고매출밀도</x:v>
      </x:c>
      <x:c r="U420" s="16" t="n">
        <x:v>67.84688630012828</x:v>
      </x:c>
      <x:c r="V420" t="str">
        <x:v>육류판매</x:v>
      </x:c>
      <x:c r="W420" t="str">
        <x:v>육류판매 / 일반의원 / 일반의류</x:v>
      </x:c>
      <x:c r="X420" s="16" t="n">
        <x:v>64.93498439152867</x:v>
      </x:c>
    </x:row>
    <x:row r="421">
      <x:c r="A421" t="str">
        <x:v>3110241</x:v>
      </x:c>
      <x:c r="B421" t="str">
        <x:v>먹골역 5번</x:v>
      </x:c>
      <x:c r="C421" t="str">
        <x:v>골목상권</x:v>
      </x:c>
      <x:c r="D421" t="str">
        <x:v>중랑구</x:v>
      </x:c>
      <x:c r="E421" t="str">
        <x:v>묵2동</x:v>
      </x:c>
      <x:c r="F421" s="12" t="n">
        <x:v>99076</x:v>
      </x:c>
      <x:c r="G421" s="12" t="n">
        <x:v>10170042170</x:v>
      </x:c>
      <x:c r="H421" s="12" t="n">
        <x:v>741365</x:v>
      </x:c>
      <x:c r="I421" s="12" t="n">
        <x:v>13717.996088296588</x:v>
      </x:c>
      <x:c r="J421" s="12" t="n">
        <x:v>102648.8975130203</x:v>
      </x:c>
      <x:c r="K421" s="12" t="n">
        <x:v>651</x:v>
      </x:c>
      <x:c r="L421" s="12" t="n">
        <x:v>65.70713391739675</x:v>
      </x:c>
      <x:c r="M421" s="12" t="n">
        <x:v>23</x:v>
      </x:c>
      <x:c r="N421" s="14" t="n">
        <x:v>0.7472538414263036</x:v>
      </x:c>
      <x:c r="O421" s="14" t="n">
        <x:v>0.2527461585736965</x:v>
      </x:c>
      <x:c r="P421" s="14" t="n">
        <x:v>0.4762738544278819</x:v>
      </x:c>
      <x:c r="Q421" s="14" t="n">
        <x:v>0.18613350027043202</x:v>
      </x:c>
      <x:c r="R421" s="14" t="n">
        <x:v>0.23733375669965387</x:v>
      </x:c>
      <x:c r="S421" s="14" t="n">
        <x:v>0.4859879383371328</x:v>
      </x:c>
      <x:c r="T421" t="str">
        <x:v>야간활성·여성소비</x:v>
      </x:c>
      <x:c r="U421" s="16" t="n">
        <x:v>74.47700403537819</x:v>
      </x:c>
      <x:c r="V421" t="str">
        <x:v>일반의류</x:v>
      </x:c>
      <x:c r="W421" t="str">
        <x:v>일반의류 / 슈퍼마켓 / 미용실</x:v>
      </x:c>
      <x:c r="X421" s="16" t="n">
        <x:v>64.50676988931045</x:v>
      </x:c>
    </x:row>
    <x:row r="422">
      <x:c r="A422" t="str">
        <x:v>3110703</x:v>
      </x:c>
      <x:c r="B422" t="str">
        <x:v>개봉역</x:v>
      </x:c>
      <x:c r="C422" t="str">
        <x:v>골목상권</x:v>
      </x:c>
      <x:c r="D422" t="str">
        <x:v>구로구</x:v>
      </x:c>
      <x:c r="E422" t="str">
        <x:v>개봉1동</x:v>
      </x:c>
      <x:c r="F422" s="12" t="n">
        <x:v>119182</x:v>
      </x:c>
      <x:c r="G422" s="12" t="n">
        <x:v>10132275553</x:v>
      </x:c>
      <x:c r="H422" s="12" t="n">
        <x:v>541631</x:v>
      </x:c>
      <x:c r="I422" s="12" t="n">
        <x:v>18706.97126456942</x:v>
      </x:c>
      <x:c r="J422" s="12" t="n">
        <x:v>85015.14954439428</x:v>
      </x:c>
      <x:c r="K422" s="12" t="n">
        <x:v>2078</x:v>
      </x:c>
      <x:c r="L422" s="12" t="n">
        <x:v>174.3551878639392</x:v>
      </x:c>
      <x:c r="M422" s="12" t="n">
        <x:v>20</x:v>
      </x:c>
      <x:c r="N422" s="14" t="n">
        <x:v>0.7169355422681131</x:v>
      </x:c>
      <x:c r="O422" s="14" t="n">
        <x:v>0.28306445773188693</x:v>
      </x:c>
      <x:c r="P422" s="14" t="n">
        <x:v>0.413566005788236</x:v>
      </x:c>
      <x:c r="Q422" s="14" t="n">
        <x:v>0.2138128333233655</x:v>
      </x:c>
      <x:c r="R422" s="14" t="n">
        <x:v>0.21275171354392794</x:v>
      </x:c>
      <x:c r="S422" s="14" t="n">
        <x:v>0.5386497080000998</x:v>
      </x:c>
      <x:c r="T422" t="str">
        <x:v>여성소비·직장밀집</x:v>
      </x:c>
      <x:c r="U422" s="16" t="n">
        <x:v>65.55755544236926</x:v>
      </x:c>
      <x:c r="V422" t="str">
        <x:v>제과점</x:v>
      </x:c>
      <x:c r="W422" t="str">
        <x:v>제과점 / 분식전문점 / 반찬가게</x:v>
      </x:c>
      <x:c r="X422" s="16" t="n">
        <x:v>63.77862514602841</x:v>
      </x:c>
    </x:row>
    <x:row r="423">
      <x:c r="A423" t="str">
        <x:v>3110713</x:v>
      </x:c>
      <x:c r="B423" t="str">
        <x:v>구로보건소</x:v>
      </x:c>
      <x:c r="C423" t="str">
        <x:v>골목상권</x:v>
      </x:c>
      <x:c r="D423" t="str">
        <x:v>구로구</x:v>
      </x:c>
      <x:c r="E423" t="str">
        <x:v>구로5동</x:v>
      </x:c>
      <x:c r="F423" s="12" t="n">
        <x:v>250966</x:v>
      </x:c>
      <x:c r="G423" s="12" t="n">
        <x:v>10080041967</x:v>
      </x:c>
      <x:c r="H423" s="12" t="n">
        <x:v>464167</x:v>
      </x:c>
      <x:c r="I423" s="12" t="n">
        <x:v>21716.41234081699</x:v>
      </x:c>
      <x:c r="J423" s="12" t="n">
        <x:v>40164.97042228828</x:v>
      </x:c>
      <x:c r="K423" s="12" t="n">
        <x:v>2241</x:v>
      </x:c>
      <x:c r="L423" s="12" t="n">
        <x:v>89.29496425810669</x:v>
      </x:c>
      <x:c r="M423" s="12" t="n">
        <x:v>30</x:v>
      </x:c>
      <x:c r="N423" s="14" t="n">
        <x:v>0.8298064593762221</x:v>
      </x:c>
      <x:c r="O423" s="14" t="n">
        <x:v>0.17019354062377784</x:v>
      </x:c>
      <x:c r="P423" s="14" t="n">
        <x:v>0.3774081754276887</x:v>
      </x:c>
      <x:c r="Q423" s="14" t="n">
        <x:v>0.25906271725346675</x:v>
      </x:c>
      <x:c r="R423" s="14" t="n">
        <x:v>0.14785749403418133</x:v>
      </x:c>
      <x:c r="S423" s="14" t="n">
        <x:v>0.38859388669447986</x:v>
      </x:c>
      <x:c r="T423" t="str">
        <x:v>평일집중·직장밀집</x:v>
      </x:c>
      <x:c r="U423" s="16" t="n">
        <x:v>73.8350462140725</x:v>
      </x:c>
      <x:c r="V423" t="str">
        <x:v>철물점</x:v>
      </x:c>
      <x:c r="W423" t="str">
        <x:v>철물점 / 자동차미용 / 육류판매</x:v>
      </x:c>
      <x:c r="X423" s="16" t="n">
        <x:v>66.79465609508308</x:v>
      </x:c>
    </x:row>
    <x:row r="424">
      <x:c r="A424" t="str">
        <x:v>3110237</x:v>
      </x:c>
      <x:c r="B424" t="str">
        <x:v>메가박스 상봉</x:v>
      </x:c>
      <x:c r="C424" t="str">
        <x:v>골목상권</x:v>
      </x:c>
      <x:c r="D424" t="str">
        <x:v>중랑구</x:v>
      </x:c>
      <x:c r="E424" t="str">
        <x:v>면목2동</x:v>
      </x:c>
      <x:c r="F424" s="12" t="n">
        <x:v>124410</x:v>
      </x:c>
      <x:c r="G424" s="12" t="n">
        <x:v>10032174456</x:v>
      </x:c>
      <x:c r="H424" s="12" t="n">
        <x:v>311273</x:v>
      </x:c>
      <x:c r="I424" s="12" t="n">
        <x:v>32229.504184429745</x:v>
      </x:c>
      <x:c r="J424" s="12" t="n">
        <x:v>80638.00704123462</x:v>
      </x:c>
      <x:c r="K424" s="12" t="n">
        <x:v>508</x:v>
      </x:c>
      <x:c r="L424" s="12" t="n">
        <x:v>40.83273048790291</x:v>
      </x:c>
      <x:c r="M424" s="12" t="n">
        <x:v>18</x:v>
      </x:c>
      <x:c r="N424" s="14" t="n">
        <x:v>0.7357816393020667</x:v>
      </x:c>
      <x:c r="O424" s="14" t="n">
        <x:v>0.2642183606979332</x:v>
      </x:c>
      <x:c r="P424" s="14" t="n">
        <x:v>0.41498500851030257</x:v>
      </x:c>
      <x:c r="Q424" s="14" t="n">
        <x:v>0.2429321098520578</x:v>
      </x:c>
      <x:c r="R424" s="14" t="n">
        <x:v>0.2553770784426239</x:v>
      </x:c>
      <x:c r="S424" s="14" t="n">
        <x:v>0.3412792253580005</x:v>
      </x:c>
      <x:c r="T424" t="str">
        <x:v>2030소비·고매출밀도</x:v>
      </x:c>
      <x:c r="U424" s="16" t="n">
        <x:v>68.94286448825925</x:v>
      </x:c>
      <x:c r="V424" t="str">
        <x:v>일반의원</x:v>
      </x:c>
      <x:c r="W424" t="str">
        <x:v>일반의원 / 호프-간이주점 / 스포츠클럽</x:v>
      </x:c>
      <x:c r="X424" s="16" t="n">
        <x:v>63.7568777072805</x:v>
      </x:c>
    </x:row>
    <x:row r="425">
      <x:c r="A425" t="str">
        <x:v>3130317</x:v>
      </x:c>
      <x:c r="B425" t="str">
        <x:v>마천중앙시장</x:v>
      </x:c>
      <x:c r="C425" t="str">
        <x:v>전통시장</x:v>
      </x:c>
      <x:c r="D425" t="str">
        <x:v>송파구</x:v>
      </x:c>
      <x:c r="E425" t="str">
        <x:v>마천2동</x:v>
      </x:c>
      <x:c r="F425" s="12" t="n">
        <x:v>33745</x:v>
      </x:c>
      <x:c r="G425" s="12" t="n">
        <x:v>10012375261</x:v>
      </x:c>
      <x:c r="H425" s="12" t="n">
        <x:v>503818</x:v>
      </x:c>
      <x:c r="I425" s="12" t="n">
        <x:v>19873.00029177203</x:v>
      </x:c>
      <x:c r="J425" s="12" t="n">
        <x:v>296706.9272781153</x:v>
      </x:c>
      <x:c r="K425" s="12" t="n">
        <x:v>212</x:v>
      </x:c>
      <x:c r="L425" s="12" t="n">
        <x:v>62.8241220921618</x:v>
      </x:c>
      <x:c r="M425" s="12" t="n">
        <x:v>17</x:v>
      </x:c>
      <x:c r="N425" s="14" t="n">
        <x:v>0.6508335462996986</x:v>
      </x:c>
      <x:c r="O425" s="14" t="n">
        <x:v>0.3491664537003014</x:v>
      </x:c>
      <x:c r="P425" s="14" t="n">
        <x:v>0.34556750898831495</x:v>
      </x:c>
      <x:c r="Q425" s="14" t="n">
        <x:v>0.2570353447522466</x:v>
      </x:c>
      <x:c r="R425" s="14" t="n">
        <x:v>0.10981957321185946</x:v>
      </x:c>
      <x:c r="S425" s="14" t="n">
        <x:v>0.5153033250857896</x:v>
      </x:c>
      <x:c r="T425" t="str">
        <x:v>고매출밀도·여성소비</x:v>
      </x:c>
      <x:c r="U425" s="16" t="n">
        <x:v>71.34606028098366</x:v>
      </x:c>
      <x:c r="V425" t="str">
        <x:v>반찬가게</x:v>
      </x:c>
      <x:c r="W425" t="str">
        <x:v>반찬가게 / 일반의류 / 한식음식점</x:v>
      </x:c>
      <x:c r="X425" s="16" t="n">
        <x:v>65.52525358489383</x:v>
      </x:c>
    </x:row>
    <x:row r="426">
      <x:c r="A426" t="str">
        <x:v>3120065</x:v>
      </x:c>
      <x:c r="B426" t="str">
        <x:v>회기역</x:v>
      </x:c>
      <x:c r="C426" t="str">
        <x:v>발달상권</x:v>
      </x:c>
      <x:c r="D426" t="str">
        <x:v>동대문구</x:v>
      </x:c>
      <x:c r="E426" t="str">
        <x:v>휘경1동</x:v>
      </x:c>
      <x:c r="F426" s="12" t="n">
        <x:v>127203</x:v>
      </x:c>
      <x:c r="G426" s="12" t="n">
        <x:v>9886625320</x:v>
      </x:c>
      <x:c r="H426" s="12" t="n">
        <x:v>630466</x:v>
      </x:c>
      <x:c r="I426" s="12" t="n">
        <x:v>15681.456763727148</x:v>
      </x:c>
      <x:c r="J426" s="12" t="n">
        <x:v>77723.20872935386</x:v>
      </x:c>
      <x:c r="K426" s="12" t="n">
        <x:v>814</x:v>
      </x:c>
      <x:c r="L426" s="12" t="n">
        <x:v>63.992201441789895</x:v>
      </x:c>
      <x:c r="M426" s="12" t="n">
        <x:v>24</x:v>
      </x:c>
      <x:c r="N426" s="14" t="n">
        <x:v>0.7000747308587193</x:v>
      </x:c>
      <x:c r="O426" s="14" t="n">
        <x:v>0.29992526914128065</x:v>
      </x:c>
      <x:c r="P426" s="14" t="n">
        <x:v>0.5255738915773942</x:v>
      </x:c>
      <x:c r="Q426" s="14" t="n">
        <x:v>0.18596965258515533</x:v>
      </x:c>
      <x:c r="R426" s="14" t="n">
        <x:v>0.49780896217881554</x:v>
      </x:c>
      <x:c r="S426" s="14" t="n">
        <x:v>0.4460382560547971</x:v>
      </x:c>
      <x:c r="T426" t="str">
        <x:v>2030소비·야간활성</x:v>
      </x:c>
      <x:c r="U426" s="16" t="n">
        <x:v>75.84154445562221</x:v>
      </x:c>
      <x:c r="V426" t="str">
        <x:v>미용실</x:v>
      </x:c>
      <x:c r="W426" t="str">
        <x:v>미용실 / 분식전문점 / 제과점</x:v>
      </x:c>
      <x:c r="X426" s="16" t="n">
        <x:v>72.67137964507191</x:v>
      </x:c>
    </x:row>
    <x:row r="427">
      <x:c r="A427" t="str">
        <x:v>3110187</x:v>
      </x:c>
      <x:c r="B427" t="str">
        <x:v>제기동역 6번</x:v>
      </x:c>
      <x:c r="C427" t="str">
        <x:v>골목상권</x:v>
      </x:c>
      <x:c r="D427" t="str">
        <x:v>동대문구</x:v>
      </x:c>
      <x:c r="E427" t="str">
        <x:v>용신동</x:v>
      </x:c>
      <x:c r="F427" s="12" t="n">
        <x:v>159981</x:v>
      </x:c>
      <x:c r="G427" s="12" t="n">
        <x:v>9877956024</x:v>
      </x:c>
      <x:c r="H427" s="12" t="n">
        <x:v>370368</x:v>
      </x:c>
      <x:c r="I427" s="12" t="n">
        <x:v>26670.651956972524</x:v>
      </x:c>
      <x:c r="J427" s="12" t="n">
        <x:v>61744.55731618129</x:v>
      </x:c>
      <x:c r="K427" s="12" t="n">
        <x:v>2432</x:v>
      </x:c>
      <x:c r="L427" s="12" t="n">
        <x:v>152.01805214369207</x:v>
      </x:c>
      <x:c r="M427" s="12" t="n">
        <x:v>16</x:v>
      </x:c>
      <x:c r="N427" s="14" t="n">
        <x:v>0.8538157772223749</x:v>
      </x:c>
      <x:c r="O427" s="14" t="n">
        <x:v>0.1461842227776251</x:v>
      </x:c>
      <x:c r="P427" s="14" t="n">
        <x:v>0.26252925652830383</x:v>
      </x:c>
      <x:c r="Q427" s="14" t="n">
        <x:v>0.2688581060238986</x:v>
      </x:c>
      <x:c r="R427" s="14" t="n">
        <x:v>0.16224273504621547</x:v>
      </x:c>
      <x:c r="S427" s="14" t="n">
        <x:v>0.504020216014681</x:v>
      </x:c>
      <x:c r="T427" t="str">
        <x:v>평일집중·여성소비</x:v>
      </x:c>
      <x:c r="U427" s="16" t="n">
        <x:v>61.02750856179267</x:v>
      </x:c>
      <x:c r="V427" t="str">
        <x:v>일반교습학원</x:v>
      </x:c>
      <x:c r="W427" t="str">
        <x:v>일반교습학원 / 의약품 / 자동차수리</x:v>
      </x:c>
      <x:c r="X427" s="16" t="n">
        <x:v>55.935832305766596</x:v>
      </x:c>
    </x:row>
    <x:row r="428">
      <x:c r="A428" t="str">
        <x:v>3110648</x:v>
      </x:c>
      <x:c r="B428" t="str">
        <x:v>양천향교역 7번</x:v>
      </x:c>
      <x:c r="C428" t="str">
        <x:v>골목상권</x:v>
      </x:c>
      <x:c r="D428" t="str">
        <x:v>강서구</x:v>
      </x:c>
      <x:c r="E428" t="str">
        <x:v>가양1동</x:v>
      </x:c>
      <x:c r="F428" s="12" t="n">
        <x:v>283983</x:v>
      </x:c>
      <x:c r="G428" s="12" t="n">
        <x:v>9871597990</x:v>
      </x:c>
      <x:c r="H428" s="12" t="n">
        <x:v>521418</x:v>
      </x:c>
      <x:c r="I428" s="12" t="n">
        <x:v>18932.215592864075</x:v>
      </x:c>
      <x:c r="J428" s="12" t="n">
        <x:v>34761.228629882775</x:v>
      </x:c>
      <x:c r="K428" s="12" t="n">
        <x:v>975</x:v>
      </x:c>
      <x:c r="L428" s="12" t="n">
        <x:v>34.333041062317115</x:v>
      </x:c>
      <x:c r="M428" s="12" t="n">
        <x:v>14</x:v>
      </x:c>
      <x:c r="N428" s="14" t="n">
        <x:v>0.8588212292060731</x:v>
      </x:c>
      <x:c r="O428" s="14" t="n">
        <x:v>0.14117877079392696</x:v>
      </x:c>
      <x:c r="P428" s="14" t="n">
        <x:v>0.5046316714929353</x:v>
      </x:c>
      <x:c r="Q428" s="14" t="n">
        <x:v>0.2502684162688436</x:v>
      </x:c>
      <x:c r="R428" s="14" t="n">
        <x:v>0.4618996408300861</x:v>
      </x:c>
      <x:c r="S428" s="14" t="n">
        <x:v>0.5337597315386625</x:v>
      </x:c>
      <x:c r="T428" t="str">
        <x:v>2030소비·평일집중</x:v>
      </x:c>
      <x:c r="U428" s="16" t="n">
        <x:v>58.05514383640003</x:v>
      </x:c>
      <x:c r="V428" t="str">
        <x:v>편의점</x:v>
      </x:c>
      <x:c r="W428" t="str">
        <x:v>편의점 / 커피-음료 / 한식음식점</x:v>
      </x:c>
      <x:c r="X428" s="16" t="n">
        <x:v>52.64307857894428</x:v>
      </x:c>
    </x:row>
    <x:row r="429">
      <x:c r="A429" t="str">
        <x:v>3110376</x:v>
      </x:c>
      <x:c r="B429" t="str">
        <x:v>수송초등학교</x:v>
      </x:c>
      <x:c r="C429" t="str">
        <x:v>골목상권</x:v>
      </x:c>
      <x:c r="D429" t="str">
        <x:v>강북구</x:v>
      </x:c>
      <x:c r="E429" t="str">
        <x:v>번1동</x:v>
      </x:c>
      <x:c r="F429" s="12" t="n">
        <x:v>208928</x:v>
      </x:c>
      <x:c r="G429" s="12" t="n">
        <x:v>9812017663</x:v>
      </x:c>
      <x:c r="H429" s="12" t="n">
        <x:v>328552</x:v>
      </x:c>
      <x:c r="I429" s="12" t="n">
        <x:v>29864.42834924152</x:v>
      </x:c>
      <x:c r="J429" s="12" t="n">
        <x:v>46963.631791813445</x:v>
      </x:c>
      <x:c r="K429" s="12" t="n">
        <x:v>238</x:v>
      </x:c>
      <x:c r="L429" s="12" t="n">
        <x:v>11.391484147648951</x:v>
      </x:c>
      <x:c r="M429" s="12" t="n">
        <x:v>22</x:v>
      </x:c>
      <x:c r="N429" s="14" t="n">
        <x:v>0.8194595227157002</x:v>
      </x:c>
      <x:c r="O429" s="14" t="n">
        <x:v>0.1805404772842998</x:v>
      </x:c>
      <x:c r="P429" s="14" t="n">
        <x:v>0.35439987558448816</x:v>
      </x:c>
      <x:c r="Q429" s="14" t="n">
        <x:v>0.26204245358175116</x:v>
      </x:c>
      <x:c r="R429" s="14" t="n">
        <x:v>0.1983293545565237</x:v>
      </x:c>
      <x:c r="S429" s="14" t="n">
        <x:v>0.21927536403783582</x:v>
      </x:c>
      <x:c r="T429" t="str">
        <x:v>평일집중</x:v>
      </x:c>
      <x:c r="U429" s="16" t="n">
        <x:v>80.78096107277527</x:v>
      </x:c>
      <x:c r="V429" t="str">
        <x:v>청과상</x:v>
      </x:c>
      <x:c r="W429" t="str">
        <x:v>청과상 / 조명용품 / 자동차수리</x:v>
      </x:c>
      <x:c r="X429" s="16" t="n">
        <x:v>68.08265303322655</x:v>
      </x:c>
    </x:row>
    <x:row r="430">
      <x:c r="A430" t="str">
        <x:v>3110204</x:v>
      </x:c>
      <x:c r="B430" t="str">
        <x:v>간데메공원</x:v>
      </x:c>
      <x:c r="C430" t="str">
        <x:v>골목상권</x:v>
      </x:c>
      <x:c r="D430" t="str">
        <x:v>동대문구</x:v>
      </x:c>
      <x:c r="E430" t="str">
        <x:v>답십리1동</x:v>
      </x:c>
      <x:c r="F430" s="12" t="n">
        <x:v>122554</x:v>
      </x:c>
      <x:c r="G430" s="12" t="n">
        <x:v>9804576213</x:v>
      </x:c>
      <x:c r="H430" s="12" t="n">
        <x:v>191880</x:v>
      </x:c>
      <x:c r="I430" s="12" t="n">
        <x:v>51097.43700750469</x:v>
      </x:c>
      <x:c r="J430" s="12" t="n">
        <x:v>80002.09061311749</x:v>
      </x:c>
      <x:c r="K430" s="12" t="n">
        <x:v>744</x:v>
      </x:c>
      <x:c r="L430" s="12" t="n">
        <x:v>60.70793282960981</x:v>
      </x:c>
      <x:c r="M430" s="12" t="n">
        <x:v>16</x:v>
      </x:c>
      <x:c r="N430" s="14" t="n">
        <x:v>0.6410958979201725</x:v>
      </x:c>
      <x:c r="O430" s="14" t="n">
        <x:v>0.3589041020798274</x:v>
      </x:c>
      <x:c r="P430" s="14" t="n">
        <x:v>0.2458815361956736</x:v>
      </x:c>
      <x:c r="Q430" s="14" t="n">
        <x:v>0.3093926135203984</x:v>
      </x:c>
      <x:c r="R430" s="14" t="n">
        <x:v>0.18087139397709734</x:v>
      </x:c>
      <x:c r="S430" s="14" t="n">
        <x:v>0.5234068080572123</x:v>
      </x:c>
      <x:c r="T430" t="str">
        <x:v>여성소비·고매출밀도</x:v>
      </x:c>
      <x:c r="U430" s="16" t="n">
        <x:v>71.9396266863939</x:v>
      </x:c>
      <x:c r="V430" t="str">
        <x:v>일반의류</x:v>
      </x:c>
      <x:c r="W430" t="str">
        <x:v>일반의류 / 인테리어 / 조명용품</x:v>
      </x:c>
      <x:c r="X430" s="16" t="n">
        <x:v>63.902184682184554</x:v>
      </x:c>
    </x:row>
    <x:row r="431">
      <x:c r="A431" t="str">
        <x:v>3120144</x:v>
      </x:c>
      <x:c r="B431" t="str">
        <x:v>영중로</x:v>
      </x:c>
      <x:c r="C431" t="str">
        <x:v>발달상권</x:v>
      </x:c>
      <x:c r="D431" t="str">
        <x:v>영등포구</x:v>
      </x:c>
      <x:c r="E431" t="str">
        <x:v>영등포동</x:v>
      </x:c>
      <x:c r="F431" s="12" t="n">
        <x:v>92713</x:v>
      </x:c>
      <x:c r="G431" s="12" t="n">
        <x:v>9800494096</x:v>
      </x:c>
      <x:c r="H431" s="12" t="n">
        <x:v>366149</x:v>
      </x:c>
      <x:c r="I431" s="12" t="n">
        <x:v>26766.409565504753</x:v>
      </x:c>
      <x:c r="J431" s="12" t="n">
        <x:v>105707.87371781735</x:v>
      </x:c>
      <x:c r="K431" s="12" t="n">
        <x:v>2392</x:v>
      </x:c>
      <x:c r="L431" s="12" t="n">
        <x:v>258.0004961548003</x:v>
      </x:c>
      <x:c r="M431" s="12" t="n">
        <x:v>19</x:v>
      </x:c>
      <x:c r="N431" s="14" t="n">
        <x:v>0.8036564381192399</x:v>
      </x:c>
      <x:c r="O431" s="14" t="n">
        <x:v>0.1963435618807601</x:v>
      </x:c>
      <x:c r="P431" s="14" t="n">
        <x:v>0.2855637127665078</x:v>
      </x:c>
      <x:c r="Q431" s="14" t="n">
        <x:v>0.33123191282008196</x:v>
      </x:c>
      <x:c r="R431" s="14" t="n">
        <x:v>0.289814139795182</x:v>
      </x:c>
      <x:c r="S431" s="14" t="n">
        <x:v>0.2760700713144943</x:v>
      </x:c>
      <x:c r="T431" t="str">
        <x:v>직장밀집·평일집중</x:v>
      </x:c>
      <x:c r="U431" s="16" t="n">
        <x:v>74.6112090360543</x:v>
      </x:c>
      <x:c r="V431" t="str">
        <x:v>스포츠클럽</x:v>
      </x:c>
      <x:c r="W431" t="str">
        <x:v>스포츠클럽 / 당구장 / 자동차수리</x:v>
      </x:c>
      <x:c r="X431" s="16" t="n">
        <x:v>62.6750136052137</x:v>
      </x:c>
    </x:row>
    <x:row r="432">
      <x:c r="A432" t="str">
        <x:v>3110219</x:v>
      </x:c>
      <x:c r="B432" t="str">
        <x:v>삼육보건대학교</x:v>
      </x:c>
      <x:c r="C432" t="str">
        <x:v>골목상권</x:v>
      </x:c>
      <x:c r="D432" t="str">
        <x:v>동대문구</x:v>
      </x:c>
      <x:c r="E432" t="str">
        <x:v>휘경2동</x:v>
      </x:c>
      <x:c r="F432" s="12" t="n">
        <x:v>179445</x:v>
      </x:c>
      <x:c r="G432" s="12" t="n">
        <x:v>9765645677</x:v>
      </x:c>
      <x:c r="H432" s="12" t="n">
        <x:v>409724</x:v>
      </x:c>
      <x:c r="I432" s="12" t="n">
        <x:v>23834.692810282042</x:v>
      </x:c>
      <x:c r="J432" s="12" t="n">
        <x:v>54421.38636908245</x:v>
      </x:c>
      <x:c r="K432" s="12" t="n">
        <x:v>761</x:v>
      </x:c>
      <x:c r="L432" s="12" t="n">
        <x:v>42.40853743486863</x:v>
      </x:c>
      <x:c r="M432" s="12" t="n">
        <x:v>22</x:v>
      </x:c>
      <x:c r="N432" s="14" t="n">
        <x:v>0.7094442593096756</x:v>
      </x:c>
      <x:c r="O432" s="14" t="n">
        <x:v>0.29055574069032447</x:v>
      </x:c>
      <x:c r="P432" s="14" t="n">
        <x:v>0.19138281828121256</x:v>
      </x:c>
      <x:c r="Q432" s="14" t="n">
        <x:v>0.3015863968868425</x:v>
      </x:c>
      <x:c r="R432" s="14" t="n">
        <x:v>0.18962145568738925</x:v>
      </x:c>
      <x:c r="S432" s="14" t="n">
        <x:v>0.4540174133536711</x:v>
      </x:c>
      <x:c r="T432" t="str">
        <x:v>균형형</x:v>
      </x:c>
      <x:c r="U432" s="16" t="n">
        <x:v>80.43264017056768</x:v>
      </x:c>
      <x:c r="V432" t="str">
        <x:v>의약품</x:v>
      </x:c>
      <x:c r="W432" t="str">
        <x:v>의약품 / 육류판매 / 편의점</x:v>
      </x:c>
      <x:c r="X432" s="16" t="n">
        <x:v>64.31919609453803</x:v>
      </x:c>
    </x:row>
    <x:row r="433">
      <x:c r="A433" t="str">
        <x:v>3110159</x:v>
      </x:c>
      <x:c r="B433" t="str">
        <x:v>구의역 4번</x:v>
      </x:c>
      <x:c r="C433" t="str">
        <x:v>골목상권</x:v>
      </x:c>
      <x:c r="D433" t="str">
        <x:v>광진구</x:v>
      </x:c>
      <x:c r="E433" t="str">
        <x:v>자양1동</x:v>
      </x:c>
      <x:c r="F433" s="12" t="n">
        <x:v>210895</x:v>
      </x:c>
      <x:c r="G433" s="12" t="n">
        <x:v>9735352556</x:v>
      </x:c>
      <x:c r="H433" s="12" t="n">
        <x:v>372790</x:v>
      </x:c>
      <x:c r="I433" s="12" t="n">
        <x:v>26114.843627779715</x:v>
      </x:c>
      <x:c r="J433" s="12" t="n">
        <x:v>46162.083292633775</x:v>
      </x:c>
      <x:c r="K433" s="12" t="n">
        <x:v>2715</x:v>
      </x:c>
      <x:c r="L433" s="12" t="n">
        <x:v>128.73704924251405</x:v>
      </x:c>
      <x:c r="M433" s="12" t="n">
        <x:v>34</x:v>
      </x:c>
      <x:c r="N433" s="14" t="n">
        <x:v>0.7502302916085579</x:v>
      </x:c>
      <x:c r="O433" s="14" t="n">
        <x:v>0.24976970839144205</x:v>
      </x:c>
      <x:c r="P433" s="14" t="n">
        <x:v>0.35017350993611</x:v>
      </x:c>
      <x:c r="Q433" s="14" t="n">
        <x:v>0.22504891357526713</x:v>
      </x:c>
      <x:c r="R433" s="14" t="n">
        <x:v>0.1783732655814052</x:v>
      </x:c>
      <x:c r="S433" s="14" t="n">
        <x:v>0.4560841481044767</x:v>
      </x:c>
      <x:c r="T433" t="str">
        <x:v>직장밀집·여성소비</x:v>
      </x:c>
      <x:c r="U433" s="16" t="n">
        <x:v>71.24367443062991</x:v>
      </x:c>
      <x:c r="V433" t="str">
        <x:v>피부관리실</x:v>
      </x:c>
      <x:c r="W433" t="str">
        <x:v>피부관리실 / 의료기기 / 예술학원</x:v>
      </x:c>
      <x:c r="X433" s="16" t="n">
        <x:v>69.3665152926779</x:v>
      </x:c>
    </x:row>
    <x:row r="434">
      <x:c r="A434" t="str">
        <x:v>3110869</x:v>
      </x:c>
      <x:c r="B434" t="str">
        <x:v>신림역 5번(신림동주민센터, 신림동별빛거리)</x:v>
      </x:c>
      <x:c r="C434" t="str">
        <x:v>골목상권</x:v>
      </x:c>
      <x:c r="D434" t="str">
        <x:v>관악구</x:v>
      </x:c>
      <x:c r="E434" t="str">
        <x:v>신림동</x:v>
      </x:c>
      <x:c r="F434" s="12" t="n">
        <x:v>194701</x:v>
      </x:c>
      <x:c r="G434" s="12" t="n">
        <x:v>9708162621</x:v>
      </x:c>
      <x:c r="H434" s="12" t="n">
        <x:v>685694</x:v>
      </x:c>
      <x:c r="I434" s="12" t="n">
        <x:v>14158.156001073365</x:v>
      </x:c>
      <x:c r="J434" s="12" t="n">
        <x:v>49861.9042583243</x:v>
      </x:c>
      <x:c r="K434" s="12" t="n">
        <x:v>218</x:v>
      </x:c>
      <x:c r="L434" s="12" t="n">
        <x:v>11.196655384409942</x:v>
      </x:c>
      <x:c r="M434" s="12" t="n">
        <x:v>17</x:v>
      </x:c>
      <x:c r="N434" s="14" t="n">
        <x:v>0.7201241403679614</x:v>
      </x:c>
      <x:c r="O434" s="14" t="n">
        <x:v>0.2798758596320386</x:v>
      </x:c>
      <x:c r="P434" s="14" t="n">
        <x:v>0.5293345567660738</x:v>
      </x:c>
      <x:c r="Q434" s="14" t="n">
        <x:v>0.1190864931021225</x:v>
      </x:c>
      <x:c r="R434" s="14" t="n">
        <x:v>0.5450735139678703</x:v>
      </x:c>
      <x:c r="S434" s="14" t="n">
        <x:v>0.4412164876322172</x:v>
      </x:c>
      <x:c r="T434" t="str">
        <x:v>2030소비·야간활성</x:v>
      </x:c>
      <x:c r="U434" s="16" t="n">
        <x:v>71.41796988932343</x:v>
      </x:c>
      <x:c r="V434" t="str">
        <x:v>육류판매</x:v>
      </x:c>
      <x:c r="W434" t="str">
        <x:v>육류판매 / 미용실 / 슈퍼마켓</x:v>
      </x:c>
      <x:c r="X434" s="16" t="n">
        <x:v>64.20761196449004</x:v>
      </x:c>
    </x:row>
    <x:row r="435">
      <x:c r="A435" t="str">
        <x:v>3130001</x:v>
      </x:c>
      <x:c r="B435" t="str">
        <x:v>통인시장</x:v>
      </x:c>
      <x:c r="C435" t="str">
        <x:v>전통시장</x:v>
      </x:c>
      <x:c r="D435" t="str">
        <x:v>종로구</x:v>
      </x:c>
      <x:c r="E435" t="str">
        <x:v>청운효자동</x:v>
      </x:c>
      <x:c r="F435" s="12" t="n">
        <x:v>38280</x:v>
      </x:c>
      <x:c r="G435" s="12" t="n">
        <x:v>9673033113</x:v>
      </x:c>
      <x:c r="H435" s="12" t="n">
        <x:v>331135</x:v>
      </x:c>
      <x:c r="I435" s="12" t="n">
        <x:v>29211.75083576185</x:v>
      </x:c>
      <x:c r="J435" s="12" t="n">
        <x:v>252691.56512539185</x:v>
      </x:c>
      <x:c r="K435" s="12" t="n">
        <x:v>799</x:v>
      </x:c>
      <x:c r="L435" s="12" t="n">
        <x:v>208.7251828631139</x:v>
      </x:c>
      <x:c r="M435" s="12" t="n">
        <x:v>12</x:v>
      </x:c>
      <x:c r="N435" s="14" t="n">
        <x:v>0.8202759021197201</x:v>
      </x:c>
      <x:c r="O435" s="14" t="n">
        <x:v>0.17972409788027985</x:v>
      </x:c>
      <x:c r="P435" s="14" t="n">
        <x:v>0.2599069660602329</x:v>
      </x:c>
      <x:c r="Q435" s="14" t="n">
        <x:v>0.3510729609139921</x:v>
      </x:c>
      <x:c r="R435" s="14" t="n">
        <x:v>0.39332406552881405</x:v>
      </x:c>
      <x:c r="S435" s="14" t="n">
        <x:v>0.7428999111294575</x:v>
      </x:c>
      <x:c r="T435" t="str">
        <x:v>여성소비·2030소비</x:v>
      </x:c>
      <x:c r="U435" s="16" t="n">
        <x:v>78.02457770487202</x:v>
      </x:c>
      <x:c r="V435" t="str">
        <x:v>서적</x:v>
      </x:c>
      <x:c r="W435" t="str">
        <x:v>서적 / 인테리어 / 슈퍼마켓</x:v>
      </x:c>
      <x:c r="X435" s="16" t="n">
        <x:v>70.21084856284276</x:v>
      </x:c>
    </x:row>
    <x:row r="436">
      <x:c r="A436" t="str">
        <x:v>3120082</x:v>
      </x:c>
      <x:c r="B436" t="str">
        <x:v>상계백병원</x:v>
      </x:c>
      <x:c r="C436" t="str">
        <x:v>발달상권</x:v>
      </x:c>
      <x:c r="D436" t="str">
        <x:v>노원구</x:v>
      </x:c>
      <x:c r="E436" t="str">
        <x:v>상계6·7동</x:v>
      </x:c>
      <x:c r="F436" s="12" t="n">
        <x:v>38882</x:v>
      </x:c>
      <x:c r="G436" s="12" t="n">
        <x:v>9663727267</x:v>
      </x:c>
      <x:c r="H436" s="12" t="n">
        <x:v>370084</x:v>
      </x:c>
      <x:c r="I436" s="12" t="n">
        <x:v>26112.253615395424</x:v>
      </x:c>
      <x:c r="J436" s="12" t="n">
        <x:v>248539.87107144695</x:v>
      </x:c>
      <x:c r="K436" s="12" t="n">
        <x:v>578</x:v>
      </x:c>
      <x:c r="L436" s="12" t="n">
        <x:v>148.6549045830976</x:v>
      </x:c>
      <x:c r="M436" s="12" t="n">
        <x:v>19</x:v>
      </x:c>
      <x:c r="N436" s="14" t="n">
        <x:v>0.8196972229390215</x:v>
      </x:c>
      <x:c r="O436" s="14" t="n">
        <x:v>0.1803027770609785</x:v>
      </x:c>
      <x:c r="P436" s="14" t="n">
        <x:v>0.2268428520831516</x:v>
      </x:c>
      <x:c r="Q436" s="14" t="n">
        <x:v>0.2762185775994748</x:v>
      </x:c>
      <x:c r="R436" s="14" t="n">
        <x:v>0.19792941379168166</x:v>
      </x:c>
      <x:c r="S436" s="14" t="n">
        <x:v>0.5220874636258502</x:v>
      </x:c>
      <x:c r="T436" t="str">
        <x:v>고매출밀도·평일집중</x:v>
      </x:c>
      <x:c r="U436" s="16" t="n">
        <x:v>69.49987572451607</x:v>
      </x:c>
      <x:c r="V436" t="str">
        <x:v>예술학원</x:v>
      </x:c>
      <x:c r="W436" t="str">
        <x:v>예술학원 / 일반교습학원 / 의료기기</x:v>
      </x:c>
      <x:c r="X436" s="16" t="n">
        <x:v>62.527626588234185</x:v>
      </x:c>
    </x:row>
    <x:row r="437">
      <x:c r="A437" t="str">
        <x:v>3110264</x:v>
      </x:c>
      <x:c r="B437" t="str">
        <x:v>면목역 2번</x:v>
      </x:c>
      <x:c r="C437" t="str">
        <x:v>골목상권</x:v>
      </x:c>
      <x:c r="D437" t="str">
        <x:v>중랑구</x:v>
      </x:c>
      <x:c r="E437" t="str">
        <x:v>면목본동</x:v>
      </x:c>
      <x:c r="F437" s="12" t="n">
        <x:v>216948</x:v>
      </x:c>
      <x:c r="G437" s="12" t="n">
        <x:v>9663424109</x:v>
      </x:c>
      <x:c r="H437" s="12" t="n">
        <x:v>864148</x:v>
      </x:c>
      <x:c r="I437" s="12" t="n">
        <x:v>11182.603106180886</x:v>
      </x:c>
      <x:c r="J437" s="12" t="n">
        <x:v>44542.58213488947</x:v>
      </x:c>
      <x:c r="K437" s="12" t="n">
        <x:v>264</x:v>
      </x:c>
      <x:c r="L437" s="12" t="n">
        <x:v>12.168814646827812</x:v>
      </x:c>
      <x:c r="M437" s="12" t="n">
        <x:v>22</x:v>
      </x:c>
      <x:c r="N437" s="14" t="n">
        <x:v>0.7162386136559868</x:v>
      </x:c>
      <x:c r="O437" s="14" t="n">
        <x:v>0.28376138634401316</x:v>
      </x:c>
      <x:c r="P437" s="14" t="n">
        <x:v>0.46553012082024103</x:v>
      </x:c>
      <x:c r="Q437" s="14" t="n">
        <x:v>0.16332509141662055</x:v>
      </x:c>
      <x:c r="R437" s="14" t="n">
        <x:v>0.31080257578706255</x:v>
      </x:c>
      <x:c r="S437" s="14" t="n">
        <x:v>0.40319380211940153</x:v>
      </x:c>
      <x:c r="T437" t="str">
        <x:v>2030소비·야간활성</x:v>
      </x:c>
      <x:c r="U437" s="16" t="n">
        <x:v>67.85456732094129</x:v>
      </x:c>
      <x:c r="V437" t="str">
        <x:v>반찬가게</x:v>
      </x:c>
      <x:c r="W437" t="str">
        <x:v>반찬가게 / 편의점 / 핸드폰</x:v>
      </x:c>
      <x:c r="X437" s="16" t="n">
        <x:v>61.77419841664935</x:v>
      </x:c>
    </x:row>
    <x:row r="438">
      <x:c r="A438" t="str">
        <x:v>3110706</x:v>
      </x:c>
      <x:c r="B438" t="str">
        <x:v>그라운드 고척</x:v>
      </x:c>
      <x:c r="C438" t="str">
        <x:v>골목상권</x:v>
      </x:c>
      <x:c r="D438" t="str">
        <x:v>구로구</x:v>
      </x:c>
      <x:c r="E438" t="str">
        <x:v>고척1동</x:v>
      </x:c>
      <x:c r="F438" s="12" t="n">
        <x:v>44173</x:v>
      </x:c>
      <x:c r="G438" s="12" t="n">
        <x:v>9569856456</x:v>
      </x:c>
      <x:c r="H438" s="12" t="n">
        <x:v>650426</x:v>
      </x:c>
      <x:c r="I438" s="12" t="n">
        <x:v>14713.213272532155</x:v>
      </x:c>
      <x:c r="J438" s="12" t="n">
        <x:v>216644.92916487448</x:v>
      </x:c>
      <x:c r="K438" s="12" t="n">
        <x:v>650</x:v>
      </x:c>
      <x:c r="L438" s="12" t="n">
        <x:v>147.1487107509112</x:v>
      </x:c>
      <x:c r="M438" s="12" t="n">
        <x:v>16</x:v>
      </x:c>
      <x:c r="N438" s="14" t="n">
        <x:v>0.719202967112927</x:v>
      </x:c>
      <x:c r="O438" s="14" t="n">
        <x:v>0.28079703288707303</x:v>
      </x:c>
      <x:c r="P438" s="14" t="n">
        <x:v>0.339874413786087</x:v>
      </x:c>
      <x:c r="Q438" s="14" t="n">
        <x:v>0.2656034988284886</x:v>
      </x:c>
      <x:c r="R438" s="14" t="n">
        <x:v>0.33443637443416213</x:v>
      </x:c>
      <x:c r="S438" s="14" t="n">
        <x:v>0.41013058315406775</x:v>
      </x:c>
      <x:c r="T438" t="str">
        <x:v>고매출밀도·2030소비</x:v>
      </x:c>
      <x:c r="U438" s="16" t="n">
        <x:v>72.17579840533422</x:v>
      </x:c>
      <x:c r="V438" t="str">
        <x:v>PC방</x:v>
      </x:c>
      <x:c r="W438" t="str">
        <x:v>PC방 / 의약품 / 당구장</x:v>
      </x:c>
      <x:c r="X438" s="16" t="n">
        <x:v>67.66722634498089</x:v>
      </x:c>
    </x:row>
    <x:row r="439">
      <x:c r="A439" t="str">
        <x:v>3110398</x:v>
      </x:c>
      <x:c r="B439" t="str">
        <x:v>쌍문2동우체국</x:v>
      </x:c>
      <x:c r="C439" t="str">
        <x:v>골목상권</x:v>
      </x:c>
      <x:c r="D439" t="str">
        <x:v>도봉구</x:v>
      </x:c>
      <x:c r="E439" t="str">
        <x:v>쌍문2동</x:v>
      </x:c>
      <x:c r="F439" s="12" t="n">
        <x:v>102318</x:v>
      </x:c>
      <x:c r="G439" s="12" t="n">
        <x:v>9518540481</x:v>
      </x:c>
      <x:c r="H439" s="12" t="n">
        <x:v>414633</x:v>
      </x:c>
      <x:c r="I439" s="12" t="n">
        <x:v>22956.543451678954</x:v>
      </x:c>
      <x:c r="J439" s="12" t="n">
        <x:v>93028.99275787252</x:v>
      </x:c>
      <x:c r="K439" s="12" t="n">
        <x:v>415</x:v>
      </x:c>
      <x:c r="L439" s="12" t="n">
        <x:v>40.55982329599875</x:v>
      </x:c>
      <x:c r="M439" s="12" t="n">
        <x:v>20</x:v>
      </x:c>
      <x:c r="N439" s="14" t="n">
        <x:v>0.7707407104738456</x:v>
      </x:c>
      <x:c r="O439" s="14" t="n">
        <x:v>0.2292592895261544</x:v>
      </x:c>
      <x:c r="P439" s="14" t="n">
        <x:v>0.3393395087668588</x:v>
      </x:c>
      <x:c r="Q439" s="14" t="n">
        <x:v>0.2717644856544473</x:v>
      </x:c>
      <x:c r="R439" s="14" t="n">
        <x:v>0.17108196716193594</x:v>
      </x:c>
      <x:c r="S439" s="14" t="n">
        <x:v>0.5033903330625548</x:v>
      </x:c>
      <x:c r="T439" t="str">
        <x:v>여성소비·고매출밀도</x:v>
      </x:c>
      <x:c r="U439" s="16" t="n">
        <x:v>68.06728820531157</x:v>
      </x:c>
      <x:c r="V439" t="str">
        <x:v>가전제품</x:v>
      </x:c>
      <x:c r="W439" t="str">
        <x:v>가전제품 / 한식음식점 / 일반의원</x:v>
      </x:c>
      <x:c r="X439" s="16" t="n">
        <x:v>63.303941528265874</x:v>
      </x:c>
    </x:row>
    <x:row r="440">
      <x:c r="A440" t="str">
        <x:v>3110255</x:v>
      </x:c>
      <x:c r="B440" t="str">
        <x:v>상봉역 4번</x:v>
      </x:c>
      <x:c r="C440" t="str">
        <x:v>골목상권</x:v>
      </x:c>
      <x:c r="D440" t="str">
        <x:v>중랑구</x:v>
      </x:c>
      <x:c r="E440" t="str">
        <x:v>상봉2동</x:v>
      </x:c>
      <x:c r="F440" s="12" t="n">
        <x:v>191245</x:v>
      </x:c>
      <x:c r="G440" s="12" t="n">
        <x:v>9450502481</x:v>
      </x:c>
      <x:c r="H440" s="12" t="n">
        <x:v>438120</x:v>
      </x:c>
      <x:c r="I440" s="12" t="n">
        <x:v>21570.57993472108</x:v>
      </x:c>
      <x:c r="J440" s="12" t="n">
        <x:v>49415.68397082276</x:v>
      </x:c>
      <x:c r="K440" s="12" t="n">
        <x:v>789</x:v>
      </x:c>
      <x:c r="L440" s="12" t="n">
        <x:v>41.255980548511076</x:v>
      </x:c>
      <x:c r="M440" s="12" t="n">
        <x:v>23</x:v>
      </x:c>
      <x:c r="N440" s="14" t="n">
        <x:v>0.7458372313187481</x:v>
      </x:c>
      <x:c r="O440" s="14" t="n">
        <x:v>0.25416276868125187</x:v>
      </x:c>
      <x:c r="P440" s="14" t="n">
        <x:v>0.3580063862003234</x:v>
      </x:c>
      <x:c r="Q440" s="14" t="n">
        <x:v>0.2981503693232034</x:v>
      </x:c>
      <x:c r="R440" s="14" t="n">
        <x:v>0.3061703638316838</x:v>
      </x:c>
      <x:c r="S440" s="14" t="n">
        <x:v>0.4690303340919254</x:v>
      </x:c>
      <x:c r="T440" t="str">
        <x:v>2030소비·여성소비</x:v>
      </x:c>
      <x:c r="U440" s="16" t="n">
        <x:v>74.42950209655112</x:v>
      </x:c>
      <x:c r="V440" t="str">
        <x:v>육류판매</x:v>
      </x:c>
      <x:c r="W440" t="str">
        <x:v>육류판매 / 일반의류 / 패스트푸드점</x:v>
      </x:c>
      <x:c r="X440" s="16" t="n">
        <x:v>66.53424245557781</x:v>
      </x:c>
    </x:row>
    <x:row r="441">
      <x:c r="A441" t="str">
        <x:v>3110753</x:v>
      </x:c>
      <x:c r="B441" t="str">
        <x:v>시흥동 은행나무사거리</x:v>
      </x:c>
      <x:c r="C441" t="str">
        <x:v>골목상권</x:v>
      </x:c>
      <x:c r="D441" t="str">
        <x:v>금천구</x:v>
      </x:c>
      <x:c r="E441" t="str">
        <x:v>시흥5동</x:v>
      </x:c>
      <x:c r="F441" s="12" t="n">
        <x:v>177282</x:v>
      </x:c>
      <x:c r="G441" s="12" t="n">
        <x:v>9418761747</x:v>
      </x:c>
      <x:c r="H441" s="12" t="n">
        <x:v>571047</x:v>
      </x:c>
      <x:c r="I441" s="12" t="n">
        <x:v>16493.84682346637</x:v>
      </x:c>
      <x:c r="J441" s="12" t="n">
        <x:v>53128.69748197786</x:v>
      </x:c>
      <x:c r="K441" s="12" t="n">
        <x:v>431</x:v>
      </x:c>
      <x:c r="L441" s="12" t="n">
        <x:v>24.311548831804693</x:v>
      </x:c>
      <x:c r="M441" s="12" t="n">
        <x:v>18</x:v>
      </x:c>
      <x:c r="N441" s="14" t="n">
        <x:v>0.7731745309641709</x:v>
      </x:c>
      <x:c r="O441" s="14" t="n">
        <x:v>0.2268254690358291</x:v>
      </x:c>
      <x:c r="P441" s="14" t="n">
        <x:v>0.2707008595702193</x:v>
      </x:c>
      <x:c r="Q441" s="14" t="n">
        <x:v>0.2919832961987758</x:v>
      </x:c>
      <x:c r="R441" s="14" t="n">
        <x:v>0.17653131692492316</x:v>
      </x:c>
      <x:c r="S441" s="14" t="n">
        <x:v>0.48913370969038483</x:v>
      </x:c>
      <x:c r="T441" t="str">
        <x:v>여성소비·평일집중</x:v>
      </x:c>
      <x:c r="U441" s="16" t="n">
        <x:v>73.45809988795929</x:v>
      </x:c>
      <x:c r="V441" t="str">
        <x:v>일반의원</x:v>
      </x:c>
      <x:c r="W441" t="str">
        <x:v>일반의원 / 편의점 / 의약품</x:v>
      </x:c>
      <x:c r="X441" s="16" t="n">
        <x:v>61.35989281436822</x:v>
      </x:c>
    </x:row>
    <x:row r="442">
      <x:c r="A442" t="str">
        <x:v>3130149</x:v>
      </x:c>
      <x:c r="B442" t="str">
        <x:v>창동신창시장</x:v>
      </x:c>
      <x:c r="C442" t="str">
        <x:v>전통시장</x:v>
      </x:c>
      <x:c r="D442" t="str">
        <x:v>도봉구</x:v>
      </x:c>
      <x:c r="E442" t="str">
        <x:v>창2동</x:v>
      </x:c>
      <x:c r="F442" s="12" t="n">
        <x:v>58415</x:v>
      </x:c>
      <x:c r="G442" s="12" t="n">
        <x:v>9382557965</x:v>
      </x:c>
      <x:c r="H442" s="12" t="n">
        <x:v>458802</x:v>
      </x:c>
      <x:c r="I442" s="12" t="n">
        <x:v>20450.12437827211</x:v>
      </x:c>
      <x:c r="J442" s="12" t="n">
        <x:v>160618.98425062056</x:v>
      </x:c>
      <x:c r="K442" s="12" t="n">
        <x:v>355</x:v>
      </x:c>
      <x:c r="L442" s="12" t="n">
        <x:v>60.772061970384314</x:v>
      </x:c>
      <x:c r="M442" s="12" t="n">
        <x:v>23</x:v>
      </x:c>
      <x:c r="N442" s="14" t="n">
        <x:v>0.7071940897942537</x:v>
      </x:c>
      <x:c r="O442" s="14" t="n">
        <x:v>0.2928059102057463</x:v>
      </x:c>
      <x:c r="P442" s="14" t="n">
        <x:v>0.2345777000483471</x:v>
      </x:c>
      <x:c r="Q442" s="14" t="n">
        <x:v>0.28463870438768984</x:v>
      </x:c>
      <x:c r="R442" s="14" t="n">
        <x:v>0.09971769899958194</x:v>
      </x:c>
      <x:c r="S442" s="14" t="n">
        <x:v>0.5604996414216131</x:v>
      </x:c>
      <x:c r="T442" t="str">
        <x:v>여성소비·고매출밀도</x:v>
      </x:c>
      <x:c r="U442" s="16" t="n">
        <x:v>70.93851867765174</x:v>
      </x:c>
      <x:c r="V442" t="str">
        <x:v>육류판매</x:v>
      </x:c>
      <x:c r="W442" t="str">
        <x:v>육류판매 / 수산물판매 / 청과상</x:v>
      </x:c>
      <x:c r="X442" s="16" t="n">
        <x:v>68.44847037445558</x:v>
      </x:c>
    </x:row>
    <x:row r="443">
      <x:c r="A443" t="str">
        <x:v>3111005</x:v>
      </x:c>
      <x:c r="B443" t="str">
        <x:v>삼전역 3번</x:v>
      </x:c>
      <x:c r="C443" t="str">
        <x:v>골목상권</x:v>
      </x:c>
      <x:c r="D443" t="str">
        <x:v>송파구</x:v>
      </x:c>
      <x:c r="E443" t="str">
        <x:v>삼전동</x:v>
      </x:c>
      <x:c r="F443" s="12" t="n">
        <x:v>193689</x:v>
      </x:c>
      <x:c r="G443" s="12" t="n">
        <x:v>9317371516</x:v>
      </x:c>
      <x:c r="H443" s="12" t="n">
        <x:v>333837</x:v>
      </x:c>
      <x:c r="I443" s="12" t="n">
        <x:v>27909.942624694086</x:v>
      </x:c>
      <x:c r="J443" s="12" t="n">
        <x:v>48104.804692057885</x:v>
      </x:c>
      <x:c r="K443" s="12" t="n">
        <x:v>892</x:v>
      </x:c>
      <x:c r="L443" s="12" t="n">
        <x:v>46.05320901032067</x:v>
      </x:c>
      <x:c r="M443" s="12" t="n">
        <x:v>24</x:v>
      </x:c>
      <x:c r="N443" s="14" t="n">
        <x:v>0.7701210978523355</x:v>
      </x:c>
      <x:c r="O443" s="14" t="n">
        <x:v>0.22987890214766446</x:v>
      </x:c>
      <x:c r="P443" s="14" t="n">
        <x:v>0.4125185488632393</x:v>
      </x:c>
      <x:c r="Q443" s="14" t="n">
        <x:v>0.24446089415760933</x:v>
      </x:c>
      <x:c r="R443" s="14" t="n">
        <x:v>0.3614156409044493</x:v>
      </x:c>
      <x:c r="S443" s="14" t="n">
        <x:v>0.4827818064649983</x:v>
      </x:c>
      <x:c r="T443" t="str">
        <x:v>2030소비·여성소비</x:v>
      </x:c>
      <x:c r="U443" s="16" t="n">
        <x:v>74.4295180640012</x:v>
      </x:c>
      <x:c r="V443" t="str">
        <x:v>인테리어</x:v>
      </x:c>
      <x:c r="W443" t="str">
        <x:v>인테리어 / 일반의원 / 미용실</x:v>
      </x:c>
      <x:c r="X443" s="16" t="n">
        <x:v>65.10885617861705</x:v>
      </x:c>
    </x:row>
    <x:row r="444">
      <x:c r="A444" t="str">
        <x:v>3110052</x:v>
      </x:c>
      <x:c r="B444" t="str">
        <x:v>장충초등학교</x:v>
      </x:c>
      <x:c r="C444" t="str">
        <x:v>골목상권</x:v>
      </x:c>
      <x:c r="D444" t="str">
        <x:v>중구</x:v>
      </x:c>
      <x:c r="E444" t="str">
        <x:v>다산동</x:v>
      </x:c>
      <x:c r="F444" s="12" t="n">
        <x:v>68893</x:v>
      </x:c>
      <x:c r="G444" s="12" t="n">
        <x:v>9239633133</x:v>
      </x:c>
      <x:c r="H444" s="12" t="n">
        <x:v>159625</x:v>
      </x:c>
      <x:c r="I444" s="12" t="n">
        <x:v>57883.37123257635</x:v>
      </x:c>
      <x:c r="J444" s="12" t="n">
        <x:v>134115.70309029944</x:v>
      </x:c>
      <x:c r="K444" s="12" t="n">
        <x:v>794</x:v>
      </x:c>
      <x:c r="L444" s="12" t="n">
        <x:v>115.25118662273381</x:v>
      </x:c>
      <x:c r="M444" s="12" t="n">
        <x:v>10</x:v>
      </x:c>
      <x:c r="N444" s="14" t="n">
        <x:v>0.9095257111438387</x:v>
      </x:c>
      <x:c r="O444" s="14" t="n">
        <x:v>0.09047428885616124</x:v>
      </x:c>
      <x:c r="P444" s="14" t="n">
        <x:v>0.25460677357393946</x:v>
      </x:c>
      <x:c r="Q444" s="14" t="n">
        <x:v>0.32229935465339216</x:v>
      </x:c>
      <x:c r="R444" s="14" t="n">
        <x:v>0.20198584155191912</x:v>
      </x:c>
      <x:c r="S444" s="14" t="n">
        <x:v>0.40393700272255173</x:v>
      </x:c>
      <x:c r="T444" t="str">
        <x:v>평일집중·고매출밀도</x:v>
      </x:c>
      <x:c r="U444" s="16" t="n">
        <x:v>72.56092413201735</x:v>
      </x:c>
      <x:c r="V444" t="str">
        <x:v>의약품</x:v>
      </x:c>
      <x:c r="W444" t="str">
        <x:v>의약품 / 한식음식점 / 일반의원</x:v>
      </x:c>
      <x:c r="X444" s="16" t="n">
        <x:v>61.29108781266725</x:v>
      </x:c>
    </x:row>
    <x:row r="445">
      <x:c r="A445" t="str">
        <x:v>3110578</x:v>
      </x:c>
      <x:c r="B445" t="str">
        <x:v>대흥역 2번</x:v>
      </x:c>
      <x:c r="C445" t="str">
        <x:v>골목상권</x:v>
      </x:c>
      <x:c r="D445" t="str">
        <x:v>마포구</x:v>
      </x:c>
      <x:c r="E445" t="str">
        <x:v>염리동</x:v>
      </x:c>
      <x:c r="F445" s="12" t="n">
        <x:v>111950</x:v>
      </x:c>
      <x:c r="G445" s="12" t="n">
        <x:v>9230330387</x:v>
      </x:c>
      <x:c r="H445" s="12" t="n">
        <x:v>537272</x:v>
      </x:c>
      <x:c r="I445" s="12" t="n">
        <x:v>17179.995210991827</x:v>
      </x:c>
      <x:c r="J445" s="12" t="n">
        <x:v>82450.47241625725</x:v>
      </x:c>
      <x:c r="K445" s="12" t="n">
        <x:v>1260</x:v>
      </x:c>
      <x:c r="L445" s="12" t="n">
        <x:v>112.5502456453774</x:v>
      </x:c>
      <x:c r="M445" s="12" t="n">
        <x:v>23</x:v>
      </x:c>
      <x:c r="N445" s="14" t="n">
        <x:v>0.7839197302396625</x:v>
      </x:c>
      <x:c r="O445" s="14" t="n">
        <x:v>0.21608026976033745</x:v>
      </x:c>
      <x:c r="P445" s="14" t="n">
        <x:v>0.40474138707555235</x:v>
      </x:c>
      <x:c r="Q445" s="14" t="n">
        <x:v>0.2529799125379888</x:v>
      </x:c>
      <x:c r="R445" s="14" t="n">
        <x:v>0.17663737186442274</x:v>
      </x:c>
      <x:c r="S445" s="14" t="n">
        <x:v>0.4929749755662782</x:v>
      </x:c>
      <x:c r="T445" t="str">
        <x:v>여성소비·평일집중</x:v>
      </x:c>
      <x:c r="U445" s="16" t="n">
        <x:v>80.47783549079217</x:v>
      </x:c>
      <x:c r="V445" t="str">
        <x:v>화초</x:v>
      </x:c>
      <x:c r="W445" t="str">
        <x:v>화초 / 일반교습학원 / 시계및귀금속</x:v>
      </x:c>
      <x:c r="X445" s="16" t="n">
        <x:v>74.66570980330398</x:v>
      </x:c>
    </x:row>
    <x:row r="446">
      <x:c r="A446" t="str">
        <x:v>3111078</x:v>
      </x:c>
      <x:c r="B446" t="str">
        <x:v>굽은다리역 4번</x:v>
      </x:c>
      <x:c r="C446" t="str">
        <x:v>골목상권</x:v>
      </x:c>
      <x:c r="D446" t="str">
        <x:v>강동구</x:v>
      </x:c>
      <x:c r="E446" t="str">
        <x:v>길동</x:v>
      </x:c>
      <x:c r="F446" s="12" t="n">
        <x:v>207328</x:v>
      </x:c>
      <x:c r="G446" s="12" t="n">
        <x:v>9217028357</x:v>
      </x:c>
      <x:c r="H446" s="12" t="n">
        <x:v>348261</x:v>
      </x:c>
      <x:c r="I446" s="12" t="n">
        <x:v>26465.864271336726</x:v>
      </x:c>
      <x:c r="J446" s="12" t="n">
        <x:v>44456.26426242476</x:v>
      </x:c>
      <x:c r="K446" s="12" t="n">
        <x:v>1965</x:v>
      </x:c>
      <x:c r="L446" s="12" t="n">
        <x:v>94.77735761691619</x:v>
      </x:c>
      <x:c r="M446" s="12" t="n">
        <x:v>33</x:v>
      </x:c>
      <x:c r="N446" s="14" t="n">
        <x:v>0.8094405361500181</x:v>
      </x:c>
      <x:c r="O446" s="14" t="n">
        <x:v>0.19055946384998196</x:v>
      </x:c>
      <x:c r="P446" s="14" t="n">
        <x:v>0.34518775040804617</x:v>
      </x:c>
      <x:c r="Q446" s="14" t="n">
        <x:v>0.19189995999705267</x:v>
      </x:c>
      <x:c r="R446" s="14" t="n">
        <x:v>0.18800203350616643</x:v>
      </x:c>
      <x:c r="S446" s="14" t="n">
        <x:v>0.3526840874403095</x:v>
      </x:c>
      <x:c r="T446" t="str">
        <x:v>평일집중·직장밀집</x:v>
      </x:c>
      <x:c r="U446" s="16" t="n">
        <x:v>68.94861774083903</x:v>
      </x:c>
      <x:c r="V446" t="str">
        <x:v>예술학원</x:v>
      </x:c>
      <x:c r="W446" t="str">
        <x:v>예술학원 / 조명용품 / 한식음식점</x:v>
      </x:c>
      <x:c r="X446" s="16" t="n">
        <x:v>60.08056871812022</x:v>
      </x:c>
    </x:row>
    <x:row r="447">
      <x:c r="A447" t="str">
        <x:v>3110815</x:v>
      </x:c>
      <x:c r="B447" t="str">
        <x:v>공군호텔</x:v>
      </x:c>
      <x:c r="C447" t="str">
        <x:v>골목상권</x:v>
      </x:c>
      <x:c r="D447" t="str">
        <x:v>영등포구</x:v>
      </x:c>
      <x:c r="E447" t="str">
        <x:v>신길1동</x:v>
      </x:c>
      <x:c r="F447" s="12" t="n">
        <x:v>182950</x:v>
      </x:c>
      <x:c r="G447" s="12" t="n">
        <x:v>9200298070</x:v>
      </x:c>
      <x:c r="H447" s="12" t="n">
        <x:v>495774</x:v>
      </x:c>
      <x:c r="I447" s="12" t="n">
        <x:v>18557.443653761595</x:v>
      </x:c>
      <x:c r="J447" s="12" t="n">
        <x:v>50288.5928942334</x:v>
      </x:c>
      <x:c r="K447" s="12" t="n">
        <x:v>1349</x:v>
      </x:c>
      <x:c r="L447" s="12" t="n">
        <x:v>73.73599344083082</x:v>
      </x:c>
      <x:c r="M447" s="12" t="n">
        <x:v>19</x:v>
      </x:c>
      <x:c r="N447" s="14" t="n">
        <x:v>0.8136269817614724</x:v>
      </x:c>
      <x:c r="O447" s="14" t="n">
        <x:v>0.18637301823852756</x:v>
      </x:c>
      <x:c r="P447" s="14" t="n">
        <x:v>0.3546877577413098</x:v>
      </x:c>
      <x:c r="Q447" s="14" t="n">
        <x:v>0.23722287706272108</x:v>
      </x:c>
      <x:c r="R447" s="14" t="n">
        <x:v>0.23795479291466043</x:v>
      </x:c>
      <x:c r="S447" s="14" t="n">
        <x:v>0.3619679821960377</x:v>
      </x:c>
      <x:c r="T447" t="str">
        <x:v>평일집중·2030소비</x:v>
      </x:c>
      <x:c r="U447" s="16" t="n">
        <x:v>70.74265468877933</x:v>
      </x:c>
      <x:c r="V447" t="str">
        <x:v>의약품</x:v>
      </x:c>
      <x:c r="W447" t="str">
        <x:v>의약품 / 중식음식점 / 제과점</x:v>
      </x:c>
      <x:c r="X447" s="16" t="n">
        <x:v>66.58644742828214</x:v>
      </x:c>
    </x:row>
    <x:row r="448">
      <x:c r="A448" t="str">
        <x:v>3110074</x:v>
      </x:c>
      <x:c r="B448" t="str">
        <x:v>서울역 12번</x:v>
      </x:c>
      <x:c r="C448" t="str">
        <x:v>골목상권</x:v>
      </x:c>
      <x:c r="D448" t="str">
        <x:v>용산구</x:v>
      </x:c>
      <x:c r="E448" t="str">
        <x:v>남영동</x:v>
      </x:c>
      <x:c r="F448" s="12" t="n">
        <x:v>105922</x:v>
      </x:c>
      <x:c r="G448" s="12" t="n">
        <x:v>9186270339</x:v>
      </x:c>
      <x:c r="H448" s="12" t="n">
        <x:v>263368</x:v>
      </x:c>
      <x:c r="I448" s="12" t="n">
        <x:v>34879.97911287628</x:v>
      </x:c>
      <x:c r="J448" s="12" t="n">
        <x:v>86726.74552028852</x:v>
      </x:c>
      <x:c r="K448" s="12" t="n">
        <x:v>5145</x:v>
      </x:c>
      <x:c r="L448" s="12" t="n">
        <x:v>485.7347859745851</x:v>
      </x:c>
      <x:c r="M448" s="12" t="n">
        <x:v>18</x:v>
      </x:c>
      <x:c r="N448" s="14" t="n">
        <x:v>0.8932546503843969</x:v>
      </x:c>
      <x:c r="O448" s="14" t="n">
        <x:v>0.10674534961560313</x:v>
      </x:c>
      <x:c r="P448" s="14" t="n">
        <x:v>0.4245591776721606</x:v>
      </x:c>
      <x:c r="Q448" s="14" t="n">
        <x:v>0.44629741045116</x:v>
      </x:c>
      <x:c r="R448" s="14" t="n">
        <x:v>0.23832335683671196</x:v>
      </x:c>
      <x:c r="S448" s="14" t="n">
        <x:v>0.22513406558696314</x:v>
      </x:c>
      <x:c r="T448" t="str">
        <x:v>평일집중·직장밀집</x:v>
      </x:c>
      <x:c r="U448" s="16" t="n">
        <x:v>67.07868922536805</x:v>
      </x:c>
      <x:c r="V448" t="str">
        <x:v>일식음식점</x:v>
      </x:c>
      <x:c r="W448" t="str">
        <x:v>일식음식점 / 커피-음료 / 화초</x:v>
      </x:c>
      <x:c r="X448" s="16" t="n">
        <x:v>58.76095865604763</x:v>
      </x:c>
    </x:row>
    <x:row r="449">
      <x:c r="A449" t="str">
        <x:v>3110738</x:v>
      </x:c>
      <x:c r="B449" t="str">
        <x:v>문성초등학교</x:v>
      </x:c>
      <x:c r="C449" t="str">
        <x:v>골목상권</x:v>
      </x:c>
      <x:c r="D449" t="str">
        <x:v>금천구</x:v>
      </x:c>
      <x:c r="E449" t="str">
        <x:v>독산3동</x:v>
      </x:c>
      <x:c r="F449" s="12" t="n">
        <x:v>114069</x:v>
      </x:c>
      <x:c r="G449" s="12" t="n">
        <x:v>9182939822</x:v>
      </x:c>
      <x:c r="H449" s="12" t="n">
        <x:v>378165</x:v>
      </x:c>
      <x:c r="I449" s="12" t="n">
        <x:v>24282.89191754922</x:v>
      </x:c>
      <x:c r="J449" s="12" t="n">
        <x:v>80503.37797298127</x:v>
      </x:c>
      <x:c r="K449" s="12" t="n">
        <x:v>479</x:v>
      </x:c>
      <x:c r="L449" s="12" t="n">
        <x:v>41.99212757190823</x:v>
      </x:c>
      <x:c r="M449" s="12" t="n">
        <x:v>26</x:v>
      </x:c>
      <x:c r="N449" s="14" t="n">
        <x:v>0.7289847557273909</x:v>
      </x:c>
      <x:c r="O449" s="14" t="n">
        <x:v>0.27101524427260915</x:v>
      </x:c>
      <x:c r="P449" s="14" t="n">
        <x:v>0.32872499804126454</x:v>
      </x:c>
      <x:c r="Q449" s="14" t="n">
        <x:v>0.2704461128069451</x:v>
      </x:c>
      <x:c r="R449" s="14" t="n">
        <x:v>0.13704655833472584</x:v>
      </x:c>
      <x:c r="S449" s="14" t="n">
        <x:v>0.46648156048430217</x:v>
      </x:c>
      <x:c r="T449" t="str">
        <x:v>여성소비·고매출밀도</x:v>
      </x:c>
      <x:c r="U449" s="16" t="n">
        <x:v>69.61381445311706</x:v>
      </x:c>
      <x:c r="V449" t="str">
        <x:v>예술학원</x:v>
      </x:c>
      <x:c r="W449" t="str">
        <x:v>예술학원 / 인테리어 / 커피-음료</x:v>
      </x:c>
      <x:c r="X449" s="16" t="n">
        <x:v>65.96796577861738</x:v>
      </x:c>
    </x:row>
    <x:row r="450">
      <x:c r="A450" t="str">
        <x:v>3110667</x:v>
      </x:c>
      <x:c r="B450" t="str">
        <x:v>가양역 10번</x:v>
      </x:c>
      <x:c r="C450" t="str">
        <x:v>골목상권</x:v>
      </x:c>
      <x:c r="D450" t="str">
        <x:v>강서구</x:v>
      </x:c>
      <x:c r="E450" t="str">
        <x:v>등촌3동</x:v>
      </x:c>
      <x:c r="F450" s="12" t="n">
        <x:v>29342</x:v>
      </x:c>
      <x:c r="G450" s="12" t="n">
        <x:v>9176950685</x:v>
      </x:c>
      <x:c r="H450" s="12" t="n">
        <x:v>472149</x:v>
      </x:c>
      <x:c r="I450" s="12" t="n">
        <x:v>19436.55643663335</x:v>
      </x:c>
      <x:c r="J450" s="12" t="n">
        <x:v>312758.18570649583</x:v>
      </x:c>
      <x:c r="K450" s="12" t="n">
        <x:v>580</x:v>
      </x:c>
      <x:c r="L450" s="12" t="n">
        <x:v>197.66887056097062</x:v>
      </x:c>
      <x:c r="M450" s="12" t="n">
        <x:v>19</x:v>
      </x:c>
      <x:c r="N450" s="14" t="n">
        <x:v>0.7976493479435103</x:v>
      </x:c>
      <x:c r="O450" s="14" t="n">
        <x:v>0.20235065205648972</x:v>
      </x:c>
      <x:c r="P450" s="14" t="n">
        <x:v>0.2846131138384776</x:v>
      </x:c>
      <x:c r="Q450" s="14" t="n">
        <x:v>0.32775758334588895</x:v>
      </x:c>
      <x:c r="R450" s="14" t="n">
        <x:v>0.2602216457263222</x:v>
      </x:c>
      <x:c r="S450" s="14" t="n">
        <x:v>0.5853339637947504</x:v>
      </x:c>
      <x:c r="T450" t="str">
        <x:v>여성소비·고매출밀도</x:v>
      </x:c>
      <x:c r="U450" s="16" t="n">
        <x:v>74.85067280304834</x:v>
      </x:c>
      <x:c r="V450" t="str">
        <x:v>청과상</x:v>
      </x:c>
      <x:c r="W450" t="str">
        <x:v>청과상 / 미용실 / 패스트푸드점</x:v>
      </x:c>
      <x:c r="X450" s="16" t="n">
        <x:v>66.46705790326116</x:v>
      </x:c>
    </x:row>
    <x:row r="451">
      <x:c r="A451" t="str">
        <x:v>3110299</x:v>
      </x:c>
      <x:c r="B451" t="str">
        <x:v>정릉역 1번</x:v>
      </x:c>
      <x:c r="C451" t="str">
        <x:v>골목상권</x:v>
      </x:c>
      <x:c r="D451" t="str">
        <x:v>성북구</x:v>
      </x:c>
      <x:c r="E451" t="str">
        <x:v>정릉1동</x:v>
      </x:c>
      <x:c r="F451" s="12" t="n">
        <x:v>140910</x:v>
      </x:c>
      <x:c r="G451" s="12" t="n">
        <x:v>9101052487</x:v>
      </x:c>
      <x:c r="H451" s="12" t="n">
        <x:v>519614</x:v>
      </x:c>
      <x:c r="I451" s="12" t="n">
        <x:v>17515.025551659503</x:v>
      </x:c>
      <x:c r="J451" s="12" t="n">
        <x:v>64587.69772904691</x:v>
      </x:c>
      <x:c r="K451" s="12" t="n">
        <x:v>584</x:v>
      </x:c>
      <x:c r="L451" s="12" t="n">
        <x:v>41.4448939039103</x:v>
      </x:c>
      <x:c r="M451" s="12" t="n">
        <x:v>25</x:v>
      </x:c>
      <x:c r="N451" s="14" t="n">
        <x:v>0.7826463952575159</x:v>
      </x:c>
      <x:c r="O451" s="14" t="n">
        <x:v>0.2173536047424841</x:v>
      </x:c>
      <x:c r="P451" s="14" t="n">
        <x:v>0.35358147451589356</x:v>
      </x:c>
      <x:c r="Q451" s="14" t="n">
        <x:v>0.21295041466559558</x:v>
      </x:c>
      <x:c r="R451" s="14" t="n">
        <x:v>0.21037356236928162</x:v>
      </x:c>
      <x:c r="S451" s="14" t="n">
        <x:v>0.42409514751323946</x:v>
      </x:c>
      <x:c r="T451" t="str">
        <x:v>평일집중·고매출밀도</x:v>
      </x:c>
      <x:c r="U451" s="16" t="n">
        <x:v>77.1418664521636</x:v>
      </x:c>
      <x:c r="V451" t="str">
        <x:v>철물점</x:v>
      </x:c>
      <x:c r="W451" t="str">
        <x:v>철물점 / PC방 / 서적</x:v>
      </x:c>
      <x:c r="X451" s="16" t="n">
        <x:v>68.2393476742672</x:v>
      </x:c>
    </x:row>
    <x:row r="452">
      <x:c r="A452" t="str">
        <x:v>3130113</x:v>
      </x:c>
      <x:c r="B452" t="str">
        <x:v>신아타운</x:v>
      </x:c>
      <x:c r="C452" t="str">
        <x:v>전통시장</x:v>
      </x:c>
      <x:c r="D452" t="str">
        <x:v>중랑구</x:v>
      </x:c>
      <x:c r="E452" t="str">
        <x:v>신내2동</x:v>
      </x:c>
      <x:c r="F452" s="12" t="n">
        <x:v>5817</x:v>
      </x:c>
      <x:c r="G452" s="12" t="n">
        <x:v>9039683104</x:v>
      </x:c>
      <x:c r="H452" s="12" t="n">
        <x:v>204391</x:v>
      </x:c>
      <x:c r="I452" s="12" t="n">
        <x:v>44227.402889559715</x:v>
      </x:c>
      <x:c r="J452" s="12" t="n">
        <x:v>1554011.1920233797</x:v>
      </x:c>
      <x:c r="K452" s="12" t="n">
        <x:v>1164</x:v>
      </x:c>
      <x:c r="L452" s="12" t="n">
        <x:v>2001.031459515214</x:v>
      </x:c>
      <x:c r="M452" s="12" t="n">
        <x:v>15</x:v>
      </x:c>
      <x:c r="N452" s="14" t="n">
        <x:v>0.7768424269090396</x:v>
      </x:c>
      <x:c r="O452" s="14" t="n">
        <x:v>0.22315757309096043</x:v>
      </x:c>
      <x:c r="P452" s="14" t="n">
        <x:v>0.42973432711165094</x:v>
      </x:c>
      <x:c r="Q452" s="14" t="n">
        <x:v>0.1802790655657922</x:v>
      </x:c>
      <x:c r="R452" s="14" t="n">
        <x:v>0.10208904973578596</x:v>
      </x:c>
      <x:c r="S452" s="14" t="n">
        <x:v>0.5137742862849808</x:v>
      </x:c>
      <x:c r="T452" t="str">
        <x:v>고매출밀도·직장밀집</x:v>
      </x:c>
      <x:c r="U452" s="16" t="n">
        <x:v>73.36923192326684</x:v>
      </x:c>
      <x:c r="V452" t="str">
        <x:v>일반교습학원</x:v>
      </x:c>
      <x:c r="W452" t="str">
        <x:v>일반교습학원 / 골프연습장 / 예술학원</x:v>
      </x:c>
      <x:c r="X452" s="16" t="n">
        <x:v>67.7638659697963</x:v>
      </x:c>
    </x:row>
    <x:row r="453">
      <x:c r="A453" t="str">
        <x:v>3110564</x:v>
      </x:c>
      <x:c r="B453" t="str">
        <x:v>홍대입구역 3번</x:v>
      </x:c>
      <x:c r="C453" t="str">
        <x:v>골목상권</x:v>
      </x:c>
      <x:c r="D453" t="str">
        <x:v>마포구</x:v>
      </x:c>
      <x:c r="E453" t="str">
        <x:v>서교동</x:v>
      </x:c>
      <x:c r="F453" s="12" t="n">
        <x:v>49371</x:v>
      </x:c>
      <x:c r="G453" s="12" t="n">
        <x:v>9005812287</x:v>
      </x:c>
      <x:c r="H453" s="12" t="n">
        <x:v>429331</x:v>
      </x:c>
      <x:c r="I453" s="12" t="n">
        <x:v>20976.38485690528</x:v>
      </x:c>
      <x:c r="J453" s="12" t="n">
        <x:v>182410.9758157623</x:v>
      </x:c>
      <x:c r="K453" s="12" t="n">
        <x:v>568</x:v>
      </x:c>
      <x:c r="L453" s="12" t="n">
        <x:v>115.04729497073181</x:v>
      </x:c>
      <x:c r="M453" s="12" t="n">
        <x:v>17</x:v>
      </x:c>
      <x:c r="N453" s="14" t="n">
        <x:v>0.6256438798012002</x:v>
      </x:c>
      <x:c r="O453" s="14" t="n">
        <x:v>0.37435612019879977</x:v>
      </x:c>
      <x:c r="P453" s="14" t="n">
        <x:v>0.599538490691617</x:v>
      </x:c>
      <x:c r="Q453" s="14" t="n">
        <x:v>0.13516456486186587</x:v>
      </x:c>
      <x:c r="R453" s="14" t="n">
        <x:v>0.5666960251178063</x:v>
      </x:c>
      <x:c r="S453" s="14" t="n">
        <x:v>0.4247062452679789</x:v>
      </x:c>
      <x:c r="T453" t="str">
        <x:v>2030소비·야간활성</x:v>
      </x:c>
      <x:c r="U453" s="16" t="n">
        <x:v>62.69124541541409</x:v>
      </x:c>
      <x:c r="V453" t="str">
        <x:v>일식음식점</x:v>
      </x:c>
      <x:c r="W453" t="str">
        <x:v>일식음식점 / 일반의류 / 피부관리실</x:v>
      </x:c>
      <x:c r="X453" s="16" t="n">
        <x:v>57.09576493608586</x:v>
      </x:c>
    </x:row>
    <x:row r="454">
      <x:c r="A454" t="str">
        <x:v>3130081</x:v>
      </x:c>
      <x:c r="B454" t="str">
        <x:v>자양골목전통시장(자양골목시장)</x:v>
      </x:c>
      <x:c r="C454" t="str">
        <x:v>전통시장</x:v>
      </x:c>
      <x:c r="D454" t="str">
        <x:v>광진구</x:v>
      </x:c>
      <x:c r="E454" t="str">
        <x:v>자양1동</x:v>
      </x:c>
      <x:c r="F454" s="12" t="n">
        <x:v>43688</x:v>
      </x:c>
      <x:c r="G454" s="12" t="n">
        <x:v>8995839383</x:v>
      </x:c>
      <x:c r="H454" s="12" t="n">
        <x:v>557091</x:v>
      </x:c>
      <x:c r="I454" s="12" t="n">
        <x:v>16147.881374856173</x:v>
      </x:c>
      <x:c r="J454" s="12" t="n">
        <x:v>205910.99118751145</x:v>
      </x:c>
      <x:c r="K454" s="12" t="n">
        <x:v>565</x:v>
      </x:c>
      <x:c r="L454" s="12" t="n">
        <x:v>129.32613074528476</x:v>
      </x:c>
      <x:c r="M454" s="12" t="n">
        <x:v>11</x:v>
      </x:c>
      <x:c r="N454" s="14" t="n">
        <x:v>0.6990265871001935</x:v>
      </x:c>
      <x:c r="O454" s="14" t="n">
        <x:v>0.30097341289980656</x:v>
      </x:c>
      <x:c r="P454" s="14" t="n">
        <x:v>0.2889135143866096</x:v>
      </x:c>
      <x:c r="Q454" s="14" t="n">
        <x:v>0.24060902544462426</x:v>
      </x:c>
      <x:c r="R454" s="14" t="n">
        <x:v>0.11358556100178428</x:v>
      </x:c>
      <x:c r="S454" s="14" t="n">
        <x:v>0.5968016400054483</x:v>
      </x:c>
      <x:c r="T454" t="str">
        <x:v>여성소비·고매출밀도</x:v>
      </x:c>
      <x:c r="U454" s="16" t="n">
        <x:v>65.14624645765662</x:v>
      </x:c>
      <x:c r="V454" t="str">
        <x:v>청과상</x:v>
      </x:c>
      <x:c r="W454" t="str">
        <x:v>청과상 / 일반의류 / 육류판매</x:v>
      </x:c>
      <x:c r="X454" s="16" t="n">
        <x:v>62.6446903039534</x:v>
      </x:c>
    </x:row>
    <x:row r="455">
      <x:c r="A455" t="str">
        <x:v>3110606</x:v>
      </x:c>
      <x:c r="B455" t="str">
        <x:v>신한은행 신월동지점</x:v>
      </x:c>
      <x:c r="C455" t="str">
        <x:v>골목상권</x:v>
      </x:c>
      <x:c r="D455" t="str">
        <x:v>양천구</x:v>
      </x:c>
      <x:c r="E455" t="str">
        <x:v>신월4동</x:v>
      </x:c>
      <x:c r="F455" s="12" t="n">
        <x:v>158709</x:v>
      </x:c>
      <x:c r="G455" s="12" t="n">
        <x:v>8987002919</x:v>
      </x:c>
      <x:c r="H455" s="12" t="n">
        <x:v>482700</x:v>
      </x:c>
      <x:c r="I455" s="12" t="n">
        <x:v>18618.195398798427</x:v>
      </x:c>
      <x:c r="J455" s="12" t="n">
        <x:v>56625.666591056586</x:v>
      </x:c>
      <x:c r="K455" s="12" t="n">
        <x:v>506</x:v>
      </x:c>
      <x:c r="L455" s="12" t="n">
        <x:v>31.88224990391219</x:v>
      </x:c>
      <x:c r="M455" s="12" t="n">
        <x:v>24</x:v>
      </x:c>
      <x:c r="N455" s="14" t="n">
        <x:v>0.7140583868547423</x:v>
      </x:c>
      <x:c r="O455" s="14" t="n">
        <x:v>0.28594161314525773</x:v>
      </x:c>
      <x:c r="P455" s="14" t="n">
        <x:v>0.46053457679977416</x:v>
      </x:c>
      <x:c r="Q455" s="14" t="n">
        <x:v>0.20109293168017497</x:v>
      </x:c>
      <x:c r="R455" s="14" t="n">
        <x:v>0.21772392171624264</x:v>
      </x:c>
      <x:c r="S455" s="14" t="n">
        <x:v>0.37474053167156873</x:v>
      </x:c>
      <x:c r="T455" t="str">
        <x:v>야간활성</x:v>
      </x:c>
      <x:c r="U455" s="16" t="n">
        <x:v>77.37955842305841</x:v>
      </x:c>
      <x:c r="V455" t="str">
        <x:v>피부관리실</x:v>
      </x:c>
      <x:c r="W455" t="str">
        <x:v>피부관리실 / 패스트푸드점 / 핸드폰</x:v>
      </x:c>
      <x:c r="X455" s="16" t="n">
        <x:v>70.75635892624034</x:v>
      </x:c>
    </x:row>
    <x:row r="456">
      <x:c r="A456" t="str">
        <x:v>3120133</x:v>
      </x:c>
      <x:c r="B456" t="str">
        <x:v>서울시흥동우체국(홈플러스시흥점)</x:v>
      </x:c>
      <x:c r="C456" t="str">
        <x:v>발달상권</x:v>
      </x:c>
      <x:c r="D456" t="str">
        <x:v>금천구</x:v>
      </x:c>
      <x:c r="E456" t="str">
        <x:v>시흥1동</x:v>
      </x:c>
      <x:c r="F456" s="12" t="n">
        <x:v>56376</x:v>
      </x:c>
      <x:c r="G456" s="12" t="n">
        <x:v>8929506861</x:v>
      </x:c>
      <x:c r="H456" s="12" t="n">
        <x:v>253687</x:v>
      </x:c>
      <x:c r="I456" s="12" t="n">
        <x:v>35198.91386235794</x:v>
      </x:c>
      <x:c r="J456" s="12" t="n">
        <x:v>158391.99058109833</x:v>
      </x:c>
      <x:c r="K456" s="12" t="n">
        <x:v>454</x:v>
      </x:c>
      <x:c r="L456" s="12" t="n">
        <x:v>80.53072229317439</x:v>
      </x:c>
      <x:c r="M456" s="12" t="n">
        <x:v>21</x:v>
      </x:c>
      <x:c r="N456" s="14" t="n">
        <x:v>0.7481685710079439</x:v>
      </x:c>
      <x:c r="O456" s="14" t="n">
        <x:v>0.2518314289920562</x:v>
      </x:c>
      <x:c r="P456" s="14" t="n">
        <x:v>0.47925825687990364</x:v>
      </x:c>
      <x:c r="Q456" s="14" t="n">
        <x:v>0.19663670058520605</x:v>
      </x:c>
      <x:c r="R456" s="14" t="n">
        <x:v>0.21879009304901412</x:v>
      </x:c>
      <x:c r="S456" s="14" t="n">
        <x:v>0.4609230358482615</x:v>
      </x:c>
      <x:c r="T456" t="str">
        <x:v>고매출밀도·야간활성</x:v>
      </x:c>
      <x:c r="U456" s="16" t="n">
        <x:v>63.661612871957765</x:v>
      </x:c>
      <x:c r="V456" t="str">
        <x:v>제과점</x:v>
      </x:c>
      <x:c r="W456" t="str">
        <x:v>제과점 / 일반의원 / 한식음식점</x:v>
      </x:c>
      <x:c r="X456" s="16" t="n">
        <x:v>60.06841383501491</x:v>
      </x:c>
    </x:row>
    <x:row r="457">
      <x:c r="A457" t="str">
        <x:v>3130314</x:v>
      </x:c>
      <x:c r="B457" t="str">
        <x:v>풍납시장</x:v>
      </x:c>
      <x:c r="C457" t="str">
        <x:v>전통시장</x:v>
      </x:c>
      <x:c r="D457" t="str">
        <x:v>송파구</x:v>
      </x:c>
      <x:c r="E457" t="str">
        <x:v>풍납1동</x:v>
      </x:c>
      <x:c r="F457" s="12" t="n">
        <x:v>120813</x:v>
      </x:c>
      <x:c r="G457" s="12" t="n">
        <x:v>8901517304</x:v>
      </x:c>
      <x:c r="H457" s="12" t="n">
        <x:v>384740</x:v>
      </x:c>
      <x:c r="I457" s="12" t="n">
        <x:v>23136.448780994957</x:v>
      </x:c>
      <x:c r="J457" s="12" t="n">
        <x:v>73680.12799947025</x:v>
      </x:c>
      <x:c r="K457" s="12" t="n">
        <x:v>567</x:v>
      </x:c>
      <x:c r="L457" s="12" t="n">
        <x:v>46.93203545976013</x:v>
      </x:c>
      <x:c r="M457" s="12" t="n">
        <x:v>26</x:v>
      </x:c>
      <x:c r="N457" s="14" t="n">
        <x:v>0.7506435542171475</x:v>
      </x:c>
      <x:c r="O457" s="14" t="n">
        <x:v>0.24935644578285257</x:v>
      </x:c>
      <x:c r="P457" s="14" t="n">
        <x:v>0.31910144327008094</x:v>
      </x:c>
      <x:c r="Q457" s="14" t="n">
        <x:v>0.2742170704878742</x:v>
      </x:c>
      <x:c r="R457" s="14" t="n">
        <x:v>0.1264415450267376</x:v>
      </x:c>
      <x:c r="S457" s="14" t="n">
        <x:v>0.5061233379814368</x:v>
      </x:c>
      <x:c r="T457" t="str">
        <x:v>여성소비·고매출밀도</x:v>
      </x:c>
      <x:c r="U457" s="16" t="n">
        <x:v>71.09219532580434</x:v>
      </x:c>
      <x:c r="V457" t="str">
        <x:v>육류판매</x:v>
      </x:c>
      <x:c r="W457" t="str">
        <x:v>육류판매 / 한의원 / 슈퍼마켓</x:v>
      </x:c>
      <x:c r="X457" s="16" t="n">
        <x:v>65.33086214288457</x:v>
      </x:c>
    </x:row>
    <x:row r="458">
      <x:c r="A458" t="str">
        <x:v>3130197</x:v>
      </x:c>
      <x:c r="B458" t="str">
        <x:v>마포시장</x:v>
      </x:c>
      <x:c r="C458" t="str">
        <x:v>전통시장</x:v>
      </x:c>
      <x:c r="D458" t="str">
        <x:v>마포구</x:v>
      </x:c>
      <x:c r="E458" t="str">
        <x:v>공덕동</x:v>
      </x:c>
      <x:c r="F458" s="12" t="n">
        <x:v>9701</x:v>
      </x:c>
      <x:c r="G458" s="12" t="n">
        <x:v>8871285360</x:v>
      </x:c>
      <x:c r="H458" s="12" t="n">
        <x:v>302089</x:v>
      </x:c>
      <x:c r="I458" s="12" t="n">
        <x:v>29366.46273118187</x:v>
      </x:c>
      <x:c r="J458" s="12" t="n">
        <x:v>914471.2256468405</x:v>
      </x:c>
      <x:c r="K458" s="12" t="n">
        <x:v>149</x:v>
      </x:c>
      <x:c r="L458" s="12" t="n">
        <x:v>153.59241315328316</x:v>
      </x:c>
      <x:c r="M458" s="12" t="n">
        <x:v>9</x:v>
      </x:c>
      <x:c r="N458" s="14" t="n">
        <x:v>0.769534720614601</x:v>
      </x:c>
      <x:c r="O458" s="14" t="n">
        <x:v>0.230465279385399</x:v>
      </x:c>
      <x:c r="P458" s="14" t="n">
        <x:v>0.47791156207379626</x:v>
      </x:c>
      <x:c r="Q458" s="14" t="n">
        <x:v>0.23385386556881088</x:v>
      </x:c>
      <x:c r="R458" s="14" t="n">
        <x:v>0.14197854345652566</x:v>
      </x:c>
      <x:c r="S458" s="14" t="n">
        <x:v>0.38442613664272884</x:v>
      </x:c>
      <x:c r="T458" t="str">
        <x:v>고매출밀도·야간활성</x:v>
      </x:c>
      <x:c r="U458" s="16" t="n">
        <x:v>57.11524092304701</x:v>
      </x:c>
      <x:c r="V458" t="str">
        <x:v>육류판매</x:v>
      </x:c>
      <x:c r="W458" t="str">
        <x:v>육류판매 / 한식음식점 / 일반의류</x:v>
      </x:c>
      <x:c r="X458" s="16" t="n">
        <x:v>56.361760536660384</x:v>
      </x:c>
    </x:row>
    <x:row r="459">
      <x:c r="A459" t="str">
        <x:v>3110646</x:v>
      </x:c>
      <x:c r="B459" t="str">
        <x:v>푸른들청소년도서관</x:v>
      </x:c>
      <x:c r="C459" t="str">
        <x:v>골목상권</x:v>
      </x:c>
      <x:c r="D459" t="str">
        <x:v>강서구</x:v>
      </x:c>
      <x:c r="E459" t="str">
        <x:v>화곡3동</x:v>
      </x:c>
      <x:c r="F459" s="12" t="n">
        <x:v>203547</x:v>
      </x:c>
      <x:c r="G459" s="12" t="n">
        <x:v>8740682168</x:v>
      </x:c>
      <x:c r="H459" s="12" t="n">
        <x:v>358321</x:v>
      </x:c>
      <x:c r="I459" s="12" t="n">
        <x:v>24393.44098727119</x:v>
      </x:c>
      <x:c r="J459" s="12" t="n">
        <x:v>42941.83735451763</x:v>
      </x:c>
      <x:c r="K459" s="12" t="n">
        <x:v>1556</x:v>
      </x:c>
      <x:c r="L459" s="12" t="n">
        <x:v>76.44426103062192</x:v>
      </x:c>
      <x:c r="M459" s="12" t="n">
        <x:v>28</x:v>
      </x:c>
      <x:c r="N459" s="14" t="n">
        <x:v>0.7594860260796981</x:v>
      </x:c>
      <x:c r="O459" s="14" t="n">
        <x:v>0.2405139739203019</x:v>
      </x:c>
      <x:c r="P459" s="14" t="n">
        <x:v>0.4164845911372349</x:v>
      </x:c>
      <x:c r="Q459" s="14" t="n">
        <x:v>0.2359632651500388</x:v>
      </x:c>
      <x:c r="R459" s="14" t="n">
        <x:v>0.18607762331806138</x:v>
      </x:c>
      <x:c r="S459" s="14" t="n">
        <x:v>0.441905435726856</x:v>
      </x:c>
      <x:c r="T459" t="str">
        <x:v>야간활성</x:v>
      </x:c>
      <x:c r="U459" s="16" t="n">
        <x:v>70.11974493093784</x:v>
      </x:c>
      <x:c r="V459" t="str">
        <x:v>일반교습학원</x:v>
      </x:c>
      <x:c r="W459" t="str">
        <x:v>일반교습학원 / 일반의류 / 예술학원</x:v>
      </x:c>
      <x:c r="X459" s="16" t="n">
        <x:v>65.9760170637625</x:v>
      </x:c>
    </x:row>
    <x:row r="460">
      <x:c r="A460" t="str">
        <x:v>3130213</x:v>
      </x:c>
      <x:c r="B460" t="str">
        <x:v>방신전통시장</x:v>
      </x:c>
      <x:c r="C460" t="str">
        <x:v>전통시장</x:v>
      </x:c>
      <x:c r="D460" t="str">
        <x:v>강서구</x:v>
      </x:c>
      <x:c r="E460" t="str">
        <x:v>방화1동</x:v>
      </x:c>
      <x:c r="F460" s="12" t="n">
        <x:v>18960</x:v>
      </x:c>
      <x:c r="G460" s="12" t="n">
        <x:v>8738092062</x:v>
      </x:c>
      <x:c r="H460" s="12" t="n">
        <x:v>381204</x:v>
      </x:c>
      <x:c r="I460" s="12" t="n">
        <x:v>22922.351449617527</x:v>
      </x:c>
      <x:c r="J460" s="12" t="n">
        <x:v>460869.8344936709</x:v>
      </x:c>
      <x:c r="K460" s="12" t="n">
        <x:v>504</x:v>
      </x:c>
      <x:c r="L460" s="12" t="n">
        <x:v>265.82278481012656</x:v>
      </x:c>
      <x:c r="M460" s="12" t="n">
        <x:v>14</x:v>
      </x:c>
      <x:c r="N460" s="14" t="n">
        <x:v>0.6911818724438612</x:v>
      </x:c>
      <x:c r="O460" s="14" t="n">
        <x:v>0.3088181275561388</x:v>
      </x:c>
      <x:c r="P460" s="14" t="n">
        <x:v>0.18188426417611256</x:v>
      </x:c>
      <x:c r="Q460" s="14" t="n">
        <x:v>0.2944233446781921</x:v>
      </x:c>
      <x:c r="R460" s="14" t="n">
        <x:v>0.06394263175937685</x:v>
      </x:c>
      <x:c r="S460" s="14" t="n">
        <x:v>0.630971266940172</x:v>
      </x:c>
      <x:c r="T460" t="str">
        <x:v>여성소비·고매출밀도</x:v>
      </x:c>
      <x:c r="U460" s="16" t="n">
        <x:v>71.559456119828</x:v>
      </x:c>
      <x:c r="V460" t="str">
        <x:v>육류판매</x:v>
      </x:c>
      <x:c r="W460" t="str">
        <x:v>육류판매 / 일반의류 / 섬유제품</x:v>
      </x:c>
      <x:c r="X460" s="16" t="n">
        <x:v>66.58359279077212</x:v>
      </x:c>
    </x:row>
    <x:row r="461">
      <x:c r="A461" t="str">
        <x:v>3120036</x:v>
      </x:c>
      <x:c r="B461" t="str">
        <x:v>장충동족발거리(남소영길)</x:v>
      </x:c>
      <x:c r="C461" t="str">
        <x:v>발달상권</x:v>
      </x:c>
      <x:c r="D461" t="str">
        <x:v>중구</x:v>
      </x:c>
      <x:c r="E461" t="str">
        <x:v>장충동</x:v>
      </x:c>
      <x:c r="F461" s="12" t="n">
        <x:v>88202</x:v>
      </x:c>
      <x:c r="G461" s="12" t="n">
        <x:v>8719224238</x:v>
      </x:c>
      <x:c r="H461" s="12" t="n">
        <x:v>218044</x:v>
      </x:c>
      <x:c r="I461" s="12" t="n">
        <x:v>39988.370411476586</x:v>
      </x:c>
      <x:c r="J461" s="12" t="n">
        <x:v>98855.1760504297</x:v>
      </x:c>
      <x:c r="K461" s="12" t="n">
        <x:v>1466</x:v>
      </x:c>
      <x:c r="L461" s="12" t="n">
        <x:v>166.20938300718805</x:v>
      </x:c>
      <x:c r="M461" s="12" t="n">
        <x:v>9</x:v>
      </x:c>
      <x:c r="N461" s="14" t="n">
        <x:v>0.7356062714899523</x:v>
      </x:c>
      <x:c r="O461" s="14" t="n">
        <x:v>0.2643937285100478</x:v>
      </x:c>
      <x:c r="P461" s="14" t="n">
        <x:v>0.5428631164652472</x:v>
      </x:c>
      <x:c r="Q461" s="14" t="n">
        <x:v>0.27771868332582733</x:v>
      </x:c>
      <x:c r="R461" s="14" t="n">
        <x:v>0.18989625141006725</x:v>
      </x:c>
      <x:c r="S461" s="14" t="n">
        <x:v>0.29289157822895756</x:v>
      </x:c>
      <x:c r="T461" t="str">
        <x:v>야간활성·직장밀집</x:v>
      </x:c>
      <x:c r="U461" s="16" t="n">
        <x:v>83.13529029823941</x:v>
      </x:c>
      <x:c r="V461" t="str">
        <x:v>커피-음료</x:v>
      </x:c>
      <x:c r="W461" t="str">
        <x:v>커피-음료 / 한식음식점 / 호프-간이주점</x:v>
      </x:c>
      <x:c r="X461" s="16" t="n">
        <x:v>70.43609467051157</x:v>
      </x:c>
    </x:row>
    <x:row r="462">
      <x:c r="A462" t="str">
        <x:v>3110654</x:v>
      </x:c>
      <x:c r="B462" t="str">
        <x:v>까치산역 4번</x:v>
      </x:c>
      <x:c r="C462" t="str">
        <x:v>골목상권</x:v>
      </x:c>
      <x:c r="D462" t="str">
        <x:v>강서구</x:v>
      </x:c>
      <x:c r="E462" t="str">
        <x:v>화곡1동</x:v>
      </x:c>
      <x:c r="F462" s="12" t="n">
        <x:v>276225</x:v>
      </x:c>
      <x:c r="G462" s="12" t="n">
        <x:v>8716691477</x:v>
      </x:c>
      <x:c r="H462" s="12" t="n">
        <x:v>623121</x:v>
      </x:c>
      <x:c r="I462" s="12" t="n">
        <x:v>13988.762177811372</x:v>
      </x:c>
      <x:c r="J462" s="12" t="n">
        <x:v>31556.490096841342</x:v>
      </x:c>
      <x:c r="K462" s="12" t="n">
        <x:v>897</x:v>
      </x:c>
      <x:c r="L462" s="12" t="n">
        <x:v>32.47352701601955</x:v>
      </x:c>
      <x:c r="M462" s="12" t="n">
        <x:v>33</x:v>
      </x:c>
      <x:c r="N462" s="14" t="n">
        <x:v>0.7194704873457803</x:v>
      </x:c>
      <x:c r="O462" s="14" t="n">
        <x:v>0.28052951265421966</x:v>
      </x:c>
      <x:c r="P462" s="14" t="n">
        <x:v>0.40215322421924926</x:v>
      </x:c>
      <x:c r="Q462" s="14" t="n">
        <x:v>0.21336854756273943</x:v>
      </x:c>
      <x:c r="R462" s="14" t="n">
        <x:v>0.2725002476303659</x:v>
      </x:c>
      <x:c r="S462" s="14" t="n">
        <x:v>0.40713938922401993</x:v>
      </x:c>
      <x:c r="T462" t="str">
        <x:v>2030소비·야간활성</x:v>
      </x:c>
      <x:c r="U462" s="16" t="n">
        <x:v>65.91309273949621</x:v>
      </x:c>
      <x:c r="V462" t="str">
        <x:v>자동차수리</x:v>
      </x:c>
      <x:c r="W462" t="str">
        <x:v>자동차수리 / 일반의류 / 미용실</x:v>
      </x:c>
      <x:c r="X462" s="16" t="n">
        <x:v>58.48753716391624</x:v>
      </x:c>
    </x:row>
    <x:row r="463">
      <x:c r="A463" t="str">
        <x:v>3110471</x:v>
      </x:c>
      <x:c r="B463" t="str">
        <x:v>응암동우체국</x:v>
      </x:c>
      <x:c r="C463" t="str">
        <x:v>골목상권</x:v>
      </x:c>
      <x:c r="D463" t="str">
        <x:v>은평구</x:v>
      </x:c>
      <x:c r="E463" t="str">
        <x:v>응암2동</x:v>
      </x:c>
      <x:c r="F463" s="12" t="n">
        <x:v>123744</x:v>
      </x:c>
      <x:c r="G463" s="12" t="n">
        <x:v>8709703462</x:v>
      </x:c>
      <x:c r="H463" s="12" t="n">
        <x:v>428833</x:v>
      </x:c>
      <x:c r="I463" s="12" t="n">
        <x:v>20310.245391562683</x:v>
      </x:c>
      <x:c r="J463" s="12" t="n">
        <x:v>70384.85471618826</x:v>
      </x:c>
      <x:c r="K463" s="12" t="n">
        <x:v>451</x:v>
      </x:c>
      <x:c r="L463" s="12" t="n">
        <x:v>36.44621153348849</x:v>
      </x:c>
      <x:c r="M463" s="12" t="n">
        <x:v>15</x:v>
      </x:c>
      <x:c r="N463" s="14" t="n">
        <x:v>0.7374769336320258</x:v>
      </x:c>
      <x:c r="O463" s="14" t="n">
        <x:v>0.2625230663679741</x:v>
      </x:c>
      <x:c r="P463" s="14" t="n">
        <x:v>0.3740391712775858</x:v>
      </x:c>
      <x:c r="Q463" s="14" t="n">
        <x:v>0.22544228222772528</x:v>
      </x:c>
      <x:c r="R463" s="14" t="n">
        <x:v>0.11446817705674948</x:v>
      </x:c>
      <x:c r="S463" s="14" t="n">
        <x:v>0.44498322703056</x:v>
      </x:c>
      <x:c r="T463" t="str">
        <x:v>균형형</x:v>
      </x:c>
      <x:c r="U463" s="16" t="n">
        <x:v>65.9456863004201</x:v>
      </x:c>
      <x:c r="V463" t="str">
        <x:v>슈퍼마켓</x:v>
      </x:c>
      <x:c r="W463" t="str">
        <x:v>슈퍼마켓 / 의약품 / 예술학원</x:v>
      </x:c>
      <x:c r="X463" s="16" t="n">
        <x:v>59.64562169064872</x:v>
      </x:c>
    </x:row>
    <x:row r="464">
      <x:c r="A464" t="str">
        <x:v>3130241</x:v>
      </x:c>
      <x:c r="B464" t="str">
        <x:v>선유도역 골목형상점가</x:v>
      </x:c>
      <x:c r="C464" t="str">
        <x:v>전통시장</x:v>
      </x:c>
      <x:c r="D464" t="str">
        <x:v>영등포구</x:v>
      </x:c>
      <x:c r="E464" t="str">
        <x:v>양평2동</x:v>
      </x:c>
      <x:c r="F464" s="12" t="n">
        <x:v>73950</x:v>
      </x:c>
      <x:c r="G464" s="12" t="n">
        <x:v>8709308663</x:v>
      </x:c>
      <x:c r="H464" s="12" t="n">
        <x:v>291779</x:v>
      </x:c>
      <x:c r="I464" s="12" t="n">
        <x:v>29848.990719003083</x:v>
      </x:c>
      <x:c r="J464" s="12" t="n">
        <x:v>117772.93661933739</x:v>
      </x:c>
      <x:c r="K464" s="12" t="n">
        <x:v>2951</x:v>
      </x:c>
      <x:c r="L464" s="12" t="n">
        <x:v>399.053414469236</x:v>
      </x:c>
      <x:c r="M464" s="12" t="n">
        <x:v>12</x:v>
      </x:c>
      <x:c r="N464" s="14" t="n">
        <x:v>0.7812258200131723</x:v>
      </x:c>
      <x:c r="O464" s="14" t="n">
        <x:v>0.21877417998682774</x:v>
      </x:c>
      <x:c r="P464" s="14" t="n">
        <x:v>0.4612050887649198</x:v>
      </x:c>
      <x:c r="Q464" s="14" t="n">
        <x:v>0.3516666111526928</x:v>
      </x:c>
      <x:c r="R464" s="14" t="n">
        <x:v>0.21468562194188479</x:v>
      </x:c>
      <x:c r="S464" s="14" t="n">
        <x:v>0.2776076315071347</x:v>
      </x:c>
      <x:c r="T464" t="str">
        <x:v>직장밀집·야간활성</x:v>
      </x:c>
      <x:c r="U464" s="16" t="n">
        <x:v>63.572155679560844</x:v>
      </x:c>
      <x:c r="V464" t="str">
        <x:v>노래방</x:v>
      </x:c>
      <x:c r="W464" t="str">
        <x:v>노래방 / 한식음식점 / 커피-음료</x:v>
      </x:c>
      <x:c r="X464" s="16" t="n">
        <x:v>59.57943061069585</x:v>
      </x:c>
    </x:row>
    <x:row r="465">
      <x:c r="A465" t="str">
        <x:v>3110084</x:v>
      </x:c>
      <x:c r="B465" t="str">
        <x:v>경리단길북측</x:v>
      </x:c>
      <x:c r="C465" t="str">
        <x:v>골목상권</x:v>
      </x:c>
      <x:c r="D465" t="str">
        <x:v>용산구</x:v>
      </x:c>
      <x:c r="E465" t="str">
        <x:v>이태원2동</x:v>
      </x:c>
      <x:c r="F465" s="12" t="n">
        <x:v>225725</x:v>
      </x:c>
      <x:c r="G465" s="12" t="n">
        <x:v>8701207265</x:v>
      </x:c>
      <x:c r="H465" s="12" t="n">
        <x:v>288850</x:v>
      </x:c>
      <x:c r="I465" s="12" t="n">
        <x:v>30123.618712134325</x:v>
      </x:c>
      <x:c r="J465" s="12" t="n">
        <x:v>38547.82263816591</x:v>
      </x:c>
      <x:c r="K465" s="12" t="n">
        <x:v>327</x:v>
      </x:c>
      <x:c r="L465" s="12" t="n">
        <x:v>14.48665411451988</x:v>
      </x:c>
      <x:c r="M465" s="12" t="n">
        <x:v>16</x:v>
      </x:c>
      <x:c r="N465" s="14" t="n">
        <x:v>0.6725736306202102</x:v>
      </x:c>
      <x:c r="O465" s="14" t="n">
        <x:v>0.32742636937978975</x:v>
      </x:c>
      <x:c r="P465" s="14" t="n">
        <x:v>0.5288306964608319</x:v>
      </x:c>
      <x:c r="Q465" s="14" t="n">
        <x:v>0.1384401717271356</x:v>
      </x:c>
      <x:c r="R465" s="14" t="n">
        <x:v>0.5175067042837532</x:v>
      </x:c>
      <x:c r="S465" s="14" t="n">
        <x:v>0.4354990751964348</x:v>
      </x:c>
      <x:c r="T465" t="str">
        <x:v>2030소비·야간활성</x:v>
      </x:c>
      <x:c r="U465" s="16" t="n">
        <x:v>71.04162765799246</x:v>
      </x:c>
      <x:c r="V465" t="str">
        <x:v>인테리어</x:v>
      </x:c>
      <x:c r="W465" t="str">
        <x:v>인테리어 / 슈퍼마켓 / 일반의류</x:v>
      </x:c>
      <x:c r="X465" s="16" t="n">
        <x:v>66.47620761505216</x:v>
      </x:c>
    </x:row>
    <x:row r="466">
      <x:c r="A466" t="str">
        <x:v>3110166</x:v>
      </x:c>
      <x:c r="B466" t="str">
        <x:v>구의1동주민센터</x:v>
      </x:c>
      <x:c r="C466" t="str">
        <x:v>골목상권</x:v>
      </x:c>
      <x:c r="D466" t="str">
        <x:v>광진구</x:v>
      </x:c>
      <x:c r="E466" t="str">
        <x:v>구의1동</x:v>
      </x:c>
      <x:c r="F466" s="12" t="n">
        <x:v>131620</x:v>
      </x:c>
      <x:c r="G466" s="12" t="n">
        <x:v>8675998319</x:v>
      </x:c>
      <x:c r="H466" s="12" t="n">
        <x:v>480191</x:v>
      </x:c>
      <x:c r="I466" s="12" t="n">
        <x:v>18067.807016374732</x:v>
      </x:c>
      <x:c r="J466" s="12" t="n">
        <x:v>65917.02111381249</x:v>
      </x:c>
      <x:c r="K466" s="12" t="n">
        <x:v>439</x:v>
      </x:c>
      <x:c r="L466" s="12" t="n">
        <x:v>33.35359367877222</x:v>
      </x:c>
      <x:c r="M466" s="12" t="n">
        <x:v>25</x:v>
      </x:c>
      <x:c r="N466" s="14" t="n">
        <x:v>0.730906370292025</x:v>
      </x:c>
      <x:c r="O466" s="14" t="n">
        <x:v>0.26909362970797507</x:v>
      </x:c>
      <x:c r="P466" s="14" t="n">
        <x:v>0.5302723543554435</x:v>
      </x:c>
      <x:c r="Q466" s="14" t="n">
        <x:v>0.1493580343557925</x:v>
      </x:c>
      <x:c r="R466" s="14" t="n">
        <x:v>0.3934194316894957</x:v>
      </x:c>
      <x:c r="S466" s="14" t="n">
        <x:v>0.366572133726113</x:v>
      </x:c>
      <x:c r="T466" t="str">
        <x:v>2030소비·야간활성</x:v>
      </x:c>
      <x:c r="U466" s="16" t="n">
        <x:v>71.55796453348485</x:v>
      </x:c>
      <x:c r="V466" t="str">
        <x:v>반찬가게</x:v>
      </x:c>
      <x:c r="W466" t="str">
        <x:v>반찬가게 / 의료기기 / 피부관리실</x:v>
      </x:c>
      <x:c r="X466" s="16" t="n">
        <x:v>59.29521509267878</x:v>
      </x:c>
    </x:row>
    <x:row r="467">
      <x:c r="A467" t="str">
        <x:v>3110140</x:v>
      </x:c>
      <x:c r="B467" t="str">
        <x:v>건대입구역 6번</x:v>
      </x:c>
      <x:c r="C467" t="str">
        <x:v>골목상권</x:v>
      </x:c>
      <x:c r="D467" t="str">
        <x:v>광진구</x:v>
      </x:c>
      <x:c r="E467" t="str">
        <x:v>자양4동</x:v>
      </x:c>
      <x:c r="F467" s="12" t="n">
        <x:v>179746</x:v>
      </x:c>
      <x:c r="G467" s="12" t="n">
        <x:v>8638409787</x:v>
      </x:c>
      <x:c r="H467" s="12" t="n">
        <x:v>390707</x:v>
      </x:c>
      <x:c r="I467" s="12" t="n">
        <x:v>22109.68778905932</x:v>
      </x:c>
      <x:c r="J467" s="12" t="n">
        <x:v>48058.982046888385</x:v>
      </x:c>
      <x:c r="K467" s="12" t="n">
        <x:v>194</x:v>
      </x:c>
      <x:c r="L467" s="12" t="n">
        <x:v>10.79300791116353</x:v>
      </x:c>
      <x:c r="M467" s="12" t="n">
        <x:v>19</x:v>
      </x:c>
      <x:c r="N467" s="14" t="n">
        <x:v>0.6581664112017658</x:v>
      </x:c>
      <x:c r="O467" s="14" t="n">
        <x:v>0.3418335887982342</x:v>
      </x:c>
      <x:c r="P467" s="14" t="n">
        <x:v>0.6354507267368653</x:v>
      </x:c>
      <x:c r="Q467" s="14" t="n">
        <x:v>0.10945785049731631</x:v>
      </x:c>
      <x:c r="R467" s="14" t="n">
        <x:v>0.48801576064893387</x:v>
      </x:c>
      <x:c r="S467" s="14" t="n">
        <x:v>0.3670480103608449</x:v>
      </x:c>
      <x:c r="T467" t="str">
        <x:v>야간활성·2030소비</x:v>
      </x:c>
      <x:c r="U467" s="16" t="n">
        <x:v>59.987605097980975</x:v>
      </x:c>
      <x:c r="V467" t="str">
        <x:v>중식음식점</x:v>
      </x:c>
      <x:c r="W467" t="str">
        <x:v>중식음식점 / 미용실 / 편의점</x:v>
      </x:c>
      <x:c r="X467" s="16" t="n">
        <x:v>56.350853410334125</x:v>
      </x:c>
    </x:row>
    <x:row r="468">
      <x:c r="A468" t="str">
        <x:v>3110717</x:v>
      </x:c>
      <x:c r="B468" t="str">
        <x:v>남구로역 2번</x:v>
      </x:c>
      <x:c r="C468" t="str">
        <x:v>골목상권</x:v>
      </x:c>
      <x:c r="D468" t="str">
        <x:v>구로구</x:v>
      </x:c>
      <x:c r="E468" t="str">
        <x:v>가리봉동</x:v>
      </x:c>
      <x:c r="F468" s="12" t="n">
        <x:v>206144</x:v>
      </x:c>
      <x:c r="G468" s="12" t="n">
        <x:v>8635674010</x:v>
      </x:c>
      <x:c r="H468" s="12" t="n">
        <x:v>470116</x:v>
      </x:c>
      <x:c r="I468" s="12" t="n">
        <x:v>18369.240804397214</x:v>
      </x:c>
      <x:c r="J468" s="12" t="n">
        <x:v>41891.46426769637</x:v>
      </x:c>
      <x:c r="K468" s="12" t="n">
        <x:v>605</x:v>
      </x:c>
      <x:c r="L468" s="12" t="n">
        <x:v>29.348416640794785</x:v>
      </x:c>
      <x:c r="M468" s="12" t="n">
        <x:v>32</x:v>
      </x:c>
      <x:c r="N468" s="14" t="n">
        <x:v>0.7519528516801898</x:v>
      </x:c>
      <x:c r="O468" s="14" t="n">
        <x:v>0.24804714831981017</x:v>
      </x:c>
      <x:c r="P468" s="14" t="n">
        <x:v>0.44310410508420756</x:v>
      </x:c>
      <x:c r="Q468" s="14" t="n">
        <x:v>0.16087673624447063</x:v>
      </x:c>
      <x:c r="R468" s="14" t="n">
        <x:v>0.18816912948755463</x:v>
      </x:c>
      <x:c r="S468" s="14" t="n">
        <x:v>0.36676144668411353</x:v>
      </x:c>
      <x:c r="T468" t="str">
        <x:v>야간활성</x:v>
      </x:c>
      <x:c r="U468" s="16" t="n">
        <x:v>75.16901227465252</x:v>
      </x:c>
      <x:c r="V468" t="str">
        <x:v>화초</x:v>
      </x:c>
      <x:c r="W468" t="str">
        <x:v>화초 / 네일숍 / 일반교습학원</x:v>
      </x:c>
      <x:c r="X468" s="16" t="n">
        <x:v>62.19367028554582</x:v>
      </x:c>
    </x:row>
    <x:row r="469">
      <x:c r="A469" t="str">
        <x:v>3110421</x:v>
      </x:c>
      <x:c r="B469" t="str">
        <x:v>석계역 1번</x:v>
      </x:c>
      <x:c r="C469" t="str">
        <x:v>골목상권</x:v>
      </x:c>
      <x:c r="D469" t="str">
        <x:v>노원구</x:v>
      </x:c>
      <x:c r="E469" t="str">
        <x:v>월계1동</x:v>
      </x:c>
      <x:c r="F469" s="12" t="n">
        <x:v>69794</x:v>
      </x:c>
      <x:c r="G469" s="12" t="n">
        <x:v>8575588334</x:v>
      </x:c>
      <x:c r="H469" s="12" t="n">
        <x:v>391761</x:v>
      </x:c>
      <x:c r="I469" s="12" t="n">
        <x:v>21889.846957711463</x:v>
      </x:c>
      <x:c r="J469" s="12" t="n">
        <x:v>122869.99360976588</x:v>
      </x:c>
      <x:c r="K469" s="12" t="n">
        <x:v>415</x:v>
      </x:c>
      <x:c r="L469" s="12" t="n">
        <x:v>59.46069862738918</x:v>
      </x:c>
      <x:c r="M469" s="12" t="n">
        <x:v>18</x:v>
      </x:c>
      <x:c r="N469" s="14" t="n">
        <x:v>0.731966132412531</x:v>
      </x:c>
      <x:c r="O469" s="14" t="n">
        <x:v>0.268033867587469</x:v>
      </x:c>
      <x:c r="P469" s="14" t="n">
        <x:v>0.47052148853767495</x:v>
      </x:c>
      <x:c r="Q469" s="14" t="n">
        <x:v>0.19584923058178133</x:v>
      </x:c>
      <x:c r="R469" s="14" t="n">
        <x:v>0.2821612487398115</x:v>
      </x:c>
      <x:c r="S469" s="14" t="n">
        <x:v>0.42282904026815427</x:v>
      </x:c>
      <x:c r="T469" t="str">
        <x:v>야간활성·2030소비</x:v>
      </x:c>
      <x:c r="U469" s="16" t="n">
        <x:v>69.51766270398097</x:v>
      </x:c>
      <x:c r="V469" t="str">
        <x:v>의약품</x:v>
      </x:c>
      <x:c r="W469" t="str">
        <x:v>의약품 / 패스트푸드점 / 커피-음료</x:v>
      </x:c>
      <x:c r="X469" s="16" t="n">
        <x:v>60.17002490692256</x:v>
      </x:c>
    </x:row>
    <x:row r="470">
      <x:c r="A470" t="str">
        <x:v>3110048</x:v>
      </x:c>
      <x:c r="B470" t="str">
        <x:v>장충동주민센터</x:v>
      </x:c>
      <x:c r="C470" t="str">
        <x:v>골목상권</x:v>
      </x:c>
      <x:c r="D470" t="str">
        <x:v>중구</x:v>
      </x:c>
      <x:c r="E470" t="str">
        <x:v>장충동</x:v>
      </x:c>
      <x:c r="F470" s="12" t="n">
        <x:v>135606</x:v>
      </x:c>
      <x:c r="G470" s="12" t="n">
        <x:v>8570987251</x:v>
      </x:c>
      <x:c r="H470" s="12" t="n">
        <x:v>71253</x:v>
      </x:c>
      <x:c r="I470" s="12" t="n">
        <x:v>120289.49308801033</x:v>
      </x:c>
      <x:c r="J470" s="12" t="n">
        <x:v>63205.07389791012</x:v>
      </x:c>
      <x:c r="K470" s="12" t="n">
        <x:v>1079</x:v>
      </x:c>
      <x:c r="L470" s="12" t="n">
        <x:v>79.56875064525168</x:v>
      </x:c>
      <x:c r="M470" s="12" t="n">
        <x:v>4</x:v>
      </x:c>
      <x:c r="N470" s="14" t="n">
        <x:v>0.9336735575083637</x:v>
      </x:c>
      <x:c r="O470" s="14" t="n">
        <x:v>0.06632644249163637</x:v>
      </x:c>
      <x:c r="P470" s="14" t="n">
        <x:v>0.1487802593395784</x:v>
      </x:c>
      <x:c r="Q470" s="14" t="n">
        <x:v>0.42784540457368603</x:v>
      </x:c>
      <x:c r="R470" s="14" t="n">
        <x:v>0.10101430589562313</x:v>
      </x:c>
      <x:c r="S470" s="14" t="n">
        <x:v>0.3666513270840939</x:v>
      </x:c>
      <x:c r="T470" t="str">
        <x:v>평일집중·고매출밀도</x:v>
      </x:c>
      <x:c r="U470" s="16" t="n">
        <x:v>79.60890501372386</x:v>
      </x:c>
      <x:c r="V470" t="str">
        <x:v>일반의류</x:v>
      </x:c>
      <x:c r="W470" t="str">
        <x:v>일반의류 / 슈퍼마켓 / 커피-음료</x:v>
      </x:c>
      <x:c r="X470" s="16" t="n">
        <x:v>58.80552806871614</x:v>
      </x:c>
    </x:row>
    <x:row r="471">
      <x:c r="A471" t="str">
        <x:v>3110316</x:v>
      </x:c>
      <x:c r="B471" t="str">
        <x:v>숭곡초등학교</x:v>
      </x:c>
      <x:c r="C471" t="str">
        <x:v>골목상권</x:v>
      </x:c>
      <x:c r="D471" t="str">
        <x:v>성북구</x:v>
      </x:c>
      <x:c r="E471" t="str">
        <x:v>월곡1동</x:v>
      </x:c>
      <x:c r="F471" s="12" t="n">
        <x:v>180619</x:v>
      </x:c>
      <x:c r="G471" s="12" t="n">
        <x:v>8570598676</x:v>
      </x:c>
      <x:c r="H471" s="12" t="n">
        <x:v>336945</x:v>
      </x:c>
      <x:c r="I471" s="12" t="n">
        <x:v>25436.194856727358</x:v>
      </x:c>
      <x:c r="J471" s="12" t="n">
        <x:v>47451.257486753886</x:v>
      </x:c>
      <x:c r="K471" s="12" t="n">
        <x:v>961</x:v>
      </x:c>
      <x:c r="L471" s="12" t="n">
        <x:v>53.205919643005444</x:v>
      </x:c>
      <x:c r="M471" s="12" t="n">
        <x:v>28</x:v>
      </x:c>
      <x:c r="N471" s="14" t="n">
        <x:v>0.8013573139566755</x:v>
      </x:c>
      <x:c r="O471" s="14" t="n">
        <x:v>0.1986426860433244</x:v>
      </x:c>
      <x:c r="P471" s="14" t="n">
        <x:v>0.22678711773576457</x:v>
      </x:c>
      <x:c r="Q471" s="14" t="n">
        <x:v>0.2898756606066524</x:v>
      </x:c>
      <x:c r="R471" s="14" t="n">
        <x:v>0.12751445777765175</x:v>
      </x:c>
      <x:c r="S471" s="14" t="n">
        <x:v>0.5259938291853348</x:v>
      </x:c>
      <x:c r="T471" t="str">
        <x:v>여성소비·평일집중</x:v>
      </x:c>
      <x:c r="U471" s="16" t="n">
        <x:v>77.6810910828618</x:v>
      </x:c>
      <x:c r="V471" t="str">
        <x:v>피부관리실</x:v>
      </x:c>
      <x:c r="W471" t="str">
        <x:v>피부관리실 / 인테리어 / 시계및귀금속</x:v>
      </x:c>
      <x:c r="X471" s="16" t="n">
        <x:v>67.9548050813908</x:v>
      </x:c>
    </x:row>
    <x:row r="472">
      <x:c r="A472" t="str">
        <x:v>3110695</x:v>
      </x:c>
      <x:c r="B472" t="str">
        <x:v>개봉1동주민센터</x:v>
      </x:c>
      <x:c r="C472" t="str">
        <x:v>골목상권</x:v>
      </x:c>
      <x:c r="D472" t="str">
        <x:v>구로구</x:v>
      </x:c>
      <x:c r="E472" t="str">
        <x:v>고척2동</x:v>
      </x:c>
      <x:c r="F472" s="12" t="n">
        <x:v>191612</x:v>
      </x:c>
      <x:c r="G472" s="12" t="n">
        <x:v>8564165267</x:v>
      </x:c>
      <x:c r="H472" s="12" t="n">
        <x:v>348574</x:v>
      </x:c>
      <x:c r="I472" s="12" t="n">
        <x:v>24569.14533786226</x:v>
      </x:c>
      <x:c r="J472" s="12" t="n">
        <x:v>44695.34928396969</x:v>
      </x:c>
      <x:c r="K472" s="12" t="n">
        <x:v>1173</x:v>
      </x:c>
      <x:c r="L472" s="12" t="n">
        <x:v>61.21746028432457</x:v>
      </x:c>
      <x:c r="M472" s="12" t="n">
        <x:v>25</x:v>
      </x:c>
      <x:c r="N472" s="14" t="n">
        <x:v>0.7590260329337477</x:v>
      </x:c>
      <x:c r="O472" s="14" t="n">
        <x:v>0.24097396706625232</x:v>
      </x:c>
      <x:c r="P472" s="14" t="n">
        <x:v>0.32676055432782203</x:v>
      </x:c>
      <x:c r="Q472" s="14" t="n">
        <x:v>0.344187111540009</x:v>
      </x:c>
      <x:c r="R472" s="14" t="n">
        <x:v>0.1024282721843462</x:v>
      </x:c>
      <x:c r="S472" s="14" t="n">
        <x:v>0.43190006786215374</x:v>
      </x:c>
      <x:c r="T472" t="str">
        <x:v>균형형</x:v>
      </x:c>
      <x:c r="U472" s="16" t="n">
        <x:v>67.40537026465046</x:v>
      </x:c>
      <x:c r="V472" t="str">
        <x:v>세탁소</x:v>
      </x:c>
      <x:c r="W472" t="str">
        <x:v>세탁소 / 미용실 / 화초</x:v>
      </x:c>
      <x:c r="X472" s="16" t="n">
        <x:v>64.51570861370826</x:v>
      </x:c>
    </x:row>
    <x:row r="473">
      <x:c r="A473" t="str">
        <x:v>3120016</x:v>
      </x:c>
      <x:c r="B473" t="str">
        <x:v>동대문역</x:v>
      </x:c>
      <x:c r="C473" t="str">
        <x:v>발달상권</x:v>
      </x:c>
      <x:c r="D473" t="str">
        <x:v>종로구</x:v>
      </x:c>
      <x:c r="E473" t="str">
        <x:v>창신1동</x:v>
      </x:c>
      <x:c r="F473" s="12" t="n">
        <x:v>58788</x:v>
      </x:c>
      <x:c r="G473" s="12" t="n">
        <x:v>8510085172</x:v>
      </x:c>
      <x:c r="H473" s="12" t="n">
        <x:v>330547</x:v>
      </x:c>
      <x:c r="I473" s="12" t="n">
        <x:v>25745.461831449084</x:v>
      </x:c>
      <x:c r="J473" s="12" t="n">
        <x:v>144758.8822889025</x:v>
      </x:c>
      <x:c r="K473" s="12" t="n">
        <x:v>487</x:v>
      </x:c>
      <x:c r="L473" s="12" t="n">
        <x:v>82.84003538137034</x:v>
      </x:c>
      <x:c r="M473" s="12" t="n">
        <x:v>17</x:v>
      </x:c>
      <x:c r="N473" s="14" t="n">
        <x:v>0.7076149619293141</x:v>
      </x:c>
      <x:c r="O473" s="14" t="n">
        <x:v>0.29238503807068594</x:v>
      </x:c>
      <x:c r="P473" s="14" t="n">
        <x:v>0.41988902916705145</x:v>
      </x:c>
      <x:c r="Q473" s="14" t="n">
        <x:v>0.24869987082662773</x:v>
      </x:c>
      <x:c r="R473" s="14" t="n">
        <x:v>0.24191272853220747</x:v>
      </x:c>
      <x:c r="S473" s="14" t="n">
        <x:v>0.396319005254722</x:v>
      </x:c>
      <x:c r="T473" t="str">
        <x:v>고매출밀도·야간활성</x:v>
      </x:c>
      <x:c r="U473" s="16" t="n">
        <x:v>69.25694498164401</x:v>
      </x:c>
      <x:c r="V473" t="str">
        <x:v>시계및귀금속</x:v>
      </x:c>
      <x:c r="W473" t="str">
        <x:v>시계및귀금속 / 편의점 / 호프-간이주점</x:v>
      </x:c>
      <x:c r="X473" s="16" t="n">
        <x:v>65.47620239971374</x:v>
      </x:c>
    </x:row>
    <x:row r="474">
      <x:c r="A474" t="str">
        <x:v>3110228</x:v>
      </x:c>
      <x:c r="B474" t="str">
        <x:v>장안근린공원</x:v>
      </x:c>
      <x:c r="C474" t="str">
        <x:v>골목상권</x:v>
      </x:c>
      <x:c r="D474" t="str">
        <x:v>동대문구</x:v>
      </x:c>
      <x:c r="E474" t="str">
        <x:v>장안2동</x:v>
      </x:c>
      <x:c r="F474" s="12" t="n">
        <x:v>177937</x:v>
      </x:c>
      <x:c r="G474" s="12" t="n">
        <x:v>8436115764</x:v>
      </x:c>
      <x:c r="H474" s="12" t="n">
        <x:v>489829</x:v>
      </x:c>
      <x:c r="I474" s="12" t="n">
        <x:v>17222.57311020785</x:v>
      </x:c>
      <x:c r="J474" s="12" t="n">
        <x:v>47410.68897418749</x:v>
      </x:c>
      <x:c r="K474" s="12" t="n">
        <x:v>813</x:v>
      </x:c>
      <x:c r="L474" s="12" t="n">
        <x:v>45.69032859944812</x:v>
      </x:c>
      <x:c r="M474" s="12" t="n">
        <x:v>17</x:v>
      </x:c>
      <x:c r="N474" s="14" t="n">
        <x:v>0.696140702935949</x:v>
      </x:c>
      <x:c r="O474" s="14" t="n">
        <x:v>0.30385929706405107</x:v>
      </x:c>
      <x:c r="P474" s="14" t="n">
        <x:v>0.46194215620296697</x:v>
      </x:c>
      <x:c r="Q474" s="14" t="n">
        <x:v>0.22254534118789981</x:v>
      </x:c>
      <x:c r="R474" s="14" t="n">
        <x:v>0.124517134826743</x:v>
      </x:c>
      <x:c r="S474" s="14" t="n">
        <x:v>0.43596596287769956</x:v>
      </x:c>
      <x:c r="T474" t="str">
        <x:v>야간활성</x:v>
      </x:c>
      <x:c r="U474" s="16" t="n">
        <x:v>58.211604595606005</x:v>
      </x:c>
      <x:c r="V474" t="str">
        <x:v>슈퍼마켓</x:v>
      </x:c>
      <x:c r="W474" t="str">
        <x:v>슈퍼마켓 / 일반의류 / 인테리어</x:v>
      </x:c>
      <x:c r="X474" s="16" t="n">
        <x:v>50.18677977435061</x:v>
      </x:c>
    </x:row>
    <x:row r="475">
      <x:c r="A475" t="str">
        <x:v>3110495</x:v>
      </x:c>
      <x:c r="B475" t="str">
        <x:v>북가좌2동주민센터</x:v>
      </x:c>
      <x:c r="C475" t="str">
        <x:v>골목상권</x:v>
      </x:c>
      <x:c r="D475" t="str">
        <x:v>서대문구</x:v>
      </x:c>
      <x:c r="E475" t="str">
        <x:v>북가좌2동</x:v>
      </x:c>
      <x:c r="F475" s="12" t="n">
        <x:v>183812</x:v>
      </x:c>
      <x:c r="G475" s="12" t="n">
        <x:v>8435674358</x:v>
      </x:c>
      <x:c r="H475" s="12" t="n">
        <x:v>366060</x:v>
      </x:c>
      <x:c r="I475" s="12" t="n">
        <x:v>23044.51280664372</x:v>
      </x:c>
      <x:c r="J475" s="12" t="n">
        <x:v>45892.946913150394</x:v>
      </x:c>
      <x:c r="K475" s="12" t="n">
        <x:v>446</x:v>
      </x:c>
      <x:c r="L475" s="12" t="n">
        <x:v>24.263921833177378</x:v>
      </x:c>
      <x:c r="M475" s="12" t="n">
        <x:v>23</x:v>
      </x:c>
      <x:c r="N475" s="14" t="n">
        <x:v>0.7410042770406334</x:v>
      </x:c>
      <x:c r="O475" s="14" t="n">
        <x:v>0.2589957229593665</x:v>
      </x:c>
      <x:c r="P475" s="14" t="n">
        <x:v>0.42655500239735544</x:v>
      </x:c>
      <x:c r="Q475" s="14" t="n">
        <x:v>0.25799858785871826</x:v>
      </x:c>
      <x:c r="R475" s="14" t="n">
        <x:v>0.17872151709723455</x:v>
      </x:c>
      <x:c r="S475" s="14" t="n">
        <x:v>0.435194867203289</x:v>
      </x:c>
      <x:c r="T475" t="str">
        <x:v>야간활성</x:v>
      </x:c>
      <x:c r="U475" s="16" t="n">
        <x:v>65.04568977229023</x:v>
      </x:c>
      <x:c r="V475" t="str">
        <x:v>한식음식점</x:v>
      </x:c>
      <x:c r="W475" t="str">
        <x:v>한식음식점 / 핸드폰 / 슈퍼마켓</x:v>
      </x:c>
      <x:c r="X475" s="16" t="n">
        <x:v>62.345464220102045</x:v>
      </x:c>
    </x:row>
    <x:row r="476">
      <x:c r="A476" t="str">
        <x:v>3130165</x:v>
      </x:c>
      <x:c r="B476" t="str">
        <x:v>대림골목시장(대림시장, 양지시장)</x:v>
      </x:c>
      <x:c r="C476" t="str">
        <x:v>전통시장</x:v>
      </x:c>
      <x:c r="D476" t="str">
        <x:v>은평구</x:v>
      </x:c>
      <x:c r="E476" t="str">
        <x:v>응암3동</x:v>
      </x:c>
      <x:c r="F476" s="12" t="n">
        <x:v>25330</x:v>
      </x:c>
      <x:c r="G476" s="12" t="n">
        <x:v>8429843568</x:v>
      </x:c>
      <x:c r="H476" s="12" t="n">
        <x:v>380113</x:v>
      </x:c>
      <x:c r="I476" s="12" t="n">
        <x:v>22177.20406300232</x:v>
      </x:c>
      <x:c r="J476" s="12" t="n">
        <x:v>332800.77252270037</x:v>
      </x:c>
      <x:c r="K476" s="12" t="n">
        <x:v>199</x:v>
      </x:c>
      <x:c r="L476" s="12" t="n">
        <x:v>78.56296881168575</x:v>
      </x:c>
      <x:c r="M476" s="12" t="n">
        <x:v>13</x:v>
      </x:c>
      <x:c r="N476" s="14" t="n">
        <x:v>0.692812172359875</x:v>
      </x:c>
      <x:c r="O476" s="14" t="n">
        <x:v>0.307187827640125</x:v>
      </x:c>
      <x:c r="P476" s="14" t="n">
        <x:v>0.28700950029301897</x:v>
      </x:c>
      <x:c r="Q476" s="14" t="n">
        <x:v>0.2804292631210544</x:v>
      </x:c>
      <x:c r="R476" s="14" t="n">
        <x:v>0.14081053692454473</x:v>
      </x:c>
      <x:c r="S476" s="14" t="n">
        <x:v>0.5491882865506573</x:v>
      </x:c>
      <x:c r="T476" t="str">
        <x:v>고매출밀도·여성소비</x:v>
      </x:c>
      <x:c r="U476" s="16" t="n">
        <x:v>74.14288536867623</x:v>
      </x:c>
      <x:c r="V476" t="str">
        <x:v>육류판매</x:v>
      </x:c>
      <x:c r="W476" t="str">
        <x:v>육류판매 / 섬유제품 / 반찬가게</x:v>
      </x:c>
      <x:c r="X476" s="16" t="n">
        <x:v>65.51236814725334</x:v>
      </x:c>
    </x:row>
    <x:row r="477">
      <x:c r="A477" t="str">
        <x:v>3111053</x:v>
      </x:c>
      <x:c r="B477" t="str">
        <x:v>성내천어린이공원(하니사랑길)</x:v>
      </x:c>
      <x:c r="C477" t="str">
        <x:v>골목상권</x:v>
      </x:c>
      <x:c r="D477" t="str">
        <x:v>강동구</x:v>
      </x:c>
      <x:c r="E477" t="str">
        <x:v>성내1동</x:v>
      </x:c>
      <x:c r="F477" s="12" t="n">
        <x:v>139845</x:v>
      </x:c>
      <x:c r="G477" s="12" t="n">
        <x:v>8384687785</x:v>
      </x:c>
      <x:c r="H477" s="12" t="n">
        <x:v>190119</x:v>
      </x:c>
      <x:c r="I477" s="12" t="n">
        <x:v>44102.31373508171</x:v>
      </x:c>
      <x:c r="J477" s="12" t="n">
        <x:v>59957.00800886696</x:v>
      </x:c>
      <x:c r="K477" s="12" t="n">
        <x:v>2412</x:v>
      </x:c>
      <x:c r="L477" s="12" t="n">
        <x:v>172.4766705995924</x:v>
      </x:c>
      <x:c r="M477" s="12" t="n">
        <x:v>15</x:v>
      </x:c>
      <x:c r="N477" s="14" t="n">
        <x:v>0.7365151111586679</x:v>
      </x:c>
      <x:c r="O477" s="14" t="n">
        <x:v>0.2634848888413321</x:v>
      </x:c>
      <x:c r="P477" s="14" t="n">
        <x:v>0.34109495312591415</x:v>
      </x:c>
      <x:c r="Q477" s="14" t="n">
        <x:v>0.2949167809711116</x:v>
      </x:c>
      <x:c r="R477" s="14" t="n">
        <x:v>0.214486425268845</x:v>
      </x:c>
      <x:c r="S477" s="14" t="n">
        <x:v>0.3301601942713243</x:v>
      </x:c>
      <x:c r="T477" t="str">
        <x:v>직장밀집·고매출밀도</x:v>
      </x:c>
      <x:c r="U477" s="16" t="n">
        <x:v>74.4659897521576</x:v>
      </x:c>
      <x:c r="V477" t="str">
        <x:v>자동차수리</x:v>
      </x:c>
      <x:c r="W477" t="str">
        <x:v>자동차수리 / 일반의류 / 자전거 및 기타운송장비</x:v>
      </x:c>
      <x:c r="X477" s="16" t="n">
        <x:v>64.35496728782365</x:v>
      </x:c>
    </x:row>
    <x:row r="478">
      <x:c r="A478" t="str">
        <x:v>3110256</x:v>
      </x:c>
      <x:c r="B478" t="str">
        <x:v>면목2동체육관</x:v>
      </x:c>
      <x:c r="C478" t="str">
        <x:v>골목상권</x:v>
      </x:c>
      <x:c r="D478" t="str">
        <x:v>중랑구</x:v>
      </x:c>
      <x:c r="E478" t="str">
        <x:v>면목2동</x:v>
      </x:c>
      <x:c r="F478" s="12" t="n">
        <x:v>221861</x:v>
      </x:c>
      <x:c r="G478" s="12" t="n">
        <x:v>8312511698</x:v>
      </x:c>
      <x:c r="H478" s="12" t="n">
        <x:v>395847</x:v>
      </x:c>
      <x:c r="I478" s="12" t="n">
        <x:v>20999.30452422274</x:v>
      </x:c>
      <x:c r="J478" s="12" t="n">
        <x:v>37467.20558367627</x:v>
      </x:c>
      <x:c r="K478" s="12" t="n">
        <x:v>307</x:v>
      </x:c>
      <x:c r="L478" s="12" t="n">
        <x:v>13.837492844618927</x:v>
      </x:c>
      <x:c r="M478" s="12" t="n">
        <x:v>17</x:v>
      </x:c>
      <x:c r="N478" s="14" t="n">
        <x:v>0.7482741632106874</x:v>
      </x:c>
      <x:c r="O478" s="14" t="n">
        <x:v>0.25172583678931265</x:v>
      </x:c>
      <x:c r="P478" s="14" t="n">
        <x:v>0.335925292432593</x:v>
      </x:c>
      <x:c r="Q478" s="14" t="n">
        <x:v>0.3448056238753458</x:v>
      </x:c>
      <x:c r="R478" s="14" t="n">
        <x:v>0.1723098657827597</x:v>
      </x:c>
      <x:c r="S478" s="14" t="n">
        <x:v>0.30804608101978276</x:v>
      </x:c>
      <x:c r="T478" t="str">
        <x:v>균형형</x:v>
      </x:c>
      <x:c r="U478" s="16" t="n">
        <x:v>67.87327262077625</x:v>
      </x:c>
      <x:c r="V478" t="str">
        <x:v>반찬가게</x:v>
      </x:c>
      <x:c r="W478" t="str">
        <x:v>반찬가게 / 자동차수리 / 슈퍼마켓</x:v>
      </x:c>
      <x:c r="X478" s="16" t="n">
        <x:v>61.01205502620148</x:v>
      </x:c>
    </x:row>
    <x:row r="479">
      <x:c r="A479" t="str">
        <x:v>3110410</x:v>
      </x:c>
      <x:c r="B479" t="str">
        <x:v>방학역 2번</x:v>
      </x:c>
      <x:c r="C479" t="str">
        <x:v>골목상권</x:v>
      </x:c>
      <x:c r="D479" t="str">
        <x:v>도봉구</x:v>
      </x:c>
      <x:c r="E479" t="str">
        <x:v>방학1동</x:v>
      </x:c>
      <x:c r="F479" s="12" t="n">
        <x:v>130951</x:v>
      </x:c>
      <x:c r="G479" s="12" t="n">
        <x:v>8295603136</x:v>
      </x:c>
      <x:c r="H479" s="12" t="n">
        <x:v>398407</x:v>
      </x:c>
      <x:c r="I479" s="12" t="n">
        <x:v>20821.931180928044</x:v>
      </x:c>
      <x:c r="J479" s="12" t="n">
        <x:v>63348.910172507276</x:v>
      </x:c>
      <x:c r="K479" s="12" t="n">
        <x:v>1257</x:v>
      </x:c>
      <x:c r="L479" s="12" t="n">
        <x:v>95.99010316836068</x:v>
      </x:c>
      <x:c r="M479" s="12" t="n">
        <x:v>26</x:v>
      </x:c>
      <x:c r="N479" s="14" t="n">
        <x:v>0.7750380112928296</x:v>
      </x:c>
      <x:c r="O479" s="14" t="n">
        <x:v>0.2249619887071705</x:v>
      </x:c>
      <x:c r="P479" s="14" t="n">
        <x:v>0.4154352079650885</x:v>
      </x:c>
      <x:c r="Q479" s="14" t="n">
        <x:v>0.2283267829894412</x:v>
      </x:c>
      <x:c r="R479" s="14" t="n">
        <x:v>0.21499584970020436</x:v>
      </x:c>
      <x:c r="S479" s="14" t="n">
        <x:v>0.43905393812706134</x:v>
      </x:c>
      <x:c r="T479" t="str">
        <x:v>평일집중·야간활성</x:v>
      </x:c>
      <x:c r="U479" s="16" t="n">
        <x:v>68.3328695196278</x:v>
      </x:c>
      <x:c r="V479" t="str">
        <x:v>의약품</x:v>
      </x:c>
      <x:c r="W479" t="str">
        <x:v>의약품 / 일반교습학원 / 커피-음료</x:v>
      </x:c>
      <x:c r="X479" s="16" t="n">
        <x:v>64.31116953637444</x:v>
      </x:c>
    </x:row>
    <x:row r="480">
      <x:c r="A480" t="str">
        <x:v>3110643</x:v>
      </x:c>
      <x:c r="B480" t="str">
        <x:v>강서구다솔마을</x:v>
      </x:c>
      <x:c r="C480" t="str">
        <x:v>골목상권</x:v>
      </x:c>
      <x:c r="D480" t="str">
        <x:v>강서구</x:v>
      </x:c>
      <x:c r="E480" t="str">
        <x:v>공항동</x:v>
      </x:c>
      <x:c r="F480" s="12" t="n">
        <x:v>127210</x:v>
      </x:c>
      <x:c r="G480" s="12" t="n">
        <x:v>8286837978</x:v>
      </x:c>
      <x:c r="H480" s="12" t="n">
        <x:v>115080</x:v>
      </x:c>
      <x:c r="I480" s="12" t="n">
        <x:v>72009.36720542231</x:v>
      </x:c>
      <x:c r="J480" s="12" t="n">
        <x:v>65142.97600817546</x:v>
      </x:c>
      <x:c r="K480" s="12" t="n">
        <x:v>1346</x:v>
      </x:c>
      <x:c r="L480" s="12" t="n">
        <x:v>105.80929172234887</x:v>
      </x:c>
      <x:c r="M480" s="12" t="n">
        <x:v>12</x:v>
      </x:c>
      <x:c r="N480" s="14" t="n">
        <x:v>0.7740708609278423</x:v>
      </x:c>
      <x:c r="O480" s="14" t="n">
        <x:v>0.2259291390721577</x:v>
      </x:c>
      <x:c r="P480" s="14" t="n">
        <x:v>0.10210890224309874</x:v>
      </x:c>
      <x:c r="Q480" s="14" t="n">
        <x:v>0.2686689197871029</x:v>
      </x:c>
      <x:c r="R480" s="14" t="n">
        <x:v>0.18798573088259793</x:v>
      </x:c>
      <x:c r="S480" s="14" t="n">
        <x:v>0.43345876962191043</x:v>
      </x:c>
      <x:c r="T480" t="str">
        <x:v>평일집중·직장밀집</x:v>
      </x:c>
      <x:c r="U480" s="16" t="n">
        <x:v>65.82195623743559</x:v>
      </x:c>
      <x:c r="V480" t="str">
        <x:v>육류판매</x:v>
      </x:c>
      <x:c r="W480" t="str">
        <x:v>육류판매 / 반찬가게 / 한식음식점</x:v>
      </x:c>
      <x:c r="X480" s="16" t="n">
        <x:v>59.871083403468674</x:v>
      </x:c>
    </x:row>
    <x:row r="481">
      <x:c r="A481" t="str">
        <x:v>3110593</x:v>
      </x:c>
      <x:c r="B481" t="str">
        <x:v>신월3동주민센터</x:v>
      </x:c>
      <x:c r="C481" t="str">
        <x:v>골목상권</x:v>
      </x:c>
      <x:c r="D481" t="str">
        <x:v>양천구</x:v>
      </x:c>
      <x:c r="E481" t="str">
        <x:v>신월3동</x:v>
      </x:c>
      <x:c r="F481" s="12" t="n">
        <x:v>177705</x:v>
      </x:c>
      <x:c r="G481" s="12" t="n">
        <x:v>8263457884</x:v>
      </x:c>
      <x:c r="H481" s="12" t="n">
        <x:v>462806</x:v>
      </x:c>
      <x:c r="I481" s="12" t="n">
        <x:v>17855.12263021655</x:v>
      </x:c>
      <x:c r="J481" s="12" t="n">
        <x:v>46500.98693902817</x:v>
      </x:c>
      <x:c r="K481" s="12" t="n">
        <x:v>520</x:v>
      </x:c>
      <x:c r="L481" s="12" t="n">
        <x:v>29.26197912270336</x:v>
      </x:c>
      <x:c r="M481" s="12" t="n">
        <x:v>21</x:v>
      </x:c>
      <x:c r="N481" s="14" t="n">
        <x:v>0.7670897249048048</x:v>
      </x:c>
      <x:c r="O481" s="14" t="n">
        <x:v>0.23291027509519524</x:v>
      </x:c>
      <x:c r="P481" s="14" t="n">
        <x:v>0.28446679029507355</x:v>
      </x:c>
      <x:c r="Q481" s="14" t="n">
        <x:v>0.28087202144443096</x:v>
      </x:c>
      <x:c r="R481" s="14" t="n">
        <x:v>0.2068901127105932</x:v>
      </x:c>
      <x:c r="S481" s="14" t="n">
        <x:v>0.450016412039839</x:v>
      </x:c>
      <x:c r="T481" t="str">
        <x:v>균형형</x:v>
      </x:c>
      <x:c r="U481" s="16" t="n">
        <x:v>74.43068020044318</x:v>
      </x:c>
      <x:c r="V481" t="str">
        <x:v>일반의원</x:v>
      </x:c>
      <x:c r="W481" t="str">
        <x:v>일반의원 / 일반의류 / 의약품</x:v>
      </x:c>
      <x:c r="X481" s="16" t="n">
        <x:v>69.57154387007371</x:v>
      </x:c>
    </x:row>
    <x:row r="482">
      <x:c r="A482" t="str">
        <x:v>3111011</x:v>
      </x:c>
      <x:c r="B482" t="str">
        <x:v>잠실나루역</x:v>
      </x:c>
      <x:c r="C482" t="str">
        <x:v>골목상권</x:v>
      </x:c>
      <x:c r="D482" t="str">
        <x:v>송파구</x:v>
      </x:c>
      <x:c r="E482" t="str">
        <x:v>잠실4동</x:v>
      </x:c>
      <x:c r="F482" s="12" t="n">
        <x:v>25839</x:v>
      </x:c>
      <x:c r="G482" s="12" t="n">
        <x:v>8236250611</x:v>
      </x:c>
      <x:c r="H482" s="12" t="n">
        <x:v>322389</x:v>
      </x:c>
      <x:c r="I482" s="12" t="n">
        <x:v>25547.554696345098</x:v>
      </x:c>
      <x:c r="J482" s="12" t="n">
        <x:v>318752.6843531096</x:v>
      </x:c>
      <x:c r="K482" s="12" t="n">
        <x:v>4438</x:v>
      </x:c>
      <x:c r="L482" s="12" t="n">
        <x:v>1717.558729052982</x:v>
      </x:c>
      <x:c r="M482" s="12" t="n">
        <x:v>12</x:v>
      </x:c>
      <x:c r="N482" s="14" t="n">
        <x:v>0.7943895403403237</x:v>
      </x:c>
      <x:c r="O482" s="14" t="n">
        <x:v>0.20561045965967634</x:v>
      </x:c>
      <x:c r="P482" s="14" t="n">
        <x:v>0.26308383636433763</x:v>
      </x:c>
      <x:c r="Q482" s="14" t="n">
        <x:v>0.2806479388707372</x:v>
      </x:c>
      <x:c r="R482" s="14" t="n">
        <x:v>0.18019412899091056</x:v>
      </x:c>
      <x:c r="S482" s="14" t="n">
        <x:v>0.5641574459614267</x:v>
      </x:c>
      <x:c r="T482" t="str">
        <x:v>직장밀집·여성소비</x:v>
      </x:c>
      <x:c r="U482" s="16" t="n">
        <x:v>85.51199100555961</x:v>
      </x:c>
      <x:c r="V482" t="str">
        <x:v>미용실</x:v>
      </x:c>
      <x:c r="W482" t="str">
        <x:v>미용실 / 일반의원 / 피부관리실</x:v>
      </x:c>
      <x:c r="X482" s="16" t="n">
        <x:v>73.52541380481975</x:v>
      </x:c>
    </x:row>
    <x:row r="483">
      <x:c r="A483" t="str">
        <x:v>3110079</x:v>
      </x:c>
      <x:c r="B483" t="str">
        <x:v>후암동주민센터</x:v>
      </x:c>
      <x:c r="C483" t="str">
        <x:v>골목상권</x:v>
      </x:c>
      <x:c r="D483" t="str">
        <x:v>용산구</x:v>
      </x:c>
      <x:c r="E483" t="str">
        <x:v>후암동</x:v>
      </x:c>
      <x:c r="F483" s="12" t="n">
        <x:v>293041</x:v>
      </x:c>
      <x:c r="G483" s="12" t="n">
        <x:v>8235281865</x:v>
      </x:c>
      <x:c r="H483" s="12" t="n">
        <x:v>399867</x:v>
      </x:c>
      <x:c r="I483" s="12" t="n">
        <x:v>20595.052517462056</x:v>
      </x:c>
      <x:c r="J483" s="12" t="n">
        <x:v>28102.831566231347</x:v>
      </x:c>
      <x:c r="K483" s="12" t="n">
        <x:v>1199</x:v>
      </x:c>
      <x:c r="L483" s="12" t="n">
        <x:v>40.91577629068969</x:v>
      </x:c>
      <x:c r="M483" s="12" t="n">
        <x:v>21</x:v>
      </x:c>
      <x:c r="N483" s="14" t="n">
        <x:v>0.7504725420834154</x:v>
      </x:c>
      <x:c r="O483" s="14" t="n">
        <x:v>0.24952745791658462</x:v>
      </x:c>
      <x:c r="P483" s="14" t="n">
        <x:v>0.4564659623826974</x:v>
      </x:c>
      <x:c r="Q483" s="14" t="n">
        <x:v>0.28867817373728716</x:v>
      </x:c>
      <x:c r="R483" s="14" t="n">
        <x:v>0.2932413182192884</x:v>
      </x:c>
      <x:c r="S483" s="14" t="n">
        <x:v>0.3978143775410412</x:v>
      </x:c>
      <x:c r="T483" t="str">
        <x:v>2030소비·야간활성</x:v>
      </x:c>
      <x:c r="U483" s="16" t="n">
        <x:v>71.73436118947915</x:v>
      </x:c>
      <x:c r="V483" t="str">
        <x:v>세탁소</x:v>
      </x:c>
      <x:c r="W483" t="str">
        <x:v>세탁소 / 중식음식점 / 한식음식점</x:v>
      </x:c>
      <x:c r="X483" s="16" t="n">
        <x:v>66.69321837571044</x:v>
      </x:c>
    </x:row>
    <x:row r="484">
      <x:c r="A484" t="str">
        <x:v>3130244</x:v>
      </x:c>
      <x:c r="B484" t="str">
        <x:v>대림중앙시장</x:v>
      </x:c>
      <x:c r="C484" t="str">
        <x:v>전통시장</x:v>
      </x:c>
      <x:c r="D484" t="str">
        <x:v>영등포구</x:v>
      </x:c>
      <x:c r="E484" t="str">
        <x:v>대림2동</x:v>
      </x:c>
      <x:c r="F484" s="12" t="n">
        <x:v>47326</x:v>
      </x:c>
      <x:c r="G484" s="12" t="n">
        <x:v>8133736054</x:v>
      </x:c>
      <x:c r="H484" s="12" t="n">
        <x:v>424480</x:v>
      </x:c>
      <x:c r="I484" s="12" t="n">
        <x:v>19161.64731907275</x:v>
      </x:c>
      <x:c r="J484" s="12" t="n">
        <x:v>171866.12124413642</x:v>
      </x:c>
      <x:c r="K484" s="12" t="n">
        <x:v>361</x:v>
      </x:c>
      <x:c r="L484" s="12" t="n">
        <x:v>76.27942357266619</x:v>
      </x:c>
      <x:c r="M484" s="12" t="n">
        <x:v>14</x:v>
      </x:c>
      <x:c r="N484" s="14" t="n">
        <x:v>0.6349640598996501</x:v>
      </x:c>
      <x:c r="O484" s="14" t="n">
        <x:v>0.36503594010034984</x:v>
      </x:c>
      <x:c r="P484" s="14" t="n">
        <x:v>0.24413370827585007</x:v>
      </x:c>
      <x:c r="Q484" s="14" t="n">
        <x:v>0.2861941435701277</x:v>
      </x:c>
      <x:c r="R484" s="14" t="n">
        <x:v>0.11783577960200182</x:v>
      </x:c>
      <x:c r="S484" s="14" t="n">
        <x:v>0.5451574370696932</x:v>
      </x:c>
      <x:c r="T484" t="str">
        <x:v>여성소비·고매출밀도</x:v>
      </x:c>
      <x:c r="U484" s="16" t="n">
        <x:v>71.70708656231476</x:v>
      </x:c>
      <x:c r="V484" t="str">
        <x:v>육류판매</x:v>
      </x:c>
      <x:c r="W484" t="str">
        <x:v>육류판매 / 일반의류 / 슈퍼마켓</x:v>
      </x:c>
      <x:c r="X484" s="16" t="n">
        <x:v>61.595747653179046</x:v>
      </x:c>
    </x:row>
    <x:row r="485">
      <x:c r="A485" t="str">
        <x:v>3110095</x:v>
      </x:c>
      <x:c r="B485" t="str">
        <x:v>한강진역 3번</x:v>
      </x:c>
      <x:c r="C485" t="str">
        <x:v>골목상권</x:v>
      </x:c>
      <x:c r="D485" t="str">
        <x:v>용산구</x:v>
      </x:c>
      <x:c r="E485" t="str">
        <x:v>한남동</x:v>
      </x:c>
      <x:c r="F485" s="12" t="n">
        <x:v>149192</x:v>
      </x:c>
      <x:c r="G485" s="12" t="n">
        <x:v>8047802636</x:v>
      </x:c>
      <x:c r="H485" s="12" t="n">
        <x:v>142734</x:v>
      </x:c>
      <x:c r="I485" s="12" t="n">
        <x:v>56383.22078831953</x:v>
      </x:c>
      <x:c r="J485" s="12" t="n">
        <x:v>53942.588315727386</x:v>
      </x:c>
      <x:c r="K485" s="12" t="n">
        <x:v>5343</x:v>
      </x:c>
      <x:c r="L485" s="12" t="n">
        <x:v>358.12912220494394</x:v>
      </x:c>
      <x:c r="M485" s="12" t="n">
        <x:v>12</x:v>
      </x:c>
      <x:c r="N485" s="14" t="n">
        <x:v>0.6104409765249615</x:v>
      </x:c>
      <x:c r="O485" s="14" t="n">
        <x:v>0.3895590234750384</x:v>
      </x:c>
      <x:c r="P485" s="14" t="n">
        <x:v>0.47711314748499506</x:v>
      </x:c>
      <x:c r="Q485" s="14" t="n">
        <x:v>0.20487751322633205</x:v>
      </x:c>
      <x:c r="R485" s="14" t="n">
        <x:v>0.556003547475664</x:v>
      </x:c>
      <x:c r="S485" s="14" t="n">
        <x:v>0.5972697797655087</x:v>
      </x:c>
      <x:c r="T485" t="str">
        <x:v>2030소비·여성소비</x:v>
      </x:c>
      <x:c r="U485" s="16" t="n">
        <x:v>68.91578708797891</x:v>
      </x:c>
      <x:c r="V485" t="str">
        <x:v>일반의류</x:v>
      </x:c>
      <x:c r="W485" t="str">
        <x:v>일반의류 / 커피-음료 / 가방</x:v>
      </x:c>
      <x:c r="X485" s="16" t="n">
        <x:v>58.466508592533884</x:v>
      </x:c>
    </x:row>
    <x:row r="486">
      <x:c r="A486" t="str">
        <x:v>3130217</x:v>
      </x:c>
      <x:c r="B486" t="str">
        <x:v>화곡본동시장</x:v>
      </x:c>
      <x:c r="C486" t="str">
        <x:v>전통시장</x:v>
      </x:c>
      <x:c r="D486" t="str">
        <x:v>강서구</x:v>
      </x:c>
      <x:c r="E486" t="str">
        <x:v>화곡본동</x:v>
      </x:c>
      <x:c r="F486" s="12" t="n">
        <x:v>21265</x:v>
      </x:c>
      <x:c r="G486" s="12" t="n">
        <x:v>8029115974</x:v>
      </x:c>
      <x:c r="H486" s="12" t="n">
        <x:v>405719</x:v>
      </x:c>
      <x:c r="I486" s="12" t="n">
        <x:v>19789.844631382803</x:v>
      </x:c>
      <x:c r="J486" s="12" t="n">
        <x:v>377574.2287326593</x:v>
      </x:c>
      <x:c r="K486" s="12" t="n">
        <x:v>217</x:v>
      </x:c>
      <x:c r="L486" s="12" t="n">
        <x:v>102.04561486009875</x:v>
      </x:c>
      <x:c r="M486" s="12" t="n">
        <x:v>13</x:v>
      </x:c>
      <x:c r="N486" s="14" t="n">
        <x:v>0.7063726070672895</x:v>
      </x:c>
      <x:c r="O486" s="14" t="n">
        <x:v>0.29362739293271045</x:v>
      </x:c>
      <x:c r="P486" s="14" t="n">
        <x:v>0.37697474476658993</x:v>
      </x:c>
      <x:c r="Q486" s="14" t="n">
        <x:v>0.22800664231631138</x:v>
      </x:c>
      <x:c r="R486" s="14" t="n">
        <x:v>0.20402020587378802</x:v>
      </x:c>
      <x:c r="S486" s="14" t="n">
        <x:v>0.5422676897555049</x:v>
      </x:c>
      <x:c r="T486" t="str">
        <x:v>고매출밀도·여성소비</x:v>
      </x:c>
      <x:c r="U486" s="16" t="n">
        <x:v>71.93324920542086</x:v>
      </x:c>
      <x:c r="V486" t="str">
        <x:v>청과상</x:v>
      </x:c>
      <x:c r="W486" t="str">
        <x:v>청과상 / 반찬가게 / 육류판매</x:v>
      </x:c>
      <x:c r="X486" s="16" t="n">
        <x:v>64.48231147046482</x:v>
      </x:c>
    </x:row>
    <x:row r="487">
      <x:c r="A487" t="str">
        <x:v>3110846</x:v>
      </x:c>
      <x:c r="B487" t="str">
        <x:v>남성역 1번</x:v>
      </x:c>
      <x:c r="C487" t="str">
        <x:v>골목상권</x:v>
      </x:c>
      <x:c r="D487" t="str">
        <x:v>동작구</x:v>
      </x:c>
      <x:c r="E487" t="str">
        <x:v>사당4동</x:v>
      </x:c>
      <x:c r="F487" s="12" t="n">
        <x:v>212396</x:v>
      </x:c>
      <x:c r="G487" s="12" t="n">
        <x:v>8019067429</x:v>
      </x:c>
      <x:c r="H487" s="12" t="n">
        <x:v>500094</x:v>
      </x:c>
      <x:c r="I487" s="12" t="n">
        <x:v>16035.120255391987</x:v>
      </x:c>
      <x:c r="J487" s="12" t="n">
        <x:v>37755.26577242509</x:v>
      </x:c>
      <x:c r="K487" s="12" t="n">
        <x:v>1000</x:v>
      </x:c>
      <x:c r="L487" s="12" t="n">
        <x:v>47.08186594851127</x:v>
      </x:c>
      <x:c r="M487" s="12" t="n">
        <x:v>29</x:v>
      </x:c>
      <x:c r="N487" s="14" t="n">
        <x:v>0.7578496404734496</x:v>
      </x:c>
      <x:c r="O487" s="14" t="n">
        <x:v>0.24215035952655037</x:v>
      </x:c>
      <x:c r="P487" s="14" t="n">
        <x:v>0.35171543810696143</x:v>
      </x:c>
      <x:c r="Q487" s="14" t="n">
        <x:v>0.24316213827412125</x:v>
      </x:c>
      <x:c r="R487" s="14" t="n">
        <x:v>0.21801583905848462</x:v>
      </x:c>
      <x:c r="S487" s="14" t="n">
        <x:v>0.48206064336362126</x:v>
      </x:c>
      <x:c r="T487" t="str">
        <x:v>여성소비</x:v>
      </x:c>
      <x:c r="U487" s="16" t="n">
        <x:v>73.93094620321558</x:v>
      </x:c>
      <x:c r="V487" t="str">
        <x:v>미용실</x:v>
      </x:c>
      <x:c r="W487" t="str">
        <x:v>미용실 / 일반교습학원 / 슈퍼마켓</x:v>
      </x:c>
      <x:c r="X487" s="16" t="n">
        <x:v>65.82585929210316</x:v>
      </x:c>
    </x:row>
    <x:row r="488">
      <x:c r="A488" t="str">
        <x:v>3120013</x:v>
      </x:c>
      <x:c r="B488" t="str">
        <x:v>이화사거리</x:v>
      </x:c>
      <x:c r="C488" t="str">
        <x:v>발달상권</x:v>
      </x:c>
      <x:c r="D488" t="str">
        <x:v>종로구</x:v>
      </x:c>
      <x:c r="E488" t="str">
        <x:v>종로5·6가동</x:v>
      </x:c>
      <x:c r="F488" s="12" t="n">
        <x:v>134283</x:v>
      </x:c>
      <x:c r="G488" s="12" t="n">
        <x:v>8010040206</x:v>
      </x:c>
      <x:c r="H488" s="12" t="n">
        <x:v>394598</x:v>
      </x:c>
      <x:c r="I488" s="12" t="n">
        <x:v>20299.24177517372</x:v>
      </x:c>
      <x:c r="J488" s="12" t="n">
        <x:v>59650.44127700454</x:v>
      </x:c>
      <x:c r="K488" s="12" t="n">
        <x:v>3008</x:v>
      </x:c>
      <x:c r="L488" s="12" t="n">
        <x:v>224.00452775109284</x:v>
      </x:c>
      <x:c r="M488" s="12" t="n">
        <x:v>18</x:v>
      </x:c>
      <x:c r="N488" s="14" t="n">
        <x:v>0.8663647813904618</x:v>
      </x:c>
      <x:c r="O488" s="14" t="n">
        <x:v>0.13363521860953814</x:v>
      </x:c>
      <x:c r="P488" s="14" t="n">
        <x:v>0.36315038641392805</x:v>
      </x:c>
      <x:c r="Q488" s="14" t="n">
        <x:v>0.33133460666177333</x:v>
      </x:c>
      <x:c r="R488" s="14" t="n">
        <x:v>0.2138277505420052</x:v>
      </x:c>
      <x:c r="S488" s="14" t="n">
        <x:v>0.2853137913450319</x:v>
      </x:c>
      <x:c r="T488" t="str">
        <x:v>평일집중·직장밀집</x:v>
      </x:c>
      <x:c r="U488" s="16" t="n">
        <x:v>73.42286746696925</x:v>
      </x:c>
      <x:c r="V488" t="str">
        <x:v>화초</x:v>
      </x:c>
      <x:c r="W488" t="str">
        <x:v>화초 / 양식음식점 / 한식음식점</x:v>
      </x:c>
      <x:c r="X488" s="16" t="n">
        <x:v>66.11480890727827</x:v>
      </x:c>
    </x:row>
    <x:row r="489">
      <x:c r="A489" t="str">
        <x:v>3110569</x:v>
      </x:c>
      <x:c r="B489" t="str">
        <x:v>홍대땡땡거리</x:v>
      </x:c>
      <x:c r="C489" t="str">
        <x:v>골목상권</x:v>
      </x:c>
      <x:c r="D489" t="str">
        <x:v>마포구</x:v>
      </x:c>
      <x:c r="E489" t="str">
        <x:v>서강동</x:v>
      </x:c>
      <x:c r="F489" s="12" t="n">
        <x:v>84934</x:v>
      </x:c>
      <x:c r="G489" s="12" t="n">
        <x:v>7961849251</x:v>
      </x:c>
      <x:c r="H489" s="12" t="n">
        <x:v>297357</x:v>
      </x:c>
      <x:c r="I489" s="12" t="n">
        <x:v>26775.38867758284</x:v>
      </x:c>
      <x:c r="J489" s="12" t="n">
        <x:v>93741.6023147385</x:v>
      </x:c>
      <x:c r="K489" s="12" t="n">
        <x:v>661</x:v>
      </x:c>
      <x:c r="L489" s="12" t="n">
        <x:v>77.8251348105588</x:v>
      </x:c>
      <x:c r="M489" s="12" t="n">
        <x:v>18</x:v>
      </x:c>
      <x:c r="N489" s="14" t="n">
        <x:v>0.6848310440335414</x:v>
      </x:c>
      <x:c r="O489" s="14" t="n">
        <x:v>0.31516895596645855</x:v>
      </x:c>
      <x:c r="P489" s="14" t="n">
        <x:v>0.6059975281991181</x:v>
      </x:c>
      <x:c r="Q489" s="14" t="n">
        <x:v>0.13539537549829955</x:v>
      </x:c>
      <x:c r="R489" s="14" t="n">
        <x:v>0.36417948564346664</x:v>
      </x:c>
      <x:c r="S489" s="14" t="n">
        <x:v>0.3621936633173262</x:v>
      </x:c>
      <x:c r="T489" t="str">
        <x:v>야간활성·2030소비</x:v>
      </x:c>
      <x:c r="U489" s="16" t="n">
        <x:v>72.65685253571112</x:v>
      </x:c>
      <x:c r="V489" t="str">
        <x:v>예술학원</x:v>
      </x:c>
      <x:c r="W489" t="str">
        <x:v>예술학원 / 한식음식점 / 커피-음료</x:v>
      </x:c>
      <x:c r="X489" s="16" t="n">
        <x:v>61.707791148937964</x:v>
      </x:c>
    </x:row>
    <x:row r="490">
      <x:c r="A490" t="str">
        <x:v>3111020</x:v>
      </x:c>
      <x:c r="B490" t="str">
        <x:v>방이동고분군(방산고등학교)</x:v>
      </x:c>
      <x:c r="C490" t="str">
        <x:v>골목상권</x:v>
      </x:c>
      <x:c r="D490" t="str">
        <x:v>송파구</x:v>
      </x:c>
      <x:c r="E490" t="str">
        <x:v>방이1동</x:v>
      </x:c>
      <x:c r="F490" s="12" t="n">
        <x:v>28997</x:v>
      </x:c>
      <x:c r="G490" s="12" t="n">
        <x:v>7947127065</x:v>
      </x:c>
      <x:c r="H490" s="12" t="n">
        <x:v>139447</x:v>
      </x:c>
      <x:c r="I490" s="12" t="n">
        <x:v>56990.30502628239</x:v>
      </x:c>
      <x:c r="J490" s="12" t="n">
        <x:v>274067.2160913198</x:v>
      </x:c>
      <x:c r="K490" s="12" t="n">
        <x:v>546</x:v>
      </x:c>
      <x:c r="L490" s="12" t="n">
        <x:v>188.2953408973342</x:v>
      </x:c>
      <x:c r="M490" s="12" t="n">
        <x:v>13</x:v>
      </x:c>
      <x:c r="N490" s="14" t="n">
        <x:v>0.8224694797930728</x:v>
      </x:c>
      <x:c r="O490" s="14" t="n">
        <x:v>0.17753052020692714</x:v>
      </x:c>
      <x:c r="P490" s="14" t="n">
        <x:v>0.33861668575195986</x:v>
      </x:c>
      <x:c r="Q490" s="14" t="n">
        <x:v>0.20484409078716548</x:v>
      </x:c>
      <x:c r="R490" s="14" t="n">
        <x:v>0.16194140404120996</x:v>
      </x:c>
      <x:c r="S490" s="14" t="n">
        <x:v>0.4919895576125408</x:v>
      </x:c>
      <x:c r="T490" t="str">
        <x:v>고매출밀도·평일집중</x:v>
      </x:c>
      <x:c r="U490" s="16" t="n">
        <x:v>68.9018662465891</x:v>
      </x:c>
      <x:c r="V490" t="str">
        <x:v>일반의원</x:v>
      </x:c>
      <x:c r="W490" t="str">
        <x:v>일반의원 / 호프-간이주점 / 일반교습학원</x:v>
      </x:c>
      <x:c r="X490" s="16" t="n">
        <x:v>55.422331553600955</x:v>
      </x:c>
    </x:row>
    <x:row r="491">
      <x:c r="A491" t="str">
        <x:v>3110649</x:v>
      </x:c>
      <x:c r="B491" t="str">
        <x:v>우장산역 1번</x:v>
      </x:c>
      <x:c r="C491" t="str">
        <x:v>골목상권</x:v>
      </x:c>
      <x:c r="D491" t="str">
        <x:v>강서구</x:v>
      </x:c>
      <x:c r="E491" t="str">
        <x:v>우장산동</x:v>
      </x:c>
      <x:c r="F491" s="12" t="n">
        <x:v>70187</x:v>
      </x:c>
      <x:c r="G491" s="12" t="n">
        <x:v>7903212713</x:v>
      </x:c>
      <x:c r="H491" s="12" t="n">
        <x:v>278382</x:v>
      </x:c>
      <x:c r="I491" s="12" t="n">
        <x:v>28389.81224719989</x:v>
      </x:c>
      <x:c r="J491" s="12" t="n">
        <x:v>112602.2299428669</x:v>
      </x:c>
      <x:c r="K491" s="12" t="n">
        <x:v>698</x:v>
      </x:c>
      <x:c r="L491" s="12" t="n">
        <x:v>99.44861584054027</x:v>
      </x:c>
      <x:c r="M491" s="12" t="n">
        <x:v>18</x:v>
      </x:c>
      <x:c r="N491" s="14" t="n">
        <x:v>0.7181882599039189</x:v>
      </x:c>
      <x:c r="O491" s="14" t="n">
        <x:v>0.2818117400960811</x:v>
      </x:c>
      <x:c r="P491" s="14" t="n">
        <x:v>0.44872430412591374</x:v>
      </x:c>
      <x:c r="Q491" s="14" t="n">
        <x:v>0.13989422873325616</x:v>
      </x:c>
      <x:c r="R491" s="14" t="n">
        <x:v>0.0859872070610179</x:v>
      </x:c>
      <x:c r="S491" s="14" t="n">
        <x:v>0.5340196286325111</x:v>
      </x:c>
      <x:c r="T491" t="str">
        <x:v>여성소비·고매출밀도</x:v>
      </x:c>
      <x:c r="U491" s="16" t="n">
        <x:v>62.66606976576579</x:v>
      </x:c>
      <x:c r="V491" t="str">
        <x:v>서적</x:v>
      </x:c>
      <x:c r="W491" t="str">
        <x:v>서적 / 세탁소 / 패스트푸드점</x:v>
      </x:c>
      <x:c r="X491" s="16" t="n">
        <x:v>57.48201778738936</x:v>
      </x:c>
    </x:row>
    <x:row r="492">
      <x:c r="A492" t="str">
        <x:v>3111051</x:v>
      </x:c>
      <x:c r="B492" t="str">
        <x:v>천호역 6번</x:v>
      </x:c>
      <x:c r="C492" t="str">
        <x:v>골목상권</x:v>
      </x:c>
      <x:c r="D492" t="str">
        <x:v>강동구</x:v>
      </x:c>
      <x:c r="E492" t="str">
        <x:v>성내2동</x:v>
      </x:c>
      <x:c r="F492" s="12" t="n">
        <x:v>159647</x:v>
      </x:c>
      <x:c r="G492" s="12" t="n">
        <x:v>7899901734</x:v>
      </x:c>
      <x:c r="H492" s="12" t="n">
        <x:v>211217</x:v>
      </x:c>
      <x:c r="I492" s="12" t="n">
        <x:v>37401.82719194004</x:v>
      </x:c>
      <x:c r="J492" s="12" t="n">
        <x:v>49483.558939410075</x:v>
      </x:c>
      <x:c r="K492" s="12" t="n">
        <x:v>447</x:v>
      </x:c>
      <x:c r="L492" s="12" t="n">
        <x:v>27.999273396931983</x:v>
      </x:c>
      <x:c r="M492" s="12" t="n">
        <x:v>18</x:v>
      </x:c>
      <x:c r="N492" s="14" t="n">
        <x:v>0.845812309315492</x:v>
      </x:c>
      <x:c r="O492" s="14" t="n">
        <x:v>0.15418769068450794</x:v>
      </x:c>
      <x:c r="P492" s="14" t="n">
        <x:v>0.1821945169020757</x:v>
      </x:c>
      <x:c r="Q492" s="14" t="n">
        <x:v>0.2919525925333491</x:v>
      </x:c>
      <x:c r="R492" s="14" t="n">
        <x:v>0.16502199646221574</x:v>
      </x:c>
      <x:c r="S492" s="14" t="n">
        <x:v>0.48642444101064813</x:v>
      </x:c>
      <x:c r="T492" t="str">
        <x:v>평일집중·여성소비</x:v>
      </x:c>
      <x:c r="U492" s="16" t="n">
        <x:v>70.91031137837345</x:v>
      </x:c>
      <x:c r="V492" t="str">
        <x:v>철물점</x:v>
      </x:c>
      <x:c r="W492" t="str">
        <x:v>철물점 / 반찬가게 / 일반교습학원</x:v>
      </x:c>
      <x:c r="X492" s="16" t="n">
        <x:v>58.012855401547974</x:v>
      </x:c>
    </x:row>
    <x:row r="493">
      <x:c r="A493" t="str">
        <x:v>3110912</x:v>
      </x:c>
      <x:c r="B493" t="str">
        <x:v>방배동사이길</x:v>
      </x:c>
      <x:c r="C493" t="str">
        <x:v>골목상권</x:v>
      </x:c>
      <x:c r="D493" t="str">
        <x:v>서초구</x:v>
      </x:c>
      <x:c r="E493" t="str">
        <x:v>방배본동</x:v>
      </x:c>
      <x:c r="F493" s="12" t="n">
        <x:v>26478</x:v>
      </x:c>
      <x:c r="G493" s="12" t="n">
        <x:v>7893692093</x:v>
      </x:c>
      <x:c r="H493" s="12" t="n">
        <x:v>228398</x:v>
      </x:c>
      <x:c r="I493" s="12" t="n">
        <x:v>34561.12616134992</x:v>
      </x:c>
      <x:c r="J493" s="12" t="n">
        <x:v>298122.671387567</x:v>
      </x:c>
      <x:c r="K493" s="12" t="n">
        <x:v>2199</x:v>
      </x:c>
      <x:c r="L493" s="12" t="n">
        <x:v>830.5007931112622</x:v>
      </x:c>
      <x:c r="M493" s="12" t="n">
        <x:v>16</x:v>
      </x:c>
      <x:c r="N493" s="14" t="n">
        <x:v>0.8131001397548431</x:v>
      </x:c>
      <x:c r="O493" s="14" t="n">
        <x:v>0.1868998602451569</x:v>
      </x:c>
      <x:c r="P493" s="14" t="n">
        <x:v>0.34108199576058634</x:v>
      </x:c>
      <x:c r="Q493" s="14" t="n">
        <x:v>0.2310439438874627</x:v>
      </x:c>
      <x:c r="R493" s="14" t="n">
        <x:v>0.16175541102398558</x:v>
      </x:c>
      <x:c r="S493" s="14" t="n">
        <x:v>0.5220689756387233</x:v>
      </x:c>
      <x:c r="T493" t="str">
        <x:v>직장밀집·고매출밀도</x:v>
      </x:c>
      <x:c r="U493" s="16" t="n">
        <x:v>78.59821043683854</x:v>
      </x:c>
      <x:c r="V493" t="str">
        <x:v>섬유제품</x:v>
      </x:c>
      <x:c r="W493" t="str">
        <x:v>섬유제품 / 미용실 / 스포츠클럽</x:v>
      </x:c>
      <x:c r="X493" s="16" t="n">
        <x:v>66.97034277218079</x:v>
      </x:c>
    </x:row>
    <x:row r="494">
      <x:c r="A494" t="str">
        <x:v>3130097</x:v>
      </x:c>
      <x:c r="B494" t="str">
        <x:v>답십리 건축자재시장</x:v>
      </x:c>
      <x:c r="C494" t="str">
        <x:v>전통시장</x:v>
      </x:c>
      <x:c r="D494" t="str">
        <x:v>동대문구</x:v>
      </x:c>
      <x:c r="E494" t="str">
        <x:v>답십리1동</x:v>
      </x:c>
      <x:c r="F494" s="12" t="n">
        <x:v>51943</x:v>
      </x:c>
      <x:c r="G494" s="12" t="n">
        <x:v>7880313729</x:v>
      </x:c>
      <x:c r="H494" s="12" t="n">
        <x:v>106817</x:v>
      </x:c>
      <x:c r="I494" s="12" t="n">
        <x:v>73773.9660260071</x:v>
      </x:c>
      <x:c r="J494" s="12" t="n">
        <x:v>151710.79315788462</x:v>
      </x:c>
      <x:c r="K494" s="12" t="n">
        <x:v>276</x:v>
      </x:c>
      <x:c r="L494" s="12" t="n">
        <x:v>53.135167395029164</x:v>
      </x:c>
      <x:c r="M494" s="12" t="n">
        <x:v>5</x:v>
      </x:c>
      <x:c r="N494" s="14" t="n">
        <x:v>0.9405476393311751</x:v>
      </x:c>
      <x:c r="O494" s="14" t="n">
        <x:v>0.05945236066882484</x:v>
      </x:c>
      <x:c r="P494" s="14" t="n">
        <x:v>0.05277902496056829</x:v>
      </x:c>
      <x:c r="Q494" s="14" t="n">
        <x:v>0.27152410977316815</x:v>
      </x:c>
      <x:c r="R494" s="14" t="n">
        <x:v>0.06327022237264027</x:v>
      </x:c>
      <x:c r="S494" s="14" t="n">
        <x:v>0.11943174007609361</x:v>
      </x:c>
      <x:c r="T494" t="str">
        <x:v>평일집중·고매출밀도</x:v>
      </x:c>
      <x:c r="U494" s="16" t="n">
        <x:v>62.153177615905605</x:v>
      </x:c>
      <x:c r="V494" t="str">
        <x:v>조명용품</x:v>
      </x:c>
      <x:c r="W494" t="str">
        <x:v>조명용품 / 일반의류 / 인테리어</x:v>
      </x:c>
      <x:c r="X494" s="16" t="n">
        <x:v>48.765842147235745</x:v>
      </x:c>
    </x:row>
    <x:row r="495">
      <x:c r="A495" t="str">
        <x:v>3111026</x:v>
      </x:c>
      <x:c r="B495" t="str">
        <x:v>문정역 2번</x:v>
      </x:c>
      <x:c r="C495" t="str">
        <x:v>골목상권</x:v>
      </x:c>
      <x:c r="D495" t="str">
        <x:v>송파구</x:v>
      </x:c>
      <x:c r="E495" t="str">
        <x:v>문정1동</x:v>
      </x:c>
      <x:c r="F495" s="12" t="n">
        <x:v>123212</x:v>
      </x:c>
      <x:c r="G495" s="12" t="n">
        <x:v>7865136446</x:v>
      </x:c>
      <x:c r="H495" s="12" t="n">
        <x:v>298653</x:v>
      </x:c>
      <x:c r="I495" s="12" t="n">
        <x:v>26335.36728577982</x:v>
      </x:c>
      <x:c r="J495" s="12" t="n">
        <x:v>63834.17561601143</x:v>
      </x:c>
      <x:c r="K495" s="12" t="n">
        <x:v>5581</x:v>
      </x:c>
      <x:c r="L495" s="12" t="n">
        <x:v>452.9591273577249</x:v>
      </x:c>
      <x:c r="M495" s="12" t="n">
        <x:v>17</x:v>
      </x:c>
      <x:c r="N495" s="14" t="n">
        <x:v>0.7230371153817869</x:v>
      </x:c>
      <x:c r="O495" s="14" t="n">
        <x:v>0.276962884618213</x:v>
      </x:c>
      <x:c r="P495" s="14" t="n">
        <x:v>0.3782722794991165</x:v>
      </x:c>
      <x:c r="Q495" s="14" t="n">
        <x:v>0.25244548541936385</x:v>
      </x:c>
      <x:c r="R495" s="14" t="n">
        <x:v>0.1909308731399979</x:v>
      </x:c>
      <x:c r="S495" s="14" t="n">
        <x:v>0.44352582182780864</x:v>
      </x:c>
      <x:c r="T495" t="str">
        <x:v>직장밀집·고매출밀도</x:v>
      </x:c>
      <x:c r="U495" s="16" t="n">
        <x:v>66.88940692849773</x:v>
      </x:c>
      <x:c r="V495" t="str">
        <x:v>육류판매</x:v>
      </x:c>
      <x:c r="W495" t="str">
        <x:v>육류판매 / 예술학원 / 슈퍼마켓</x:v>
      </x:c>
      <x:c r="X495" s="16" t="n">
        <x:v>64.00281368623652</x:v>
      </x:c>
    </x:row>
    <x:row r="496">
      <x:c r="A496" t="str">
        <x:v>3111085</x:v>
      </x:c>
      <x:c r="B496" t="str">
        <x:v>묘곡초등학교(고덕아이파크아파트)</x:v>
      </x:c>
      <x:c r="C496" t="str">
        <x:v>골목상권</x:v>
      </x:c>
      <x:c r="D496" t="str">
        <x:v>강동구</x:v>
      </x:c>
      <x:c r="E496" t="str">
        <x:v>고덕1동</x:v>
      </x:c>
      <x:c r="F496" s="12" t="n">
        <x:v>144712</x:v>
      </x:c>
      <x:c r="G496" s="12" t="n">
        <x:v>7865040691</x:v>
      </x:c>
      <x:c r="H496" s="12" t="n">
        <x:v>295821</x:v>
      </x:c>
      <x:c r="I496" s="12" t="n">
        <x:v>26587.161462506043</x:v>
      </x:c>
      <x:c r="J496" s="12" t="n">
        <x:v>54349.609507159046</x:v>
      </x:c>
      <x:c r="K496" s="12" t="n">
        <x:v>845</x:v>
      </x:c>
      <x:c r="L496" s="12" t="n">
        <x:v>58.39184034496103</x:v>
      </x:c>
      <x:c r="M496" s="12" t="n">
        <x:v>20</x:v>
      </x:c>
      <x:c r="N496" s="14" t="n">
        <x:v>0.7811577830780227</x:v>
      </x:c>
      <x:c r="O496" s="14" t="n">
        <x:v>0.21884221692197728</x:v>
      </x:c>
      <x:c r="P496" s="14" t="n">
        <x:v>0.5080405257880439</x:v>
      </x:c>
      <x:c r="Q496" s="14" t="n">
        <x:v>0.19197349604659533</x:v>
      </x:c>
      <x:c r="R496" s="14" t="n">
        <x:v>0.14164274258298304</x:v>
      </x:c>
      <x:c r="S496" s="14" t="n">
        <x:v>0.44011888482167294</x:v>
      </x:c>
      <x:c r="T496" t="str">
        <x:v>야간활성·평일집중</x:v>
      </x:c>
      <x:c r="U496" s="16" t="n">
        <x:v>82.19787821800861</x:v>
      </x:c>
      <x:c r="V496" t="str">
        <x:v>예술학원</x:v>
      </x:c>
      <x:c r="W496" t="str">
        <x:v>예술학원 / 육류판매 / 한식음식점</x:v>
      </x:c>
      <x:c r="X496" s="16" t="n">
        <x:v>71.56790539377712</x:v>
      </x:c>
    </x:row>
    <x:row r="497">
      <x:c r="A497" t="str">
        <x:v>3130294</x:v>
      </x:c>
      <x:c r="B497" t="str">
        <x:v>관악중부시장</x:v>
      </x:c>
      <x:c r="C497" t="str">
        <x:v>전통시장</x:v>
      </x:c>
      <x:c r="D497" t="str">
        <x:v>관악구</x:v>
      </x:c>
      <x:c r="E497" t="str">
        <x:v>행운동</x:v>
      </x:c>
      <x:c r="F497" s="12" t="n">
        <x:v>27900</x:v>
      </x:c>
      <x:c r="G497" s="12" t="n">
        <x:v>7850144049</x:v>
      </x:c>
      <x:c r="H497" s="12" t="n">
        <x:v>413405</x:v>
      </x:c>
      <x:c r="I497" s="12" t="n">
        <x:v>18988.99154340175</x:v>
      </x:c>
      <x:c r="J497" s="12" t="n">
        <x:v>281367.1702150538</x:v>
      </x:c>
      <x:c r="K497" s="12" t="n">
        <x:v>454</x:v>
      </x:c>
      <x:c r="L497" s="12" t="n">
        <x:v>162.72401433691755</x:v>
      </x:c>
      <x:c r="M497" s="12" t="n">
        <x:v>16</x:v>
      </x:c>
      <x:c r="N497" s="14" t="n">
        <x:v>0.7380102173714902</x:v>
      </x:c>
      <x:c r="O497" s="14" t="n">
        <x:v>0.2619897826285098</x:v>
      </x:c>
      <x:c r="P497" s="14" t="n">
        <x:v>0.25361549183974724</x:v>
      </x:c>
      <x:c r="Q497" s="14" t="n">
        <x:v>0.294047473854196</x:v>
      </x:c>
      <x:c r="R497" s="14" t="n">
        <x:v>0.12224279172587194</x:v>
      </x:c>
      <x:c r="S497" s="14" t="n">
        <x:v>0.5957906295484846</x:v>
      </x:c>
      <x:c r="T497" t="str">
        <x:v>여성소비·고매출밀도</x:v>
      </x:c>
      <x:c r="U497" s="16" t="n">
        <x:v>68.8783239283768</x:v>
      </x:c>
      <x:c r="V497" t="str">
        <x:v>청과상</x:v>
      </x:c>
      <x:c r="W497" t="str">
        <x:v>청과상 / 일반의원 / 육류판매</x:v>
      </x:c>
      <x:c r="X497" s="16" t="n">
        <x:v>65.3046589678883</x:v>
      </x:c>
    </x:row>
    <x:row r="498">
      <x:c r="A498" t="str">
        <x:v>3110081</x:v>
      </x:c>
      <x:c r="B498" t="str">
        <x:v>해방촌 남동측</x:v>
      </x:c>
      <x:c r="C498" t="str">
        <x:v>골목상권</x:v>
      </x:c>
      <x:c r="D498" t="str">
        <x:v>용산구</x:v>
      </x:c>
      <x:c r="E498" t="str">
        <x:v>용산2가동</x:v>
      </x:c>
      <x:c r="F498" s="12" t="n">
        <x:v>105010</x:v>
      </x:c>
      <x:c r="G498" s="12" t="n">
        <x:v>7806605226</x:v>
      </x:c>
      <x:c r="H498" s="12" t="n">
        <x:v>336299</x:v>
      </x:c>
      <x:c r="I498" s="12" t="n">
        <x:v>23213.287063000484</x:v>
      </x:c>
      <x:c r="J498" s="12" t="n">
        <x:v>74341.54105323303</x:v>
      </x:c>
      <x:c r="K498" s="12" t="n">
        <x:v>223</x:v>
      </x:c>
      <x:c r="L498" s="12" t="n">
        <x:v>21.23607275497572</x:v>
      </x:c>
      <x:c r="M498" s="12" t="n">
        <x:v>16</x:v>
      </x:c>
      <x:c r="N498" s="14" t="n">
        <x:v>0.6181027709623804</x:v>
      </x:c>
      <x:c r="O498" s="14" t="n">
        <x:v>0.3818972290376196</x:v>
      </x:c>
      <x:c r="P498" s="14" t="n">
        <x:v>0.6289580130998672</x:v>
      </x:c>
      <x:c r="Q498" s="14" t="n">
        <x:v>0.10060873507272698</x:v>
      </x:c>
      <x:c r="R498" s="14" t="n">
        <x:v>0.5241041507226845</x:v>
      </x:c>
      <x:c r="S498" s="14" t="n">
        <x:v>0.531044897363688</x:v>
      </x:c>
      <x:c r="T498" t="str">
        <x:v>2030소비·야간활성</x:v>
      </x:c>
      <x:c r="U498" s="16" t="n">
        <x:v>67.87200279848872</x:v>
      </x:c>
      <x:c r="V498" t="str">
        <x:v>세탁소</x:v>
      </x:c>
      <x:c r="W498" t="str">
        <x:v>세탁소 / 육류판매 / 한식음식점</x:v>
      </x:c>
      <x:c r="X498" s="16" t="n">
        <x:v>62.96331347472758</x:v>
      </x:c>
    </x:row>
    <x:row r="499">
      <x:c r="A499" t="str">
        <x:v>3130032</x:v>
      </x:c>
      <x:c r="B499" t="str">
        <x:v>인현시장</x:v>
      </x:c>
      <x:c r="C499" t="str">
        <x:v>전통시장</x:v>
      </x:c>
      <x:c r="D499" t="str">
        <x:v>중구</x:v>
      </x:c>
      <x:c r="E499" t="str">
        <x:v>광희동</x:v>
      </x:c>
      <x:c r="F499" s="12" t="n">
        <x:v>19722</x:v>
      </x:c>
      <x:c r="G499" s="12" t="n">
        <x:v>7797339361</x:v>
      </x:c>
      <x:c r="H499" s="12" t="n">
        <x:v>207878</x:v>
      </x:c>
      <x:c r="I499" s="12" t="n">
        <x:v>37509.2090601218</x:v>
      </x:c>
      <x:c r="J499" s="12" t="n">
        <x:v>395362.50689585233</x:v>
      </x:c>
      <x:c r="K499" s="12" t="n">
        <x:v>1762</x:v>
      </x:c>
      <x:c r="L499" s="12" t="n">
        <x:v>893.4185173917452</x:v>
      </x:c>
      <x:c r="M499" s="12" t="n">
        <x:v>9</x:v>
      </x:c>
      <x:c r="N499" s="14" t="n">
        <x:v>0.8458855117925911</x:v>
      </x:c>
      <x:c r="O499" s="14" t="n">
        <x:v>0.15411448820740895</x:v>
      </x:c>
      <x:c r="P499" s="14" t="n">
        <x:v>0.5981592062451724</x:v>
      </x:c>
      <x:c r="Q499" s="14" t="n">
        <x:v>0.1663385602385352</x:v>
      </x:c>
      <x:c r="R499" s="14" t="n">
        <x:v>0.2133772342039789</x:v>
      </x:c>
      <x:c r="S499" s="14" t="n">
        <x:v>0.33045990403956715</x:v>
      </x:c>
      <x:c r="T499" t="str">
        <x:v>직장밀집·야간활성</x:v>
      </x:c>
      <x:c r="U499" s="16" t="n">
        <x:v>66.46990069215981</x:v>
      </x:c>
      <x:c r="V499" t="str">
        <x:v>육류판매</x:v>
      </x:c>
      <x:c r="W499" t="str">
        <x:v>육류판매 / 청과상 / 중식음식점</x:v>
      </x:c>
      <x:c r="X499" s="16" t="n">
        <x:v>57.1976904824604</x:v>
      </x:c>
    </x:row>
    <x:row r="500">
      <x:c r="A500" t="str">
        <x:v>3120029</x:v>
      </x:c>
      <x:c r="B500" t="str">
        <x:v>을지로2가</x:v>
      </x:c>
      <x:c r="C500" t="str">
        <x:v>발달상권</x:v>
      </x:c>
      <x:c r="D500" t="str">
        <x:v>중구</x:v>
      </x:c>
      <x:c r="E500" t="str">
        <x:v>명동</x:v>
      </x:c>
      <x:c r="F500" s="12" t="n">
        <x:v>56876</x:v>
      </x:c>
      <x:c r="G500" s="12" t="n">
        <x:v>7766141658</x:v>
      </x:c>
      <x:c r="H500" s="12" t="n">
        <x:v>201511</x:v>
      </x:c>
      <x:c r="I500" s="12" t="n">
        <x:v>38539.54204981366</x:v>
      </x:c>
      <x:c r="J500" s="12" t="n">
        <x:v>136545.14484140938</x:v>
      </x:c>
      <x:c r="K500" s="12" t="n">
        <x:v>13574</x:v>
      </x:c>
      <x:c r="L500" s="12" t="n">
        <x:v>2386.5954005204303</x:v>
      </x:c>
      <x:c r="M500" s="12" t="n">
        <x:v>9</x:v>
      </x:c>
      <x:c r="N500" s="14" t="n">
        <x:v>0.8209684765963872</x:v>
      </x:c>
      <x:c r="O500" s="14" t="n">
        <x:v>0.1790315234036129</x:v>
      </x:c>
      <x:c r="P500" s="14" t="n">
        <x:v>0.27931291554094906</x:v>
      </x:c>
      <x:c r="Q500" s="14" t="n">
        <x:v>0.39789314528107467</x:v>
      </x:c>
      <x:c r="R500" s="14" t="n">
        <x:v>0.31825630703683466</x:v>
      </x:c>
      <x:c r="S500" s="14" t="n">
        <x:v>0.4941178453842723</x:v>
      </x:c>
      <x:c r="T500" t="str">
        <x:v>직장밀집·평일집중</x:v>
      </x:c>
      <x:c r="U500" s="16" t="n">
        <x:v>68.57600755223677</x:v>
      </x:c>
      <x:c r="V500" t="str">
        <x:v>일반의원</x:v>
      </x:c>
      <x:c r="W500" t="str">
        <x:v>일반의원 / 한식음식점 / 커피-음료</x:v>
      </x:c>
      <x:c r="X500" s="16" t="n">
        <x:v>55.893543450138885</x:v>
      </x:c>
    </x:row>
    <x:row r="501">
      <x:c r="A501" t="str">
        <x:v>3110778</x:v>
      </x:c>
      <x:c r="B501" t="str">
        <x:v>구로디지털단지역 4번</x:v>
      </x:c>
      <x:c r="C501" t="str">
        <x:v>골목상권</x:v>
      </x:c>
      <x:c r="D501" t="str">
        <x:v>영등포구</x:v>
      </x:c>
      <x:c r="E501" t="str">
        <x:v>대림2동</x:v>
      </x:c>
      <x:c r="F501" s="12" t="n">
        <x:v>204978</x:v>
      </x:c>
      <x:c r="G501" s="12" t="n">
        <x:v>7761511681</x:v>
      </x:c>
      <x:c r="H501" s="12" t="n">
        <x:v>263714</x:v>
      </x:c>
      <x:c r="I501" s="12" t="n">
        <x:v>29431.549637106866</x:v>
      </x:c>
      <x:c r="J501" s="12" t="n">
        <x:v>37865.09616153929</x:v>
      </x:c>
      <x:c r="K501" s="12" t="n">
        <x:v>1271</x:v>
      </x:c>
      <x:c r="L501" s="12" t="n">
        <x:v>62.006654372664386</x:v>
      </x:c>
      <x:c r="M501" s="12" t="n">
        <x:v>17</x:v>
      </x:c>
      <x:c r="N501" s="14" t="n">
        <x:v>0.6964745637416248</x:v>
      </x:c>
      <x:c r="O501" s="14" t="n">
        <x:v>0.3035254362583752</x:v>
      </x:c>
      <x:c r="P501" s="14" t="n">
        <x:v>0.4298049840170047</x:v>
      </x:c>
      <x:c r="Q501" s="14" t="n">
        <x:v>0.237172567234071</x:v>
      </x:c>
      <x:c r="R501" s="14" t="n">
        <x:v>0.1406802993897343</x:v>
      </x:c>
      <x:c r="S501" s="14" t="n">
        <x:v>0.43400210712122483</x:v>
      </x:c>
      <x:c r="T501" t="str">
        <x:v>야간활성</x:v>
      </x:c>
      <x:c r="U501" s="16" t="n">
        <x:v>69.06448323984138</x:v>
      </x:c>
      <x:c r="V501" t="str">
        <x:v>일반의류</x:v>
      </x:c>
      <x:c r="W501" t="str">
        <x:v>일반의류 / 예술학원 / 중식음식점</x:v>
      </x:c>
      <x:c r="X501" s="16" t="n">
        <x:v>60.288843731934165</x:v>
      </x:c>
    </x:row>
    <x:row r="502">
      <x:c r="A502" t="str">
        <x:v>3110819</x:v>
      </x:c>
      <x:c r="B502" t="str">
        <x:v>신대방역 4번</x:v>
      </x:c>
      <x:c r="C502" t="str">
        <x:v>골목상권</x:v>
      </x:c>
      <x:c r="D502" t="str">
        <x:v>동작구</x:v>
      </x:c>
      <x:c r="E502" t="str">
        <x:v>신대방1동</x:v>
      </x:c>
      <x:c r="F502" s="12" t="n">
        <x:v>181264</x:v>
      </x:c>
      <x:c r="G502" s="12" t="n">
        <x:v>7751673656</x:v>
      </x:c>
      <x:c r="H502" s="12" t="n">
        <x:v>500880</x:v>
      </x:c>
      <x:c r="I502" s="12" t="n">
        <x:v>15476.109359527232</x:v>
      </x:c>
      <x:c r="J502" s="12" t="n">
        <x:v>42764.55146085268</x:v>
      </x:c>
      <x:c r="K502" s="12" t="n">
        <x:v>2350</x:v>
      </x:c>
      <x:c r="L502" s="12" t="n">
        <x:v>129.64515844293408</x:v>
      </x:c>
      <x:c r="M502" s="12" t="n">
        <x:v>22</x:v>
      </x:c>
      <x:c r="N502" s="14" t="n">
        <x:v>0.7370304358179239</x:v>
      </x:c>
      <x:c r="O502" s="14" t="n">
        <x:v>0.262969564182076</x:v>
      </x:c>
      <x:c r="P502" s="14" t="n">
        <x:v>0.4040340220690013</x:v>
      </x:c>
      <x:c r="Q502" s="14" t="n">
        <x:v>0.23101041768108202</x:v>
      </x:c>
      <x:c r="R502" s="14" t="n">
        <x:v>0.2956402824345112</x:v>
      </x:c>
      <x:c r="S502" s="14" t="n">
        <x:v>0.4859203321961933</x:v>
      </x:c>
      <x:c r="T502" t="str">
        <x:v>2030소비·여성소비</x:v>
      </x:c>
      <x:c r="U502" s="16" t="n">
        <x:v>64.7680089548301</x:v>
      </x:c>
      <x:c r="V502" t="str">
        <x:v>의약품</x:v>
      </x:c>
      <x:c r="W502" t="str">
        <x:v>의약품 / 세탁소 / 한식음식점</x:v>
      </x:c>
      <x:c r="X502" s="16" t="n">
        <x:v>63.279212043055836</x:v>
      </x:c>
    </x:row>
    <x:row r="503">
      <x:c r="A503" t="str">
        <x:v>3111014</x:v>
      </x:c>
      <x:c r="B503" t="str">
        <x:v>송파나루역 2번</x:v>
      </x:c>
      <x:c r="C503" t="str">
        <x:v>골목상권</x:v>
      </x:c>
      <x:c r="D503" t="str">
        <x:v>송파구</x:v>
      </x:c>
      <x:c r="E503" t="str">
        <x:v>방이2동</x:v>
      </x:c>
      <x:c r="F503" s="12" t="n">
        <x:v>72714</x:v>
      </x:c>
      <x:c r="G503" s="12" t="n">
        <x:v>7713213364</x:v>
      </x:c>
      <x:c r="H503" s="12" t="n">
        <x:v>99468</x:v>
      </x:c>
      <x:c r="I503" s="12" t="n">
        <x:v>77544.67129126955</x:v>
      </x:c>
      <x:c r="J503" s="12" t="n">
        <x:v>106076.04263278049</x:v>
      </x:c>
      <x:c r="K503" s="12" t="n">
        <x:v>714</x:v>
      </x:c>
      <x:c r="L503" s="12" t="n">
        <x:v>98.19292020793795</x:v>
      </x:c>
      <x:c r="M503" s="12" t="n">
        <x:v>7</x:v>
      </x:c>
      <x:c r="N503" s="14" t="n">
        <x:v>0.6656875786640044</x:v>
      </x:c>
      <x:c r="O503" s="14" t="n">
        <x:v>0.3343124213359956</x:v>
      </x:c>
      <x:c r="P503" s="14" t="n">
        <x:v>0.7429934970744834</x:v>
      </x:c>
      <x:c r="Q503" s="14" t="n">
        <x:v>0.11250026338568689</x:v>
      </x:c>
      <x:c r="R503" s="14" t="n">
        <x:v>0.415061732240187</x:v>
      </x:c>
      <x:c r="S503" s="14" t="n">
        <x:v>0.2987452606659151</x:v>
      </x:c>
      <x:c r="T503" t="str">
        <x:v>야간활성·2030소비</x:v>
      </x:c>
      <x:c r="U503" s="16" t="n">
        <x:v>56.99229213696861</x:v>
      </x:c>
      <x:c r="V503" t="str">
        <x:v>한식음식점</x:v>
      </x:c>
      <x:c r="W503" t="str">
        <x:v>한식음식점 / 세탁소 / 호프-간이주점</x:v>
      </x:c>
      <x:c r="X503" s="16" t="n">
        <x:v>48.71185338175214</x:v>
      </x:c>
    </x:row>
    <x:row r="504">
      <x:c r="A504" t="str">
        <x:v>3110496</x:v>
      </x:c>
      <x:c r="B504" t="str">
        <x:v>모래내우체국</x:v>
      </x:c>
      <x:c r="C504" t="str">
        <x:v>골목상권</x:v>
      </x:c>
      <x:c r="D504" t="str">
        <x:v>서대문구</x:v>
      </x:c>
      <x:c r="E504" t="str">
        <x:v>북가좌2동</x:v>
      </x:c>
      <x:c r="F504" s="12" t="n">
        <x:v>69544</x:v>
      </x:c>
      <x:c r="G504" s="12" t="n">
        <x:v>7695245759</x:v>
      </x:c>
      <x:c r="H504" s="12" t="n">
        <x:v>280979</x:v>
      </x:c>
      <x:c r="I504" s="12" t="n">
        <x:v>27387.26295915353</x:v>
      </x:c>
      <x:c r="J504" s="12" t="n">
        <x:v>110652.90692223629</x:v>
      </x:c>
      <x:c r="K504" s="12" t="n">
        <x:v>431</x:v>
      </x:c>
      <x:c r="L504" s="12" t="n">
        <x:v>61.97515242148855</x:v>
      </x:c>
      <x:c r="M504" s="12" t="n">
        <x:v>17</x:v>
      </x:c>
      <x:c r="N504" s="14" t="n">
        <x:v>0.7977979403477554</x:v>
      </x:c>
      <x:c r="O504" s="14" t="n">
        <x:v>0.20220205965224455</x:v>
      </x:c>
      <x:c r="P504" s="14" t="n">
        <x:v>0.2889169313923142</x:v>
      </x:c>
      <x:c r="Q504" s="14" t="n">
        <x:v>0.2205010153204647</x:v>
      </x:c>
      <x:c r="R504" s="14" t="n">
        <x:v>0.17821622855852964</x:v>
      </x:c>
      <x:c r="S504" s="14" t="n">
        <x:v>0.5135048962378435</x:v>
      </x:c>
      <x:c r="T504" t="str">
        <x:v>여성소비·평일집중</x:v>
      </x:c>
      <x:c r="U504" s="16" t="n">
        <x:v>71.78564107321549</x:v>
      </x:c>
      <x:c r="V504" t="str">
        <x:v>일반의원</x:v>
      </x:c>
      <x:c r="W504" t="str">
        <x:v>일반의원 / 스포츠클럽 / 스포츠 강습</x:v>
      </x:c>
      <x:c r="X504" s="16" t="n">
        <x:v>63.865831213527414</x:v>
      </x:c>
    </x:row>
    <x:row r="505">
      <x:c r="A505" t="str">
        <x:v>3110085</x:v>
      </x:c>
      <x:c r="B505" t="str">
        <x:v>경리단길남측</x:v>
      </x:c>
      <x:c r="C505" t="str">
        <x:v>골목상권</x:v>
      </x:c>
      <x:c r="D505" t="str">
        <x:v>용산구</x:v>
      </x:c>
      <x:c r="E505" t="str">
        <x:v>이태원2동</x:v>
      </x:c>
      <x:c r="F505" s="12" t="n">
        <x:v>181830</x:v>
      </x:c>
      <x:c r="G505" s="12" t="n">
        <x:v>7686829647</x:v>
      </x:c>
      <x:c r="H505" s="12" t="n">
        <x:v>254040</x:v>
      </x:c>
      <x:c r="I505" s="12" t="n">
        <x:v>30258.343752952293</x:v>
      </x:c>
      <x:c r="J505" s="12" t="n">
        <x:v>42274.81519551229</x:v>
      </x:c>
      <x:c r="K505" s="12" t="n">
        <x:v>508</x:v>
      </x:c>
      <x:c r="L505" s="12" t="n">
        <x:v>27.938184018038825</x:v>
      </x:c>
      <x:c r="M505" s="12" t="n">
        <x:v>13</x:v>
      </x:c>
      <x:c r="N505" s="14" t="n">
        <x:v>0.6814209820617351</x:v>
      </x:c>
      <x:c r="O505" s="14" t="n">
        <x:v>0.318579017938265</x:v>
      </x:c>
      <x:c r="P505" s="14" t="n">
        <x:v>0.5314615722743882</x:v>
      </x:c>
      <x:c r="Q505" s="14" t="n">
        <x:v>0.18999323506147683</x:v>
      </x:c>
      <x:c r="R505" s="14" t="n">
        <x:v>0.4024447155801526</x:v>
      </x:c>
      <x:c r="S505" s="14" t="n">
        <x:v>0.32102782074311786</x:v>
      </x:c>
      <x:c r="T505" t="str">
        <x:v>2030소비·야간활성</x:v>
      </x:c>
      <x:c r="U505" s="16" t="n">
        <x:v>68.86192547975658</x:v>
      </x:c>
      <x:c r="V505" t="str">
        <x:v>커피-음료</x:v>
      </x:c>
      <x:c r="W505" t="str">
        <x:v>커피-음료 / 양식음식점 / 호프-간이주점</x:v>
      </x:c>
      <x:c r="X505" s="16" t="n">
        <x:v>62.84224467711338</x:v>
      </x:c>
    </x:row>
    <x:row r="506">
      <x:c r="A506" t="str">
        <x:v>3120214</x:v>
      </x:c>
      <x:c r="B506" t="str">
        <x:v>영동대교남단교차로</x:v>
      </x:c>
      <x:c r="C506" t="str">
        <x:v>발달상권</x:v>
      </x:c>
      <x:c r="D506" t="str">
        <x:v>강남구</x:v>
      </x:c>
      <x:c r="E506" t="str">
        <x:v>청담동</x:v>
      </x:c>
      <x:c r="F506" s="12" t="n">
        <x:v>89136</x:v>
      </x:c>
      <x:c r="G506" s="12" t="n">
        <x:v>7677972183</x:v>
      </x:c>
      <x:c r="H506" s="12" t="n">
        <x:v>178726</x:v>
      </x:c>
      <x:c r="I506" s="12" t="n">
        <x:v>42959.45851750724</x:v>
      </x:c>
      <x:c r="J506" s="12" t="n">
        <x:v>86137.72418551426</x:v>
      </x:c>
      <x:c r="K506" s="12" t="n">
        <x:v>7844</x:v>
      </x:c>
      <x:c r="L506" s="12" t="n">
        <x:v>880.003590019745</x:v>
      </x:c>
      <x:c r="M506" s="12" t="n">
        <x:v>16</x:v>
      </x:c>
      <x:c r="N506" s="14" t="n">
        <x:v>0.7170959694527979</x:v>
      </x:c>
      <x:c r="O506" s="14" t="n">
        <x:v>0.2829040305472021</x:v>
      </x:c>
      <x:c r="P506" s="14" t="n">
        <x:v>0.34313685791065074</x:v>
      </x:c>
      <x:c r="Q506" s="14" t="n">
        <x:v>0.2651256247720115</x:v>
      </x:c>
      <x:c r="R506" s="14" t="n">
        <x:v>0.278043383997501</x:v>
      </x:c>
      <x:c r="S506" s="14" t="n">
        <x:v>0.3330549201079334</x:v>
      </x:c>
      <x:c r="T506" t="str">
        <x:v>직장밀집·2030소비</x:v>
      </x:c>
      <x:c r="U506" s="16" t="n">
        <x:v>69.24224434466822</x:v>
      </x:c>
      <x:c r="V506" t="str">
        <x:v>피부관리실</x:v>
      </x:c>
      <x:c r="W506" t="str">
        <x:v>피부관리실 / 화초 / 일식음식점</x:v>
      </x:c>
      <x:c r="X506" s="16" t="n">
        <x:v>63.77900770175022</x:v>
      </x:c>
    </x:row>
    <x:row r="507">
      <x:c r="A507" t="str">
        <x:v>3110319</x:v>
      </x:c>
      <x:c r="B507" t="str">
        <x:v>종암동주민센터</x:v>
      </x:c>
      <x:c r="C507" t="str">
        <x:v>골목상권</x:v>
      </x:c>
      <x:c r="D507" t="str">
        <x:v>성북구</x:v>
      </x:c>
      <x:c r="E507" t="str">
        <x:v>종암동</x:v>
      </x:c>
      <x:c r="F507" s="12" t="n">
        <x:v>98376</x:v>
      </x:c>
      <x:c r="G507" s="12" t="n">
        <x:v>7669937330</x:v>
      </x:c>
      <x:c r="H507" s="12" t="n">
        <x:v>260372</x:v>
      </x:c>
      <x:c r="I507" s="12" t="n">
        <x:v>29457.61191679597</x:v>
      </x:c>
      <x:c r="J507" s="12" t="n">
        <x:v>77965.53356509718</x:v>
      </x:c>
      <x:c r="K507" s="12" t="n">
        <x:v>3849</x:v>
      </x:c>
      <x:c r="L507" s="12" t="n">
        <x:v>391.2539643815565</x:v>
      </x:c>
      <x:c r="M507" s="12" t="n">
        <x:v>25</x:v>
      </x:c>
      <x:c r="N507" s="14" t="n">
        <x:v>0.7687330127115914</x:v>
      </x:c>
      <x:c r="O507" s="14" t="n">
        <x:v>0.23126698728840853</x:v>
      </x:c>
      <x:c r="P507" s="14" t="n">
        <x:v>0.39463652527653703</x:v>
      </x:c>
      <x:c r="Q507" s="14" t="n">
        <x:v>0.21268985870579465</x:v>
      </x:c>
      <x:c r="R507" s="14" t="n">
        <x:v>0.12513877567758433</x:v>
      </x:c>
      <x:c r="S507" s="14" t="n">
        <x:v>0.4607177460470854</x:v>
      </x:c>
      <x:c r="T507" t="str">
        <x:v>직장밀집·고매출밀도</x:v>
      </x:c>
      <x:c r="U507" s="16" t="n">
        <x:v>75.06490274009919</x:v>
      </x:c>
      <x:c r="V507" t="str">
        <x:v>노래방</x:v>
      </x:c>
      <x:c r="W507" t="str">
        <x:v>노래방 / 일반의류 / 일반교습학원</x:v>
      </x:c>
      <x:c r="X507" s="16" t="n">
        <x:v>68.82031129717555</x:v>
      </x:c>
    </x:row>
    <x:row r="508">
      <x:c r="A508" t="str">
        <x:v>3110278</x:v>
      </x:c>
      <x:c r="B508" t="str">
        <x:v>망우본동주민센터</x:v>
      </x:c>
      <x:c r="C508" t="str">
        <x:v>골목상권</x:v>
      </x:c>
      <x:c r="D508" t="str">
        <x:v>중랑구</x:v>
      </x:c>
      <x:c r="E508" t="str">
        <x:v>망우본동</x:v>
      </x:c>
      <x:c r="F508" s="12" t="n">
        <x:v>137523</x:v>
      </x:c>
      <x:c r="G508" s="12" t="n">
        <x:v>7633318578</x:v>
      </x:c>
      <x:c r="H508" s="12" t="n">
        <x:v>382836</x:v>
      </x:c>
      <x:c r="I508" s="12" t="n">
        <x:v>19938.873507193683</x:v>
      </x:c>
      <x:c r="J508" s="12" t="n">
        <x:v>55505.759603848084</x:v>
      </x:c>
      <x:c r="K508" s="12" t="n">
        <x:v>366</x:v>
      </x:c>
      <x:c r="L508" s="12" t="n">
        <x:v>26.613730066970618</x:v>
      </x:c>
      <x:c r="M508" s="12" t="n">
        <x:v>24</x:v>
      </x:c>
      <x:c r="N508" s="14" t="n">
        <x:v>0.7682462538510337</x:v>
      </x:c>
      <x:c r="O508" s="14" t="n">
        <x:v>0.23175374614896624</x:v>
      </x:c>
      <x:c r="P508" s="14" t="n">
        <x:v>0.30574681773749496</x:v>
      </x:c>
      <x:c r="Q508" s="14" t="n">
        <x:v>0.2513383807312123</x:v>
      </x:c>
      <x:c r="R508" s="14" t="n">
        <x:v>0.1907249495908567</x:v>
      </x:c>
      <x:c r="S508" s="14" t="n">
        <x:v>0.4052813714491349</x:v>
      </x:c>
      <x:c r="T508" t="str">
        <x:v>균형형</x:v>
      </x:c>
      <x:c r="U508" s="16" t="n">
        <x:v>65.8911798530042</x:v>
      </x:c>
      <x:c r="V508" t="str">
        <x:v>여관</x:v>
      </x:c>
      <x:c r="W508" t="str">
        <x:v>여관 / 화장품 / 분식전문점</x:v>
      </x:c>
      <x:c r="X508" s="16" t="n">
        <x:v>58.348651959595905</x:v>
      </x:c>
    </x:row>
    <x:row r="509">
      <x:c r="A509" t="str">
        <x:v>3111073</x:v>
      </x:c>
      <x:c r="B509" t="str">
        <x:v>둔촌동역 1번(한산중학교)</x:v>
      </x:c>
      <x:c r="C509" t="str">
        <x:v>골목상권</x:v>
      </x:c>
      <x:c r="D509" t="str">
        <x:v>강동구</x:v>
      </x:c>
      <x:c r="E509" t="str">
        <x:v>둔촌2동</x:v>
      </x:c>
      <x:c r="F509" s="12" t="n">
        <x:v>179874</x:v>
      </x:c>
      <x:c r="G509" s="12" t="n">
        <x:v>7598906957</x:v>
      </x:c>
      <x:c r="H509" s="12" t="n">
        <x:v>272852</x:v>
      </x:c>
      <x:c r="I509" s="12" t="n">
        <x:v>27849.922144605865</x:v>
      </x:c>
      <x:c r="J509" s="12" t="n">
        <x:v>42245.72176634755</x:v>
      </x:c>
      <x:c r="K509" s="12" t="n">
        <x:v>1392</x:v>
      </x:c>
      <x:c r="L509" s="12" t="n">
        <x:v>77.38750458654391</x:v>
      </x:c>
      <x:c r="M509" s="12" t="n">
        <x:v>27</x:v>
      </x:c>
      <x:c r="N509" s="14" t="n">
        <x:v>0.7529652007028779</x:v>
      </x:c>
      <x:c r="O509" s="14" t="n">
        <x:v>0.24703479929712213</x:v>
      </x:c>
      <x:c r="P509" s="14" t="n">
        <x:v>0.36623868284587024</x:v>
      </x:c>
      <x:c r="Q509" s="14" t="n">
        <x:v>0.3263036886793138</x:v>
      </x:c>
      <x:c r="R509" s="14" t="n">
        <x:v>0.18040102079907597</x:v>
      </x:c>
      <x:c r="S509" s="14" t="n">
        <x:v>0.45112213077463004</x:v>
      </x:c>
      <x:c r="T509" t="str">
        <x:v>균형형</x:v>
      </x:c>
      <x:c r="U509" s="16" t="n">
        <x:v>80.40167521413576</x:v>
      </x:c>
      <x:c r="V509" t="str">
        <x:v>일반의류</x:v>
      </x:c>
      <x:c r="W509" t="str">
        <x:v>일반의류 / 미용실 / 의료기기</x:v>
      </x:c>
      <x:c r="X509" s="16" t="n">
        <x:v>66.89413759101805</x:v>
      </x:c>
    </x:row>
    <x:row r="510">
      <x:c r="A510" t="str">
        <x:v>3110577</x:v>
      </x:c>
      <x:c r="B510" t="str">
        <x:v>용강동주민센터</x:v>
      </x:c>
      <x:c r="C510" t="str">
        <x:v>골목상권</x:v>
      </x:c>
      <x:c r="D510" t="str">
        <x:v>마포구</x:v>
      </x:c>
      <x:c r="E510" t="str">
        <x:v>용강동</x:v>
      </x:c>
      <x:c r="F510" s="12" t="n">
        <x:v>26040</x:v>
      </x:c>
      <x:c r="G510" s="12" t="n">
        <x:v>7546101669</x:v>
      </x:c>
      <x:c r="H510" s="12" t="n">
        <x:v>172406</x:v>
      </x:c>
      <x:c r="I510" s="12" t="n">
        <x:v>43769.368055636114</x:v>
      </x:c>
      <x:c r="J510" s="12" t="n">
        <x:v>289788.85057603684</x:v>
      </x:c>
      <x:c r="K510" s="12" t="n">
        <x:v>686</x:v>
      </x:c>
      <x:c r="L510" s="12" t="n">
        <x:v>263.44086021505376</x:v>
      </x:c>
      <x:c r="M510" s="12" t="n">
        <x:v>13</x:v>
      </x:c>
      <x:c r="N510" s="14" t="n">
        <x:v>0.7911564187540501</x:v>
      </x:c>
      <x:c r="O510" s="14" t="n">
        <x:v>0.20884358124594996</x:v>
      </x:c>
      <x:c r="P510" s="14" t="n">
        <x:v>0.26957980533935477</x:v>
      </x:c>
      <x:c r="Q510" s="14" t="n">
        <x:v>0.28071069115090663</x:v>
      </x:c>
      <x:c r="R510" s="14" t="n">
        <x:v>0.13972794010072329</x:v>
      </x:c>
      <x:c r="S510" s="14" t="n">
        <x:v>0.5567009618035932</x:v>
      </x:c>
      <x:c r="T510" t="str">
        <x:v>여성소비·고매출밀도</x:v>
      </x:c>
      <x:c r="U510" s="16" t="n">
        <x:v>70.33427241378276</x:v>
      </x:c>
      <x:c r="V510" t="str">
        <x:v>예술학원</x:v>
      </x:c>
      <x:c r="W510" t="str">
        <x:v>예술학원 / 일반교습학원 / 분식전문점</x:v>
      </x:c>
      <x:c r="X510" s="16" t="n">
        <x:v>62.33888425553285</x:v>
      </x:c>
    </x:row>
    <x:row r="511">
      <x:c r="A511" t="str">
        <x:v>3111027</x:v>
      </x:c>
      <x:c r="B511" t="str">
        <x:v>문정초등학교</x:v>
      </x:c>
      <x:c r="C511" t="str">
        <x:v>골목상권</x:v>
      </x:c>
      <x:c r="D511" t="str">
        <x:v>송파구</x:v>
      </x:c>
      <x:c r="E511" t="str">
        <x:v>문정1동</x:v>
      </x:c>
      <x:c r="F511" s="12" t="n">
        <x:v>124929</x:v>
      </x:c>
      <x:c r="G511" s="12" t="n">
        <x:v>7544873044</x:v>
      </x:c>
      <x:c r="H511" s="12" t="n">
        <x:v>278366</x:v>
      </x:c>
      <x:c r="I511" s="12" t="n">
        <x:v>27104.14721625486</x:v>
      </x:c>
      <x:c r="J511" s="12" t="n">
        <x:v>60393.287739436</x:v>
      </x:c>
      <x:c r="K511" s="12" t="n">
        <x:v>5720</x:v>
      </x:c>
      <x:c r="L511" s="12" t="n">
        <x:v>457.8600645166454</x:v>
      </x:c>
      <x:c r="M511" s="12" t="n">
        <x:v>23</x:v>
      </x:c>
      <x:c r="N511" s="14" t="n">
        <x:v>0.8131547663189547</x:v>
      </x:c>
      <x:c r="O511" s="14" t="n">
        <x:v>0.18684523368104536</x:v>
      </x:c>
      <x:c r="P511" s="14" t="n">
        <x:v>0.33890321892605196</x:v>
      </x:c>
      <x:c r="Q511" s="14" t="n">
        <x:v>0.23848703874890542</x:v>
      </x:c>
      <x:c r="R511" s="14" t="n">
        <x:v>0.16610114307975093</x:v>
      </x:c>
      <x:c r="S511" s="14" t="n">
        <x:v>0.4709340169514985</x:v>
      </x:c>
      <x:c r="T511" t="str">
        <x:v>직장밀집·평일집중</x:v>
      </x:c>
      <x:c r="U511" s="16" t="n">
        <x:v>80.35095387984826</x:v>
      </x:c>
      <x:c r="V511" t="str">
        <x:v>예술학원</x:v>
      </x:c>
      <x:c r="W511" t="str">
        <x:v>예술학원 / 일반교습학원 / 슈퍼마켓</x:v>
      </x:c>
      <x:c r="X511" s="16" t="n">
        <x:v>73.22453227128395</x:v>
      </x:c>
    </x:row>
    <x:row r="512">
      <x:c r="A512" t="str">
        <x:v>3110428</x:v>
      </x:c>
      <x:c r="B512" t="str">
        <x:v>상계5동주민센터</x:v>
      </x:c>
      <x:c r="C512" t="str">
        <x:v>골목상권</x:v>
      </x:c>
      <x:c r="D512" t="str">
        <x:v>노원구</x:v>
      </x:c>
      <x:c r="E512" t="str">
        <x:v>상계5동</x:v>
      </x:c>
      <x:c r="F512" s="12" t="n">
        <x:v>217725</x:v>
      </x:c>
      <x:c r="G512" s="12" t="n">
        <x:v>7533622802</x:v>
      </x:c>
      <x:c r="H512" s="12" t="n">
        <x:v>307411</x:v>
      </x:c>
      <x:c r="I512" s="12" t="n">
        <x:v>24506.679338084843</x:v>
      </x:c>
      <x:c r="J512" s="12" t="n">
        <x:v>34601.55150763578</x:v>
      </x:c>
      <x:c r="K512" s="12" t="n">
        <x:v>594</x:v>
      </x:c>
      <x:c r="L512" s="12" t="n">
        <x:v>27.282121942817774</x:v>
      </x:c>
      <x:c r="M512" s="12" t="n">
        <x:v>22</x:v>
      </x:c>
      <x:c r="N512" s="14" t="n">
        <x:v>0.7734297532726407</x:v>
      </x:c>
      <x:c r="O512" s="14" t="n">
        <x:v>0.22657024672735931</x:v>
      </x:c>
      <x:c r="P512" s="14" t="n">
        <x:v>0.4200228349845116</x:v>
      </x:c>
      <x:c r="Q512" s="14" t="n">
        <x:v>0.20563592944801115</x:v>
      </x:c>
      <x:c r="R512" s="14" t="n">
        <x:v>0.17134420396748715</x:v>
      </x:c>
      <x:c r="S512" s="14" t="n">
        <x:v>0.3371278079287092</x:v>
      </x:c>
      <x:c r="T512" t="str">
        <x:v>야간활성·평일집중</x:v>
      </x:c>
      <x:c r="U512" s="16" t="n">
        <x:v>68.02177215250714</x:v>
      </x:c>
      <x:c r="V512" t="str">
        <x:v>자동차수리</x:v>
      </x:c>
      <x:c r="W512" t="str">
        <x:v>자동차수리 / 미용실 / 슈퍼마켓</x:v>
      </x:c>
      <x:c r="X512" s="16" t="n">
        <x:v>61.69751265783386</x:v>
      </x:c>
    </x:row>
    <x:row r="513">
      <x:c r="A513" t="str">
        <x:v>3110627</x:v>
      </x:c>
      <x:c r="B513" t="str">
        <x:v>신정롯데캐슬아파트</x:v>
      </x:c>
      <x:c r="C513" t="str">
        <x:v>골목상권</x:v>
      </x:c>
      <x:c r="D513" t="str">
        <x:v>양천구</x:v>
      </x:c>
      <x:c r="E513" t="str">
        <x:v>신정2동</x:v>
      </x:c>
      <x:c r="F513" s="12" t="n">
        <x:v>80881</x:v>
      </x:c>
      <x:c r="G513" s="12" t="n">
        <x:v>7527615680</x:v>
      </x:c>
      <x:c r="H513" s="12" t="n">
        <x:v>256529</x:v>
      </x:c>
      <x:c r="I513" s="12" t="n">
        <x:v>29344.11189378199</x:v>
      </x:c>
      <x:c r="J513" s="12" t="n">
        <x:v>93070.25976434514</x:v>
      </x:c>
      <x:c r="K513" s="12" t="n">
        <x:v>4602</x:v>
      </x:c>
      <x:c r="L513" s="12" t="n">
        <x:v>568.9840630061449</x:v>
      </x:c>
      <x:c r="M513" s="12" t="n">
        <x:v>24</x:v>
      </x:c>
      <x:c r="N513" s="14" t="n">
        <x:v>0.7251255204888463</x:v>
      </x:c>
      <x:c r="O513" s="14" t="n">
        <x:v>0.2748744795111538</x:v>
      </x:c>
      <x:c r="P513" s="14" t="n">
        <x:v>0.4091956200930811</x:v>
      </x:c>
      <x:c r="Q513" s="14" t="n">
        <x:v>0.25661357940101426</x:v>
      </x:c>
      <x:c r="R513" s="14" t="n">
        <x:v>0.1343419020031586</x:v>
      </x:c>
      <x:c r="S513" s="14" t="n">
        <x:v>0.4322627360805965</x:v>
      </x:c>
      <x:c r="T513" t="str">
        <x:v>직장밀집·고매출밀도</x:v>
      </x:c>
      <x:c r="U513" s="16" t="n">
        <x:v>69.67389752200856</x:v>
      </x:c>
      <x:c r="V513" t="str">
        <x:v>미용실</x:v>
      </x:c>
      <x:c r="W513" t="str">
        <x:v>미용실 / 한식음식점 / 인테리어</x:v>
      </x:c>
      <x:c r="X513" s="16" t="n">
        <x:v>65.41179679346475</x:v>
      </x:c>
    </x:row>
    <x:row r="514">
      <x:c r="A514" t="str">
        <x:v>3110559</x:v>
      </x:c>
      <x:c r="B514" t="str">
        <x:v>성산중학교</x:v>
      </x:c>
      <x:c r="C514" t="str">
        <x:v>골목상권</x:v>
      </x:c>
      <x:c r="D514" t="str">
        <x:v>마포구</x:v>
      </x:c>
      <x:c r="E514" t="str">
        <x:v>합정동</x:v>
      </x:c>
      <x:c r="F514" s="12" t="n">
        <x:v>100801</x:v>
      </x:c>
      <x:c r="G514" s="12" t="n">
        <x:v>7501396960</x:v>
      </x:c>
      <x:c r="H514" s="12" t="n">
        <x:v>132409</x:v>
      </x:c>
      <x:c r="I514" s="12" t="n">
        <x:v>56653.225687075654</x:v>
      </x:c>
      <x:c r="J514" s="12" t="n">
        <x:v>74417.88236227815</x:v>
      </x:c>
      <x:c r="K514" s="12" t="n">
        <x:v>816</x:v>
      </x:c>
      <x:c r="L514" s="12" t="n">
        <x:v>80.95157786133073</x:v>
      </x:c>
      <x:c r="M514" s="12" t="n">
        <x:v>14</x:v>
      </x:c>
      <x:c r="N514" s="14" t="n">
        <x:v>0.8637492047881172</x:v>
      </x:c>
      <x:c r="O514" s="14" t="n">
        <x:v>0.13625079521188277</x:v>
      </x:c>
      <x:c r="P514" s="14" t="n">
        <x:v>0.16906749246343045</x:v>
      </x:c>
      <x:c r="Q514" s="14" t="n">
        <x:v>0.7069308671807711</x:v>
      </x:c>
      <x:c r="R514" s="14" t="n">
        <x:v>0.23238100640390585</x:v>
      </x:c>
      <x:c r="S514" s="14" t="n">
        <x:v>0.20146996633544373</x:v>
      </x:c>
      <x:c r="T514" t="str">
        <x:v>평일집중·고매출밀도</x:v>
      </x:c>
      <x:c r="U514" s="16" t="n">
        <x:v>72.0655571968671</x:v>
      </x:c>
      <x:c r="V514" t="str">
        <x:v>미용실</x:v>
      </x:c>
      <x:c r="W514" t="str">
        <x:v>미용실 / 컴퓨터및주변장치판매 / 인테리어</x:v>
      </x:c>
      <x:c r="X514" s="16" t="n">
        <x:v>63.310748406864285</x:v>
      </x:c>
    </x:row>
    <x:row r="515">
      <x:c r="A515" t="str">
        <x:v>3130233</x:v>
      </x:c>
      <x:c r="B515" t="str">
        <x:v>남문시장</x:v>
      </x:c>
      <x:c r="C515" t="str">
        <x:v>전통시장</x:v>
      </x:c>
      <x:c r="D515" t="str">
        <x:v>금천구</x:v>
      </x:c>
      <x:c r="E515" t="str">
        <x:v>독산3동</x:v>
      </x:c>
      <x:c r="F515" s="12" t="n">
        <x:v>48355</x:v>
      </x:c>
      <x:c r="G515" s="12" t="n">
        <x:v>7438271588</x:v>
      </x:c>
      <x:c r="H515" s="12" t="n">
        <x:v>310352</x:v>
      </x:c>
      <x:c r="I515" s="12" t="n">
        <x:v>23967.210096922205</x:v>
      </x:c>
      <x:c r="J515" s="12" t="n">
        <x:v>153826.31760934752</x:v>
      </x:c>
      <x:c r="K515" s="12" t="n">
        <x:v>244</x:v>
      </x:c>
      <x:c r="L515" s="12" t="n">
        <x:v>50.46013855857719</x:v>
      </x:c>
      <x:c r="M515" s="12" t="n">
        <x:v>14</x:v>
      </x:c>
      <x:c r="N515" s="14" t="n">
        <x:v>0.658569799992627</x:v>
      </x:c>
      <x:c r="O515" s="14" t="n">
        <x:v>0.341430200007373</x:v>
      </x:c>
      <x:c r="P515" s="14" t="n">
        <x:v>0.2514579708298761</x:v>
      </x:c>
      <x:c r="Q515" s="14" t="n">
        <x:v>0.2785131928151371</x:v>
      </x:c>
      <x:c r="R515" s="14" t="n">
        <x:v>0.09041501739261312</x:v>
      </x:c>
      <x:c r="S515" s="14" t="n">
        <x:v>0.5953494834934764</x:v>
      </x:c>
      <x:c r="T515" t="str">
        <x:v>여성소비·고매출밀도</x:v>
      </x:c>
      <x:c r="U515" s="16" t="n">
        <x:v>66.6852413464343</x:v>
      </x:c>
      <x:c r="V515" t="str">
        <x:v>육류판매</x:v>
      </x:c>
      <x:c r="W515" t="str">
        <x:v>육류판매 / 반찬가게 / 청과상</x:v>
      </x:c>
      <x:c r="X515" s="16" t="n">
        <x:v>58.020455500814386</x:v>
      </x:c>
    </x:row>
    <x:row r="516">
      <x:c r="A516" t="str">
        <x:v>3111034</x:v>
      </x:c>
      <x:c r="B516" t="str">
        <x:v>오동나무공원(송파레미니스1단지)</x:v>
      </x:c>
      <x:c r="C516" t="str">
        <x:v>골목상권</x:v>
      </x:c>
      <x:c r="D516" t="str">
        <x:v>송파구</x:v>
      </x:c>
      <x:c r="E516" t="str">
        <x:v>오금동</x:v>
      </x:c>
      <x:c r="F516" s="12" t="n">
        <x:v>139482</x:v>
      </x:c>
      <x:c r="G516" s="12" t="n">
        <x:v>7434095871</x:v>
      </x:c>
      <x:c r="H516" s="12" t="n">
        <x:v>145458</x:v>
      </x:c>
      <x:c r="I516" s="12" t="n">
        <x:v>51108.19529348678</x:v>
      </x:c>
      <x:c r="J516" s="12" t="n">
        <x:v>53297.8869746634</x:v>
      </x:c>
      <x:c r="K516" s="12" t="n">
        <x:v>2421</x:v>
      </x:c>
      <x:c r="L516" s="12" t="n">
        <x:v>173.5707833268809</x:v>
      </x:c>
      <x:c r="M516" s="12" t="n">
        <x:v>18</x:v>
      </x:c>
      <x:c r="N516" s="14" t="n">
        <x:v>0.8523362878218658</x:v>
      </x:c>
      <x:c r="O516" s="14" t="n">
        <x:v>0.1476637121781342</x:v>
      </x:c>
      <x:c r="P516" s="14" t="n">
        <x:v>0.24127235875406158</x:v>
      </x:c>
      <x:c r="Q516" s="14" t="n">
        <x:v>0.19705744967786412</x:v>
      </x:c>
      <x:c r="R516" s="14" t="n">
        <x:v>0.1996904880916352</x:v>
      </x:c>
      <x:c r="S516" s="14" t="n">
        <x:v>0.35502141804434095</x:v>
      </x:c>
      <x:c r="T516" t="str">
        <x:v>평일집중·직장밀집</x:v>
      </x:c>
      <x:c r="U516" s="16" t="n">
        <x:v>67.91677538481447</x:v>
      </x:c>
      <x:c r="V516" t="str">
        <x:v>일반의류</x:v>
      </x:c>
      <x:c r="W516" t="str">
        <x:v>일반의류 / 반찬가게 / 한식음식점</x:v>
      </x:c>
      <x:c r="X516" s="16" t="n">
        <x:v>60.37285044335802</x:v>
      </x:c>
    </x:row>
    <x:row r="517">
      <x:c r="A517" t="str">
        <x:v>3110093</x:v>
      </x:c>
      <x:c r="B517" t="str">
        <x:v>우사단길</x:v>
      </x:c>
      <x:c r="C517" t="str">
        <x:v>골목상권</x:v>
      </x:c>
      <x:c r="D517" t="str">
        <x:v>용산구</x:v>
      </x:c>
      <x:c r="E517" t="str">
        <x:v>한남동</x:v>
      </x:c>
      <x:c r="F517" s="12" t="n">
        <x:v>234768</x:v>
      </x:c>
      <x:c r="G517" s="12" t="n">
        <x:v>7431681882</x:v>
      </x:c>
      <x:c r="H517" s="12" t="n">
        <x:v>156261</x:v>
      </x:c>
      <x:c r="I517" s="12" t="n">
        <x:v>47559.41586192332</x:v>
      </x:c>
      <x:c r="J517" s="12" t="n">
        <x:v>31655.42953894909</x:v>
      </x:c>
      <x:c r="K517" s="12" t="n">
        <x:v>7584</x:v>
      </x:c>
      <x:c r="L517" s="12" t="n">
        <x:v>323.04232263340833</x:v>
      </x:c>
      <x:c r="M517" s="12" t="n">
        <x:v>14</x:v>
      </x:c>
      <x:c r="N517" s="14" t="n">
        <x:v>0.7920288114399135</x:v>
      </x:c>
      <x:c r="O517" s="14" t="n">
        <x:v>0.20797118856008642</x:v>
      </x:c>
      <x:c r="P517" s="14" t="n">
        <x:v>0.38006284887424086</x:v>
      </x:c>
      <x:c r="Q517" s="14" t="n">
        <x:v>0.22005033718691674</x:v>
      </x:c>
      <x:c r="R517" s="14" t="n">
        <x:v>0.40220676254183074</x:v>
      </x:c>
      <x:c r="S517" s="14" t="n">
        <x:v>0.46832809130728614</x:v>
      </x:c>
      <x:c r="T517" t="str">
        <x:v>2030소비·직장밀집</x:v>
      </x:c>
      <x:c r="U517" s="16" t="n">
        <x:v>67.73529520722232</x:v>
      </x:c>
      <x:c r="V517" t="str">
        <x:v>일반의류</x:v>
      </x:c>
      <x:c r="W517" t="str">
        <x:v>일반의류 / 화초 / 호프-간이주점</x:v>
      </x:c>
      <x:c r="X517" s="16" t="n">
        <x:v>59.98398708769419</x:v>
      </x:c>
    </x:row>
    <x:row r="518">
      <x:c r="A518" t="str">
        <x:v>3130324</x:v>
      </x:c>
      <x:c r="B518" t="str">
        <x:v>길동복조리시장</x:v>
      </x:c>
      <x:c r="C518" t="str">
        <x:v>전통시장</x:v>
      </x:c>
      <x:c r="D518" t="str">
        <x:v>강동구</x:v>
      </x:c>
      <x:c r="E518" t="str">
        <x:v>길동</x:v>
      </x:c>
      <x:c r="F518" s="12" t="n">
        <x:v>29464</x:v>
      </x:c>
      <x:c r="G518" s="12" t="n">
        <x:v>7415216657</x:v>
      </x:c>
      <x:c r="H518" s="12" t="n">
        <x:v>377503</x:v>
      </x:c>
      <x:c r="I518" s="12" t="n">
        <x:v>19642.801930050886</x:v>
      </x:c>
      <x:c r="J518" s="12" t="n">
        <x:v>251670.39970811838</x:v>
      </x:c>
      <x:c r="K518" s="12" t="n">
        <x:v>147</x:v>
      </x:c>
      <x:c r="L518" s="12" t="n">
        <x:v>49.891392886234044</x:v>
      </x:c>
      <x:c r="M518" s="12" t="n">
        <x:v>16</x:v>
      </x:c>
      <x:c r="N518" s="14" t="n">
        <x:v>0.6339871572817889</x:v>
      </x:c>
      <x:c r="O518" s="14" t="n">
        <x:v>0.3660128427182111</x:v>
      </x:c>
      <x:c r="P518" s="14" t="n">
        <x:v>0.34012561408021985</x:v>
      </x:c>
      <x:c r="Q518" s="14" t="n">
        <x:v>0.25970688734793096</x:v>
      </x:c>
      <x:c r="R518" s="14" t="n">
        <x:v>0.13110458884330345</x:v>
      </x:c>
      <x:c r="S518" s="14" t="n">
        <x:v>0.5541509725303768</x:v>
      </x:c>
      <x:c r="T518" t="str">
        <x:v>여성소비·고매출밀도</x:v>
      </x:c>
      <x:c r="U518" s="16" t="n">
        <x:v>65.5212566810434</x:v>
      </x:c>
      <x:c r="V518" t="str">
        <x:v>일반의류</x:v>
      </x:c>
      <x:c r="W518" t="str">
        <x:v>일반의류 / 육류판매 / 시계및귀금속</x:v>
      </x:c>
      <x:c r="X518" s="16" t="n">
        <x:v>61.942990914261166</x:v>
      </x:c>
    </x:row>
    <x:row r="519">
      <x:c r="A519" t="str">
        <x:v>3110416</x:v>
      </x:c>
      <x:c r="B519" t="str">
        <x:v>노원초등학교</x:v>
      </x:c>
      <x:c r="C519" t="str">
        <x:v>골목상권</x:v>
      </x:c>
      <x:c r="D519" t="str">
        <x:v>노원구</x:v>
      </x:c>
      <x:c r="E519" t="str">
        <x:v>상계1동</x:v>
      </x:c>
      <x:c r="F519" s="12" t="n">
        <x:v>92687</x:v>
      </x:c>
      <x:c r="G519" s="12" t="n">
        <x:v>7379209823</x:v>
      </x:c>
      <x:c r="H519" s="12" t="n">
        <x:v>160384</x:v>
      </x:c>
      <x:c r="I519" s="12" t="n">
        <x:v>46009.63826192139</x:v>
      </x:c>
      <x:c r="J519" s="12" t="n">
        <x:v>79614.29135693247</x:v>
      </x:c>
      <x:c r="K519" s="12" t="n">
        <x:v>602</x:v>
      </x:c>
      <x:c r="L519" s="12" t="n">
        <x:v>64.94977720715958</x:v>
      </x:c>
      <x:c r="M519" s="12" t="n">
        <x:v>15</x:v>
      </x:c>
      <x:c r="N519" s="14" t="n">
        <x:v>0.6501130584534132</x:v>
      </x:c>
      <x:c r="O519" s="14" t="n">
        <x:v>0.3498869415465868</x:v>
      </x:c>
      <x:c r="P519" s="14" t="n">
        <x:v>0.444641501692125</x:v>
      </x:c>
      <x:c r="Q519" s="14" t="n">
        <x:v>0.2555624861244713</x:v>
      </x:c>
      <x:c r="R519" s="14" t="n">
        <x:v>0.12004199680554334</x:v>
      </x:c>
      <x:c r="S519" s="14" t="n">
        <x:v>0.4037694332411179</x:v>
      </x:c>
      <x:c r="T519" t="str">
        <x:v>야간활성·고매출밀도</x:v>
      </x:c>
      <x:c r="U519" s="16" t="n">
        <x:v>68.77737542087961</x:v>
      </x:c>
      <x:c r="V519" t="str">
        <x:v>한식음식점</x:v>
      </x:c>
      <x:c r="W519" t="str">
        <x:v>한식음식점 / 당구장 / 세탁소</x:v>
      </x:c>
      <x:c r="X519" s="16" t="n">
        <x:v>62.03492830753296</x:v>
      </x:c>
    </x:row>
    <x:row r="520">
      <x:c r="A520" t="str">
        <x:v>3110595</x:v>
      </x:c>
      <x:c r="B520" t="str">
        <x:v>메디힐병원</x:v>
      </x:c>
      <x:c r="C520" t="str">
        <x:v>골목상권</x:v>
      </x:c>
      <x:c r="D520" t="str">
        <x:v>양천구</x:v>
      </x:c>
      <x:c r="E520" t="str">
        <x:v>신월5동</x:v>
      </x:c>
      <x:c r="F520" s="12" t="n">
        <x:v>187236</x:v>
      </x:c>
      <x:c r="G520" s="12" t="n">
        <x:v>7370928301</x:v>
      </x:c>
      <x:c r="H520" s="12" t="n">
        <x:v>276394</x:v>
      </x:c>
      <x:c r="I520" s="12" t="n">
        <x:v>26668.19214961251</x:v>
      </x:c>
      <x:c r="J520" s="12" t="n">
        <x:v>39367.04640667393</x:v>
      </x:c>
      <x:c r="K520" s="12" t="n">
        <x:v>1014</x:v>
      </x:c>
      <x:c r="L520" s="12" t="n">
        <x:v>54.15625200281997</x:v>
      </x:c>
      <x:c r="M520" s="12" t="n">
        <x:v>20</x:v>
      </x:c>
      <x:c r="N520" s="14" t="n">
        <x:v>0.75153247023831</x:v>
      </x:c>
      <x:c r="O520" s="14" t="n">
        <x:v>0.24846752976168993</x:v>
      </x:c>
      <x:c r="P520" s="14" t="n">
        <x:v>0.3301294943636707</x:v>
      </x:c>
      <x:c r="Q520" s="14" t="n">
        <x:v>0.23192056837238254</x:v>
      </x:c>
      <x:c r="R520" s="14" t="n">
        <x:v>0.15056715323759598</x:v>
      </x:c>
      <x:c r="S520" s="14" t="n">
        <x:v>0.29895966980184036</x:v>
      </x:c>
      <x:c r="T520" t="str">
        <x:v>균형형</x:v>
      </x:c>
      <x:c r="U520" s="16" t="n">
        <x:v>71.21256997506062</x:v>
      </x:c>
      <x:c r="V520" t="str">
        <x:v>조명용품</x:v>
      </x:c>
      <x:c r="W520" t="str">
        <x:v>조명용품 / 노래방 / 슈퍼마켓</x:v>
      </x:c>
      <x:c r="X520" s="16" t="n">
        <x:v>63.70656894014478</x:v>
      </x:c>
    </x:row>
    <x:row r="521">
      <x:c r="A521" t="str">
        <x:v>3110114</x:v>
      </x:c>
      <x:c r="B521" t="str">
        <x:v>왕십리파출소</x:v>
      </x:c>
      <x:c r="C521" t="str">
        <x:v>골목상권</x:v>
      </x:c>
      <x:c r="D521" t="str">
        <x:v>성동구</x:v>
      </x:c>
      <x:c r="E521" t="str">
        <x:v>왕십리도선동</x:v>
      </x:c>
      <x:c r="F521" s="12" t="n">
        <x:v>27058</x:v>
      </x:c>
      <x:c r="G521" s="12" t="n">
        <x:v>7349146179</x:v>
      </x:c>
      <x:c r="H521" s="12" t="n">
        <x:v>23471</x:v>
      </x:c>
      <x:c r="I521" s="12" t="n">
        <x:v>313116.02313493245</x:v>
      </x:c>
      <x:c r="J521" s="12" t="n">
        <x:v>271607.1468327297</x:v>
      </x:c>
      <x:c r="K521" s="12" t="n">
        <x:v>153</x:v>
      </x:c>
      <x:c r="L521" s="12" t="n">
        <x:v>56.54519920171484</x:v>
      </x:c>
      <x:c r="M521" s="12" t="n">
        <x:v>3</x:v>
      </x:c>
      <x:c r="N521" s="14" t="n">
        <x:v>0.9430012333681735</x:v>
      </x:c>
      <x:c r="O521" s="14" t="n">
        <x:v>0.056998766631826445</x:v>
      </x:c>
      <x:c r="P521" s="14" t="n">
        <x:v>0.17861861514620445</x:v>
      </x:c>
      <x:c r="Q521" s="14" t="n">
        <x:v>0.03192959240224687</x:v>
      </x:c>
      <x:c r="R521" s="14" t="n">
        <x:v>0.11061620849547671</x:v>
      </x:c>
      <x:c r="S521" s="14" t="n">
        <x:v>0.621828222992542</x:v>
      </x:c>
      <x:c r="T521" t="str">
        <x:v>평일집중·여성소비</x:v>
      </x:c>
      <x:c r="U521" s="16" t="n">
        <x:v>67.74248369958946</x:v>
      </x:c>
      <x:c r="V521" t="str">
        <x:v>육류판매</x:v>
      </x:c>
      <x:c r="W521" t="str">
        <x:v>육류판매 / 한식음식점 / 슈퍼마켓</x:v>
      </x:c>
      <x:c r="X521" s="16" t="n">
        <x:v>49.84238805289274</x:v>
      </x:c>
    </x:row>
    <x:row r="522">
      <x:c r="A522" t="str">
        <x:v>3130279</x:v>
      </x:c>
      <x:c r="B522" t="str">
        <x:v>관악신사시장</x:v>
      </x:c>
      <x:c r="C522" t="str">
        <x:v>전통시장</x:v>
      </x:c>
      <x:c r="D522" t="str">
        <x:v>관악구</x:v>
      </x:c>
      <x:c r="E522" t="str">
        <x:v>신사동</x:v>
      </x:c>
      <x:c r="F522" s="12" t="n">
        <x:v>49986</x:v>
      </x:c>
      <x:c r="G522" s="12" t="n">
        <x:v>7335132189</x:v>
      </x:c>
      <x:c r="H522" s="12" t="n">
        <x:v>493405</x:v>
      </x:c>
      <x:c r="I522" s="12" t="n">
        <x:v>14866.35155501059</x:v>
      </x:c>
      <x:c r="J522" s="12" t="n">
        <x:v>146743.732024967</x:v>
      </x:c>
      <x:c r="K522" s="12" t="n">
        <x:v>373</x:v>
      </x:c>
      <x:c r="L522" s="12" t="n">
        <x:v>74.62089385027808</x:v>
      </x:c>
      <x:c r="M522" s="12" t="n">
        <x:v>19</x:v>
      </x:c>
      <x:c r="N522" s="14" t="n">
        <x:v>0.7237144905119582</x:v>
      </x:c>
      <x:c r="O522" s="14" t="n">
        <x:v>0.27628550948804176</x:v>
      </x:c>
      <x:c r="P522" s="14" t="n">
        <x:v>0.3342636047755076</x:v>
      </x:c>
      <x:c r="Q522" s="14" t="n">
        <x:v>0.2287996470625023</x:v>
      </x:c>
      <x:c r="R522" s="14" t="n">
        <x:v>0.16665751025363015</x:v>
      </x:c>
      <x:c r="S522" s="14" t="n">
        <x:v>0.5688472638921654</x:v>
      </x:c>
      <x:c r="T522" t="str">
        <x:v>여성소비·고매출밀도</x:v>
      </x:c>
      <x:c r="U522" s="16" t="n">
        <x:v>72.63767424064856</x:v>
      </x:c>
      <x:c r="V522" t="str">
        <x:v>핸드폰</x:v>
      </x:c>
      <x:c r="W522" t="str">
        <x:v>핸드폰 / 청과상 / 육류판매</x:v>
      </x:c>
      <x:c r="X522" s="16" t="n">
        <x:v>68.03174957919256</x:v>
      </x:c>
    </x:row>
    <x:row r="523">
      <x:c r="A523" t="str">
        <x:v>3110369</x:v>
      </x:c>
      <x:c r="B523" t="str">
        <x:v>성신여대운정그린캠퍼스</x:v>
      </x:c>
      <x:c r="C523" t="str">
        <x:v>골목상권</x:v>
      </x:c>
      <x:c r="D523" t="str">
        <x:v>강북구</x:v>
      </x:c>
      <x:c r="E523" t="str">
        <x:v>미아동</x:v>
      </x:c>
      <x:c r="F523" s="12" t="n">
        <x:v>133932</x:v>
      </x:c>
      <x:c r="G523" s="12" t="n">
        <x:v>7330389525</x:v>
      </x:c>
      <x:c r="H523" s="12" t="n">
        <x:v>274481</x:v>
      </x:c>
      <x:c r="I523" s="12" t="n">
        <x:v>26706.364101704672</x:v>
      </x:c>
      <x:c r="J523" s="12" t="n">
        <x:v>54732.1739763462</x:v>
      </x:c>
      <x:c r="K523" s="12" t="n">
        <x:v>270</x:v>
      </x:c>
      <x:c r="L523" s="12" t="n">
        <x:v>20.15948391721172</x:v>
      </x:c>
      <x:c r="M523" s="12" t="n">
        <x:v>21</x:v>
      </x:c>
      <x:c r="N523" s="14" t="n">
        <x:v>0.7425604015224553</x:v>
      </x:c>
      <x:c r="O523" s="14" t="n">
        <x:v>0.2574395984775448</x:v>
      </x:c>
      <x:c r="P523" s="14" t="n">
        <x:v>0.340179350701012</x:v>
      </x:c>
      <x:c r="Q523" s="14" t="n">
        <x:v>0.2933493622223302</x:v>
      </x:c>
      <x:c r="R523" s="14" t="n">
        <x:v>0.20019297501110625</x:v>
      </x:c>
      <x:c r="S523" s="14" t="n">
        <x:v>0.4537857303019651</x:v>
      </x:c>
      <x:c r="T523" t="str">
        <x:v>균형형</x:v>
      </x:c>
      <x:c r="U523" s="16" t="n">
        <x:v>66.67662127615776</x:v>
      </x:c>
      <x:c r="V523" t="str">
        <x:v>일반의류</x:v>
      </x:c>
      <x:c r="W523" t="str">
        <x:v>일반의류 / 한식음식점 / 일반의원</x:v>
      </x:c>
      <x:c r="X523" s="16" t="n">
        <x:v>61.32815428732566</x:v>
      </x:c>
    </x:row>
    <x:row r="524">
      <x:c r="A524" t="str">
        <x:v>3110407</x:v>
      </x:c>
      <x:c r="B524" t="str">
        <x:v>도봉역 2번</x:v>
      </x:c>
      <x:c r="C524" t="str">
        <x:v>골목상권</x:v>
      </x:c>
      <x:c r="D524" t="str">
        <x:v>도봉구</x:v>
      </x:c>
      <x:c r="E524" t="str">
        <x:v>도봉1동</x:v>
      </x:c>
      <x:c r="F524" s="12" t="n">
        <x:v>454340</x:v>
      </x:c>
      <x:c r="G524" s="12" t="n">
        <x:v>7278049320</x:v>
      </x:c>
      <x:c r="H524" s="12" t="n">
        <x:v>340894</x:v>
      </x:c>
      <x:c r="I524" s="12" t="n">
        <x:v>21349.889760453396</x:v>
      </x:c>
      <x:c r="J524" s="12" t="n">
        <x:v>16018.949068979178</x:v>
      </x:c>
      <x:c r="K524" s="12" t="n">
        <x:v>499</x:v>
      </x:c>
      <x:c r="L524" s="12" t="n">
        <x:v>10.98296429986354</x:v>
      </x:c>
      <x:c r="M524" s="12" t="n">
        <x:v>20</x:v>
      </x:c>
      <x:c r="N524" s="14" t="n">
        <x:v>0.7237989736513629</x:v>
      </x:c>
      <x:c r="O524" s="14" t="n">
        <x:v>0.2762010263486371</x:v>
      </x:c>
      <x:c r="P524" s="14" t="n">
        <x:v>0.4717397350640652</x:v>
      </x:c>
      <x:c r="Q524" s="14" t="n">
        <x:v>0.20353354997599823</x:v>
      </x:c>
      <x:c r="R524" s="14" t="n">
        <x:v>0.13688865741294537</x:v>
      </x:c>
      <x:c r="S524" s="14" t="n">
        <x:v>0.35981965618226947</x:v>
      </x:c>
      <x:c r="T524" t="str">
        <x:v>야간활성</x:v>
      </x:c>
      <x:c r="U524" s="16" t="n">
        <x:v>71.50584506175862</x:v>
      </x:c>
      <x:c r="V524" t="str">
        <x:v>애완동물</x:v>
      </x:c>
      <x:c r="W524" t="str">
        <x:v>애완동물 / 슈퍼마켓 / 자동차수리</x:v>
      </x:c>
      <x:c r="X524" s="16" t="n">
        <x:v>60.13709412115401</x:v>
      </x:c>
    </x:row>
    <x:row r="525">
      <x:c r="A525" t="str">
        <x:v>3110877</x:v>
      </x:c>
      <x:c r="B525" t="str">
        <x:v>신림역 8번</x:v>
      </x:c>
      <x:c r="C525" t="str">
        <x:v>골목상권</x:v>
      </x:c>
      <x:c r="D525" t="str">
        <x:v>관악구</x:v>
      </x:c>
      <x:c r="E525" t="str">
        <x:v>신림동</x:v>
      </x:c>
      <x:c r="F525" s="12" t="n">
        <x:v>103978</x:v>
      </x:c>
      <x:c r="G525" s="12" t="n">
        <x:v>7254525753</x:v>
      </x:c>
      <x:c r="H525" s="12" t="n">
        <x:v>301633</x:v>
      </x:c>
      <x:c r="I525" s="12" t="n">
        <x:v>24050.835793828923</x:v>
      </x:c>
      <x:c r="J525" s="12" t="n">
        <x:v>69769.81431649002</x:v>
      </x:c>
      <x:c r="K525" s="12" t="n">
        <x:v>557</x:v>
      </x:c>
      <x:c r="L525" s="12" t="n">
        <x:v>53.56902421666121</x:v>
      </x:c>
      <x:c r="M525" s="12" t="n">
        <x:v>14</x:v>
      </x:c>
      <x:c r="N525" s="14" t="n">
        <x:v>0.7266393580338566</x:v>
      </x:c>
      <x:c r="O525" s="14" t="n">
        <x:v>0.2733606419661434</x:v>
      </x:c>
      <x:c r="P525" s="14" t="n">
        <x:v>0.4130376756552125</x:v>
      </x:c>
      <x:c r="Q525" s="14" t="n">
        <x:v>0.221215100013444</x:v>
      </x:c>
      <x:c r="R525" s="14" t="n">
        <x:v>0.2915869764643456</x:v>
      </x:c>
      <x:c r="S525" s="14" t="n">
        <x:v>0.31405977986332473</x:v>
      </x:c>
      <x:c r="T525" t="str">
        <x:v>2030소비·야간활성</x:v>
      </x:c>
      <x:c r="U525" s="16" t="n">
        <x:v>84.33223365873262</x:v>
      </x:c>
      <x:c r="V525" t="str">
        <x:v>예술학원</x:v>
      </x:c>
      <x:c r="W525" t="str">
        <x:v>예술학원 / 자동차수리 / 당구장</x:v>
      </x:c>
      <x:c r="X525" s="16" t="n">
        <x:v>68.00269604008895</x:v>
      </x:c>
    </x:row>
    <x:row r="526">
      <x:c r="A526" t="str">
        <x:v>3120146</x:v>
      </x:c>
      <x:c r="B526" t="str">
        <x:v>한강성심병원</x:v>
      </x:c>
      <x:c r="C526" t="str">
        <x:v>발달상권</x:v>
      </x:c>
      <x:c r="D526" t="str">
        <x:v>영등포구</x:v>
      </x:c>
      <x:c r="E526" t="str">
        <x:v>영등포동</x:v>
      </x:c>
      <x:c r="F526" s="12" t="n">
        <x:v>140562</x:v>
      </x:c>
      <x:c r="G526" s="12" t="n">
        <x:v>7241192186</x:v>
      </x:c>
      <x:c r="H526" s="12" t="n">
        <x:v>204283</x:v>
      </x:c>
      <x:c r="I526" s="12" t="n">
        <x:v>35446.8662884332</x:v>
      </x:c>
      <x:c r="J526" s="12" t="n">
        <x:v>51516.001380173875</x:v>
      </x:c>
      <x:c r="K526" s="12" t="n">
        <x:v>3893</x:v>
      </x:c>
      <x:c r="L526" s="12" t="n">
        <x:v>276.9596334713507</x:v>
      </x:c>
      <x:c r="M526" s="12" t="n">
        <x:v>11</x:v>
      </x:c>
      <x:c r="N526" s="14" t="n">
        <x:v>0.9560425555869924</x:v>
      </x:c>
      <x:c r="O526" s="14" t="n">
        <x:v>0.0439574444130076</x:v>
      </x:c>
      <x:c r="P526" s="14" t="n">
        <x:v>0.1902384225712636</x:v>
      </x:c>
      <x:c r="Q526" s="14" t="n">
        <x:v>0.2514598440738029</x:v>
      </x:c>
      <x:c r="R526" s="14" t="n">
        <x:v>0.09352042600240414</x:v>
      </x:c>
      <x:c r="S526" s="14" t="n">
        <x:v>0.13023815205779707</x:v>
      </x:c>
      <x:c r="T526" t="str">
        <x:v>평일집중·직장밀집</x:v>
      </x:c>
      <x:c r="U526" s="16" t="n">
        <x:v>62.91208066067397</x:v>
      </x:c>
      <x:c r="V526" t="str">
        <x:v>인테리어</x:v>
      </x:c>
      <x:c r="W526" t="str">
        <x:v>인테리어 / 문구 / 의료기기</x:v>
      </x:c>
      <x:c r="X526" s="16" t="n">
        <x:v>55.967642704366256</x:v>
      </x:c>
    </x:row>
    <x:row r="527">
      <x:c r="A527" t="str">
        <x:v>3110389</x:v>
      </x:c>
      <x:c r="B527" t="str">
        <x:v>한일병원</x:v>
      </x:c>
      <x:c r="C527" t="str">
        <x:v>골목상권</x:v>
      </x:c>
      <x:c r="D527" t="str">
        <x:v>도봉구</x:v>
      </x:c>
      <x:c r="E527" t="str">
        <x:v>쌍문3동</x:v>
      </x:c>
      <x:c r="F527" s="12" t="n">
        <x:v>52890</x:v>
      </x:c>
      <x:c r="G527" s="12" t="n">
        <x:v>7200500520</x:v>
      </x:c>
      <x:c r="H527" s="12" t="n">
        <x:v>86177</x:v>
      </x:c>
      <x:c r="I527" s="12" t="n">
        <x:v>83554.78283068568</x:v>
      </x:c>
      <x:c r="J527" s="12" t="n">
        <x:v>136141.0572887124</x:v>
      </x:c>
      <x:c r="K527" s="12" t="n">
        <x:v>257</x:v>
      </x:c>
      <x:c r="L527" s="12" t="n">
        <x:v>48.59141614671961</x:v>
      </x:c>
      <x:c r="M527" s="12" t="n">
        <x:v>5</x:v>
      </x:c>
      <x:c r="N527" s="14" t="n">
        <x:v>0.8460558825152338</x:v>
      </x:c>
      <x:c r="O527" s="14" t="n">
        <x:v>0.1539441174847662</x:v>
      </x:c>
      <x:c r="P527" s="14" t="n">
        <x:v>0.12817440015961556</x:v>
      </x:c>
      <x:c r="Q527" s="14" t="n">
        <x:v>0.2004031322533673</x:v>
      </x:c>
      <x:c r="R527" s="14" t="n">
        <x:v>0.06952548876421719</x:v>
      </x:c>
      <x:c r="S527" s="14" t="n">
        <x:v>0.3496593354874169</x:v>
      </x:c>
      <x:c r="T527" t="str">
        <x:v>평일집중·고매출밀도</x:v>
      </x:c>
      <x:c r="U527" s="16" t="n">
        <x:v>82.88450317048478</x:v>
      </x:c>
      <x:c r="V527" t="str">
        <x:v>인테리어</x:v>
      </x:c>
      <x:c r="W527" t="str">
        <x:v>인테리어 / 자동차수리 / 의약품</x:v>
      </x:c>
      <x:c r="X527" s="16" t="n">
        <x:v>59.35448772351258</x:v>
      </x:c>
    </x:row>
    <x:row r="528">
      <x:c r="A528" t="str">
        <x:v>3110856</x:v>
      </x:c>
      <x:c r="B528" t="str">
        <x:v>미성초등학교</x:v>
      </x:c>
      <x:c r="C528" t="str">
        <x:v>골목상권</x:v>
      </x:c>
      <x:c r="D528" t="str">
        <x:v>관악구</x:v>
      </x:c>
      <x:c r="E528" t="str">
        <x:v>미성동</x:v>
      </x:c>
      <x:c r="F528" s="12" t="n">
        <x:v>127503</x:v>
      </x:c>
      <x:c r="G528" s="12" t="n">
        <x:v>7195006981</x:v>
      </x:c>
      <x:c r="H528" s="12" t="n">
        <x:v>294602</x:v>
      </x:c>
      <x:c r="I528" s="12" t="n">
        <x:v>24422.804261342422</x:v>
      </x:c>
      <x:c r="J528" s="12" t="n">
        <x:v>56430.0995349129</x:v>
      </x:c>
      <x:c r="K528" s="12" t="n">
        <x:v>1001</x:v>
      </x:c>
      <x:c r="L528" s="12" t="n">
        <x:v>78.5079566755292</x:v>
      </x:c>
      <x:c r="M528" s="12" t="n">
        <x:v>23</x:v>
      </x:c>
      <x:c r="N528" s="14" t="n">
        <x:v>0.7714966319919405</x:v>
      </x:c>
      <x:c r="O528" s="14" t="n">
        <x:v>0.22850336800805948</x:v>
      </x:c>
      <x:c r="P528" s="14" t="n">
        <x:v>0.3646645616784844</x:v>
      </x:c>
      <x:c r="Q528" s="14" t="n">
        <x:v>0.2177718821034734</x:v>
      </x:c>
      <x:c r="R528" s="14" t="n">
        <x:v>0.20691380591170547</x:v>
      </x:c>
      <x:c r="S528" s="14" t="n">
        <x:v>0.5040060207830395</x:v>
      </x:c>
      <x:c r="T528" t="str">
        <x:v>여성소비·평일집중</x:v>
      </x:c>
      <x:c r="U528" s="16" t="n">
        <x:v>72.42936158869786</x:v>
      </x:c>
      <x:c r="V528" t="str">
        <x:v>스포츠클럽</x:v>
      </x:c>
      <x:c r="W528" t="str">
        <x:v>스포츠클럽 / 피부관리실 / 일반의류</x:v>
      </x:c>
      <x:c r="X528" s="16" t="n">
        <x:v>67.91330787809396</x:v>
      </x:c>
    </x:row>
    <x:row r="529">
      <x:c r="A529" t="str">
        <x:v>3110620</x:v>
      </x:c>
      <x:c r="B529" t="str">
        <x:v>목동보건지소</x:v>
      </x:c>
      <x:c r="C529" t="str">
        <x:v>골목상권</x:v>
      </x:c>
      <x:c r="D529" t="str">
        <x:v>양천구</x:v>
      </x:c>
      <x:c r="E529" t="str">
        <x:v>목4동</x:v>
      </x:c>
      <x:c r="F529" s="12" t="n">
        <x:v>177925</x:v>
      </x:c>
      <x:c r="G529" s="12" t="n">
        <x:v>7184100425</x:v>
      </x:c>
      <x:c r="H529" s="12" t="n">
        <x:v>280268</x:v>
      </x:c>
      <x:c r="I529" s="12" t="n">
        <x:v>25632.967106483793</x:v>
      </x:c>
      <x:c r="J529" s="12" t="n">
        <x:v>40377.12758184628</x:v>
      </x:c>
      <x:c r="K529" s="12" t="n">
        <x:v>837</x:v>
      </x:c>
      <x:c r="L529" s="12" t="n">
        <x:v>47.04229310102571</x:v>
      </x:c>
      <x:c r="M529" s="12" t="n">
        <x:v>28</x:v>
      </x:c>
      <x:c r="N529" s="14" t="n">
        <x:v>0.7752016741887346</x:v>
      </x:c>
      <x:c r="O529" s="14" t="n">
        <x:v>0.22479832581126538</x:v>
      </x:c>
      <x:c r="P529" s="14" t="n">
        <x:v>0.30501878514594954</x:v>
      </x:c>
      <x:c r="Q529" s="14" t="n">
        <x:v>0.2862052075225549</x:v>
      </x:c>
      <x:c r="R529" s="14" t="n">
        <x:v>0.16684392938451997</x:v>
      </x:c>
      <x:c r="S529" s="14" t="n">
        <x:v>0.48728585486052695</x:v>
      </x:c>
      <x:c r="T529" t="str">
        <x:v>여성소비·평일집중</x:v>
      </x:c>
      <x:c r="U529" s="16" t="n">
        <x:v>64.29307813557587</x:v>
      </x:c>
      <x:c r="V529" t="str">
        <x:v>일반의원</x:v>
      </x:c>
      <x:c r="W529" t="str">
        <x:v>일반의원 / 네일숍 / 운동/경기용품</x:v>
      </x:c>
      <x:c r="X529" s="16" t="n">
        <x:v>63.04523386858831</x:v>
      </x:c>
    </x:row>
    <x:row r="530">
      <x:c r="A530" t="str">
        <x:v>3130013</x:v>
      </x:c>
      <x:c r="B530" t="str">
        <x:v>동대문상가A동</x:v>
      </x:c>
      <x:c r="C530" t="str">
        <x:v>전통시장</x:v>
      </x:c>
      <x:c r="D530" t="str">
        <x:v>종로구</x:v>
      </x:c>
      <x:c r="E530" t="str">
        <x:v>창신1동</x:v>
      </x:c>
      <x:c r="F530" s="12" t="n">
        <x:v>4486</x:v>
      </x:c>
      <x:c r="G530" s="12" t="n">
        <x:v>7174561186</x:v>
      </x:c>
      <x:c r="H530" s="12" t="n">
        <x:v>107636</x:v>
      </x:c>
      <x:c r="I530" s="12" t="n">
        <x:v>66655.77674755658</x:v>
      </x:c>
      <x:c r="J530" s="12" t="n">
        <x:v>1599322.6005349979</x:v>
      </x:c>
      <x:c r="K530" s="12"/>
      <x:c r="L530" s="12"/>
      <x:c r="M530" s="12" t="n">
        <x:v>2</x:v>
      </x:c>
      <x:c r="N530" s="14" t="n">
        <x:v>0.8074401750596486</x:v>
      </x:c>
      <x:c r="O530" s="14" t="n">
        <x:v>0.1925598249403514</x:v>
      </x:c>
      <x:c r="P530" s="14" t="n">
        <x:v>0.08967373450733576</x:v>
      </x:c>
      <x:c r="Q530" s="14" t="n">
        <x:v>0.48230372231715746</x:v>
      </x:c>
      <x:c r="R530" s="14" t="n">
        <x:v>0.04686712961012024</x:v>
      </x:c>
      <x:c r="S530" s="14" t="n">
        <x:v>0.2674340820654059</x:v>
      </x:c>
      <x:c r="T530" t="str">
        <x:v>고매출밀도·평일집중</x:v>
      </x:c>
      <x:c r="U530" s="16" t="n">
        <x:v>58.77598658117399</x:v>
      </x:c>
      <x:c r="V530" t="str">
        <x:v>신발</x:v>
      </x:c>
      <x:c r="W530" t="str">
        <x:v>신발 / 일반의류</x:v>
      </x:c>
      <x:c r="X530" s="16" t="n">
        <x:v>55.26609964521829</x:v>
      </x:c>
    </x:row>
    <x:row r="531">
      <x:c r="A531" t="str">
        <x:v>3110247</x:v>
      </x:c>
      <x:c r="B531" t="str">
        <x:v>먹골역 1번</x:v>
      </x:c>
      <x:c r="C531" t="str">
        <x:v>골목상권</x:v>
      </x:c>
      <x:c r="D531" t="str">
        <x:v>중랑구</x:v>
      </x:c>
      <x:c r="E531" t="str">
        <x:v>묵1동</x:v>
      </x:c>
      <x:c r="F531" s="12" t="n">
        <x:v>148439</x:v>
      </x:c>
      <x:c r="G531" s="12" t="n">
        <x:v>7167778123</x:v>
      </x:c>
      <x:c r="H531" s="12" t="n">
        <x:v>399555</x:v>
      </x:c>
      <x:c r="I531" s="12" t="n">
        <x:v>17939.402893218707</x:v>
      </x:c>
      <x:c r="J531" s="12" t="n">
        <x:v>48287.701500279574</x:v>
      </x:c>
      <x:c r="K531" s="12" t="n">
        <x:v>635</x:v>
      </x:c>
      <x:c r="L531" s="12" t="n">
        <x:v>42.77851508026866</x:v>
      </x:c>
      <x:c r="M531" s="12" t="n">
        <x:v>25</x:v>
      </x:c>
      <x:c r="N531" s="14" t="n">
        <x:v>0.7612972189373669</x:v>
      </x:c>
      <x:c r="O531" s="14" t="n">
        <x:v>0.23870278106263307</x:v>
      </x:c>
      <x:c r="P531" s="14" t="n">
        <x:v>0.32484279619769696</x:v>
      </x:c>
      <x:c r="Q531" s="14" t="n">
        <x:v>0.25071263467734994</x:v>
      </x:c>
      <x:c r="R531" s="14" t="n">
        <x:v>0.20883893116009053</x:v>
      </x:c>
      <x:c r="S531" s="14" t="n">
        <x:v>0.49004903552034795</x:v>
      </x:c>
      <x:c r="T531" t="str">
        <x:v>여성소비</x:v>
      </x:c>
      <x:c r="U531" s="16" t="n">
        <x:v>75.68690448115395</x:v>
      </x:c>
      <x:c r="V531" t="str">
        <x:v>예술학원</x:v>
      </x:c>
      <x:c r="W531" t="str">
        <x:v>예술학원 / 피부관리실 / 일반교습학원</x:v>
      </x:c>
      <x:c r="X531" s="16" t="n">
        <x:v>67.00502554623642</x:v>
      </x:c>
    </x:row>
    <x:row r="532">
      <x:c r="A532" t="str">
        <x:v>3120071</x:v>
      </x:c>
      <x:c r="B532" t="str">
        <x:v>성북구청</x:v>
      </x:c>
      <x:c r="C532" t="str">
        <x:v>발달상권</x:v>
      </x:c>
      <x:c r="D532" t="str">
        <x:v>성북구</x:v>
      </x:c>
      <x:c r="E532" t="str">
        <x:v>삼선동</x:v>
      </x:c>
      <x:c r="F532" s="12" t="n">
        <x:v>50039</x:v>
      </x:c>
      <x:c r="G532" s="12" t="n">
        <x:v>7156035989</x:v>
      </x:c>
      <x:c r="H532" s="12" t="n">
        <x:v>278386</x:v>
      </x:c>
      <x:c r="I532" s="12" t="n">
        <x:v>25705.444918207093</x:v>
      </x:c>
      <x:c r="J532" s="12" t="n">
        <x:v>143009.17262535222</x:v>
      </x:c>
      <x:c r="K532" s="12" t="n">
        <x:v>2185</x:v>
      </x:c>
      <x:c r="L532" s="12" t="n">
        <x:v>436.6594056635824</x:v>
      </x:c>
      <x:c r="M532" s="12" t="n">
        <x:v>16</x:v>
      </x:c>
      <x:c r="N532" s="14" t="n">
        <x:v>0.7473405683287153</x:v>
      </x:c>
      <x:c r="O532" s="14" t="n">
        <x:v>0.25265943167128474</x:v>
      </x:c>
      <x:c r="P532" s="14" t="n">
        <x:v>0.40806201666518754</x:v>
      </x:c>
      <x:c r="Q532" s="14" t="n">
        <x:v>0.28665414485801854</x:v>
      </x:c>
      <x:c r="R532" s="14" t="n">
        <x:v>0.17443664633867173</x:v>
      </x:c>
      <x:c r="S532" s="14" t="n">
        <x:v>0.4541223340680994</x:v>
      </x:c>
      <x:c r="T532" t="str">
        <x:v>직장밀집·고매출밀도</x:v>
      </x:c>
      <x:c r="U532" s="16" t="n">
        <x:v>64.08378676894016</x:v>
      </x:c>
      <x:c r="V532" t="str">
        <x:v>미용실</x:v>
      </x:c>
      <x:c r="W532" t="str">
        <x:v>미용실 / 일반의류 / 한식음식점</x:v>
      </x:c>
      <x:c r="X532" s="16" t="n">
        <x:v>59.09680504387916</x:v>
      </x:c>
    </x:row>
    <x:row r="533">
      <x:c r="A533" t="str">
        <x:v>3110450</x:v>
      </x:c>
      <x:c r="B533" t="str">
        <x:v>시립서북병원</x:v>
      </x:c>
      <x:c r="C533" t="str">
        <x:v>골목상권</x:v>
      </x:c>
      <x:c r="D533" t="str">
        <x:v>은평구</x:v>
      </x:c>
      <x:c r="E533" t="str">
        <x:v>구산동</x:v>
      </x:c>
      <x:c r="F533" s="12" t="n">
        <x:v>195983</x:v>
      </x:c>
      <x:c r="G533" s="12" t="n">
        <x:v>7095417678</x:v>
      </x:c>
      <x:c r="H533" s="12" t="n">
        <x:v>472872</x:v>
      </x:c>
      <x:c r="I533" s="12" t="n">
        <x:v>15004.94357458255</x:v>
      </x:c>
      <x:c r="J533" s="12" t="n">
        <x:v>36204.250766648125</x:v>
      </x:c>
      <x:c r="K533" s="12" t="n">
        <x:v>886</x:v>
      </x:c>
      <x:c r="L533" s="12" t="n">
        <x:v>45.20800273493109</x:v>
      </x:c>
      <x:c r="M533" s="12" t="n">
        <x:v>25</x:v>
      </x:c>
      <x:c r="N533" s="14" t="n">
        <x:v>0.7601815395200756</x:v>
      </x:c>
      <x:c r="O533" s="14" t="n">
        <x:v>0.23981846047992442</x:v>
      </x:c>
      <x:c r="P533" s="14" t="n">
        <x:v>0.3763784651156374</x:v>
      </x:c>
      <x:c r="Q533" s="14" t="n">
        <x:v>0.23739348343405584</x:v>
      </x:c>
      <x:c r="R533" s="14" t="n">
        <x:v>0.20080605803062634</x:v>
      </x:c>
      <x:c r="S533" s="14" t="n">
        <x:v>0.44818642274719095</x:v>
      </x:c>
      <x:c r="T533" t="str">
        <x:v>균형형</x:v>
      </x:c>
      <x:c r="U533" s="16" t="n">
        <x:v>76.0230481909196</x:v>
      </x:c>
      <x:c r="V533" t="str">
        <x:v>슈퍼마켓</x:v>
      </x:c>
      <x:c r="W533" t="str">
        <x:v>슈퍼마켓 / 일반의류 / 청과상</x:v>
      </x:c>
      <x:c r="X533" s="16" t="n">
        <x:v>70.5523883035282</x:v>
      </x:c>
    </x:row>
    <x:row r="534">
      <x:c r="A534" t="str">
        <x:v>3130204</x:v>
      </x:c>
      <x:c r="B534" t="str">
        <x:v>경창시장</x:v>
      </x:c>
      <x:c r="C534" t="str">
        <x:v>전통시장</x:v>
      </x:c>
      <x:c r="D534" t="str">
        <x:v>양천구</x:v>
      </x:c>
      <x:c r="E534" t="str">
        <x:v>신월2동</x:v>
      </x:c>
      <x:c r="F534" s="12" t="n">
        <x:v>31087</x:v>
      </x:c>
      <x:c r="G534" s="12" t="n">
        <x:v>7067119821</x:v>
      </x:c>
      <x:c r="H534" s="12" t="n">
        <x:v>312077</x:v>
      </x:c>
      <x:c r="I534" s="12" t="n">
        <x:v>22645.436289761823</x:v>
      </x:c>
      <x:c r="J534" s="12" t="n">
        <x:v>227333.6063627883</x:v>
      </x:c>
      <x:c r="K534" s="12" t="n">
        <x:v>420</x:v>
      </x:c>
      <x:c r="L534" s="12" t="n">
        <x:v>135.10470614726412</x:v>
      </x:c>
      <x:c r="M534" s="12" t="n">
        <x:v>17</x:v>
      </x:c>
      <x:c r="N534" s="14" t="n">
        <x:v>0.7731831717021627</x:v>
      </x:c>
      <x:c r="O534" s="14" t="n">
        <x:v>0.22681682829783734</x:v>
      </x:c>
      <x:c r="P534" s="14" t="n">
        <x:v>0.24119516410842526</x:v>
      </x:c>
      <x:c r="Q534" s="14" t="n">
        <x:v>0.25122005951057724</x:v>
      </x:c>
      <x:c r="R534" s="14" t="n">
        <x:v>0.11916810346097002</x:v>
      </x:c>
      <x:c r="S534" s="14" t="n">
        <x:v>0.5413350929231401</x:v>
      </x:c>
      <x:c r="T534" t="str">
        <x:v>여성소비·고매출밀도</x:v>
      </x:c>
      <x:c r="U534" s="16" t="n">
        <x:v>77.14196646145452</x:v>
      </x:c>
      <x:c r="V534" t="str">
        <x:v>육류판매</x:v>
      </x:c>
      <x:c r="W534" t="str">
        <x:v>육류판매 / 예술학원 / 미용실</x:v>
      </x:c>
      <x:c r="X534" s="16" t="n">
        <x:v>69.89431405858494</x:v>
      </x:c>
    </x:row>
    <x:row r="535">
      <x:c r="A535" t="str">
        <x:v>3120216</x:v>
      </x:c>
      <x:c r="B535" t="str">
        <x:v>경기고교사거리(경기고교앞사거리)</x:v>
      </x:c>
      <x:c r="C535" t="str">
        <x:v>발달상권</x:v>
      </x:c>
      <x:c r="D535" t="str">
        <x:v>강남구</x:v>
      </x:c>
      <x:c r="E535" t="str">
        <x:v>청담동</x:v>
      </x:c>
      <x:c r="F535" s="12" t="n">
        <x:v>71695</x:v>
      </x:c>
      <x:c r="G535" s="12" t="n">
        <x:v>7062844207</x:v>
      </x:c>
      <x:c r="H535" s="12" t="n">
        <x:v>178546</x:v>
      </x:c>
      <x:c r="I535" s="12" t="n">
        <x:v>39557.56055582315</x:v>
      </x:c>
      <x:c r="J535" s="12" t="n">
        <x:v>98512.36776623195</x:v>
      </x:c>
      <x:c r="K535" s="12" t="n">
        <x:v>6909</x:v>
      </x:c>
      <x:c r="L535" s="12" t="n">
        <x:v>963.6655275821188</x:v>
      </x:c>
      <x:c r="M535" s="12" t="n">
        <x:v>20</x:v>
      </x:c>
      <x:c r="N535" s="14" t="n">
        <x:v>0.8266545453761274</x:v>
      </x:c>
      <x:c r="O535" s="14" t="n">
        <x:v>0.1733454546238726</x:v>
      </x:c>
      <x:c r="P535" s="14" t="n">
        <x:v>0.3264659212948147</x:v>
      </x:c>
      <x:c r="Q535" s="14" t="n">
        <x:v>0.2887649462773999</x:v>
      </x:c>
      <x:c r="R535" s="14" t="n">
        <x:v>0.20736262730366636</x:v>
      </x:c>
      <x:c r="S535" s="14" t="n">
        <x:v>0.4769779708097135</x:v>
      </x:c>
      <x:c r="T535" t="str">
        <x:v>직장밀집·평일집중</x:v>
      </x:c>
      <x:c r="U535" s="16" t="n">
        <x:v>62.94316369882796</x:v>
      </x:c>
      <x:c r="V535" t="str">
        <x:v>안경</x:v>
      </x:c>
      <x:c r="W535" t="str">
        <x:v>안경 / 스포츠 강습 / 피부관리실</x:v>
      </x:c>
      <x:c r="X535" s="16" t="n">
        <x:v>60.23563324684345</x:v>
      </x:c>
    </x:row>
    <x:row r="536">
      <x:c r="A536" t="str">
        <x:v>3110943</x:v>
      </x:c>
      <x:c r="B536" t="str">
        <x:v>법제교육센터(버들어린이공원)</x:v>
      </x:c>
      <x:c r="C536" t="str">
        <x:v>골목상권</x:v>
      </x:c>
      <x:c r="D536" t="str">
        <x:v>서초구</x:v>
      </x:c>
      <x:c r="E536" t="str">
        <x:v>양재2동</x:v>
      </x:c>
      <x:c r="F536" s="12" t="n">
        <x:v>57521</x:v>
      </x:c>
      <x:c r="G536" s="12" t="n">
        <x:v>7034477852</x:v>
      </x:c>
      <x:c r="H536" s="12" t="n">
        <x:v>120575</x:v>
      </x:c>
      <x:c r="I536" s="12" t="n">
        <x:v>58341.097673647106</x:v>
      </x:c>
      <x:c r="J536" s="12" t="n">
        <x:v>122294.08132681977</x:v>
      </x:c>
      <x:c r="K536" s="12" t="n">
        <x:v>1410</x:v>
      </x:c>
      <x:c r="L536" s="12" t="n">
        <x:v>245.1278663444655</x:v>
      </x:c>
      <x:c r="M536" s="12" t="n">
        <x:v>11</x:v>
      </x:c>
      <x:c r="N536" s="14" t="n">
        <x:v>0.9273026102634462</x:v>
      </x:c>
      <x:c r="O536" s="14" t="n">
        <x:v>0.07269738973655382</x:v>
      </x:c>
      <x:c r="P536" s="14" t="n">
        <x:v>0.09403200350000902</x:v>
      </x:c>
      <x:c r="Q536" s="14" t="n">
        <x:v>0.1601925416084173</x:v>
      </x:c>
      <x:c r="R536" s="14" t="n">
        <x:v>0.06757094300394423</x:v>
      </x:c>
      <x:c r="S536" s="14" t="n">
        <x:v>0.14684842794782602</x:v>
      </x:c>
      <x:c r="T536" t="str">
        <x:v>평일집중·직장밀집</x:v>
      </x:c>
      <x:c r="U536" s="16" t="n">
        <x:v>79.47964400050144</x:v>
      </x:c>
      <x:c r="V536" t="str">
        <x:v>서적</x:v>
      </x:c>
      <x:c r="W536" t="str">
        <x:v>서적 / 자동차수리 / 제과점</x:v>
      </x:c>
      <x:c r="X536" s="16" t="n">
        <x:v>59.52225066701048</x:v>
      </x:c>
    </x:row>
    <x:row r="537">
      <x:c r="A537" t="str">
        <x:v>3110630</x:v>
      </x:c>
      <x:c r="B537" t="str">
        <x:v>공항시장역 1번</x:v>
      </x:c>
      <x:c r="C537" t="str">
        <x:v>골목상권</x:v>
      </x:c>
      <x:c r="D537" t="str">
        <x:v>강서구</x:v>
      </x:c>
      <x:c r="E537" t="str">
        <x:v>방화2동</x:v>
      </x:c>
      <x:c r="F537" s="12" t="n">
        <x:v>187213</x:v>
      </x:c>
      <x:c r="G537" s="12" t="n">
        <x:v>7025376206</x:v>
      </x:c>
      <x:c r="H537" s="12" t="n">
        <x:v>281302</x:v>
      </x:c>
      <x:c r="I537" s="12" t="n">
        <x:v>24974.49789194531</x:v>
      </x:c>
      <x:c r="J537" s="12" t="n">
        <x:v>37526.113069071056</x:v>
      </x:c>
      <x:c r="K537" s="12" t="n">
        <x:v>213</x:v>
      </x:c>
      <x:c r="L537" s="12" t="n">
        <x:v>11.377415029939161</x:v>
      </x:c>
      <x:c r="M537" s="12" t="n">
        <x:v>18</x:v>
      </x:c>
      <x:c r="N537" s="14" t="n">
        <x:v>0.8250759062624354</x:v>
      </x:c>
      <x:c r="O537" s="14" t="n">
        <x:v>0.1749240937375646</x:v>
      </x:c>
      <x:c r="P537" s="14" t="n">
        <x:v>0.22001844708044094</x:v>
      </x:c>
      <x:c r="Q537" s="14" t="n">
        <x:v>0.30673748420185315</x:v>
      </x:c>
      <x:c r="R537" s="14" t="n">
        <x:v>0.1590167890291625</x:v>
      </x:c>
      <x:c r="S537" s="14" t="n">
        <x:v>0.40968454408774474</x:v>
      </x:c>
      <x:c r="T537" t="str">
        <x:v>평일집중</x:v>
      </x:c>
      <x:c r="U537" s="16" t="n">
        <x:v>64.7321147717799</x:v>
      </x:c>
      <x:c r="V537" t="str">
        <x:v>자동차수리</x:v>
      </x:c>
      <x:c r="W537" t="str">
        <x:v>자동차수리 / 의약품 / 일반의원</x:v>
      </x:c>
      <x:c r="X537" s="16" t="n">
        <x:v>61.29812382239462</x:v>
      </x:c>
    </x:row>
    <x:row r="538">
      <x:c r="A538" t="str">
        <x:v>3110274</x:v>
      </x:c>
      <x:c r="B538" t="str">
        <x:v>서일대학교</x:v>
      </x:c>
      <x:c r="C538" t="str">
        <x:v>골목상권</x:v>
      </x:c>
      <x:c r="D538" t="str">
        <x:v>중랑구</x:v>
      </x:c>
      <x:c r="E538" t="str">
        <x:v>면목3·8동</x:v>
      </x:c>
      <x:c r="F538" s="12" t="n">
        <x:v>164098</x:v>
      </x:c>
      <x:c r="G538" s="12" t="n">
        <x:v>6998490216</x:v>
      </x:c>
      <x:c r="H538" s="12" t="n">
        <x:v>533601</x:v>
      </x:c>
      <x:c r="I538" s="12" t="n">
        <x:v>13115.586769889862</x:v>
      </x:c>
      <x:c r="J538" s="12" t="n">
        <x:v>42648.235907811184</x:v>
      </x:c>
      <x:c r="K538" s="12" t="n">
        <x:v>329</x:v>
      </x:c>
      <x:c r="L538" s="12" t="n">
        <x:v>20.04899511267657</x:v>
      </x:c>
      <x:c r="M538" s="12" t="n">
        <x:v>26</x:v>
      </x:c>
      <x:c r="N538" s="14" t="n">
        <x:v>0.8055012168355942</x:v>
      </x:c>
      <x:c r="O538" s="14" t="n">
        <x:v>0.19449878316440586</x:v>
      </x:c>
      <x:c r="P538" s="14" t="n">
        <x:v>0.30836817419078605</x:v>
      </x:c>
      <x:c r="Q538" s="14" t="n">
        <x:v>0.2852787616156896</x:v>
      </x:c>
      <x:c r="R538" s="14" t="n">
        <x:v>0.24076886685469648</x:v>
      </x:c>
      <x:c r="S538" s="14" t="n">
        <x:v>0.4552515330686575</x:v>
      </x:c>
      <x:c r="T538" t="str">
        <x:v>평일집중·2030소비</x:v>
      </x:c>
      <x:c r="U538" s="16" t="n">
        <x:v>66.74612218387534</x:v>
      </x:c>
      <x:c r="V538" t="str">
        <x:v>세탁소</x:v>
      </x:c>
      <x:c r="W538" t="str">
        <x:v>세탁소 / 제과점 / 일반교습학원</x:v>
      </x:c>
      <x:c r="X538" s="16" t="n">
        <x:v>61.3229771097471</x:v>
      </x:c>
    </x:row>
    <x:row r="539">
      <x:c r="A539" t="str">
        <x:v>3110406</x:v>
      </x:c>
      <x:c r="B539" t="str">
        <x:v>도봉산역 1번</x:v>
      </x:c>
      <x:c r="C539" t="str">
        <x:v>골목상권</x:v>
      </x:c>
      <x:c r="D539" t="str">
        <x:v>도봉구</x:v>
      </x:c>
      <x:c r="E539" t="str">
        <x:v>도봉1동</x:v>
      </x:c>
      <x:c r="F539" s="12" t="n">
        <x:v>247532</x:v>
      </x:c>
      <x:c r="G539" s="12" t="n">
        <x:v>6953836290</x:v>
      </x:c>
      <x:c r="H539" s="12" t="n">
        <x:v>277495</x:v>
      </x:c>
      <x:c r="I539" s="12" t="n">
        <x:v>25059.321032811404</x:v>
      </x:c>
      <x:c r="J539" s="12" t="n">
        <x:v>28092.67605804502</x:v>
      </x:c>
      <x:c r="K539" s="12" t="n">
        <x:v>274</x:v>
      </x:c>
      <x:c r="L539" s="12" t="n">
        <x:v>11.069275891601894</x:v>
      </x:c>
      <x:c r="M539" s="12" t="n">
        <x:v>7</x:v>
      </x:c>
      <x:c r="N539" s="14" t="n">
        <x:v>0.5154893437964442</x:v>
      </x:c>
      <x:c r="O539" s="14" t="n">
        <x:v>0.4845106562035558</x:v>
      </x:c>
      <x:c r="P539" s="14" t="n">
        <x:v>0.30574217285750915</x:v>
      </x:c>
      <x:c r="Q539" s="14" t="n">
        <x:v>0.28813499821405775</x:v>
      </x:c>
      <x:c r="R539" s="14" t="n">
        <x:v>0.0998837213063007</x:v>
      </x:c>
      <x:c r="S539" s="14" t="n">
        <x:v>0.34567516040847146</x:v>
      </x:c>
      <x:c r="T539" t="str">
        <x:v>균형형</x:v>
      </x:c>
      <x:c r="U539" s="16" t="n">
        <x:v>78.10113853345864</x:v>
      </x:c>
      <x:c r="V539" t="str">
        <x:v>일반의류</x:v>
      </x:c>
      <x:c r="W539" t="str">
        <x:v>일반의류 / 한식음식점 / 커피-음료</x:v>
      </x:c>
      <x:c r="X539" s="16" t="n">
        <x:v>60.83750734020971</x:v>
      </x:c>
    </x:row>
    <x:row r="540">
      <x:c r="A540" t="str">
        <x:v>3110804</x:v>
      </x:c>
      <x:c r="B540" t="str">
        <x:v>신풍역 1번</x:v>
      </x:c>
      <x:c r="C540" t="str">
        <x:v>골목상권</x:v>
      </x:c>
      <x:c r="D540" t="str">
        <x:v>영등포구</x:v>
      </x:c>
      <x:c r="E540" t="str">
        <x:v>신길6동</x:v>
      </x:c>
      <x:c r="F540" s="12" t="n">
        <x:v>83571</x:v>
      </x:c>
      <x:c r="G540" s="12" t="n">
        <x:v>6932033156</x:v>
      </x:c>
      <x:c r="H540" s="12" t="n">
        <x:v>351037</x:v>
      </x:c>
      <x:c r="I540" s="12" t="n">
        <x:v>19747.300586547855</x:v>
      </x:c>
      <x:c r="J540" s="12" t="n">
        <x:v>82947.83065896065</x:v>
      </x:c>
      <x:c r="K540" s="12" t="n">
        <x:v>338</x:v>
      </x:c>
      <x:c r="L540" s="12" t="n">
        <x:v>40.444651852915484</x:v>
      </x:c>
      <x:c r="M540" s="12" t="n">
        <x:v>19</x:v>
      </x:c>
      <x:c r="N540" s="14" t="n">
        <x:v>0.6821415517765016</x:v>
      </x:c>
      <x:c r="O540" s="14" t="n">
        <x:v>0.31785844822349835</x:v>
      </x:c>
      <x:c r="P540" s="14" t="n">
        <x:v>0.5533993612941109</x:v>
      </x:c>
      <x:c r="Q540" s="14" t="n">
        <x:v>0.19343316784908926</x:v>
      </x:c>
      <x:c r="R540" s="14" t="n">
        <x:v>0.26628227656446024</x:v>
      </x:c>
      <x:c r="S540" s="14" t="n">
        <x:v>0.3750194464592085</x:v>
      </x:c>
      <x:c r="T540" t="str">
        <x:v>야간활성·2030소비</x:v>
      </x:c>
      <x:c r="U540" s="16" t="n">
        <x:v>65.43642883085809</x:v>
      </x:c>
      <x:c r="V540" t="str">
        <x:v>노래방</x:v>
      </x:c>
      <x:c r="W540" t="str">
        <x:v>노래방 / 중식음식점 / 치킨전문점</x:v>
      </x:c>
      <x:c r="X540" s="16" t="n">
        <x:v>59.80789886261414</x:v>
      </x:c>
    </x:row>
    <x:row r="541">
      <x:c r="A541" t="str">
        <x:v>3110259</x:v>
      </x:c>
      <x:c r="B541" t="str">
        <x:v>사가정역 1번</x:v>
      </x:c>
      <x:c r="C541" t="str">
        <x:v>골목상권</x:v>
      </x:c>
      <x:c r="D541" t="str">
        <x:v>중랑구</x:v>
      </x:c>
      <x:c r="E541" t="str">
        <x:v>면목3·8동</x:v>
      </x:c>
      <x:c r="F541" s="12" t="n">
        <x:v>86298</x:v>
      </x:c>
      <x:c r="G541" s="12" t="n">
        <x:v>6925825838</x:v>
      </x:c>
      <x:c r="H541" s="12" t="n">
        <x:v>193403</x:v>
      </x:c>
      <x:c r="I541" s="12" t="n">
        <x:v>35810.33302482381</x:v>
      </x:c>
      <x:c r="J541" s="12" t="n">
        <x:v>80254.76648358016</x:v>
      </x:c>
      <x:c r="K541" s="12" t="n">
        <x:v>381</x:v>
      </x:c>
      <x:c r="L541" s="12" t="n">
        <x:v>44.149342974344705</x:v>
      </x:c>
      <x:c r="M541" s="12" t="n">
        <x:v>15</x:v>
      </x:c>
      <x:c r="N541" s="14" t="n">
        <x:v>0.7863850446711161</x:v>
      </x:c>
      <x:c r="O541" s="14" t="n">
        <x:v>0.21361495532888392</x:v>
      </x:c>
      <x:c r="P541" s="14" t="n">
        <x:v>0.4067918661110288</x:v>
      </x:c>
      <x:c r="Q541" s="14" t="n">
        <x:v>0.17008645951457724</x:v>
      </x:c>
      <x:c r="R541" s="14" t="n">
        <x:v>0.22583810300544263</x:v>
      </x:c>
      <x:c r="S541" s="14" t="n">
        <x:v>0.4045016609613451</x:v>
      </x:c>
      <x:c r="T541" t="str">
        <x:v>평일집중·고매출밀도</x:v>
      </x:c>
      <x:c r="U541" s="16" t="n">
        <x:v>63.249607150988446</x:v>
      </x:c>
      <x:c r="V541" t="str">
        <x:v>시계및귀금속</x:v>
      </x:c>
      <x:c r="W541" t="str">
        <x:v>시계및귀금속 / 의약품 / 미용실</x:v>
      </x:c>
      <x:c r="X541" s="16" t="n">
        <x:v>56.090814095571204</x:v>
      </x:c>
    </x:row>
    <x:row r="542">
      <x:c r="A542" t="str">
        <x:v>3111072</x:v>
      </x:c>
      <x:c r="B542" t="str">
        <x:v>굽은다리역 1번(십자성마을)</x:v>
      </x:c>
      <x:c r="C542" t="str">
        <x:v>골목상권</x:v>
      </x:c>
      <x:c r="D542" t="str">
        <x:v>강동구</x:v>
      </x:c>
      <x:c r="E542" t="str">
        <x:v>천호1동</x:v>
      </x:c>
      <x:c r="F542" s="12" t="n">
        <x:v>153254</x:v>
      </x:c>
      <x:c r="G542" s="12" t="n">
        <x:v>6909873411</x:v>
      </x:c>
      <x:c r="H542" s="12" t="n">
        <x:v>291209</x:v>
      </x:c>
      <x:c r="I542" s="12" t="n">
        <x:v>23728.227530742526</x:v>
      </x:c>
      <x:c r="J542" s="12" t="n">
        <x:v>45087.719805029556</x:v>
      </x:c>
      <x:c r="K542" s="12" t="n">
        <x:v>445</x:v>
      </x:c>
      <x:c r="L542" s="12" t="n">
        <x:v>29.036762498858103</x:v>
      </x:c>
      <x:c r="M542" s="12" t="n">
        <x:v>17</x:v>
      </x:c>
      <x:c r="N542" s="14" t="n">
        <x:v>0.6961720892516072</x:v>
      </x:c>
      <x:c r="O542" s="14" t="n">
        <x:v>0.3038279107483927</x:v>
      </x:c>
      <x:c r="P542" s="14" t="n">
        <x:v>0.39477847186859266</x:v>
      </x:c>
      <x:c r="Q542" s="14" t="n">
        <x:v>0.2148410841560061</x:v>
      </x:c>
      <x:c r="R542" s="14" t="n">
        <x:v>0.23022822537783247</x:v>
      </x:c>
      <x:c r="S542" s="14" t="n">
        <x:v>0.41252776562624066</x:v>
      </x:c>
      <x:c r="T542" t="str">
        <x:v>균형형</x:v>
      </x:c>
      <x:c r="U542" s="16" t="n">
        <x:v>72.29304482167255</x:v>
      </x:c>
      <x:c r="V542" t="str">
        <x:v>인테리어</x:v>
      </x:c>
      <x:c r="W542" t="str">
        <x:v>인테리어 / 일반의류 / 철물점</x:v>
      </x:c>
      <x:c r="X542" s="16" t="n">
        <x:v>66.32755331501677</x:v>
      </x:c>
    </x:row>
    <x:row r="543">
      <x:c r="A543" t="str">
        <x:v>3120015</x:v>
      </x:c>
      <x:c r="B543" t="str">
        <x:v>종로6가</x:v>
      </x:c>
      <x:c r="C543" t="str">
        <x:v>발달상권</x:v>
      </x:c>
      <x:c r="D543" t="str">
        <x:v>종로구</x:v>
      </x:c>
      <x:c r="E543" t="str">
        <x:v>종로5·6가동</x:v>
      </x:c>
      <x:c r="F543" s="12" t="n">
        <x:v>53940</x:v>
      </x:c>
      <x:c r="G543" s="12" t="n">
        <x:v>6907685394</x:v>
      </x:c>
      <x:c r="H543" s="12" t="n">
        <x:v>328441</x:v>
      </x:c>
      <x:c r="I543" s="12" t="n">
        <x:v>21031.739015530948</x:v>
      </x:c>
      <x:c r="J543" s="12" t="n">
        <x:v>128062.3914349277</x:v>
      </x:c>
      <x:c r="K543" s="12" t="n">
        <x:v>1620</x:v>
      </x:c>
      <x:c r="L543" s="12" t="n">
        <x:v>300.3337041156841</x:v>
      </x:c>
      <x:c r="M543" s="12" t="n">
        <x:v>15</x:v>
      </x:c>
      <x:c r="N543" s="14" t="n">
        <x:v>0.8748926077683497</x:v>
      </x:c>
      <x:c r="O543" s="14" t="n">
        <x:v>0.12510739223165032</x:v>
      </x:c>
      <x:c r="P543" s="14" t="n">
        <x:v>0.28224558340388134</x:v>
      </x:c>
      <x:c r="Q543" s="14" t="n">
        <x:v>0.3287519330241229</x:v>
      </x:c>
      <x:c r="R543" s="14" t="n">
        <x:v>0.2650582431837949</x:v>
      </x:c>
      <x:c r="S543" s="14" t="n">
        <x:v>0.4365103662102304</x:v>
      </x:c>
      <x:c r="T543" t="str">
        <x:v>평일집중·직장밀집</x:v>
      </x:c>
      <x:c r="U543" s="16" t="n">
        <x:v>70.19675402897397</x:v>
      </x:c>
      <x:c r="V543" t="str">
        <x:v>일반의류</x:v>
      </x:c>
      <x:c r="W543" t="str">
        <x:v>일반의류 / 일반의원 / 분식전문점</x:v>
      </x:c>
      <x:c r="X543" s="16" t="n">
        <x:v>63.89763908492139</x:v>
      </x:c>
    </x:row>
    <x:row r="544">
      <x:c r="A544" t="str">
        <x:v>3110122</x:v>
      </x:c>
      <x:c r="B544" t="str">
        <x:v>마장역 2번</x:v>
      </x:c>
      <x:c r="C544" t="str">
        <x:v>골목상권</x:v>
      </x:c>
      <x:c r="D544" t="str">
        <x:v>성동구</x:v>
      </x:c>
      <x:c r="E544" t="str">
        <x:v>마장동</x:v>
      </x:c>
      <x:c r="F544" s="12" t="n">
        <x:v>80335</x:v>
      </x:c>
      <x:c r="G544" s="12" t="n">
        <x:v>6888099302</x:v>
      </x:c>
      <x:c r="H544" s="12" t="n">
        <x:v>292132</x:v>
      </x:c>
      <x:c r="I544" s="12" t="n">
        <x:v>23578.722296769953</x:v>
      </x:c>
      <x:c r="J544" s="12" t="n">
        <x:v>85742.19582996203</x:v>
      </x:c>
      <x:c r="K544" s="12" t="n">
        <x:v>980</x:v>
      </x:c>
      <x:c r="L544" s="12" t="n">
        <x:v>121.98917034916289</x:v>
      </x:c>
      <x:c r="M544" s="12" t="n">
        <x:v>15</x:v>
      </x:c>
      <x:c r="N544" s="14" t="n">
        <x:v>0.731217094320572</x:v>
      </x:c>
      <x:c r="O544" s="14" t="n">
        <x:v>0.26878290567942803</x:v>
      </x:c>
      <x:c r="P544" s="14" t="n">
        <x:v>0.4850776063913371</x:v>
      </x:c>
      <x:c r="Q544" s="14" t="n">
        <x:v>0.2223020747618136</x:v>
      </x:c>
      <x:c r="R544" s="14" t="n">
        <x:v>0.1661221232202265</x:v>
      </x:c>
      <x:c r="S544" s="14" t="n">
        <x:v>0.32669179120960357</x:v>
      </x:c>
      <x:c r="T544" t="str">
        <x:v>야간활성·직장밀집</x:v>
      </x:c>
      <x:c r="U544" s="16" t="n">
        <x:v>70.97801394312597</x:v>
      </x:c>
      <x:c r="V544" t="str">
        <x:v>슈퍼마켓</x:v>
      </x:c>
      <x:c r="W544" t="str">
        <x:v>슈퍼마켓 / 당구장 / 예술학원</x:v>
      </x:c>
      <x:c r="X544" s="16" t="n">
        <x:v>67.559596282059</x:v>
      </x:c>
    </x:row>
    <x:row r="545">
      <x:c r="A545" t="str">
        <x:v>3110312</x:v>
      </x:c>
      <x:c r="B545" t="str">
        <x:v>안암역 2번</x:v>
      </x:c>
      <x:c r="C545" t="str">
        <x:v>골목상권</x:v>
      </x:c>
      <x:c r="D545" t="str">
        <x:v>성북구</x:v>
      </x:c>
      <x:c r="E545" t="str">
        <x:v>안암동</x:v>
      </x:c>
      <x:c r="F545" s="12" t="n">
        <x:v>85118</x:v>
      </x:c>
      <x:c r="G545" s="12" t="n">
        <x:v>6880395137</x:v>
      </x:c>
      <x:c r="H545" s="12" t="n">
        <x:v>647590</x:v>
      </x:c>
      <x:c r="I545" s="12" t="n">
        <x:v>10624.616095060146</x:v>
      </x:c>
      <x:c r="J545" s="12" t="n">
        <x:v>80833.60907211166</x:v>
      </x:c>
      <x:c r="K545" s="12" t="n">
        <x:v>593</x:v>
      </x:c>
      <x:c r="L545" s="12" t="n">
        <x:v>69.6679903193214</x:v>
      </x:c>
      <x:c r="M545" s="12" t="n">
        <x:v>10</x:v>
      </x:c>
      <x:c r="N545" s="14" t="n">
        <x:v>0.7834471252984376</x:v>
      </x:c>
      <x:c r="O545" s="14" t="n">
        <x:v>0.21655287470156237</x:v>
      </x:c>
      <x:c r="P545" s="14" t="n">
        <x:v>0.371979300612659</x:v>
      </x:c>
      <x:c r="Q545" s="14" t="n">
        <x:v>0.3555639665001408</x:v>
      </x:c>
      <x:c r="R545" s="14" t="n">
        <x:v>0.4640195405102938</x:v>
      </x:c>
      <x:c r="S545" s="14" t="n">
        <x:v>0.41749392205001784</x:v>
      </x:c>
      <x:c r="T545" t="str">
        <x:v>2030소비·평일집중</x:v>
      </x:c>
      <x:c r="U545" s="16" t="n">
        <x:v>64.28679900230287</x:v>
      </x:c>
      <x:c r="V545" t="str">
        <x:v>슈퍼마켓</x:v>
      </x:c>
      <x:c r="W545" t="str">
        <x:v>슈퍼마켓 / 한식음식점 / 커피-음료</x:v>
      </x:c>
      <x:c r="X545" s="16" t="n">
        <x:v>57.72045094184828</x:v>
      </x:c>
    </x:row>
    <x:row r="546">
      <x:c r="A546" t="str">
        <x:v>3130198</x:v>
      </x:c>
      <x:c r="B546" t="str">
        <x:v>아현시장</x:v>
      </x:c>
      <x:c r="C546" t="str">
        <x:v>전통시장</x:v>
      </x:c>
      <x:c r="D546" t="str">
        <x:v>마포구</x:v>
      </x:c>
      <x:c r="E546" t="str">
        <x:v>아현동</x:v>
      </x:c>
      <x:c r="F546" s="12" t="n">
        <x:v>27671</x:v>
      </x:c>
      <x:c r="G546" s="12" t="n">
        <x:v>6874891189</x:v>
      </x:c>
      <x:c r="H546" s="12" t="n">
        <x:v>317014</x:v>
      </x:c>
      <x:c r="I546" s="12" t="n">
        <x:v>21686.39614969686</x:v>
      </x:c>
      <x:c r="J546" s="12" t="n">
        <x:v>248451.12894365942</x:v>
      </x:c>
      <x:c r="K546" s="12" t="n">
        <x:v>564</x:v>
      </x:c>
      <x:c r="L546" s="12" t="n">
        <x:v>203.8234975244841</x:v>
      </x:c>
      <x:c r="M546" s="12" t="n">
        <x:v>18</x:v>
      </x:c>
      <x:c r="N546" s="14" t="n">
        <x:v>0.7359895657833662</x:v>
      </x:c>
      <x:c r="O546" s="14" t="n">
        <x:v>0.26401043421663384</x:v>
      </x:c>
      <x:c r="P546" s="14" t="n">
        <x:v>0.30337302884692974</x:v>
      </x:c>
      <x:c r="Q546" s="14" t="n">
        <x:v>0.2513378016461869</x:v>
      </x:c>
      <x:c r="R546" s="14" t="n">
        <x:v>0.12371575092866535</x:v>
      </x:c>
      <x:c r="S546" s="14" t="n">
        <x:v>0.5623190914185682</x:v>
      </x:c>
      <x:c r="T546" t="str">
        <x:v>여성소비·고매출밀도</x:v>
      </x:c>
      <x:c r="U546" s="16" t="n">
        <x:v>77.34865747027665</x:v>
      </x:c>
      <x:c r="V546" t="str">
        <x:v>육류판매</x:v>
      </x:c>
      <x:c r="W546" t="str">
        <x:v>육류판매 / 섬유제품 / 일반의류</x:v>
      </x:c>
      <x:c r="X546" s="16" t="n">
        <x:v>66.68475057153202</x:v>
      </x:c>
    </x:row>
    <x:row r="547">
      <x:c r="A547" t="str">
        <x:v>3110591</x:v>
      </x:c>
      <x:c r="B547" t="str">
        <x:v>충정로역 6번</x:v>
      </x:c>
      <x:c r="C547" t="str">
        <x:v>골목상권</x:v>
      </x:c>
      <x:c r="D547" t="str">
        <x:v>중구</x:v>
      </x:c>
      <x:c r="E547" t="str">
        <x:v>중림동</x:v>
      </x:c>
      <x:c r="F547" s="12" t="n">
        <x:v>51038</x:v>
      </x:c>
      <x:c r="G547" s="12" t="n">
        <x:v>6821039942</x:v>
      </x:c>
      <x:c r="H547" s="12" t="n">
        <x:v>193949</x:v>
      </x:c>
      <x:c r="I547" s="12" t="n">
        <x:v>35169.24522425998</x:v>
      </x:c>
      <x:c r="J547" s="12" t="n">
        <x:v>133646.30161840198</x:v>
      </x:c>
      <x:c r="K547" s="12" t="n">
        <x:v>212</x:v>
      </x:c>
      <x:c r="L547" s="12" t="n">
        <x:v>41.53767780869157</x:v>
      </x:c>
      <x:c r="M547" s="12" t="n">
        <x:v>6</x:v>
      </x:c>
      <x:c r="N547" s="14" t="n">
        <x:v>0.717773212681768</x:v>
      </x:c>
      <x:c r="O547" s="14" t="n">
        <x:v>0.2822267873182321</x:v>
      </x:c>
      <x:c r="P547" s="14" t="n">
        <x:v>0.34730784252018093</x:v>
      </x:c>
      <x:c r="Q547" s="14" t="n">
        <x:v>0.22013764422551155</x:v>
      </x:c>
      <x:c r="R547" s="14" t="n">
        <x:v>0.1953702235042564</x:v>
      </x:c>
      <x:c r="S547" s="14" t="n">
        <x:v>0.45540915335692667</x:v>
      </x:c>
      <x:c r="T547" t="str">
        <x:v>고매출밀도·여성소비</x:v>
      </x:c>
      <x:c r="U547" s="16" t="n">
        <x:v>77.156881180191</x:v>
      </x:c>
      <x:c r="V547" t="str">
        <x:v>가구</x:v>
      </x:c>
      <x:c r="W547" t="str">
        <x:v>가구 / 청과상 / 슈퍼마켓</x:v>
      </x:c>
      <x:c r="X547" s="16" t="n">
        <x:v>62.1070921598605</x:v>
      </x:c>
    </x:row>
    <x:row r="548">
      <x:c r="A548" t="str">
        <x:v>3110558</x:v>
      </x:c>
      <x:c r="B548" t="str">
        <x:v>경성고등학교</x:v>
      </x:c>
      <x:c r="C548" t="str">
        <x:v>골목상권</x:v>
      </x:c>
      <x:c r="D548" t="str">
        <x:v>마포구</x:v>
      </x:c>
      <x:c r="E548" t="str">
        <x:v>성산1동</x:v>
      </x:c>
      <x:c r="F548" s="12" t="n">
        <x:v>321532</x:v>
      </x:c>
      <x:c r="G548" s="12" t="n">
        <x:v>6809383843</x:v>
      </x:c>
      <x:c r="H548" s="12" t="n">
        <x:v>314884</x:v>
      </x:c>
      <x:c r="I548" s="12" t="n">
        <x:v>21625.05507742534</x:v>
      </x:c>
      <x:c r="J548" s="12" t="n">
        <x:v>21177.93514486894</x:v>
      </x:c>
      <x:c r="K548" s="12" t="n">
        <x:v>2058</x:v>
      </x:c>
      <x:c r="L548" s="12" t="n">
        <x:v>64.00607093539679</x:v>
      </x:c>
      <x:c r="M548" s="12" t="n">
        <x:v>20</x:v>
      </x:c>
      <x:c r="N548" s="14" t="n">
        <x:v>0.763431530937123</x:v>
      </x:c>
      <x:c r="O548" s="14" t="n">
        <x:v>0.236568469062877</x:v>
      </x:c>
      <x:c r="P548" s="14" t="n">
        <x:v>0.39454618742954595</x:v>
      </x:c>
      <x:c r="Q548" s="14" t="n">
        <x:v>0.2837635582823466</x:v>
      </x:c>
      <x:c r="R548" s="14" t="n">
        <x:v>0.2792748127945414</x:v>
      </x:c>
      <x:c r="S548" s="14" t="n">
        <x:v>0.34581669814673716</x:v>
      </x:c>
      <x:c r="T548" t="str">
        <x:v>2030소비</x:v>
      </x:c>
      <x:c r="U548" s="16" t="n">
        <x:v>67.39481112895876</x:v>
      </x:c>
      <x:c r="V548" t="str">
        <x:v>세탁소</x:v>
      </x:c>
      <x:c r="W548" t="str">
        <x:v>세탁소 / 편의점 / 커피-음료</x:v>
      </x:c>
      <x:c r="X548" s="16" t="n">
        <x:v>60.4806293943112</x:v>
      </x:c>
    </x:row>
    <x:row r="549">
      <x:c r="A549" t="str">
        <x:v>3110560</x:v>
      </x:c>
      <x:c r="B549" t="str">
        <x:v>마포FM</x:v>
      </x:c>
      <x:c r="C549" t="str">
        <x:v>골목상권</x:v>
      </x:c>
      <x:c r="D549" t="str">
        <x:v>마포구</x:v>
      </x:c>
      <x:c r="E549" t="str">
        <x:v>연남동</x:v>
      </x:c>
      <x:c r="F549" s="12" t="n">
        <x:v>60230</x:v>
      </x:c>
      <x:c r="G549" s="12" t="n">
        <x:v>6785884013</x:v>
      </x:c>
      <x:c r="H549" s="12" t="n">
        <x:v>97788</x:v>
      </x:c>
      <x:c r="I549" s="12" t="n">
        <x:v>69393.83168691455</x:v>
      </x:c>
      <x:c r="J549" s="12" t="n">
        <x:v>112666.17986053461</x:v>
      </x:c>
      <x:c r="K549" s="12" t="n">
        <x:v>421</x:v>
      </x:c>
      <x:c r="L549" s="12" t="n">
        <x:v>69.89872156732525</x:v>
      </x:c>
      <x:c r="M549" s="12" t="n">
        <x:v>7</x:v>
      </x:c>
      <x:c r="N549" s="14" t="n">
        <x:v>0.9472109676036692</x:v>
      </x:c>
      <x:c r="O549" s="14" t="n">
        <x:v>0.05278903239633076</x:v>
      </x:c>
      <x:c r="P549" s="14" t="n">
        <x:v>0.0886645441990109</x:v>
      </x:c>
      <x:c r="Q549" s="14" t="n">
        <x:v>0.26402518501166133</x:v>
      </x:c>
      <x:c r="R549" s="14" t="n">
        <x:v>0.07313249475665626</x:v>
      </x:c>
      <x:c r="S549" s="14" t="n">
        <x:v>0.326720168330705</x:v>
      </x:c>
      <x:c r="T549" t="str">
        <x:v>평일집중·고매출밀도</x:v>
      </x:c>
      <x:c r="U549" s="16" t="n">
        <x:v>71.37572557048827</x:v>
      </x:c>
      <x:c r="V549" t="str">
        <x:v>조명용품</x:v>
      </x:c>
      <x:c r="W549" t="str">
        <x:v>조명용품 / 일반교습학원 / 예술학원</x:v>
      </x:c>
      <x:c r="X549" s="16" t="n">
        <x:v>52.619303633668586</x:v>
      </x:c>
    </x:row>
    <x:row r="550">
      <x:c r="A550" t="str">
        <x:v>3130176</x:v>
      </x:c>
      <x:c r="B550" t="str">
        <x:v>유진상가</x:v>
      </x:c>
      <x:c r="C550" t="str">
        <x:v>전통시장</x:v>
      </x:c>
      <x:c r="D550" t="str">
        <x:v>서대문구</x:v>
      </x:c>
      <x:c r="E550" t="str">
        <x:v>홍은1동</x:v>
      </x:c>
      <x:c r="F550" s="12" t="n">
        <x:v>18531</x:v>
      </x:c>
      <x:c r="G550" s="12" t="n">
        <x:v>6782004820</x:v>
      </x:c>
      <x:c r="H550" s="12" t="n">
        <x:v>147129</x:v>
      </x:c>
      <x:c r="I550" s="12" t="n">
        <x:v>46095.63593853013</x:v>
      </x:c>
      <x:c r="J550" s="12" t="n">
        <x:v>365981.58868922346</x:v>
      </x:c>
      <x:c r="K550" s="12" t="n">
        <x:v>892</x:v>
      </x:c>
      <x:c r="L550" s="12" t="n">
        <x:v>481.35556634828123</x:v>
      </x:c>
      <x:c r="M550" s="12" t="n">
        <x:v>7</x:v>
      </x:c>
      <x:c r="N550" s="14" t="n">
        <x:v>0.7879279883791058</x:v>
      </x:c>
      <x:c r="O550" s="14" t="n">
        <x:v>0.21207201162089412</x:v>
      </x:c>
      <x:c r="P550" s="14" t="n">
        <x:v>0.15898756807430284</x:v>
      </x:c>
      <x:c r="Q550" s="14" t="n">
        <x:v>0.2954512894315519</x:v>
      </x:c>
      <x:c r="R550" s="14" t="n">
        <x:v>0.041054954897540165</x:v>
      </x:c>
      <x:c r="S550" s="14" t="n">
        <x:v>0.49070289837983333</x:v>
      </x:c>
      <x:c r="T550" t="str">
        <x:v>고매출밀도·직장밀집</x:v>
      </x:c>
      <x:c r="U550" s="16" t="n">
        <x:v>65.78578989934964</x:v>
      </x:c>
      <x:c r="V550" t="str">
        <x:v>시계및귀금속</x:v>
      </x:c>
      <x:c r="W550" t="str">
        <x:v>시계및귀금속 / 일반의류 / 청과상</x:v>
      </x:c>
      <x:c r="X550" s="16" t="n">
        <x:v>61.27114993967033</x:v>
      </x:c>
    </x:row>
    <x:row r="551">
      <x:c r="A551" t="str">
        <x:v>3110424</x:v>
      </x:c>
      <x:c r="B551" t="str">
        <x:v>상계초등학교</x:v>
      </x:c>
      <x:c r="C551" t="str">
        <x:v>골목상권</x:v>
      </x:c>
      <x:c r="D551" t="str">
        <x:v>노원구</x:v>
      </x:c>
      <x:c r="E551" t="str">
        <x:v>상계2동</x:v>
      </x:c>
      <x:c r="F551" s="12" t="n">
        <x:v>75911</x:v>
      </x:c>
      <x:c r="G551" s="12" t="n">
        <x:v>6777615631</x:v>
      </x:c>
      <x:c r="H551" s="12" t="n">
        <x:v>185247</x:v>
      </x:c>
      <x:c r="I551" s="12" t="n">
        <x:v>36586.91169627578</x:v>
      </x:c>
      <x:c r="J551" s="12" t="n">
        <x:v>89283.70896181054</x:v>
      </x:c>
      <x:c r="K551" s="12" t="n">
        <x:v>145</x:v>
      </x:c>
      <x:c r="L551" s="12" t="n">
        <x:v>19.101316014806812</x:v>
      </x:c>
      <x:c r="M551" s="12" t="n">
        <x:v>15</x:v>
      </x:c>
      <x:c r="N551" s="14" t="n">
        <x:v>0.8083317242042639</x:v>
      </x:c>
      <x:c r="O551" s="14" t="n">
        <x:v>0.19166827579573611</x:v>
      </x:c>
      <x:c r="P551" s="14" t="n">
        <x:v>0.17681497834116405</x:v>
      </x:c>
      <x:c r="Q551" s="14" t="n">
        <x:v>0.23101959099574676</x:v>
      </x:c>
      <x:c r="R551" s="14" t="n">
        <x:v>0.17870624493075507</x:v>
      </x:c>
      <x:c r="S551" s="14" t="n">
        <x:v>0.21190997427336994</x:v>
      </x:c>
      <x:c r="T551" t="str">
        <x:v>평일집중·고매출밀도</x:v>
      </x:c>
      <x:c r="U551" s="16" t="n">
        <x:v>67.26730558974876</x:v>
      </x:c>
      <x:c r="V551" t="str">
        <x:v>조명용품</x:v>
      </x:c>
      <x:c r="W551" t="str">
        <x:v>조명용품 / 미용실 / 스포츠 강습</x:v>
      </x:c>
      <x:c r="X551" s="16" t="n">
        <x:v>49.4948993901874</x:v>
      </x:c>
    </x:row>
    <x:row r="552">
      <x:c r="A552" t="str">
        <x:v>3110041</x:v>
      </x:c>
      <x:c r="B552" t="str">
        <x:v>남산케이블카</x:v>
      </x:c>
      <x:c r="C552" t="str">
        <x:v>골목상권</x:v>
      </x:c>
      <x:c r="D552" t="str">
        <x:v>중구</x:v>
      </x:c>
      <x:c r="E552" t="str">
        <x:v>명동</x:v>
      </x:c>
      <x:c r="F552" s="12" t="n">
        <x:v>130560</x:v>
      </x:c>
      <x:c r="G552" s="12" t="n">
        <x:v>6770476218</x:v>
      </x:c>
      <x:c r="H552" s="12" t="n">
        <x:v>238806</x:v>
      </x:c>
      <x:c r="I552" s="12" t="n">
        <x:v>28351.365618954296</x:v>
      </x:c>
      <x:c r="J552" s="12" t="n">
        <x:v>51857.20142463235</x:v>
      </x:c>
      <x:c r="K552" s="12" t="n">
        <x:v>954</x:v>
      </x:c>
      <x:c r="L552" s="12" t="n">
        <x:v>73.06985294117648</x:v>
      </x:c>
      <x:c r="M552" s="12" t="n">
        <x:v>7</x:v>
      </x:c>
      <x:c r="N552" s="14" t="n">
        <x:v>0.7042871516663527</x:v>
      </x:c>
      <x:c r="O552" s="14" t="n">
        <x:v>0.2957128483336473</x:v>
      </x:c>
      <x:c r="P552" s="14" t="n">
        <x:v>0.3199458091649411</x:v>
      </x:c>
      <x:c r="Q552" s="14" t="n">
        <x:v>0.4033105687219475</x:v>
      </x:c>
      <x:c r="R552" s="14" t="n">
        <x:v>0.24400958940049555</x:v>
      </x:c>
      <x:c r="S552" s="14" t="n">
        <x:v>0.3364444481680624</x:v>
      </x:c>
      <x:c r="T552" t="str">
        <x:v>2030소비</x:v>
      </x:c>
      <x:c r="U552" s="16" t="n">
        <x:v>64.08742151937682</x:v>
      </x:c>
      <x:c r="V552" t="str">
        <x:v>한식음식점</x:v>
      </x:c>
      <x:c r="W552" t="str">
        <x:v>한식음식점 / 양식음식점 / 일반의류</x:v>
      </x:c>
      <x:c r="X552" s="16" t="n">
        <x:v>52.77690296042577</x:v>
      </x:c>
    </x:row>
    <x:row r="553">
      <x:c r="A553" t="str">
        <x:v>3110996</x:v>
      </x:c>
      <x:c r="B553" t="str">
        <x:v>대치2동주민센터</x:v>
      </x:c>
      <x:c r="C553" t="str">
        <x:v>골목상권</x:v>
      </x:c>
      <x:c r="D553" t="str">
        <x:v>강남구</x:v>
      </x:c>
      <x:c r="E553" t="str">
        <x:v>대치2동</x:v>
      </x:c>
      <x:c r="F553" s="12" t="n">
        <x:v>112841</x:v>
      </x:c>
      <x:c r="G553" s="12" t="n">
        <x:v>6762666629</x:v>
      </x:c>
      <x:c r="H553" s="12" t="n">
        <x:v>69442</x:v>
      </x:c>
      <x:c r="I553" s="12" t="n">
        <x:v>97385.82743872584</x:v>
      </x:c>
      <x:c r="J553" s="12" t="n">
        <x:v>59930.93493499703</x:v>
      </x:c>
      <x:c r="K553" s="12" t="n">
        <x:v>1505</x:v>
      </x:c>
      <x:c r="L553" s="12" t="n">
        <x:v>133.37350785618702</x:v>
      </x:c>
      <x:c r="M553" s="12" t="n">
        <x:v>5</x:v>
      </x:c>
      <x:c r="N553" s="14" t="n">
        <x:v>0.7994533571736114</x:v>
      </x:c>
      <x:c r="O553" s="14" t="n">
        <x:v>0.20054664282638854</x:v>
      </x:c>
      <x:c r="P553" s="14" t="n">
        <x:v>0.5048911839537019</x:v>
      </x:c>
      <x:c r="Q553" s="14" t="n">
        <x:v>0.17249902471867062</x:v>
      </x:c>
      <x:c r="R553" s="14" t="n">
        <x:v>0.03518344390653239</x:v>
      </x:c>
      <x:c r="S553" s="14" t="n">
        <x:v>0.4855117683784912</x:v>
      </x:c>
      <x:c r="T553" t="str">
        <x:v>야간활성·평일집중</x:v>
      </x:c>
      <x:c r="U553" s="16" t="n">
        <x:v>64.0141169957765</x:v>
      </x:c>
      <x:c r="V553" t="str">
        <x:v>일반교습학원</x:v>
      </x:c>
      <x:c r="W553" t="str">
        <x:v>일반교습학원 / 한식음식점 / 커피-음료</x:v>
      </x:c>
      <x:c r="X553" s="16" t="n">
        <x:v>39.63507393998181</x:v>
      </x:c>
    </x:row>
    <x:row r="554">
      <x:c r="A554" t="str">
        <x:v>3110752</x:v>
      </x:c>
      <x:c r="B554" t="str">
        <x:v>한울중학교</x:v>
      </x:c>
      <x:c r="C554" t="str">
        <x:v>골목상권</x:v>
      </x:c>
      <x:c r="D554" t="str">
        <x:v>금천구</x:v>
      </x:c>
      <x:c r="E554" t="str">
        <x:v>시흥4동</x:v>
      </x:c>
      <x:c r="F554" s="12" t="n">
        <x:v>160859</x:v>
      </x:c>
      <x:c r="G554" s="12" t="n">
        <x:v>6762624565</x:v>
      </x:c>
      <x:c r="H554" s="12" t="n">
        <x:v>462677</x:v>
      </x:c>
      <x:c r="I554" s="12" t="n">
        <x:v>14616.297254888399</x:v>
      </x:c>
      <x:c r="J554" s="12" t="n">
        <x:v>42040.69753635171</x:v>
      </x:c>
      <x:c r="K554" s="12" t="n">
        <x:v>655</x:v>
      </x:c>
      <x:c r="L554" s="12" t="n">
        <x:v>40.71889045685974</x:v>
      </x:c>
      <x:c r="M554" s="12" t="n">
        <x:v>22</x:v>
      </x:c>
      <x:c r="N554" s="14" t="n">
        <x:v>0.7453580166327036</x:v>
      </x:c>
      <x:c r="O554" s="14" t="n">
        <x:v>0.2546419833672964</x:v>
      </x:c>
      <x:c r="P554" s="14" t="n">
        <x:v>0.36024031507063264</x:v>
      </x:c>
      <x:c r="Q554" s="14" t="n">
        <x:v>0.22322500007066412</x:v>
      </x:c>
      <x:c r="R554" s="14" t="n">
        <x:v>0.1778155345520057</x:v>
      </x:c>
      <x:c r="S554" s="14" t="n">
        <x:v>0.47997961468972955</x:v>
      </x:c>
      <x:c r="T554" t="str">
        <x:v>여성소비</x:v>
      </x:c>
      <x:c r="U554" s="16" t="n">
        <x:v>77.20398141466713</x:v>
      </x:c>
      <x:c r="V554" t="str">
        <x:v>일반의류</x:v>
      </x:c>
      <x:c r="W554" t="str">
        <x:v>일반의류 / 편의점 / 예술학원</x:v>
      </x:c>
      <x:c r="X554" s="16" t="n">
        <x:v>66.58686632651985</x:v>
      </x:c>
    </x:row>
    <x:row r="555">
      <x:c r="A555" t="str">
        <x:v>3110486</x:v>
      </x:c>
      <x:c r="B555" t="str">
        <x:v>은평구청</x:v>
      </x:c>
      <x:c r="C555" t="str">
        <x:v>골목상권</x:v>
      </x:c>
      <x:c r="D555" t="str">
        <x:v>은평구</x:v>
      </x:c>
      <x:c r="E555" t="str">
        <x:v>녹번동</x:v>
      </x:c>
      <x:c r="F555" s="12" t="n">
        <x:v>63348</x:v>
      </x:c>
      <x:c r="G555" s="12" t="n">
        <x:v>6743365912</x:v>
      </x:c>
      <x:c r="H555" s="12" t="n">
        <x:v>191270</x:v>
      </x:c>
      <x:c r="I555" s="12" t="n">
        <x:v>35255.74273017201</x:v>
      </x:c>
      <x:c r="J555" s="12" t="n">
        <x:v>106449.54713645262</x:v>
      </x:c>
      <x:c r="K555" s="12" t="n">
        <x:v>804</x:v>
      </x:c>
      <x:c r="L555" s="12" t="n">
        <x:v>126.91797688956242</x:v>
      </x:c>
      <x:c r="M555" s="12" t="n">
        <x:v>18</x:v>
      </x:c>
      <x:c r="N555" s="14" t="n">
        <x:v>0.7504279207205506</x:v>
      </x:c>
      <x:c r="O555" s="14" t="n">
        <x:v>0.2495720792794493</x:v>
      </x:c>
      <x:c r="P555" s="14" t="n">
        <x:v>0.45603568961422836</x:v>
      </x:c>
      <x:c r="Q555" s="14" t="n">
        <x:v>0.2908163943039489</x:v>
      </x:c>
      <x:c r="R555" s="14" t="n">
        <x:v>0.1889393281673664</x:v>
      </x:c>
      <x:c r="S555" s="14" t="n">
        <x:v>0.34268193053083723</x:v>
      </x:c>
      <x:c r="T555" t="str">
        <x:v>야간활성·고매출밀도</x:v>
      </x:c>
      <x:c r="U555" s="16" t="n">
        <x:v>71.13755772858642</x:v>
      </x:c>
      <x:c r="V555" t="str">
        <x:v>화초</x:v>
      </x:c>
      <x:c r="W555" t="str">
        <x:v>화초 / 커피-음료 / 피부관리실</x:v>
      </x:c>
      <x:c r="X555" s="16" t="n">
        <x:v>64.59227894466483</x:v>
      </x:c>
    </x:row>
    <x:row r="556">
      <x:c r="A556" t="str">
        <x:v>3110725</x:v>
      </x:c>
      <x:c r="B556" t="str">
        <x:v>가산동주민센터</x:v>
      </x:c>
      <x:c r="C556" t="str">
        <x:v>골목상권</x:v>
      </x:c>
      <x:c r="D556" t="str">
        <x:v>금천구</x:v>
      </x:c>
      <x:c r="E556" t="str">
        <x:v>가산동</x:v>
      </x:c>
      <x:c r="F556" s="12" t="n">
        <x:v>39903</x:v>
      </x:c>
      <x:c r="G556" s="12" t="n">
        <x:v>6735366339</x:v>
      </x:c>
      <x:c r="H556" s="12" t="n">
        <x:v>278099</x:v>
      </x:c>
      <x:c r="I556" s="12" t="n">
        <x:v>24219.31160845598</x:v>
      </x:c>
      <x:c r="J556" s="12" t="n">
        <x:v>168793.4826704759</x:v>
      </x:c>
      <x:c r="K556" s="12" t="n">
        <x:v>298</x:v>
      </x:c>
      <x:c r="L556" s="12" t="n">
        <x:v>74.68110167155352</x:v>
      </x:c>
      <x:c r="M556" s="12" t="n">
        <x:v>10</x:v>
      </x:c>
      <x:c r="N556" s="14" t="n">
        <x:v>0.6747861356379891</x:v>
      </x:c>
      <x:c r="O556" s="14" t="n">
        <x:v>0.3252138643620109</x:v>
      </x:c>
      <x:c r="P556" s="14" t="n">
        <x:v>0.5672938824241138</x:v>
      </x:c>
      <x:c r="Q556" s="14" t="n">
        <x:v>0.17672370663905473</x:v>
      </x:c>
      <x:c r="R556" s="14" t="n">
        <x:v>0.47349342077115486</x:v>
      </x:c>
      <x:c r="S556" s="14" t="n">
        <x:v>0.2755891055623842</x:v>
      </x:c>
      <x:c r="T556" t="str">
        <x:v>2030소비·야간활성</x:v>
      </x:c>
      <x:c r="U556" s="16" t="n">
        <x:v>54.9599755489282</x:v>
      </x:c>
      <x:c r="V556" t="str">
        <x:v>일반의류</x:v>
      </x:c>
      <x:c r="W556" t="str">
        <x:v>일반의류 / 세탁소 / 중식음식점</x:v>
      </x:c>
      <x:c r="X556" s="16" t="n">
        <x:v>51.165968636354144</x:v>
      </x:c>
    </x:row>
    <x:row r="557">
      <x:c r="A557" t="str">
        <x:v>3111023</x:v>
      </x:c>
      <x:c r="B557" t="str">
        <x:v>문정역 1번</x:v>
      </x:c>
      <x:c r="C557" t="str">
        <x:v>골목상권</x:v>
      </x:c>
      <x:c r="D557" t="str">
        <x:v>송파구</x:v>
      </x:c>
      <x:c r="E557" t="str">
        <x:v>문정1동</x:v>
      </x:c>
      <x:c r="F557" s="12" t="n">
        <x:v>61838</x:v>
      </x:c>
      <x:c r="G557" s="12" t="n">
        <x:v>6649624029</x:v>
      </x:c>
      <x:c r="H557" s="12" t="n">
        <x:v>245531</x:v>
      </x:c>
      <x:c r="I557" s="12" t="n">
        <x:v>27082.625122693265</x:v>
      </x:c>
      <x:c r="J557" s="12" t="n">
        <x:v>107532.97372165982</x:v>
      </x:c>
      <x:c r="K557" s="12" t="n">
        <x:v>5173</x:v>
      </x:c>
      <x:c r="L557" s="12" t="n">
        <x:v>836.5406384423817</x:v>
      </x:c>
      <x:c r="M557" s="12" t="n">
        <x:v>10</x:v>
      </x:c>
      <x:c r="N557" s="14" t="n">
        <x:v>0.6545170023175757</x:v>
      </x:c>
      <x:c r="O557" s="14" t="n">
        <x:v>0.3454829976824243</x:v>
      </x:c>
      <x:c r="P557" s="14" t="n">
        <x:v>0.4551716596006063</x:v>
      </x:c>
      <x:c r="Q557" s="14" t="n">
        <x:v>0.25947140898121895</x:v>
      </x:c>
      <x:c r="R557" s="14" t="n">
        <x:v>0.3169414632780286</x:v>
      </x:c>
      <x:c r="S557" s="14" t="n">
        <x:v>0.30730080875073185</x:v>
      </x:c>
      <x:c r="T557" t="str">
        <x:v>직장밀집·2030소비</x:v>
      </x:c>
      <x:c r="U557" s="16" t="n">
        <x:v>73.86044531726584</x:v>
      </x:c>
      <x:c r="V557" t="str">
        <x:v>일반의류</x:v>
      </x:c>
      <x:c r="W557" t="str">
        <x:v>일반의류 / 편의점 / 분식전문점</x:v>
      </x:c>
      <x:c r="X557" s="16" t="n">
        <x:v>59.91246186001524</x:v>
      </x:c>
    </x:row>
    <x:row r="558">
      <x:c r="A558" t="str">
        <x:v>3110243</x:v>
      </x:c>
      <x:c r="B558" t="str">
        <x:v>중랑노인종합복지관</x:v>
      </x:c>
      <x:c r="C558" t="str">
        <x:v>골목상권</x:v>
      </x:c>
      <x:c r="D558" t="str">
        <x:v>중랑구</x:v>
      </x:c>
      <x:c r="E558" t="str">
        <x:v>면목2동</x:v>
      </x:c>
      <x:c r="F558" s="12" t="n">
        <x:v>128302</x:v>
      </x:c>
      <x:c r="G558" s="12" t="n">
        <x:v>6609335598</x:v>
      </x:c>
      <x:c r="H558" s="12" t="n">
        <x:v>275952</x:v>
      </x:c>
      <x:c r="I558" s="12" t="n">
        <x:v>23951.0335058271</x:v>
      </x:c>
      <x:c r="J558" s="12" t="n">
        <x:v>51513.89376627021</x:v>
      </x:c>
      <x:c r="K558" s="12" t="n">
        <x:v>190</x:v>
      </x:c>
      <x:c r="L558" s="12" t="n">
        <x:v>14.808810462814296</x:v>
      </x:c>
      <x:c r="M558" s="12" t="n">
        <x:v>19</x:v>
      </x:c>
      <x:c r="N558" s="14" t="n">
        <x:v>0.776429237993734</x:v>
      </x:c>
      <x:c r="O558" s="14" t="n">
        <x:v>0.22357076200626602</x:v>
      </x:c>
      <x:c r="P558" s="14" t="n">
        <x:v>0.3809816021086844</x:v>
      </x:c>
      <x:c r="Q558" s="14" t="n">
        <x:v>0.22976536302068407</x:v>
      </x:c>
      <x:c r="R558" s="14" t="n">
        <x:v>0.13745839086683945</x:v>
      </x:c>
      <x:c r="S558" s="14" t="n">
        <x:v>0.44151596809262217</x:v>
      </x:c>
      <x:c r="T558" t="str">
        <x:v>평일집중</x:v>
      </x:c>
      <x:c r="U558" s="16" t="n">
        <x:v>76.91389548963734</x:v>
      </x:c>
      <x:c r="V558" t="str">
        <x:v>예술학원</x:v>
      </x:c>
      <x:c r="W558" t="str">
        <x:v>예술학원 / 일반교습학원 / 육류판매</x:v>
      </x:c>
      <x:c r="X558" s="16" t="n">
        <x:v>66.62449581652876</x:v>
      </x:c>
    </x:row>
    <x:row r="559">
      <x:c r="A559" t="str">
        <x:v>3110118</x:v>
      </x:c>
      <x:c r="B559" t="str">
        <x:v>왕십리역 9번</x:v>
      </x:c>
      <x:c r="C559" t="str">
        <x:v>골목상권</x:v>
      </x:c>
      <x:c r="D559" t="str">
        <x:v>성동구</x:v>
      </x:c>
      <x:c r="E559" t="str">
        <x:v>행당1동</x:v>
      </x:c>
      <x:c r="F559" s="12" t="n">
        <x:v>63575</x:v>
      </x:c>
      <x:c r="G559" s="12" t="n">
        <x:v>6582155314</x:v>
      </x:c>
      <x:c r="H559" s="12" t="n">
        <x:v>254618</x:v>
      </x:c>
      <x:c r="I559" s="12" t="n">
        <x:v>25851.099741573653</x:v>
      </x:c>
      <x:c r="J559" s="12" t="n">
        <x:v>103533.70529296107</x:v>
      </x:c>
      <x:c r="K559" s="12" t="n">
        <x:v>325</x:v>
      </x:c>
      <x:c r="L559" s="12" t="n">
        <x:v>51.12072355485647</x:v>
      </x:c>
      <x:c r="M559" s="12" t="n">
        <x:v>14</x:v>
      </x:c>
      <x:c r="N559" s="14" t="n">
        <x:v>0.7904352858301453</x:v>
      </x:c>
      <x:c r="O559" s="14" t="n">
        <x:v>0.20956471416985467</x:v>
      </x:c>
      <x:c r="P559" s="14" t="n">
        <x:v>0.2696391249269145</x:v>
      </x:c>
      <x:c r="Q559" s="14" t="n">
        <x:v>0.27396994388212337</x:v>
      </x:c>
      <x:c r="R559" s="14" t="n">
        <x:v>0.14824606902309873</x:v>
      </x:c>
      <x:c r="S559" s="14" t="n">
        <x:v>0.46633653546146026</x:v>
      </x:c>
      <x:c r="T559" t="str">
        <x:v>평일집중·고매출밀도</x:v>
      </x:c>
      <x:c r="U559" s="16" t="n">
        <x:v>68.30327772899875</x:v>
      </x:c>
      <x:c r="V559" t="str">
        <x:v>일반교습학원</x:v>
      </x:c>
      <x:c r="W559" t="str">
        <x:v>일반교습학원 / 피부관리실 / 슈퍼마켓</x:v>
      </x:c>
      <x:c r="X559" s="16" t="n">
        <x:v>62.95720388542018</x:v>
      </x:c>
    </x:row>
    <x:row r="560">
      <x:c r="A560" t="str">
        <x:v>3110218</x:v>
      </x:c>
      <x:c r="B560" t="str">
        <x:v>답십리사거리</x:v>
      </x:c>
      <x:c r="C560" t="str">
        <x:v>골목상권</x:v>
      </x:c>
      <x:c r="D560" t="str">
        <x:v>동대문구</x:v>
      </x:c>
      <x:c r="E560" t="str">
        <x:v>답십리2동</x:v>
      </x:c>
      <x:c r="F560" s="12" t="n">
        <x:v>82160</x:v>
      </x:c>
      <x:c r="G560" s="12" t="n">
        <x:v>6581983040</x:v>
      </x:c>
      <x:c r="H560" s="12" t="n">
        <x:v>210741</x:v>
      </x:c>
      <x:c r="I560" s="12" t="n">
        <x:v>31232.570026715257</x:v>
      </x:c>
      <x:c r="J560" s="12" t="n">
        <x:v>80111.77020447906</x:v>
      </x:c>
      <x:c r="K560" s="12" t="n">
        <x:v>1022</x:v>
      </x:c>
      <x:c r="L560" s="12" t="n">
        <x:v>124.39143135345667</x:v>
      </x:c>
      <x:c r="M560" s="12" t="n">
        <x:v>15</x:v>
      </x:c>
      <x:c r="N560" s="14" t="n">
        <x:v>0.7547268976250658</x:v>
      </x:c>
      <x:c r="O560" s="14" t="n">
        <x:v>0.2452731023749341</x:v>
      </x:c>
      <x:c r="P560" s="14" t="n">
        <x:v>0.46261603114066974</x:v>
      </x:c>
      <x:c r="Q560" s="14" t="n">
        <x:v>0.3019500053284853</x:v>
      </x:c>
      <x:c r="R560" s="14" t="n">
        <x:v>0.21514659250778015</x:v>
      </x:c>
      <x:c r="S560" s="14" t="n">
        <x:v>0.38460435291550066</x:v>
      </x:c>
      <x:c r="T560" t="str">
        <x:v>야간활성·직장밀집</x:v>
      </x:c>
      <x:c r="U560" s="16" t="n">
        <x:v>65.46399483259533</x:v>
      </x:c>
      <x:c r="V560" t="str">
        <x:v>외국어학원</x:v>
      </x:c>
      <x:c r="W560" t="str">
        <x:v>외국어학원 / 미용실 / 한식음식점</x:v>
      </x:c>
      <x:c r="X560" s="16" t="n">
        <x:v>60.34169169530254</x:v>
      </x:c>
    </x:row>
    <x:row r="561">
      <x:c r="A561" t="str">
        <x:v>3130238</x:v>
      </x:c>
      <x:c r="B561" t="str">
        <x:v>은행나무시장</x:v>
      </x:c>
      <x:c r="C561" t="str">
        <x:v>전통시장</x:v>
      </x:c>
      <x:c r="D561" t="str">
        <x:v>금천구</x:v>
      </x:c>
      <x:c r="E561" t="str">
        <x:v>시흥5동</x:v>
      </x:c>
      <x:c r="F561" s="12" t="n">
        <x:v>36517</x:v>
      </x:c>
      <x:c r="G561" s="12" t="n">
        <x:v>6537438820</x:v>
      </x:c>
      <x:c r="H561" s="12" t="n">
        <x:v>299522</x:v>
      </x:c>
      <x:c r="I561" s="12" t="n">
        <x:v>21826.239207804436</x:v>
      </x:c>
      <x:c r="J561" s="12" t="n">
        <x:v>179024.5315880275</x:v>
      </x:c>
      <x:c r="K561" s="12" t="n">
        <x:v>118</x:v>
      </x:c>
      <x:c r="L561" s="12" t="n">
        <x:v>32.313716898978555</x:v>
      </x:c>
      <x:c r="M561" s="12" t="n">
        <x:v>19</x:v>
      </x:c>
      <x:c r="N561" s="14" t="n">
        <x:v>0.707497608826571</x:v>
      </x:c>
      <x:c r="O561" s="14" t="n">
        <x:v>0.29250239117342897</x:v>
      </x:c>
      <x:c r="P561" s="14" t="n">
        <x:v>0.2689491953058155</x:v>
      </x:c>
      <x:c r="Q561" s="14" t="n">
        <x:v>0.2913942904019406</x:v>
      </x:c>
      <x:c r="R561" s="14" t="n">
        <x:v>0.093061395104574</x:v>
      </x:c>
      <x:c r="S561" s="14" t="n">
        <x:v>0.5286188584170949</x:v>
      </x:c>
      <x:c r="T561" t="str">
        <x:v>여성소비·고매출밀도</x:v>
      </x:c>
      <x:c r="U561" s="16" t="n">
        <x:v>78.4515276440536</x:v>
      </x:c>
      <x:c r="V561" t="str">
        <x:v>육류판매</x:v>
      </x:c>
      <x:c r="W561" t="str">
        <x:v>육류판매 / 청과상 / 일반의류</x:v>
      </x:c>
      <x:c r="X561" s="16" t="n">
        <x:v>66.16472564566632</x:v>
      </x:c>
    </x:row>
    <x:row r="562">
      <x:c r="A562" t="str">
        <x:v>3110636</x:v>
      </x:c>
      <x:c r="B562" t="str">
        <x:v>방화역 2번</x:v>
      </x:c>
      <x:c r="C562" t="str">
        <x:v>골목상권</x:v>
      </x:c>
      <x:c r="D562" t="str">
        <x:v>강서구</x:v>
      </x:c>
      <x:c r="E562" t="str">
        <x:v>방화1동</x:v>
      </x:c>
      <x:c r="F562" s="12" t="n">
        <x:v>44808</x:v>
      </x:c>
      <x:c r="G562" s="12" t="n">
        <x:v>6492925443</x:v>
      </x:c>
      <x:c r="H562" s="12" t="n">
        <x:v>229115</x:v>
      </x:c>
      <x:c r="I562" s="12" t="n">
        <x:v>28339.154760709687</x:v>
      </x:c>
      <x:c r="J562" s="12" t="n">
        <x:v>144905.4955141939</x:v>
      </x:c>
      <x:c r="K562" s="12" t="n">
        <x:v>357</x:v>
      </x:c>
      <x:c r="L562" s="12" t="n">
        <x:v>79.67327262988752</x:v>
      </x:c>
      <x:c r="M562" s="12" t="n">
        <x:v>10</x:v>
      </x:c>
      <x:c r="N562" s="14" t="n">
        <x:v>0.7832941803579555</x:v>
      </x:c>
      <x:c r="O562" s="14" t="n">
        <x:v>0.21670581964204452</x:v>
      </x:c>
      <x:c r="P562" s="14" t="n">
        <x:v>0.2940192339738222</x:v>
      </x:c>
      <x:c r="Q562" s="14" t="n">
        <x:v>0.29208131845169566</x:v>
      </x:c>
      <x:c r="R562" s="14" t="n">
        <x:v>0.186795173862279</x:v>
      </x:c>
      <x:c r="S562" s="14" t="n">
        <x:v>0.39017245958541036</x:v>
      </x:c>
      <x:c r="T562" t="str">
        <x:v>고매출밀도·평일집중</x:v>
      </x:c>
      <x:c r="U562" s="16" t="n">
        <x:v>57.93424623571411</x:v>
      </x:c>
      <x:c r="V562" t="str">
        <x:v>한의원</x:v>
      </x:c>
      <x:c r="W562" t="str">
        <x:v>한의원 / 일반의원 / 한식음식점</x:v>
      </x:c>
      <x:c r="X562" s="16" t="n">
        <x:v>54.9514449373775</x:v>
      </x:c>
    </x:row>
    <x:row r="563">
      <x:c r="A563" t="str">
        <x:v>3110154</x:v>
      </x:c>
      <x:c r="B563" t="str">
        <x:v>광진정말공원</x:v>
      </x:c>
      <x:c r="C563" t="str">
        <x:v>골목상권</x:v>
      </x:c>
      <x:c r="D563" t="str">
        <x:v>광진구</x:v>
      </x:c>
      <x:c r="E563" t="str">
        <x:v>자양1동</x:v>
      </x:c>
      <x:c r="F563" s="12" t="n">
        <x:v>102102</x:v>
      </x:c>
      <x:c r="G563" s="12" t="n">
        <x:v>6428460380</x:v>
      </x:c>
      <x:c r="H563" s="12" t="n">
        <x:v>244567</x:v>
      </x:c>
      <x:c r="I563" s="12" t="n">
        <x:v>26285.06863149975</x:v>
      </x:c>
      <x:c r="J563" s="12" t="n">
        <x:v>62961.16021233668</x:v>
      </x:c>
      <x:c r="K563" s="12" t="n">
        <x:v>1449</x:v>
      </x:c>
      <x:c r="L563" s="12" t="n">
        <x:v>141.91690662278899</x:v>
      </x:c>
      <x:c r="M563" s="12" t="n">
        <x:v>22</x:v>
      </x:c>
      <x:c r="N563" s="14" t="n">
        <x:v>0.6980790769064364</x:v>
      </x:c>
      <x:c r="O563" s="14" t="n">
        <x:v>0.3019209230935635</x:v>
      </x:c>
      <x:c r="P563" s="14" t="n">
        <x:v>0.4095864610431028</x:v>
      </x:c>
      <x:c r="Q563" s="14" t="n">
        <x:v>0.19525755216679114</x:v>
      </x:c>
      <x:c r="R563" s="14" t="n">
        <x:v>0.2630553498099027</x:v>
      </x:c>
      <x:c r="S563" s="14" t="n">
        <x:v>0.4399623750967257</x:v>
      </x:c>
      <x:c r="T563" t="str">
        <x:v>직장밀집·2030소비</x:v>
      </x:c>
      <x:c r="U563" s="16" t="n">
        <x:v>70.5670616810747</x:v>
      </x:c>
      <x:c r="V563" t="str">
        <x:v>핸드폰</x:v>
      </x:c>
      <x:c r="W563" t="str">
        <x:v>핸드폰 / 일반의류 / 미용실</x:v>
      </x:c>
      <x:c r="X563" s="16" t="n">
        <x:v>64.94647064746196</x:v>
      </x:c>
    </x:row>
    <x:row r="564">
      <x:c r="A564" t="str">
        <x:v>3110955</x:v>
      </x:c>
      <x:c r="B564" t="str">
        <x:v>논현초등학교</x:v>
      </x:c>
      <x:c r="C564" t="str">
        <x:v>골목상권</x:v>
      </x:c>
      <x:c r="D564" t="str">
        <x:v>강남구</x:v>
      </x:c>
      <x:c r="E564" t="str">
        <x:v>논현1동</x:v>
      </x:c>
      <x:c r="F564" s="12" t="n">
        <x:v>190913</x:v>
      </x:c>
      <x:c r="G564" s="12" t="n">
        <x:v>6404206911</x:v>
      </x:c>
      <x:c r="H564" s="12" t="n">
        <x:v>261097</x:v>
      </x:c>
      <x:c r="I564" s="12" t="n">
        <x:v>24528.0754317361</x:v>
      </x:c>
      <x:c r="J564" s="12" t="n">
        <x:v>33545.1588472236</x:v>
      </x:c>
      <x:c r="K564" s="12" t="n">
        <x:v>1873</x:v>
      </x:c>
      <x:c r="L564" s="12" t="n">
        <x:v>98.10751494136072</x:v>
      </x:c>
      <x:c r="M564" s="12" t="n">
        <x:v>14</x:v>
      </x:c>
      <x:c r="N564" s="14" t="n">
        <x:v>0.8416418435422409</x:v>
      </x:c>
      <x:c r="O564" s="14" t="n">
        <x:v>0.15835815645775908</x:v>
      </x:c>
      <x:c r="P564" s="14" t="n">
        <x:v>0.45234664967245</x:v>
      </x:c>
      <x:c r="Q564" s="14" t="n">
        <x:v>0.236121180501315</x:v>
      </x:c>
      <x:c r="R564" s="14" t="n">
        <x:v>0.4919811400203525</x:v>
      </x:c>
      <x:c r="S564" s="14" t="n">
        <x:v>0.5764551099464</x:v>
      </x:c>
      <x:c r="T564" t="str">
        <x:v>2030소비·여성소비</x:v>
      </x:c>
      <x:c r="U564" s="16" t="n">
        <x:v>67.57516736579682</x:v>
      </x:c>
      <x:c r="V564" t="str">
        <x:v>미용실</x:v>
      </x:c>
      <x:c r="W564" t="str">
        <x:v>미용실 / 피부관리실 / 일반의류</x:v>
      </x:c>
      <x:c r="X564" s="16" t="n">
        <x:v>61.23857576860839</x:v>
      </x:c>
    </x:row>
    <x:row r="565">
      <x:c r="A565" t="str">
        <x:v>3130059</x:v>
      </x:c>
      <x:c r="B565" t="str">
        <x:v>후암시장</x:v>
      </x:c>
      <x:c r="C565" t="str">
        <x:v>전통시장</x:v>
      </x:c>
      <x:c r="D565" t="str">
        <x:v>용산구</x:v>
      </x:c>
      <x:c r="E565" t="str">
        <x:v>후암동</x:v>
      </x:c>
      <x:c r="F565" s="12" t="n">
        <x:v>33290</x:v>
      </x:c>
      <x:c r="G565" s="12" t="n">
        <x:v>6396737502</x:v>
      </x:c>
      <x:c r="H565" s="12" t="n">
        <x:v>346095</x:v>
      </x:c>
      <x:c r="I565" s="12" t="n">
        <x:v>18482.60593767607</x:v>
      </x:c>
      <x:c r="J565" s="12" t="n">
        <x:v>192151.92255932713</x:v>
      </x:c>
      <x:c r="K565" s="12" t="n">
        <x:v>200</x:v>
      </x:c>
      <x:c r="L565" s="12" t="n">
        <x:v>60.078101531991585</x:v>
      </x:c>
      <x:c r="M565" s="12" t="n">
        <x:v>13</x:v>
      </x:c>
      <x:c r="N565" s="14" t="n">
        <x:v>0.7463964792219795</x:v>
      </x:c>
      <x:c r="O565" s="14" t="n">
        <x:v>0.2536035207780205</x:v>
      </x:c>
      <x:c r="P565" s="14" t="n">
        <x:v>0.3998640802753391</x:v>
      </x:c>
      <x:c r="Q565" s="14" t="n">
        <x:v>0.24135791479911192</x:v>
      </x:c>
      <x:c r="R565" s="14" t="n">
        <x:v>0.16063107555667835</x:v>
      </x:c>
      <x:c r="S565" s="14" t="n">
        <x:v>0.4769513565385632</x:v>
      </x:c>
      <x:c r="T565" t="str">
        <x:v>고매출밀도·여성소비</x:v>
      </x:c>
      <x:c r="U565" s="16" t="n">
        <x:v>76.0612788150875</x:v>
      </x:c>
      <x:c r="V565" t="str">
        <x:v>미용실</x:v>
      </x:c>
      <x:c r="W565" t="str">
        <x:v>미용실 / 인테리어 / 슈퍼마켓</x:v>
      </x:c>
      <x:c r="X565" s="16" t="n">
        <x:v>64.9810946268639</x:v>
      </x:c>
    </x:row>
    <x:row r="566">
      <x:c r="A566" t="str">
        <x:v>3110394</x:v>
      </x:c>
      <x:c r="B566" t="str">
        <x:v>방학중학교</x:v>
      </x:c>
      <x:c r="C566" t="str">
        <x:v>골목상권</x:v>
      </x:c>
      <x:c r="D566" t="str">
        <x:v>도봉구</x:v>
      </x:c>
      <x:c r="E566" t="str">
        <x:v>방학2동</x:v>
      </x:c>
      <x:c r="F566" s="12" t="n">
        <x:v>157817</x:v>
      </x:c>
      <x:c r="G566" s="12" t="n">
        <x:v>6381612730</x:v>
      </x:c>
      <x:c r="H566" s="12" t="n">
        <x:v>197636</x:v>
      </x:c>
      <x:c r="I566" s="12" t="n">
        <x:v>32289.728237770447</x:v>
      </x:c>
      <x:c r="J566" s="12" t="n">
        <x:v>40436.789002452206</x:v>
      </x:c>
      <x:c r="K566" s="12" t="n">
        <x:v>141</x:v>
      </x:c>
      <x:c r="L566" s="12" t="n">
        <x:v>8.93439870229443</x:v>
      </x:c>
      <x:c r="M566" s="12" t="n">
        <x:v>19</x:v>
      </x:c>
      <x:c r="N566" s="14" t="n">
        <x:v>0.8812564484777189</x:v>
      </x:c>
      <x:c r="O566" s="14" t="n">
        <x:v>0.11874355152228111</x:v>
      </x:c>
      <x:c r="P566" s="14" t="n">
        <x:v>0.291646816995114</x:v>
      </x:c>
      <x:c r="Q566" s="14" t="n">
        <x:v>0.30508004236101616</x:v>
      </x:c>
      <x:c r="R566" s="14" t="n">
        <x:v>0.1331459079310192</x:v>
      </x:c>
      <x:c r="S566" s="14" t="n">
        <x:v>0.2701410814065491</x:v>
      </x:c>
      <x:c r="T566" t="str">
        <x:v>평일집중</x:v>
      </x:c>
      <x:c r="U566" s="16" t="n">
        <x:v>65.05499874402004</x:v>
      </x:c>
      <x:c r="V566" t="str">
        <x:v>의약품</x:v>
      </x:c>
      <x:c r="W566" t="str">
        <x:v>의약품 / 조명용품 / 일반의류</x:v>
      </x:c>
      <x:c r="X566" s="16" t="n">
        <x:v>59.108146854393055</x:v>
      </x:c>
    </x:row>
    <x:row r="567">
      <x:c r="A567" t="str">
        <x:v>3110812</x:v>
      </x:c>
      <x:c r="B567" t="str">
        <x:v>신길6동주민센터</x:v>
      </x:c>
      <x:c r="C567" t="str">
        <x:v>골목상권</x:v>
      </x:c>
      <x:c r="D567" t="str">
        <x:v>영등포구</x:v>
      </x:c>
      <x:c r="E567" t="str">
        <x:v>신길6동</x:v>
      </x:c>
      <x:c r="F567" s="12" t="n">
        <x:v>59185</x:v>
      </x:c>
      <x:c r="G567" s="12" t="n">
        <x:v>6348905421</x:v>
      </x:c>
      <x:c r="H567" s="12" t="n">
        <x:v>327226</x:v>
      </x:c>
      <x:c r="I567" s="12" t="n">
        <x:v>19402.203434323677</x:v>
      </x:c>
      <x:c r="J567" s="12" t="n">
        <x:v>107272.20446058968</x:v>
      </x:c>
      <x:c r="K567" s="12" t="n">
        <x:v>342</x:v>
      </x:c>
      <x:c r="L567" s="12" t="n">
        <x:v>57.784911717495994</x:v>
      </x:c>
      <x:c r="M567" s="12" t="n">
        <x:v>10</x:v>
      </x:c>
      <x:c r="N567" s="14" t="n">
        <x:v>0.7810844541166461</x:v>
      </x:c>
      <x:c r="O567" s="14" t="n">
        <x:v>0.21891554588335393</x:v>
      </x:c>
      <x:c r="P567" s="14" t="n">
        <x:v>0.3821707907278652</x:v>
      </x:c>
      <x:c r="Q567" s="14" t="n">
        <x:v>0.26591485130898124</x:v>
      </x:c>
      <x:c r="R567" s="14" t="n">
        <x:v>0.2848972961570914</x:v>
      </x:c>
      <x:c r="S567" s="14" t="n">
        <x:v>0.38376916986995074</x:v>
      </x:c>
      <x:c r="T567" t="str">
        <x:v>2030소비·고매출밀도</x:v>
      </x:c>
      <x:c r="U567" s="16" t="n">
        <x:v>66.13827331724673</x:v>
      </x:c>
      <x:c r="V567" t="str">
        <x:v>한식음식점</x:v>
      </x:c>
      <x:c r="W567" t="str">
        <x:v>한식음식점 / 커피-음료 / 편의점</x:v>
      </x:c>
      <x:c r="X567" s="16" t="n">
        <x:v>57.37039660089903</x:v>
      </x:c>
    </x:row>
    <x:row r="568">
      <x:c r="A568" t="str">
        <x:v>3110167</x:v>
      </x:c>
      <x:c r="B568" t="str">
        <x:v>용마초등학교</x:v>
      </x:c>
      <x:c r="C568" t="str">
        <x:v>골목상권</x:v>
      </x:c>
      <x:c r="D568" t="str">
        <x:v>광진구</x:v>
      </x:c>
      <x:c r="E568" t="str">
        <x:v>중곡2동</x:v>
      </x:c>
      <x:c r="F568" s="12" t="n">
        <x:v>154354</x:v>
      </x:c>
      <x:c r="G568" s="12" t="n">
        <x:v>6318874113</x:v>
      </x:c>
      <x:c r="H568" s="12" t="n">
        <x:v>358021</x:v>
      </x:c>
      <x:c r="I568" s="12" t="n">
        <x:v>17649.451046167684</x:v>
      </x:c>
      <x:c r="J568" s="12" t="n">
        <x:v>40937.54689220882</x:v>
      </x:c>
      <x:c r="K568" s="12" t="n">
        <x:v>499</x:v>
      </x:c>
      <x:c r="L568" s="12" t="n">
        <x:v>32.3282843334154</x:v>
      </x:c>
      <x:c r="M568" s="12" t="n">
        <x:v>23</x:v>
      </x:c>
      <x:c r="N568" s="14" t="n">
        <x:v>0.7509694733809298</x:v>
      </x:c>
      <x:c r="O568" s="14" t="n">
        <x:v>0.24903052661907019</x:v>
      </x:c>
      <x:c r="P568" s="14" t="n">
        <x:v>0.3752068176389701</x:v>
      </x:c>
      <x:c r="Q568" s="14" t="n">
        <x:v>0.2319978372387619</x:v>
      </x:c>
      <x:c r="R568" s="14" t="n">
        <x:v>0.2204023571437781</x:v>
      </x:c>
      <x:c r="S568" s="14" t="n">
        <x:v>0.44403582486752413</x:v>
      </x:c>
      <x:c r="T568" t="str">
        <x:v>균형형</x:v>
      </x:c>
      <x:c r="U568" s="16" t="n">
        <x:v>69.74093033494363</x:v>
      </x:c>
      <x:c r="V568" t="str">
        <x:v>예술학원</x:v>
      </x:c>
      <x:c r="W568" t="str">
        <x:v>예술학원 / 제과점 / 철물점</x:v>
      </x:c>
      <x:c r="X568" s="16" t="n">
        <x:v>60.76848595816839</x:v>
      </x:c>
    </x:row>
    <x:row r="569">
      <x:c r="A569" t="str">
        <x:v>3110716</x:v>
      </x:c>
      <x:c r="B569" t="str">
        <x:v>구로나눔길</x:v>
      </x:c>
      <x:c r="C569" t="str">
        <x:v>골목상권</x:v>
      </x:c>
      <x:c r="D569" t="str">
        <x:v>구로구</x:v>
      </x:c>
      <x:c r="E569" t="str">
        <x:v>구로2동</x:v>
      </x:c>
      <x:c r="F569" s="12" t="n">
        <x:v>50788</x:v>
      </x:c>
      <x:c r="G569" s="12" t="n">
        <x:v>6290238893</x:v>
      </x:c>
      <x:c r="H569" s="12" t="n">
        <x:v>173066</x:v>
      </x:c>
      <x:c r="I569" s="12" t="n">
        <x:v>36345.89632279015</x:v>
      </x:c>
      <x:c r="J569" s="12" t="n">
        <x:v>123852.85683626053</x:v>
      </x:c>
      <x:c r="K569" s="12" t="n">
        <x:v>231</x:v>
      </x:c>
      <x:c r="L569" s="12" t="n">
        <x:v>45.48318500433173</x:v>
      </x:c>
      <x:c r="M569" s="12" t="n">
        <x:v>11</x:v>
      </x:c>
      <x:c r="N569" s="14" t="n">
        <x:v>0.8186135818673429</x:v>
      </x:c>
      <x:c r="O569" s="14" t="n">
        <x:v>0.18138641813265707</x:v>
      </x:c>
      <x:c r="P569" s="14" t="n">
        <x:v>0.3630647347180173</x:v>
      </x:c>
      <x:c r="Q569" s="14" t="n">
        <x:v>0.36016437428491793</x:v>
      </x:c>
      <x:c r="R569" s="14" t="n">
        <x:v>0.19795373040373332</x:v>
      </x:c>
      <x:c r="S569" s="14" t="n">
        <x:v>0.31183982061204046</x:v>
      </x:c>
      <x:c r="T569" t="str">
        <x:v>평일집중·고매출밀도</x:v>
      </x:c>
      <x:c r="U569" s="16" t="n">
        <x:v>72.21531021730503</x:v>
      </x:c>
      <x:c r="V569" t="str">
        <x:v>패스트푸드점</x:v>
      </x:c>
      <x:c r="W569" t="str">
        <x:v>패스트푸드점 / 일반의원 / 스포츠 강습</x:v>
      </x:c>
      <x:c r="X569" s="16" t="n">
        <x:v>64.24807268047536</x:v>
      </x:c>
    </x:row>
    <x:row r="570">
      <x:c r="A570" t="str">
        <x:v>3110883</x:v>
      </x:c>
      <x:c r="B570" t="str">
        <x:v>은천초등학교(은천교앞)</x:v>
      </x:c>
      <x:c r="C570" t="str">
        <x:v>골목상권</x:v>
      </x:c>
      <x:c r="D570" t="str">
        <x:v>관악구</x:v>
      </x:c>
      <x:c r="E570" t="str">
        <x:v>보라매동</x:v>
      </x:c>
      <x:c r="F570" s="12" t="n">
        <x:v>111515</x:v>
      </x:c>
      <x:c r="G570" s="12" t="n">
        <x:v>6181441358</x:v>
      </x:c>
      <x:c r="H570" s="12" t="n">
        <x:v>466122</x:v>
      </x:c>
      <x:c r="I570" s="12" t="n">
        <x:v>13261.423743140207</x:v>
      </x:c>
      <x:c r="J570" s="12" t="n">
        <x:v>55431.478796574454</x:v>
      </x:c>
      <x:c r="K570" s="12" t="n">
        <x:v>228</x:v>
      </x:c>
      <x:c r="L570" s="12" t="n">
        <x:v>20.445679953369503</x:v>
      </x:c>
      <x:c r="M570" s="12" t="n">
        <x:v>21</x:v>
      </x:c>
      <x:c r="N570" s="14" t="n">
        <x:v>0.751441919608032</x:v>
      </x:c>
      <x:c r="O570" s="14" t="n">
        <x:v>0.24855808039196803</x:v>
      </x:c>
      <x:c r="P570" s="14" t="n">
        <x:v>0.4916645120424355</x:v>
      </x:c>
      <x:c r="Q570" s="14" t="n">
        <x:v>0.16628811493450393</x:v>
      </x:c>
      <x:c r="R570" s="14" t="n">
        <x:v>0.28709465822291474</x:v>
      </x:c>
      <x:c r="S570" s="14" t="n">
        <x:v>0.4259336513145968</x:v>
      </x:c>
      <x:c r="T570" t="str">
        <x:v>야간활성·2030소비</x:v>
      </x:c>
      <x:c r="U570" s="16" t="n">
        <x:v>67.3744594273674</x:v>
      </x:c>
      <x:c r="V570" t="str">
        <x:v>슈퍼마켓</x:v>
      </x:c>
      <x:c r="W570" t="str">
        <x:v>슈퍼마켓 / 육류판매 / 제과점</x:v>
      </x:c>
      <x:c r="X570" s="16" t="n">
        <x:v>60.10005803115537</x:v>
      </x:c>
    </x:row>
    <x:row r="571">
      <x:c r="A571" t="str">
        <x:v>3110195</x:v>
      </x:c>
      <x:c r="B571" t="str">
        <x:v>동대문구청</x:v>
      </x:c>
      <x:c r="C571" t="str">
        <x:v>골목상권</x:v>
      </x:c>
      <x:c r="D571" t="str">
        <x:v>동대문구</x:v>
      </x:c>
      <x:c r="E571" t="str">
        <x:v>용신동</x:v>
      </x:c>
      <x:c r="F571" s="12" t="n">
        <x:v>115383</x:v>
      </x:c>
      <x:c r="G571" s="12" t="n">
        <x:v>6176321769</x:v>
      </x:c>
      <x:c r="H571" s="12" t="n">
        <x:v>254673</x:v>
      </x:c>
      <x:c r="I571" s="12" t="n">
        <x:v>24251.969266471122</x:v>
      </x:c>
      <x:c r="J571" s="12" t="n">
        <x:v>53528.87140219963</x:v>
      </x:c>
      <x:c r="K571" s="12" t="n">
        <x:v>1604</x:v>
      </x:c>
      <x:c r="L571" s="12" t="n">
        <x:v>139.015279547247</x:v>
      </x:c>
      <x:c r="M571" s="12" t="n">
        <x:v>15</x:v>
      </x:c>
      <x:c r="N571" s="14" t="n">
        <x:v>0.7949860578256411</x:v>
      </x:c>
      <x:c r="O571" s="14" t="n">
        <x:v>0.2050139421743589</x:v>
      </x:c>
      <x:c r="P571" s="14" t="n">
        <x:v>0.34103555623868276</x:v>
      </x:c>
      <x:c r="Q571" s="14" t="n">
        <x:v>0.24121337419264888</x:v>
      </x:c>
      <x:c r="R571" s="14" t="n">
        <x:v>0.14024743114059737</x:v>
      </x:c>
      <x:c r="S571" s="14" t="n">
        <x:v>0.4622115935294303</x:v>
      </x:c>
      <x:c r="T571" t="str">
        <x:v>평일집중·직장밀집</x:v>
      </x:c>
      <x:c r="U571" s="16" t="n">
        <x:v>52.363618668900266</x:v>
      </x:c>
      <x:c r="V571" t="str">
        <x:v>커피-음료</x:v>
      </x:c>
      <x:c r="W571" t="str">
        <x:v>커피-음료 / 육류판매 / 의약품</x:v>
      </x:c>
      <x:c r="X571" s="16" t="n">
        <x:v>49.468975772970104</x:v>
      </x:c>
    </x:row>
    <x:row r="572">
      <x:c r="A572" t="str">
        <x:v>3111042</x:v>
      </x:c>
      <x:c r="B572" t="str">
        <x:v>거여역 1번(거여공원)</x:v>
      </x:c>
      <x:c r="C572" t="str">
        <x:v>골목상권</x:v>
      </x:c>
      <x:c r="D572" t="str">
        <x:v>송파구</x:v>
      </x:c>
      <x:c r="E572" t="str">
        <x:v>거여1동</x:v>
      </x:c>
      <x:c r="F572" s="12" t="n">
        <x:v>146365</x:v>
      </x:c>
      <x:c r="G572" s="12" t="n">
        <x:v>6169340378</x:v>
      </x:c>
      <x:c r="H572" s="12" t="n">
        <x:v>292067</x:v>
      </x:c>
      <x:c r="I572" s="12" t="n">
        <x:v>21123.03128391773</x:v>
      </x:c>
      <x:c r="J572" s="12" t="n">
        <x:v>42150.38006353978</x:v>
      </x:c>
      <x:c r="K572" s="12" t="n">
        <x:v>1845</x:v>
      </x:c>
      <x:c r="L572" s="12" t="n">
        <x:v>126.05472619820313</x:v>
      </x:c>
      <x:c r="M572" s="12" t="n">
        <x:v>16</x:v>
      </x:c>
      <x:c r="N572" s="14" t="n">
        <x:v>0.7275275159084439</x:v>
      </x:c>
      <x:c r="O572" s="14" t="n">
        <x:v>0.27247248409155617</x:v>
      </x:c>
      <x:c r="P572" s="14" t="n">
        <x:v>0.4145997410227509</x:v>
      </x:c>
      <x:c r="Q572" s="14" t="n">
        <x:v>0.22540144566489342</x:v>
      </x:c>
      <x:c r="R572" s="14" t="n">
        <x:v>0.27054239849562084</x:v>
      </x:c>
      <x:c r="S572" s="14" t="n">
        <x:v>0.414487651567861</x:v>
      </x:c>
      <x:c r="T572" t="str">
        <x:v>2030소비·직장밀집</x:v>
      </x:c>
      <x:c r="U572" s="16" t="n">
        <x:v>74.62194039961572</x:v>
      </x:c>
      <x:c r="V572" t="str">
        <x:v>일반의원</x:v>
      </x:c>
      <x:c r="W572" t="str">
        <x:v>일반의원 / 미용실 / 반찬가게</x:v>
      </x:c>
      <x:c r="X572" s="16" t="n">
        <x:v>67.46938711931891</x:v>
      </x:c>
    </x:row>
    <x:row r="573">
      <x:c r="A573" t="str">
        <x:v>3111090</x:v>
      </x:c>
      <x:c r="B573" t="str">
        <x:v>강일동주민센터</x:v>
      </x:c>
      <x:c r="C573" t="str">
        <x:v>골목상권</x:v>
      </x:c>
      <x:c r="D573" t="str">
        <x:v>강동구</x:v>
      </x:c>
      <x:c r="E573" t="str">
        <x:v>강일동</x:v>
      </x:c>
      <x:c r="F573" s="12" t="n">
        <x:v>29486</x:v>
      </x:c>
      <x:c r="G573" s="12" t="n">
        <x:v>6167272146</x:v>
      </x:c>
      <x:c r="H573" s="12" t="n">
        <x:v>239238</x:v>
      </x:c>
      <x:c r="I573" s="12" t="n">
        <x:v>25778.81501266521</x:v>
      </x:c>
      <x:c r="J573" s="12" t="n">
        <x:v>209159.33480295734</x:v>
      </x:c>
      <x:c r="K573" s="12" t="n">
        <x:v>143</x:v>
      </x:c>
      <x:c r="L573" s="12" t="n">
        <x:v>48.497592077596146</x:v>
      </x:c>
      <x:c r="M573" s="12" t="n">
        <x:v>15</x:v>
      </x:c>
      <x:c r="N573" s="14" t="n">
        <x:v>0.7953223032619517</x:v>
      </x:c>
      <x:c r="O573" s="14" t="n">
        <x:v>0.20467769673804825</x:v>
      </x:c>
      <x:c r="P573" s="14" t="n">
        <x:v>0.35644855650253643</x:v>
      </x:c>
      <x:c r="Q573" s="14" t="n">
        <x:v>0.25317225866426035</x:v>
      </x:c>
      <x:c r="R573" s="14" t="n">
        <x:v>0.18257231971355264</x:v>
      </x:c>
      <x:c r="S573" s="14" t="n">
        <x:v>0.5030210189462913</x:v>
      </x:c>
      <x:c r="T573" t="str">
        <x:v>고매출밀도·여성소비</x:v>
      </x:c>
      <x:c r="U573" s="16" t="n">
        <x:v>72.55831478458255</x:v>
      </x:c>
      <x:c r="V573" t="str">
        <x:v>미용실</x:v>
      </x:c>
      <x:c r="W573" t="str">
        <x:v>미용실 / 치킨전문점 / 일반의원</x:v>
      </x:c>
      <x:c r="X573" s="16" t="n">
        <x:v>64.96707550674464</x:v>
      </x:c>
    </x:row>
    <x:row r="574">
      <x:c r="A574" t="str">
        <x:v>3111086</x:v>
      </x:c>
      <x:c r="B574" t="str">
        <x:v>한영중고</x:v>
      </x:c>
      <x:c r="C574" t="str">
        <x:v>골목상권</x:v>
      </x:c>
      <x:c r="D574" t="str">
        <x:v>강동구</x:v>
      </x:c>
      <x:c r="E574" t="str">
        <x:v>명일2동</x:v>
      </x:c>
      <x:c r="F574" s="12" t="n">
        <x:v>75463</x:v>
      </x:c>
      <x:c r="G574" s="12" t="n">
        <x:v>6137840103</x:v>
      </x:c>
      <x:c r="H574" s="12" t="n">
        <x:v>233796</x:v>
      </x:c>
      <x:c r="I574" s="12" t="n">
        <x:v>26252.973117589692</x:v>
      </x:c>
      <x:c r="J574" s="12" t="n">
        <x:v>81335.75531054955</x:v>
      </x:c>
      <x:c r="K574" s="12" t="n">
        <x:v>523</x:v>
      </x:c>
      <x:c r="L574" s="12" t="n">
        <x:v>69.30548745742946</x:v>
      </x:c>
      <x:c r="M574" s="12" t="n">
        <x:v>19</x:v>
      </x:c>
      <x:c r="N574" s="14" t="n">
        <x:v>0.788769125744037</x:v>
      </x:c>
      <x:c r="O574" s="14" t="n">
        <x:v>0.211230874255963</x:v>
      </x:c>
      <x:c r="P574" s="14" t="n">
        <x:v>0.3959505121047628</x:v>
      </x:c>
      <x:c r="Q574" s="14" t="n">
        <x:v>0.21594903121574524</x:v>
      </x:c>
      <x:c r="R574" s="14" t="n">
        <x:v>0.1145316183222833</x:v>
      </x:c>
      <x:c r="S574" s="14" t="n">
        <x:v>0.4525398776097768</x:v>
      </x:c>
      <x:c r="T574" t="str">
        <x:v>평일집중·고매출밀도</x:v>
      </x:c>
      <x:c r="U574" s="16" t="n">
        <x:v>79.47572106819874</x:v>
      </x:c>
      <x:c r="V574" t="str">
        <x:v>자동차수리</x:v>
      </x:c>
      <x:c r="W574" t="str">
        <x:v>자동차수리 / 미용실 / 일반교습학원</x:v>
      </x:c>
      <x:c r="X574" s="16" t="n">
        <x:v>66.87872971581626</x:v>
      </x:c>
    </x:row>
    <x:row r="575">
      <x:c r="A575" t="str">
        <x:v>3130216</x:v>
      </x:c>
      <x:c r="B575" t="str">
        <x:v>화곡중앙시장</x:v>
      </x:c>
      <x:c r="C575" t="str">
        <x:v>전통시장</x:v>
      </x:c>
      <x:c r="D575" t="str">
        <x:v>강서구</x:v>
      </x:c>
      <x:c r="E575" t="str">
        <x:v>화곡1동</x:v>
      </x:c>
      <x:c r="F575" s="12" t="n">
        <x:v>34409</x:v>
      </x:c>
      <x:c r="G575" s="12" t="n">
        <x:v>6120360362</x:v>
      </x:c>
      <x:c r="H575" s="12" t="n">
        <x:v>341355</x:v>
      </x:c>
      <x:c r="I575" s="12" t="n">
        <x:v>17929.60513834571</x:v>
      </x:c>
      <x:c r="J575" s="12" t="n">
        <x:v>177870.91638815426</x:v>
      </x:c>
      <x:c r="K575" s="12" t="n">
        <x:v>186</x:v>
      </x:c>
      <x:c r="L575" s="12" t="n">
        <x:v>54.055624981836154</x:v>
      </x:c>
      <x:c r="M575" s="12" t="n">
        <x:v>15</x:v>
      </x:c>
      <x:c r="N575" s="14" t="n">
        <x:v>0.7736192718973759</x:v>
      </x:c>
      <x:c r="O575" s="14" t="n">
        <x:v>0.2263807281026241</x:v>
      </x:c>
      <x:c r="P575" s="14" t="n">
        <x:v>0.24493286331756686</x:v>
      </x:c>
      <x:c r="Q575" s="14" t="n">
        <x:v>0.3094571709795672</x:v>
      </x:c>
      <x:c r="R575" s="14" t="n">
        <x:v>0.15848070009443668</x:v>
      </x:c>
      <x:c r="S575" s="14" t="n">
        <x:v>0.5526944233549365</x:v>
      </x:c>
      <x:c r="T575" t="str">
        <x:v>여성소비·고매출밀도</x:v>
      </x:c>
      <x:c r="U575" s="16" t="n">
        <x:v>62.62444230770348</x:v>
      </x:c>
      <x:c r="V575" t="str">
        <x:v>일반의원</x:v>
      </x:c>
      <x:c r="W575" t="str">
        <x:v>일반의원 / 일반의류 / 반찬가게</x:v>
      </x:c>
      <x:c r="X575" s="16" t="n">
        <x:v>56.24268249028173</x:v>
      </x:c>
    </x:row>
    <x:row r="576">
      <x:c r="A576" t="str">
        <x:v>3110720</x:v>
      </x:c>
      <x:c r="B576" t="str">
        <x:v>대림역 2번</x:v>
      </x:c>
      <x:c r="C576" t="str">
        <x:v>골목상권</x:v>
      </x:c>
      <x:c r="D576" t="str">
        <x:v>구로구</x:v>
      </x:c>
      <x:c r="E576" t="str">
        <x:v>구로4동</x:v>
      </x:c>
      <x:c r="F576" s="12" t="n">
        <x:v>111299</x:v>
      </x:c>
      <x:c r="G576" s="12" t="n">
        <x:v>6110695406</x:v>
      </x:c>
      <x:c r="H576" s="12" t="n">
        <x:v>350471</x:v>
      </x:c>
      <x:c r="I576" s="12" t="n">
        <x:v>17435.66630619937</x:v>
      </x:c>
      <x:c r="J576" s="12" t="n">
        <x:v>54903.416975893764</x:v>
      </x:c>
      <x:c r="K576" s="12" t="n">
        <x:v>165</x:v>
      </x:c>
      <x:c r="L576" s="12" t="n">
        <x:v>14.824931041608641</x:v>
      </x:c>
      <x:c r="M576" s="12" t="n">
        <x:v>14</x:v>
      </x:c>
      <x:c r="N576" s="14" t="n">
        <x:v>0.695422115104521</x:v>
      </x:c>
      <x:c r="O576" s="14" t="n">
        <x:v>0.30457788489547893</x:v>
      </x:c>
      <x:c r="P576" s="14" t="n">
        <x:v>0.41633987720971344</x:v>
      </x:c>
      <x:c r="Q576" s="14" t="n">
        <x:v>0.21722580210701473</x:v>
      </x:c>
      <x:c r="R576" s="14" t="n">
        <x:v>0.18138783401176778</x:v>
      </x:c>
      <x:c r="S576" s="14" t="n">
        <x:v>0.33800380787626516</x:v>
      </x:c>
      <x:c r="T576" t="str">
        <x:v>야간활성</x:v>
      </x:c>
      <x:c r="U576" s="16" t="n">
        <x:v>59.891412665702944</x:v>
      </x:c>
      <x:c r="V576" t="str">
        <x:v>운동/경기용품</x:v>
      </x:c>
      <x:c r="W576" t="str">
        <x:v>운동/경기용품 / 의약품 / 노래방</x:v>
      </x:c>
      <x:c r="X576" s="16" t="n">
        <x:v>54.51812847409881</x:v>
      </x:c>
    </x:row>
    <x:row r="577">
      <x:c r="A577" t="str">
        <x:v>3110615</x:v>
      </x:c>
      <x:c r="B577" t="str">
        <x:v>신서초등학교</x:v>
      </x:c>
      <x:c r="C577" t="str">
        <x:v>골목상권</x:v>
      </x:c>
      <x:c r="D577" t="str">
        <x:v>양천구</x:v>
      </x:c>
      <x:c r="E577" t="str">
        <x:v>신정1동</x:v>
      </x:c>
      <x:c r="F577" s="12" t="n">
        <x:v>31057</x:v>
      </x:c>
      <x:c r="G577" s="12" t="n">
        <x:v>6055154306</x:v>
      </x:c>
      <x:c r="H577" s="12" t="n">
        <x:v>220933</x:v>
      </x:c>
      <x:c r="I577" s="12" t="n">
        <x:v>27407.197231739938</x:v>
      </x:c>
      <x:c r="J577" s="12" t="n">
        <x:v>194969.06674823712</x:v>
      </x:c>
      <x:c r="K577" s="12" t="n">
        <x:v>1608</x:v>
      </x:c>
      <x:c r="L577" s="12" t="n">
        <x:v>517.7576713784332</x:v>
      </x:c>
      <x:c r="M577" s="12" t="n">
        <x:v>12</x:v>
      </x:c>
      <x:c r="N577" s="14" t="n">
        <x:v>0.8032107852612006</x:v>
      </x:c>
      <x:c r="O577" s="14" t="n">
        <x:v>0.19678921473879943</x:v>
      </x:c>
      <x:c r="P577" s="14" t="n">
        <x:v>0.4062844559654398</x:v>
      </x:c>
      <x:c r="Q577" s="14" t="n">
        <x:v>0.23618638860827737</x:v>
      </x:c>
      <x:c r="R577" s="14" t="n">
        <x:v>0.15423038700675518</x:v>
      </x:c>
      <x:c r="S577" s="14" t="n">
        <x:v>0.38930794375696626</x:v>
      </x:c>
      <x:c r="T577" t="str">
        <x:v>직장밀집·고매출밀도</x:v>
      </x:c>
      <x:c r="U577" s="16" t="n">
        <x:v>67.85332430857973</x:v>
      </x:c>
      <x:c r="V577" t="str">
        <x:v>커피-음료</x:v>
      </x:c>
      <x:c r="W577" t="str">
        <x:v>커피-음료 / 예술학원 / 일식음식점</x:v>
      </x:c>
      <x:c r="X577" s="16" t="n">
        <x:v>65.93965327688245</x:v>
      </x:c>
    </x:row>
    <x:row r="578">
      <x:c r="A578" t="str">
        <x:v>3110749</x:v>
      </x:c>
      <x:c r="B578" t="str">
        <x:v>금산초등학교(금천고등학교)</x:v>
      </x:c>
      <x:c r="C578" t="str">
        <x:v>골목상권</x:v>
      </x:c>
      <x:c r="D578" t="str">
        <x:v>금천구</x:v>
      </x:c>
      <x:c r="E578" t="str">
        <x:v>시흥3동</x:v>
      </x:c>
      <x:c r="F578" s="12" t="n">
        <x:v>145627</x:v>
      </x:c>
      <x:c r="G578" s="12" t="n">
        <x:v>6032091474</x:v>
      </x:c>
      <x:c r="H578" s="12" t="n">
        <x:v>307665</x:v>
      </x:c>
      <x:c r="I578" s="12" t="n">
        <x:v>19606.03732631271</x:v>
      </x:c>
      <x:c r="J578" s="12" t="n">
        <x:v>41421.51849588332</x:v>
      </x:c>
      <x:c r="K578" s="12" t="n">
        <x:v>774</x:v>
      </x:c>
      <x:c r="L578" s="12" t="n">
        <x:v>53.14948464227101</x:v>
      </x:c>
      <x:c r="M578" s="12" t="n">
        <x:v>18</x:v>
      </x:c>
      <x:c r="N578" s="14" t="n">
        <x:v>0.7942963430928899</x:v>
      </x:c>
      <x:c r="O578" s="14" t="n">
        <x:v>0.2057036569071101</x:v>
      </x:c>
      <x:c r="P578" s="14" t="n">
        <x:v>0.32219686577650863</x:v>
      </x:c>
      <x:c r="Q578" s="14" t="n">
        <x:v>0.2270912571376566</x:v>
      </x:c>
      <x:c r="R578" s="14" t="n">
        <x:v>0.14850492318644834</x:v>
      </x:c>
      <x:c r="S578" s="14" t="n">
        <x:v>0.42335397448914747</x:v>
      </x:c>
      <x:c r="T578" t="str">
        <x:v>평일집중</x:v>
      </x:c>
      <x:c r="U578" s="16" t="n">
        <x:v>77.35390864870459</x:v>
      </x:c>
      <x:c r="V578" t="str">
        <x:v>육류판매</x:v>
      </x:c>
      <x:c r="W578" t="str">
        <x:v>육류판매 / 슈퍼마켓 / 미용실</x:v>
      </x:c>
      <x:c r="X578" s="16" t="n">
        <x:v>67.66991077490732</x:v>
      </x:c>
    </x:row>
    <x:row r="579">
      <x:c r="A579" t="str">
        <x:v>3110732</x:v>
      </x:c>
      <x:c r="B579" t="str">
        <x:v>가산초등학교(세일중학교)</x:v>
      </x:c>
      <x:c r="C579" t="str">
        <x:v>골목상권</x:v>
      </x:c>
      <x:c r="D579" t="str">
        <x:v>금천구</x:v>
      </x:c>
      <x:c r="E579" t="str">
        <x:v>독산1동</x:v>
      </x:c>
      <x:c r="F579" s="12" t="n">
        <x:v>134081</x:v>
      </x:c>
      <x:c r="G579" s="12" t="n">
        <x:v>6020733689</x:v>
      </x:c>
      <x:c r="H579" s="12" t="n">
        <x:v>219860</x:v>
      </x:c>
      <x:c r="I579" s="12" t="n">
        <x:v>27384.39774856727</x:v>
      </x:c>
      <x:c r="J579" s="12" t="n">
        <x:v>44903.70514092228</x:v>
      </x:c>
      <x:c r="K579" s="12" t="n">
        <x:v>634</x:v>
      </x:c>
      <x:c r="L579" s="12" t="n">
        <x:v>47.28485020248954</x:v>
      </x:c>
      <x:c r="M579" s="12" t="n">
        <x:v>16</x:v>
      </x:c>
      <x:c r="N579" s="14" t="n">
        <x:v>0.7456050557761184</x:v>
      </x:c>
      <x:c r="O579" s="14" t="n">
        <x:v>0.2543949442238816</x:v>
      </x:c>
      <x:c r="P579" s="14" t="n">
        <x:v>0.38137377412907525</x:v>
      </x:c>
      <x:c r="Q579" s="14" t="n">
        <x:v>0.2900444432861212</x:v>
      </x:c>
      <x:c r="R579" s="14" t="n">
        <x:v>0.2498818367848922</x:v>
      </x:c>
      <x:c r="S579" s="14" t="n">
        <x:v>0.4198540011192314</x:v>
      </x:c>
      <x:c r="T579" t="str">
        <x:v>2030소비</x:v>
      </x:c>
      <x:c r="U579" s="16" t="n">
        <x:v>61.16567188166965</x:v>
      </x:c>
      <x:c r="V579" t="str">
        <x:v>자동차수리</x:v>
      </x:c>
      <x:c r="W579" t="str">
        <x:v>자동차수리 / 한식음식점 / 가구</x:v>
      </x:c>
      <x:c r="X579" s="16" t="n">
        <x:v>56.64412688977601</x:v>
      </x:c>
    </x:row>
    <x:row r="580">
      <x:c r="A580" t="str">
        <x:v>3130209</x:v>
      </x:c>
      <x:c r="B580" t="str">
        <x:v>목사랑시장(목4동시장)</x:v>
      </x:c>
      <x:c r="C580" t="str">
        <x:v>전통시장</x:v>
      </x:c>
      <x:c r="D580" t="str">
        <x:v>양천구</x:v>
      </x:c>
      <x:c r="E580" t="str">
        <x:v>목4동</x:v>
      </x:c>
      <x:c r="F580" s="12" t="n">
        <x:v>35003</x:v>
      </x:c>
      <x:c r="G580" s="12" t="n">
        <x:v>6019632558</x:v>
      </x:c>
      <x:c r="H580" s="12" t="n">
        <x:v>364881</x:v>
      </x:c>
      <x:c r="I580" s="12" t="n">
        <x:v>16497.522638887745</x:v>
      </x:c>
      <x:c r="J580" s="12" t="n">
        <x:v>171974.760963346</x:v>
      </x:c>
      <x:c r="K580" s="12" t="n">
        <x:v>220</x:v>
      </x:c>
      <x:c r="L580" s="12" t="n">
        <x:v>62.85175556380882</x:v>
      </x:c>
      <x:c r="M580" s="12" t="n">
        <x:v>13</x:v>
      </x:c>
      <x:c r="N580" s="14" t="n">
        <x:v>0.6470432330331615</x:v>
      </x:c>
      <x:c r="O580" s="14" t="n">
        <x:v>0.35295676696683853</x:v>
      </x:c>
      <x:c r="P580" s="14" t="n">
        <x:v>0.34909631821417897</x:v>
      </x:c>
      <x:c r="Q580" s="14" t="n">
        <x:v>0.2462194676700398</x:v>
      </x:c>
      <x:c r="R580" s="14" t="n">
        <x:v>0.09773282028952705</x:v>
      </x:c>
      <x:c r="S580" s="14" t="n">
        <x:v>0.5520978568007805</x:v>
      </x:c>
      <x:c r="T580" t="str">
        <x:v>여성소비·고매출밀도</x:v>
      </x:c>
      <x:c r="U580" s="16" t="n">
        <x:v>73.27883025969211</x:v>
      </x:c>
      <x:c r="V580" t="str">
        <x:v>청과상</x:v>
      </x:c>
      <x:c r="W580" t="str">
        <x:v>청과상 / 육류판매 / 반찬가게</x:v>
      </x:c>
      <x:c r="X580" s="16" t="n">
        <x:v>61.01098872478148</x:v>
      </x:c>
    </x:row>
    <x:row r="581">
      <x:c r="A581" t="str">
        <x:v>3110002</x:v>
      </x:c>
      <x:c r="B581" t="str">
        <x:v>독립문역 1번</x:v>
      </x:c>
      <x:c r="C581" t="str">
        <x:v>골목상권</x:v>
      </x:c>
      <x:c r="D581" t="str">
        <x:v>종로구</x:v>
      </x:c>
      <x:c r="E581" t="str">
        <x:v>무악동</x:v>
      </x:c>
      <x:c r="F581" s="12" t="n">
        <x:v>31531</x:v>
      </x:c>
      <x:c r="G581" s="12" t="n">
        <x:v>5982335495</x:v>
      </x:c>
      <x:c r="H581" s="12" t="n">
        <x:v>220973</x:v>
      </x:c>
      <x:c r="I581" s="12" t="n">
        <x:v>27072.698904391033</x:v>
      </x:c>
      <x:c r="J581" s="12" t="n">
        <x:v>189728.6954108655</x:v>
      </x:c>
      <x:c r="K581" s="12" t="n">
        <x:v>460</x:v>
      </x:c>
      <x:c r="L581" s="12" t="n">
        <x:v>145.88817354349686</x:v>
      </x:c>
      <x:c r="M581" s="12" t="n">
        <x:v>7</x:v>
      </x:c>
      <x:c r="N581" s="14" t="n">
        <x:v>0.9232755047951385</x:v>
      </x:c>
      <x:c r="O581" s="14" t="n">
        <x:v>0.07672449520486146</x:v>
      </x:c>
      <x:c r="P581" s="14" t="n">
        <x:v>0.12349380348485454</x:v>
      </x:c>
      <x:c r="Q581" s="14" t="n">
        <x:v>0.32093087918667457</x:v>
      </x:c>
      <x:c r="R581" s="14" t="n">
        <x:v>0.08493539060533749</x:v>
      </x:c>
      <x:c r="S581" s="14" t="n">
        <x:v>0.5117396584592586</x:v>
      </x:c>
      <x:c r="T581" t="str">
        <x:v>평일집중·고매출밀도</x:v>
      </x:c>
      <x:c r="U581" s="16" t="n">
        <x:v>77.62101572511119</x:v>
      </x:c>
      <x:c r="V581" t="str">
        <x:v>의약품</x:v>
      </x:c>
      <x:c r="W581" t="str">
        <x:v>의약품 / 제과점 / 일반교습학원</x:v>
      </x:c>
      <x:c r="X581" s="16" t="n">
        <x:v>62.1849802863346</x:v>
      </x:c>
    </x:row>
    <x:row r="582">
      <x:c r="A582" t="str">
        <x:v>3110473</x:v>
      </x:c>
      <x:c r="B582" t="str">
        <x:v>구산역 1번</x:v>
      </x:c>
      <x:c r="C582" t="str">
        <x:v>골목상권</x:v>
      </x:c>
      <x:c r="D582" t="str">
        <x:v>은평구</x:v>
      </x:c>
      <x:c r="E582" t="str">
        <x:v>대조동</x:v>
      </x:c>
      <x:c r="F582" s="12" t="n">
        <x:v>185580</x:v>
      </x:c>
      <x:c r="G582" s="12" t="n">
        <x:v>5976698160</x:v>
      </x:c>
      <x:c r="H582" s="12" t="n">
        <x:v>186383</x:v>
      </x:c>
      <x:c r="I582" s="12" t="n">
        <x:v>32066.755873658007</x:v>
      </x:c>
      <x:c r="J582" s="12" t="n">
        <x:v>32205.50792111219</x:v>
      </x:c>
      <x:c r="K582" s="12" t="n">
        <x:v>265</x:v>
      </x:c>
      <x:c r="L582" s="12" t="n">
        <x:v>14.279555986636492</x:v>
      </x:c>
      <x:c r="M582" s="12" t="n">
        <x:v>21</x:v>
      </x:c>
      <x:c r="N582" s="14" t="n">
        <x:v>0.747241492282421</x:v>
      </x:c>
      <x:c r="O582" s="14" t="n">
        <x:v>0.25275850771757896</x:v>
      </x:c>
      <x:c r="P582" s="14" t="n">
        <x:v>0.3341234110440672</x:v>
      </x:c>
      <x:c r="Q582" s="14" t="n">
        <x:v>0.2700974805460144</x:v>
      </x:c>
      <x:c r="R582" s="14" t="n">
        <x:v>0.19535237429490668</x:v>
      </x:c>
      <x:c r="S582" s="14" t="n">
        <x:v>0.46441917806336064</x:v>
      </x:c>
      <x:c r="T582" t="str">
        <x:v>여성소비</x:v>
      </x:c>
      <x:c r="U582" s="16" t="n">
        <x:v>72.92036914765433</x:v>
      </x:c>
      <x:c r="V582" t="str">
        <x:v>일반교습학원</x:v>
      </x:c>
      <x:c r="W582" t="str">
        <x:v>일반교습학원 / 자동차수리 / 예술학원</x:v>
      </x:c>
      <x:c r="X582" s="16" t="n">
        <x:v>62.45010483534746</x:v>
      </x:c>
    </x:row>
    <x:row r="583">
      <x:c r="A583" t="str">
        <x:v>3110403</x:v>
      </x:c>
      <x:c r="B583" t="str">
        <x:v>방학1동주민센터</x:v>
      </x:c>
      <x:c r="C583" t="str">
        <x:v>골목상권</x:v>
      </x:c>
      <x:c r="D583" t="str">
        <x:v>도봉구</x:v>
      </x:c>
      <x:c r="E583" t="str">
        <x:v>방학1동</x:v>
      </x:c>
      <x:c r="F583" s="12" t="n">
        <x:v>153054</x:v>
      </x:c>
      <x:c r="G583" s="12" t="n">
        <x:v>5959398775</x:v>
      </x:c>
      <x:c r="H583" s="12" t="n">
        <x:v>341866</x:v>
      </x:c>
      <x:c r="I583" s="12" t="n">
        <x:v>17431.972688129266</x:v>
      </x:c>
      <x:c r="J583" s="12" t="n">
        <x:v>38936.57646974271</x:v>
      </x:c>
      <x:c r="K583" s="12" t="n">
        <x:v>1436</x:v>
      </x:c>
      <x:c r="L583" s="12" t="n">
        <x:v>93.82309511675616</x:v>
      </x:c>
      <x:c r="M583" s="12" t="n">
        <x:v>21</x:v>
      </x:c>
      <x:c r="N583" s="14" t="n">
        <x:v>0.7241236820907324</x:v>
      </x:c>
      <x:c r="O583" s="14" t="n">
        <x:v>0.27587631790926764</x:v>
      </x:c>
      <x:c r="P583" s="14" t="n">
        <x:v>0.48542927218358534</x:v>
      </x:c>
      <x:c r="Q583" s="14" t="n">
        <x:v>0.17945094268339176</x:v>
      </x:c>
      <x:c r="R583" s="14" t="n">
        <x:v>0.17090663848049</x:v>
      </x:c>
      <x:c r="S583" s="14" t="n">
        <x:v>0.39125324567661607</x:v>
      </x:c>
      <x:c r="T583" t="str">
        <x:v>야간활성·직장밀집</x:v>
      </x:c>
      <x:c r="U583" s="16" t="n">
        <x:v>61.12973570737207</x:v>
      </x:c>
      <x:c r="V583" t="str">
        <x:v>철물점</x:v>
      </x:c>
      <x:c r="W583" t="str">
        <x:v>철물점 / 피부관리실 / 일반의류</x:v>
      </x:c>
      <x:c r="X583" s="16" t="n">
        <x:v>59.37033993089284</x:v>
      </x:c>
    </x:row>
    <x:row r="584">
      <x:c r="A584" t="str">
        <x:v>3110188</x:v>
      </x:c>
      <x:c r="B584" t="str">
        <x:v>용두동신동아아파트</x:v>
      </x:c>
      <x:c r="C584" t="str">
        <x:v>골목상권</x:v>
      </x:c>
      <x:c r="D584" t="str">
        <x:v>동대문구</x:v>
      </x:c>
      <x:c r="E584" t="str">
        <x:v>용신동</x:v>
      </x:c>
      <x:c r="F584" s="12" t="n">
        <x:v>152517</x:v>
      </x:c>
      <x:c r="G584" s="12" t="n">
        <x:v>5942085408</x:v>
      </x:c>
      <x:c r="H584" s="12" t="n">
        <x:v>243630</x:v>
      </x:c>
      <x:c r="I584" s="12" t="n">
        <x:v>24389.79357222017</x:v>
      </x:c>
      <x:c r="J584" s="12" t="n">
        <x:v>38960.15137984618</x:v>
      </x:c>
      <x:c r="K584" s="12" t="n">
        <x:v>2128</x:v>
      </x:c>
      <x:c r="L584" s="12" t="n">
        <x:v>139.5254299520709</x:v>
      </x:c>
      <x:c r="M584" s="12" t="n">
        <x:v>13</x:v>
      </x:c>
      <x:c r="N584" s="14" t="n">
        <x:v>0.5375389515101362</x:v>
      </x:c>
      <x:c r="O584" s="14" t="n">
        <x:v>0.4624610484898638</x:v>
      </x:c>
      <x:c r="P584" s="14" t="n">
        <x:v>0.4258354702531398</x:v>
      </x:c>
      <x:c r="Q584" s="14" t="n">
        <x:v>0.1722503590443175</x:v>
      </x:c>
      <x:c r="R584" s="14" t="n">
        <x:v>0.3203808109922071</x:v>
      </x:c>
      <x:c r="S584" s="14" t="n">
        <x:v>0.3284255767129492</x:v>
      </x:c>
      <x:c r="T584" t="str">
        <x:v>2030소비·직장밀집</x:v>
      </x:c>
      <x:c r="U584" s="16" t="n">
        <x:v>64.05277613819985</x:v>
      </x:c>
      <x:c r="V584" t="str">
        <x:v>슈퍼마켓</x:v>
      </x:c>
      <x:c r="W584" t="str">
        <x:v>슈퍼마켓 / 자동차수리 / 당구장</x:v>
      </x:c>
      <x:c r="X584" s="16" t="n">
        <x:v>60.0447960839028</x:v>
      </x:c>
    </x:row>
    <x:row r="585">
      <x:c r="A585" t="str">
        <x:v>3110503</x:v>
      </x:c>
      <x:c r="B585" t="str">
        <x:v>명지대학교교회</x:v>
      </x:c>
      <x:c r="C585" t="str">
        <x:v>골목상권</x:v>
      </x:c>
      <x:c r="D585" t="str">
        <x:v>서대문구</x:v>
      </x:c>
      <x:c r="E585" t="str">
        <x:v>남가좌2동</x:v>
      </x:c>
      <x:c r="F585" s="12" t="n">
        <x:v>154746</x:v>
      </x:c>
      <x:c r="G585" s="12" t="n">
        <x:v>5935439762</x:v>
      </x:c>
      <x:c r="H585" s="12" t="n">
        <x:v>542839</x:v>
      </x:c>
      <x:c r="I585" s="12" t="n">
        <x:v>10934.07025287424</x:v>
      </x:c>
      <x:c r="J585" s="12" t="n">
        <x:v>38356.01412637483</x:v>
      </x:c>
      <x:c r="K585" s="12" t="n">
        <x:v>1008</x:v>
      </x:c>
      <x:c r="L585" s="12" t="n">
        <x:v>65.13900197743398</x:v>
      </x:c>
      <x:c r="M585" s="12" t="n">
        <x:v>21</x:v>
      </x:c>
      <x:c r="N585" s="14" t="n">
        <x:v>0.7740867225062742</x:v>
      </x:c>
      <x:c r="O585" s="14" t="n">
        <x:v>0.22591327749372583</x:v>
      </x:c>
      <x:c r="P585" s="14" t="n">
        <x:v>0.4407078918982381</x:v>
      </x:c>
      <x:c r="Q585" s="14" t="n">
        <x:v>0.1650276399519797</x:v>
      </x:c>
      <x:c r="R585" s="14" t="n">
        <x:v>0.32131438435445786</x:v>
      </x:c>
      <x:c r="S585" s="14" t="n">
        <x:v>0.4555171826205116</x:v>
      </x:c>
      <x:c r="T585" t="str">
        <x:v>2030소비·야간활성</x:v>
      </x:c>
      <x:c r="U585" s="16" t="n">
        <x:v>72.08694450373568</x:v>
      </x:c>
      <x:c r="V585" t="str">
        <x:v>반찬가게</x:v>
      </x:c>
      <x:c r="W585" t="str">
        <x:v>반찬가게 / 일반교습학원 / 당구장</x:v>
      </x:c>
      <x:c r="X585" s="16" t="n">
        <x:v>62.26589073470733</x:v>
      </x:c>
    </x:row>
    <x:row r="586">
      <x:c r="A586" t="str">
        <x:v>3110390</x:v>
      </x:c>
      <x:c r="B586" t="str">
        <x:v>방학초등학교</x:v>
      </x:c>
      <x:c r="C586" t="str">
        <x:v>골목상권</x:v>
      </x:c>
      <x:c r="D586" t="str">
        <x:v>도봉구</x:v>
      </x:c>
      <x:c r="E586" t="str">
        <x:v>방학2동</x:v>
      </x:c>
      <x:c r="F586" s="12" t="n">
        <x:v>61821</x:v>
      </x:c>
      <x:c r="G586" s="12" t="n">
        <x:v>5920001903</x:v>
      </x:c>
      <x:c r="H586" s="12" t="n">
        <x:v>298475</x:v>
      </x:c>
      <x:c r="I586" s="12" t="n">
        <x:v>19834.16334031326</x:v>
      </x:c>
      <x:c r="J586" s="12" t="n">
        <x:v>95760.37111984601</x:v>
      </x:c>
      <x:c r="K586" s="12" t="n">
        <x:v>573</x:v>
      </x:c>
      <x:c r="L586" s="12" t="n">
        <x:v>92.6869510360557</x:v>
      </x:c>
      <x:c r="M586" s="12" t="n">
        <x:v>16</x:v>
      </x:c>
      <x:c r="N586" s="14" t="n">
        <x:v>0.7361158216506066</x:v>
      </x:c>
      <x:c r="O586" s="14" t="n">
        <x:v>0.2638841783493934</x:v>
      </x:c>
      <x:c r="P586" s="14" t="n">
        <x:v>0.42466994085356463</x:v>
      </x:c>
      <x:c r="Q586" s="14" t="n">
        <x:v>0.2254428952672585</x:v>
      </x:c>
      <x:c r="R586" s="14" t="n">
        <x:v>0.10610433143301644</x:v>
      </x:c>
      <x:c r="S586" s="14" t="n">
        <x:v>0.4497570066068271</x:v>
      </x:c>
      <x:c r="T586" t="str">
        <x:v>고매출밀도·야간활성</x:v>
      </x:c>
      <x:c r="U586" s="16" t="n">
        <x:v>72.7773197954351</x:v>
      </x:c>
      <x:c r="V586" t="str">
        <x:v>미용실</x:v>
      </x:c>
      <x:c r="W586" t="str">
        <x:v>미용실 / 일반교습학원 / 당구장</x:v>
      </x:c>
      <x:c r="X586" s="16" t="n">
        <x:v>69.04991050562003</x:v>
      </x:c>
    </x:row>
    <x:row r="587">
      <x:c r="A587" t="str">
        <x:v>3110045</x:v>
      </x:c>
      <x:c r="B587" t="str">
        <x:v>동대문역사문화공원역 5번</x:v>
      </x:c>
      <x:c r="C587" t="str">
        <x:v>골목상권</x:v>
      </x:c>
      <x:c r="D587" t="str">
        <x:v>중구</x:v>
      </x:c>
      <x:c r="E587" t="str">
        <x:v>장충동</x:v>
      </x:c>
      <x:c r="F587" s="12" t="n">
        <x:v>44820</x:v>
      </x:c>
      <x:c r="G587" s="12" t="n">
        <x:v>5919833618</x:v>
      </x:c>
      <x:c r="H587" s="12" t="n">
        <x:v>195376</x:v>
      </x:c>
      <x:c r="I587" s="12" t="n">
        <x:v>30299.69708664319</x:v>
      </x:c>
      <x:c r="J587" s="12" t="n">
        <x:v>132080.17889335117</x:v>
      </x:c>
      <x:c r="K587" s="12" t="n">
        <x:v>1216</x:v>
      </x:c>
      <x:c r="L587" s="12" t="n">
        <x:v>271.3074520303436</x:v>
      </x:c>
      <x:c r="M587" s="12" t="n">
        <x:v>10</x:v>
      </x:c>
      <x:c r="N587" s="14" t="n">
        <x:v>0.8694117652818127</x:v>
      </x:c>
      <x:c r="O587" s="14" t="n">
        <x:v>0.1305882347181873</x:v>
      </x:c>
      <x:c r="P587" s="14" t="n">
        <x:v>0.30130651384803836</x:v>
      </x:c>
      <x:c r="Q587" s="14" t="n">
        <x:v>0.26115836521133795</x:v>
      </x:c>
      <x:c r="R587" s="14" t="n">
        <x:v>0.24128069185203915</x:v>
      </x:c>
      <x:c r="S587" s="14" t="n">
        <x:v>0.5138596682431287</x:v>
      </x:c>
      <x:c r="T587" t="str">
        <x:v>평일집중·직장밀집</x:v>
      </x:c>
      <x:c r="U587" s="16" t="n">
        <x:v>75.43412275872721</x:v>
      </x:c>
      <x:c r="V587" t="str">
        <x:v>한식음식점</x:v>
      </x:c>
      <x:c r="W587" t="str">
        <x:v>한식음식점 / 반찬가게 / 일식음식점</x:v>
      </x:c>
      <x:c r="X587" s="16" t="n">
        <x:v>64.71432055532482</x:v>
      </x:c>
    </x:row>
    <x:row r="588">
      <x:c r="A588" t="str">
        <x:v>3110873</x:v>
      </x:c>
      <x:c r="B588" t="str">
        <x:v>당곡중학교</x:v>
      </x:c>
      <x:c r="C588" t="str">
        <x:v>골목상권</x:v>
      </x:c>
      <x:c r="D588" t="str">
        <x:v>관악구</x:v>
      </x:c>
      <x:c r="E588" t="str">
        <x:v>보라매동</x:v>
      </x:c>
      <x:c r="F588" s="12" t="n">
        <x:v>132683</x:v>
      </x:c>
      <x:c r="G588" s="12" t="n">
        <x:v>5913366080</x:v>
      </x:c>
      <x:c r="H588" s="12" t="n">
        <x:v>338598</x:v>
      </x:c>
      <x:c r="I588" s="12" t="n">
        <x:v>17464.267597564074</x:v>
      </x:c>
      <x:c r="J588" s="12" t="n">
        <x:v>44567.62418697195</x:v>
      </x:c>
      <x:c r="K588" s="12" t="n">
        <x:v>281</x:v>
      </x:c>
      <x:c r="L588" s="12" t="n">
        <x:v>21.178297144321427</x:v>
      </x:c>
      <x:c r="M588" s="12" t="n">
        <x:v>27</x:v>
      </x:c>
      <x:c r="N588" s="14" t="n">
        <x:v>0.7875745022368038</x:v>
      </x:c>
      <x:c r="O588" s="14" t="n">
        <x:v>0.21242549776319616</x:v>
      </x:c>
      <x:c r="P588" s="14" t="n">
        <x:v>0.36373776761001747</x:v>
      </x:c>
      <x:c r="Q588" s="14" t="n">
        <x:v>0.24407326106216648</x:v>
      </x:c>
      <x:c r="R588" s="14" t="n">
        <x:v>0.26167361703403963</x:v>
      </x:c>
      <x:c r="S588" s="14" t="n">
        <x:v>0.5020466233336935</x:v>
      </x:c>
      <x:c r="T588" t="str">
        <x:v>여성소비·평일집중</x:v>
      </x:c>
      <x:c r="U588" s="16" t="n">
        <x:v>68.04127369379748</x:v>
      </x:c>
      <x:c r="V588" t="str">
        <x:v>일반교습학원</x:v>
      </x:c>
      <x:c r="W588" t="str">
        <x:v>일반교습학원 / 일반의원 / 의약품</x:v>
      </x:c>
      <x:c r="X588" s="16" t="n">
        <x:v>61.878539899223675</x:v>
      </x:c>
    </x:row>
    <x:row r="589">
      <x:c r="A589" t="str">
        <x:v>3130227</x:v>
      </x:c>
      <x:c r="B589" t="str">
        <x:v>고척골목시장상점가(그라운드 고척)</x:v>
      </x:c>
      <x:c r="C589" t="str">
        <x:v>전통시장</x:v>
      </x:c>
      <x:c r="D589" t="str">
        <x:v>구로구</x:v>
      </x:c>
      <x:c r="E589" t="str">
        <x:v>고척1동</x:v>
      </x:c>
      <x:c r="F589" s="12" t="n">
        <x:v>17693</x:v>
      </x:c>
      <x:c r="G589" s="12" t="n">
        <x:v>5912486151</x:v>
      </x:c>
      <x:c r="H589" s="12" t="n">
        <x:v>365000</x:v>
      </x:c>
      <x:c r="I589" s="12" t="n">
        <x:v>16198.592194520548</x:v>
      </x:c>
      <x:c r="J589" s="12" t="n">
        <x:v>334170.9235855988</x:v>
      </x:c>
      <x:c r="K589" s="12" t="n">
        <x:v>365</x:v>
      </x:c>
      <x:c r="L589" s="12" t="n">
        <x:v>206.29627536313797</x:v>
      </x:c>
      <x:c r="M589" s="12" t="n">
        <x:v>14</x:v>
      </x:c>
      <x:c r="N589" s="14" t="n">
        <x:v>0.770783688724449</x:v>
      </x:c>
      <x:c r="O589" s="14" t="n">
        <x:v>0.22921631127555092</x:v>
      </x:c>
      <x:c r="P589" s="14" t="n">
        <x:v>0.23983006890598296</x:v>
      </x:c>
      <x:c r="Q589" s="14" t="n">
        <x:v>0.290342246756833</x:v>
      </x:c>
      <x:c r="R589" s="14" t="n">
        <x:v>0.11944745813578819</x:v>
      </x:c>
      <x:c r="S589" s="14" t="n">
        <x:v>0.49885432585768436</x:v>
      </x:c>
      <x:c r="T589" t="str">
        <x:v>고매출밀도·직장밀집</x:v>
      </x:c>
      <x:c r="U589" s="16" t="n">
        <x:v>66.4382644152862</x:v>
      </x:c>
      <x:c r="V589" t="str">
        <x:v>수산물판매</x:v>
      </x:c>
      <x:c r="W589" t="str">
        <x:v>수산물판매 / 청과상 / 반찬가게</x:v>
      </x:c>
      <x:c r="X589" s="16" t="n">
        <x:v>64.05335260171225</x:v>
      </x:c>
    </x:row>
    <x:row r="590">
      <x:c r="A590" t="str">
        <x:v>3120089</x:v>
      </x:c>
      <x:c r="B590" t="str">
        <x:v>구파발역</x:v>
      </x:c>
      <x:c r="C590" t="str">
        <x:v>발달상권</x:v>
      </x:c>
      <x:c r="D590" t="str">
        <x:v>은평구</x:v>
      </x:c>
      <x:c r="E590" t="str">
        <x:v>진관동</x:v>
      </x:c>
      <x:c r="F590" s="12" t="n">
        <x:v>130434</x:v>
      </x:c>
      <x:c r="G590" s="12" t="n">
        <x:v>5901637233</x:v>
      </x:c>
      <x:c r="H590" s="12" t="n">
        <x:v>190043</x:v>
      </x:c>
      <x:c r="I590" s="12" t="n">
        <x:v>31054.220534300133</x:v>
      </x:c>
      <x:c r="J590" s="12" t="n">
        <x:v>45246.15692994158</x:v>
      </x:c>
      <x:c r="K590" s="12" t="n">
        <x:v>1107</x:v>
      </x:c>
      <x:c r="L590" s="12" t="n">
        <x:v>84.87050922305534</x:v>
      </x:c>
      <x:c r="M590" s="12" t="n">
        <x:v>14</x:v>
      </x:c>
      <x:c r="N590" s="14" t="n">
        <x:v>0.7692822787571023</x:v>
      </x:c>
      <x:c r="O590" s="14" t="n">
        <x:v>0.2307177212428977</x:v>
      </x:c>
      <x:c r="P590" s="14" t="n">
        <x:v>0.5084810555993048</x:v>
      </x:c>
      <x:c r="Q590" s="14" t="n">
        <x:v>0.19026522330468698</x:v>
      </x:c>
      <x:c r="R590" s="14" t="n">
        <x:v>0.21105092533226533</x:v>
      </x:c>
      <x:c r="S590" s="14" t="n">
        <x:v>0.5031977825398134</x:v>
      </x:c>
      <x:c r="T590" t="str">
        <x:v>야간활성·여성소비</x:v>
      </x:c>
      <x:c r="U590" s="16" t="n">
        <x:v>62.874630566160405</x:v>
      </x:c>
      <x:c r="V590" t="str">
        <x:v>미용실</x:v>
      </x:c>
      <x:c r="W590" t="str">
        <x:v>미용실 / 일반교습학원 / 중식음식점</x:v>
      </x:c>
      <x:c r="X590" s="16" t="n">
        <x:v>58.16340884958005</x:v>
      </x:c>
    </x:row>
    <x:row r="591">
      <x:c r="A591" t="str">
        <x:v>3110331</x:v>
      </x:c>
      <x:c r="B591" t="str">
        <x:v>돌곶이역 8번</x:v>
      </x:c>
      <x:c r="C591" t="str">
        <x:v>골목상권</x:v>
      </x:c>
      <x:c r="D591" t="str">
        <x:v>성북구</x:v>
      </x:c>
      <x:c r="E591" t="str">
        <x:v>석관동</x:v>
      </x:c>
      <x:c r="F591" s="12" t="n">
        <x:v>105931</x:v>
      </x:c>
      <x:c r="G591" s="12" t="n">
        <x:v>5854626791</x:v>
      </x:c>
      <x:c r="H591" s="12" t="n">
        <x:v>288279</x:v>
      </x:c>
      <x:c r="I591" s="12" t="n">
        <x:v>20308.891008363425</x:v>
      </x:c>
      <x:c r="J591" s="12" t="n">
        <x:v>55268.30475498202</x:v>
      </x:c>
      <x:c r="K591" s="12" t="n">
        <x:v>289</x:v>
      </x:c>
      <x:c r="L591" s="12" t="n">
        <x:v>27.28190992249672</x:v>
      </x:c>
      <x:c r="M591" s="12" t="n">
        <x:v>16</x:v>
      </x:c>
      <x:c r="N591" s="14" t="n">
        <x:v>0.8022255885242814</x:v>
      </x:c>
      <x:c r="O591" s="14" t="n">
        <x:v>0.19777441147571861</x:v>
      </x:c>
      <x:c r="P591" s="14" t="n">
        <x:v>0.28428306729278585</x:v>
      </x:c>
      <x:c r="Q591" s="14" t="n">
        <x:v>0.35910812747824905</x:v>
      </x:c>
      <x:c r="R591" s="14" t="n">
        <x:v>0.2095682122532753</x:v>
      </x:c>
      <x:c r="S591" s="14" t="n">
        <x:v>0.47363056997291014</x:v>
      </x:c>
      <x:c r="T591" t="str">
        <x:v>평일집중·여성소비</x:v>
      </x:c>
      <x:c r="U591" s="16" t="n">
        <x:v>73.8321303662443</x:v>
      </x:c>
      <x:c r="V591" t="str">
        <x:v>핸드폰</x:v>
      </x:c>
      <x:c r="W591" t="str">
        <x:v>핸드폰 / 의약품 / 당구장</x:v>
      </x:c>
      <x:c r="X591" s="16" t="n">
        <x:v>65.27928232480608</x:v>
      </x:c>
    </x:row>
    <x:row r="592">
      <x:c r="A592" t="str">
        <x:v>3110477</x:v>
      </x:c>
      <x:c r="B592" t="str">
        <x:v>은평세무서</x:v>
      </x:c>
      <x:c r="C592" t="str">
        <x:v>골목상권</x:v>
      </x:c>
      <x:c r="D592" t="str">
        <x:v>은평구</x:v>
      </x:c>
      <x:c r="E592" t="str">
        <x:v>녹번동</x:v>
      </x:c>
      <x:c r="F592" s="12" t="n">
        <x:v>101732</x:v>
      </x:c>
      <x:c r="G592" s="12" t="n">
        <x:v>5824161137</x:v>
      </x:c>
      <x:c r="H592" s="12" t="n">
        <x:v>77421</x:v>
      </x:c>
      <x:c r="I592" s="12" t="n">
        <x:v>75227.14944265768</x:v>
      </x:c>
      <x:c r="J592" s="12" t="n">
        <x:v>57250.04066567059</x:v>
      </x:c>
      <x:c r="K592" s="12" t="n">
        <x:v>847</x:v>
      </x:c>
      <x:c r="L592" s="12" t="n">
        <x:v>83.25797192623756</x:v>
      </x:c>
      <x:c r="M592" s="12" t="n">
        <x:v>8</x:v>
      </x:c>
      <x:c r="N592" s="14" t="n">
        <x:v>0.8255374051131786</x:v>
      </x:c>
      <x:c r="O592" s="14" t="n">
        <x:v>0.1744625948868214</x:v>
      </x:c>
      <x:c r="P592" s="14" t="n">
        <x:v>0.3767614077604804</x:v>
      </x:c>
      <x:c r="Q592" s="14" t="n">
        <x:v>0.36241171858909715</x:v>
      </x:c>
      <x:c r="R592" s="14" t="n">
        <x:v>0.10411152846508202</x:v>
      </x:c>
      <x:c r="S592" s="14" t="n">
        <x:v>0.20065634578269395</x:v>
      </x:c>
      <x:c r="T592" t="str">
        <x:v>평일집중</x:v>
      </x:c>
      <x:c r="U592" s="16" t="n">
        <x:v>66.80392533708167</x:v>
      </x:c>
      <x:c r="V592" t="str">
        <x:v>의약품</x:v>
      </x:c>
      <x:c r="W592" t="str">
        <x:v>의약품 / 한식음식점 / 미용실</x:v>
      </x:c>
      <x:c r="X592" s="16" t="n">
        <x:v>58.348054535055965</x:v>
      </x:c>
    </x:row>
    <x:row r="593">
      <x:c r="A593" t="str">
        <x:v>3110640</x:v>
      </x:c>
      <x:c r="B593" t="str">
        <x:v>방화역 1번</x:v>
      </x:c>
      <x:c r="C593" t="str">
        <x:v>골목상권</x:v>
      </x:c>
      <x:c r="D593" t="str">
        <x:v>강서구</x:v>
      </x:c>
      <x:c r="E593" t="str">
        <x:v>방화3동</x:v>
      </x:c>
      <x:c r="F593" s="12" t="n">
        <x:v>79681</x:v>
      </x:c>
      <x:c r="G593" s="12" t="n">
        <x:v>5816949934</x:v>
      </x:c>
      <x:c r="H593" s="12" t="n">
        <x:v>444394</x:v>
      </x:c>
      <x:c r="I593" s="12" t="n">
        <x:v>13089.623023713191</x:v>
      </x:c>
      <x:c r="J593" s="12" t="n">
        <x:v>73002.97353195869</x:v>
      </x:c>
      <x:c r="K593" s="12" t="n">
        <x:v>1776</x:v>
      </x:c>
      <x:c r="L593" s="12" t="n">
        <x:v>222.88876896625294</x:v>
      </x:c>
      <x:c r="M593" s="12" t="n">
        <x:v>13</x:v>
      </x:c>
      <x:c r="N593" s="14" t="n">
        <x:v>0.7102613558440849</x:v>
      </x:c>
      <x:c r="O593" s="14" t="n">
        <x:v>0.2897386441559151</x:v>
      </x:c>
      <x:c r="P593" s="14" t="n">
        <x:v>0.41017547324140335</x:v>
      </x:c>
      <x:c r="Q593" s="14" t="n">
        <x:v>0.29975423783662913</x:v>
      </x:c>
      <x:c r="R593" s="14" t="n">
        <x:v>0.23404942030570347</x:v>
      </x:c>
      <x:c r="S593" s="14" t="n">
        <x:v>0.38668544297634316</x:v>
      </x:c>
      <x:c r="T593" t="str">
        <x:v>직장밀집·고매출밀도</x:v>
      </x:c>
      <x:c r="U593" s="16" t="n">
        <x:v>78.72520981712556</x:v>
      </x:c>
      <x:c r="V593" t="str">
        <x:v>중식음식점</x:v>
      </x:c>
      <x:c r="W593" t="str">
        <x:v>중식음식점 / 미용실 / 커피-음료</x:v>
      </x:c>
      <x:c r="X593" s="16" t="n">
        <x:v>70.62538203204635</x:v>
      </x:c>
    </x:row>
    <x:row r="594">
      <x:c r="A594" t="str">
        <x:v>3110151</x:v>
      </x:c>
      <x:c r="B594" t="str">
        <x:v>자양한강도서관</x:v>
      </x:c>
      <x:c r="C594" t="str">
        <x:v>골목상권</x:v>
      </x:c>
      <x:c r="D594" t="str">
        <x:v>광진구</x:v>
      </x:c>
      <x:c r="E594" t="str">
        <x:v>자양2동</x:v>
      </x:c>
      <x:c r="F594" s="12" t="n">
        <x:v>107574</x:v>
      </x:c>
      <x:c r="G594" s="12" t="n">
        <x:v>5802777895</x:v>
      </x:c>
      <x:c r="H594" s="12" t="n">
        <x:v>262366</x:v>
      </x:c>
      <x:c r="I594" s="12" t="n">
        <x:v>22117.110810852017</x:v>
      </x:c>
      <x:c r="J594" s="12" t="n">
        <x:v>53942.19695279528</x:v>
      </x:c>
      <x:c r="K594" s="12" t="n">
        <x:v>720</x:v>
      </x:c>
      <x:c r="L594" s="12" t="n">
        <x:v>66.93067097997657</x:v>
      </x:c>
      <x:c r="M594" s="12" t="n">
        <x:v>21</x:v>
      </x:c>
      <x:c r="N594" s="14" t="n">
        <x:v>0.7259538705814967</x:v>
      </x:c>
      <x:c r="O594" s="14" t="n">
        <x:v>0.27404612941850326</x:v>
      </x:c>
      <x:c r="P594" s="14" t="n">
        <x:v>0.5212323221273317</x:v>
      </x:c>
      <x:c r="Q594" s="14" t="n">
        <x:v>0.18987407289004984</x:v>
      </x:c>
      <x:c r="R594" s="14" t="n">
        <x:v>0.25886678797310747</x:v>
      </x:c>
      <x:c r="S594" s="14" t="n">
        <x:v>0.3262583631938234</x:v>
      </x:c>
      <x:c r="T594" t="str">
        <x:v>야간활성·2030소비</x:v>
      </x:c>
      <x:c r="U594" s="16" t="n">
        <x:v>67.3027063515188</x:v>
      </x:c>
      <x:c r="V594" t="str">
        <x:v>한식음식점</x:v>
      </x:c>
      <x:c r="W594" t="str">
        <x:v>한식음식점 / 일반교습학원 / 조명용품</x:v>
      </x:c>
      <x:c r="X594" s="16" t="n">
        <x:v>61.79335081605734</x:v>
      </x:c>
    </x:row>
    <x:row r="595">
      <x:c r="A595" t="str">
        <x:v>3130260</x:v>
      </x:c>
      <x:c r="B595" t="str">
        <x:v>신대방1동골목상권</x:v>
      </x:c>
      <x:c r="C595" t="str">
        <x:v>전통시장</x:v>
      </x:c>
      <x:c r="D595" t="str">
        <x:v>동작구</x:v>
      </x:c>
      <x:c r="E595" t="str">
        <x:v>신대방1동</x:v>
      </x:c>
      <x:c r="F595" s="12" t="n">
        <x:v>21868</x:v>
      </x:c>
      <x:c r="G595" s="12" t="n">
        <x:v>5798226186</x:v>
      </x:c>
      <x:c r="H595" s="12" t="n">
        <x:v>306288</x:v>
      </x:c>
      <x:c r="I595" s="12" t="n">
        <x:v>18930.634520451338</x:v>
      </x:c>
      <x:c r="J595" s="12" t="n">
        <x:v>265146.6154197915</x:v>
      </x:c>
      <x:c r="K595" s="12" t="n">
        <x:v>452</x:v>
      </x:c>
      <x:c r="L595" s="12" t="n">
        <x:v>206.69471373696726</x:v>
      </x:c>
      <x:c r="M595" s="12" t="n">
        <x:v>13</x:v>
      </x:c>
      <x:c r="N595" s="14" t="n">
        <x:v>0.7992609688441705</x:v>
      </x:c>
      <x:c r="O595" s="14" t="n">
        <x:v>0.20073903115582942</x:v>
      </x:c>
      <x:c r="P595" s="14" t="n">
        <x:v>0.2856643466236796</x:v>
      </x:c>
      <x:c r="Q595" s="14" t="n">
        <x:v>0.29845418175964894</x:v>
      </x:c>
      <x:c r="R595" s="14" t="n">
        <x:v>0.19715770622405313</x:v>
      </x:c>
      <x:c r="S595" s="14" t="n">
        <x:v>0.4710987699299111</x:v>
      </x:c>
      <x:c r="T595" t="str">
        <x:v>고매출밀도·직장밀집</x:v>
      </x:c>
      <x:c r="U595" s="16" t="n">
        <x:v>63.43824169658082</x:v>
      </x:c>
      <x:c r="V595" t="str">
        <x:v>분식전문점</x:v>
      </x:c>
      <x:c r="W595" t="str">
        <x:v>분식전문점 / 일반의원 / 의약품</x:v>
      </x:c>
      <x:c r="X595" s="16" t="n">
        <x:v>59.93863518090681</x:v>
      </x:c>
    </x:row>
    <x:row r="596">
      <x:c r="A596" t="str">
        <x:v>3110754</x:v>
      </x:c>
      <x:c r="B596" t="str">
        <x:v>삼성산자연공원(서울금천초등학교)</x:v>
      </x:c>
      <x:c r="C596" t="str">
        <x:v>골목상권</x:v>
      </x:c>
      <x:c r="D596" t="str">
        <x:v>금천구</x:v>
      </x:c>
      <x:c r="E596" t="str">
        <x:v>시흥5동</x:v>
      </x:c>
      <x:c r="F596" s="12" t="n">
        <x:v>134370</x:v>
      </x:c>
      <x:c r="G596" s="12" t="n">
        <x:v>5787166459</x:v>
      </x:c>
      <x:c r="H596" s="12" t="n">
        <x:v>250379</x:v>
      </x:c>
      <x:c r="I596" s="12" t="n">
        <x:v>23113.625579621294</x:v>
      </x:c>
      <x:c r="J596" s="12" t="n">
        <x:v>43068.88783954752</x:v>
      </x:c>
      <x:c r="K596" s="12" t="n">
        <x:v>294</x:v>
      </x:c>
      <x:c r="L596" s="12" t="n">
        <x:v>21.879883902656843</x:v>
      </x:c>
      <x:c r="M596" s="12" t="n">
        <x:v>12</x:v>
      </x:c>
      <x:c r="N596" s="14" t="n">
        <x:v>0.7498207479848127</x:v>
      </x:c>
      <x:c r="O596" s="14" t="n">
        <x:v>0.25017925201518726</x:v>
      </x:c>
      <x:c r="P596" s="14" t="n">
        <x:v>0.3176584556577034</x:v>
      </x:c>
      <x:c r="Q596" s="14" t="n">
        <x:v>0.25871801849962994</x:v>
      </x:c>
      <x:c r="R596" s="14" t="n">
        <x:v>0.19319241703532966</x:v>
      </x:c>
      <x:c r="S596" s="14" t="n">
        <x:v>0.4871092706545561</x:v>
      </x:c>
      <x:c r="T596" t="str">
        <x:v>여성소비</x:v>
      </x:c>
      <x:c r="U596" s="16" t="n">
        <x:v>72.38799823360057</x:v>
      </x:c>
      <x:c r="V596" t="str">
        <x:v>일반의원</x:v>
      </x:c>
      <x:c r="W596" t="str">
        <x:v>일반의원 / 한식음식점 / 일반의류</x:v>
      </x:c>
      <x:c r="X596" s="16" t="n">
        <x:v>60.529800972425576</x:v>
      </x:c>
    </x:row>
    <x:row r="597">
      <x:c r="A597" t="str">
        <x:v>3120180</x:v>
      </x:c>
      <x:c r="B597" t="str">
        <x:v>양재화물트럭터미널앞</x:v>
      </x:c>
      <x:c r="C597" t="str">
        <x:v>발달상권</x:v>
      </x:c>
      <x:c r="D597" t="str">
        <x:v>서초구</x:v>
      </x:c>
      <x:c r="E597" t="str">
        <x:v>양재2동</x:v>
      </x:c>
      <x:c r="F597" s="12" t="n">
        <x:v>184060</x:v>
      </x:c>
      <x:c r="G597" s="12" t="n">
        <x:v>5777957038</x:v>
      </x:c>
      <x:c r="H597" s="12" t="n">
        <x:v>342075</x:v>
      </x:c>
      <x:c r="I597" s="12" t="n">
        <x:v>16890.90707593364</x:v>
      </x:c>
      <x:c r="J597" s="12" t="n">
        <x:v>31391.703998696077</x:v>
      </x:c>
      <x:c r="K597" s="12" t="n">
        <x:v>5021</x:v>
      </x:c>
      <x:c r="L597" s="12" t="n">
        <x:v>272.7914810387917</x:v>
      </x:c>
      <x:c r="M597" s="12" t="n">
        <x:v>13</x:v>
      </x:c>
      <x:c r="N597" s="14" t="n">
        <x:v>0.8391105364947852</x:v>
      </x:c>
      <x:c r="O597" s="14" t="n">
        <x:v>0.1608894635052148</x:v>
      </x:c>
      <x:c r="P597" s="14" t="n">
        <x:v>0.23201635512056917</x:v>
      </x:c>
      <x:c r="Q597" s="14" t="n">
        <x:v>0.40484637694877923</x:v>
      </x:c>
      <x:c r="R597" s="14" t="n">
        <x:v>0.2226485044003195</x:v>
      </x:c>
      <x:c r="S597" s="14" t="n">
        <x:v>0.26801943088452573</x:v>
      </x:c>
      <x:c r="T597" t="str">
        <x:v>평일집중·직장밀집</x:v>
      </x:c>
      <x:c r="U597" s="16" t="n">
        <x:v>72.88464859450035</x:v>
      </x:c>
      <x:c r="V597" t="str">
        <x:v>일반의류</x:v>
      </x:c>
      <x:c r="W597" t="str">
        <x:v>일반의류 / 패스트푸드점 / 자동차수리</x:v>
      </x:c>
      <x:c r="X597" s="16" t="n">
        <x:v>61.613067819952256</x:v>
      </x:c>
    </x:row>
    <x:row r="598">
      <x:c r="A598" t="str">
        <x:v>3110572</x:v>
      </x:c>
      <x:c r="B598" t="str">
        <x:v>서강대역 1번</x:v>
      </x:c>
      <x:c r="C598" t="str">
        <x:v>골목상권</x:v>
      </x:c>
      <x:c r="D598" t="str">
        <x:v>마포구</x:v>
      </x:c>
      <x:c r="E598" t="str">
        <x:v>신수동</x:v>
      </x:c>
      <x:c r="F598" s="12" t="n">
        <x:v>148225</x:v>
      </x:c>
      <x:c r="G598" s="12" t="n">
        <x:v>5776186476</x:v>
      </x:c>
      <x:c r="H598" s="12" t="n">
        <x:v>392222</x:v>
      </x:c>
      <x:c r="I598" s="12" t="n">
        <x:v>14726.829387438747</x:v>
      </x:c>
      <x:c r="J598" s="12" t="n">
        <x:v>38969.043521673135</x:v>
      </x:c>
      <x:c r="K598" s="12" t="n">
        <x:v>1405</x:v>
      </x:c>
      <x:c r="L598" s="12" t="n">
        <x:v>94.78832855456231</x:v>
      </x:c>
      <x:c r="M598" s="12" t="n">
        <x:v>20</x:v>
      </x:c>
      <x:c r="N598" s="14" t="n">
        <x:v>0.7708252170354619</x:v>
      </x:c>
      <x:c r="O598" s="14" t="n">
        <x:v>0.22917478296453808</x:v>
      </x:c>
      <x:c r="P598" s="14" t="n">
        <x:v>0.2955786533370915</x:v>
      </x:c>
      <x:c r="Q598" s="14" t="n">
        <x:v>0.32557276358956666</x:v>
      </x:c>
      <x:c r="R598" s="14" t="n">
        <x:v>0.32282397560185694</x:v>
      </x:c>
      <x:c r="S598" s="14" t="n">
        <x:v>0.45119527508827606</x:v>
      </x:c>
      <x:c r="T598" t="str">
        <x:v>2030소비·평일집중</x:v>
      </x:c>
      <x:c r="U598" s="16" t="n">
        <x:v>68.48137433762042</x:v>
      </x:c>
      <x:c r="V598" t="str">
        <x:v>분식전문점</x:v>
      </x:c>
      <x:c r="W598" t="str">
        <x:v>분식전문점 / 제과점 / 커피-음료</x:v>
      </x:c>
      <x:c r="X598" s="16" t="n">
        <x:v>66.38112407545329</x:v>
      </x:c>
    </x:row>
    <x:row r="599">
      <x:c r="A599" t="str">
        <x:v>3110545</x:v>
      </x:c>
      <x:c r="B599" t="str">
        <x:v>마포구청역 1번</x:v>
      </x:c>
      <x:c r="C599" t="str">
        <x:v>골목상권</x:v>
      </x:c>
      <x:c r="D599" t="str">
        <x:v>마포구</x:v>
      </x:c>
      <x:c r="E599" t="str">
        <x:v>성산2동</x:v>
      </x:c>
      <x:c r="F599" s="12" t="n">
        <x:v>87346</x:v>
      </x:c>
      <x:c r="G599" s="12" t="n">
        <x:v>5749371492</x:v>
      </x:c>
      <x:c r="H599" s="12" t="n">
        <x:v>433540</x:v>
      </x:c>
      <x:c r="I599" s="12" t="n">
        <x:v>13261.45567191032</x:v>
      </x:c>
      <x:c r="J599" s="12" t="n">
        <x:v>65822.95115975545</x:v>
      </x:c>
      <x:c r="K599" s="12" t="n">
        <x:v>909</x:v>
      </x:c>
      <x:c r="L599" s="12" t="n">
        <x:v>104.06887550660592</x:v>
      </x:c>
      <x:c r="M599" s="12" t="n">
        <x:v>15</x:v>
      </x:c>
      <x:c r="N599" s="14" t="n">
        <x:v>0.7205504187308828</x:v>
      </x:c>
      <x:c r="O599" s="14" t="n">
        <x:v>0.2794495812691173</x:v>
      </x:c>
      <x:c r="P599" s="14" t="n">
        <x:v>0.4727725593627374</x:v>
      </x:c>
      <x:c r="Q599" s="14" t="n">
        <x:v>0.2606579844571296</x:v>
      </x:c>
      <x:c r="R599" s="14" t="n">
        <x:v>0.4191415933642717</x:v>
      </x:c>
      <x:c r="S599" s="14" t="n">
        <x:v>0.4883576858630307</x:v>
      </x:c>
      <x:c r="T599" t="str">
        <x:v>2030소비·야간활성</x:v>
      </x:c>
      <x:c r="U599" s="16" t="n">
        <x:v>69.26322514472471</x:v>
      </x:c>
      <x:c r="V599" t="str">
        <x:v>스포츠클럽</x:v>
      </x:c>
      <x:c r="W599" t="str">
        <x:v>스포츠클럽 / 미용실 / 커피-음료</x:v>
      </x:c>
      <x:c r="X599" s="16" t="n">
        <x:v>65.25598784653525</x:v>
      </x:c>
    </x:row>
    <x:row r="600">
      <x:c r="A600" t="str">
        <x:v>3130150</x:v>
      </x:c>
      <x:c r="B600" t="str">
        <x:v>창동골목시장</x:v>
      </x:c>
      <x:c r="C600" t="str">
        <x:v>전통시장</x:v>
      </x:c>
      <x:c r="D600" t="str">
        <x:v>도봉구</x:v>
      </x:c>
      <x:c r="E600" t="str">
        <x:v>창3동</x:v>
      </x:c>
      <x:c r="F600" s="12" t="n">
        <x:v>39982</x:v>
      </x:c>
      <x:c r="G600" s="12" t="n">
        <x:v>5748940844</x:v>
      </x:c>
      <x:c r="H600" s="12" t="n">
        <x:v>328740</x:v>
      </x:c>
      <x:c r="I600" s="12" t="n">
        <x:v>17487.804477702743</x:v>
      </x:c>
      <x:c r="J600" s="12" t="n">
        <x:v>143788.22580161074</x:v>
      </x:c>
      <x:c r="K600" s="12" t="n">
        <x:v>101</x:v>
      </x:c>
      <x:c r="L600" s="12" t="n">
        <x:v>25.261367615426945</x:v>
      </x:c>
      <x:c r="M600" s="12" t="n">
        <x:v>19</x:v>
      </x:c>
      <x:c r="N600" s="14" t="n">
        <x:v>0.6939693919730999</x:v>
      </x:c>
      <x:c r="O600" s="14" t="n">
        <x:v>0.3060306080269001</x:v>
      </x:c>
      <x:c r="P600" s="14" t="n">
        <x:v>0.4163235002666519</x:v>
      </x:c>
      <x:c r="Q600" s="14" t="n">
        <x:v>0.22618872576452623</x:v>
      </x:c>
      <x:c r="R600" s="14" t="n">
        <x:v>0.1339170441810168</x:v>
      </x:c>
      <x:c r="S600" s="14" t="n">
        <x:v>0.5051451228674357</x:v>
      </x:c>
      <x:c r="T600" t="str">
        <x:v>여성소비·고매출밀도</x:v>
      </x:c>
      <x:c r="U600" s="16" t="n">
        <x:v>69.56422407671154</x:v>
      </x:c>
      <x:c r="V600" t="str">
        <x:v>일반의류</x:v>
      </x:c>
      <x:c r="W600" t="str">
        <x:v>일반의류 / 청과상 / 슈퍼마켓</x:v>
      </x:c>
      <x:c r="X600" s="16" t="n">
        <x:v>59.83667461490821</x:v>
      </x:c>
    </x:row>
    <x:row r="601">
      <x:c r="A601" t="str">
        <x:v>3110295</x:v>
      </x:c>
      <x:c r="B601" t="str">
        <x:v>정릉우체국</x:v>
      </x:c>
      <x:c r="C601" t="str">
        <x:v>골목상권</x:v>
      </x:c>
      <x:c r="D601" t="str">
        <x:v>성북구</x:v>
      </x:c>
      <x:c r="E601" t="str">
        <x:v>정릉2동</x:v>
      </x:c>
      <x:c r="F601" s="12" t="n">
        <x:v>153101</x:v>
      </x:c>
      <x:c r="G601" s="12" t="n">
        <x:v>5743737695</x:v>
      </x:c>
      <x:c r="H601" s="12" t="n">
        <x:v>225843</x:v>
      </x:c>
      <x:c r="I601" s="12" t="n">
        <x:v>25432.43622782198</x:v>
      </x:c>
      <x:c r="J601" s="12" t="n">
        <x:v>37516.003781817235</x:v>
      </x:c>
      <x:c r="K601" s="12" t="n">
        <x:v>355</x:v>
      </x:c>
      <x:c r="L601" s="12" t="n">
        <x:v>23.187307724965873</x:v>
      </x:c>
      <x:c r="M601" s="12" t="n">
        <x:v>16</x:v>
      </x:c>
      <x:c r="N601" s="14" t="n">
        <x:v>0.8218798647628702</x:v>
      </x:c>
      <x:c r="O601" s="14" t="n">
        <x:v>0.17812013523712977</x:v>
      </x:c>
      <x:c r="P601" s="14" t="n">
        <x:v>0.27250819329067566</x:v>
      </x:c>
      <x:c r="Q601" s="14" t="n">
        <x:v>0.2867079630801281</x:v>
      </x:c>
      <x:c r="R601" s="14" t="n">
        <x:v>0.13863192824650744</x:v>
      </x:c>
      <x:c r="S601" s="14" t="n">
        <x:v>0.3740747090296922</x:v>
      </x:c>
      <x:c r="T601" t="str">
        <x:v>평일집중</x:v>
      </x:c>
      <x:c r="U601" s="16" t="n">
        <x:v>72.03891514108417</x:v>
      </x:c>
      <x:c r="V601" t="str">
        <x:v>자동차수리</x:v>
      </x:c>
      <x:c r="W601" t="str">
        <x:v>자동차수리 / 일반의원 / 일반교습학원</x:v>
      </x:c>
      <x:c r="X601" s="16" t="n">
        <x:v>64.35660423425094</x:v>
      </x:c>
    </x:row>
    <x:row r="602">
      <x:c r="A602" t="str">
        <x:v>3110082</x:v>
      </x:c>
      <x:c r="B602" t="str">
        <x:v>용산구청</x:v>
      </x:c>
      <x:c r="C602" t="str">
        <x:v>골목상권</x:v>
      </x:c>
      <x:c r="D602" t="str">
        <x:v>용산구</x:v>
      </x:c>
      <x:c r="E602" t="str">
        <x:v>이태원1동</x:v>
      </x:c>
      <x:c r="F602" s="12" t="n">
        <x:v>71140</x:v>
      </x:c>
      <x:c r="G602" s="12" t="n">
        <x:v>5739180187</x:v>
      </x:c>
      <x:c r="H602" s="12" t="n">
        <x:v>183921</x:v>
      </x:c>
      <x:c r="I602" s="12" t="n">
        <x:v>31204.59429320197</x:v>
      </x:c>
      <x:c r="J602" s="12" t="n">
        <x:v>80674.44738543716</x:v>
      </x:c>
      <x:c r="K602" s="12" t="n">
        <x:v>6410</x:v>
      </x:c>
      <x:c r="L602" s="12" t="n">
        <x:v>901.0402024177678</x:v>
      </x:c>
      <x:c r="M602" s="12" t="n">
        <x:v>10</x:v>
      </x:c>
      <x:c r="N602" s="14" t="n">
        <x:v>0.6411448954564771</x:v>
      </x:c>
      <x:c r="O602" s="14" t="n">
        <x:v>0.3588551045435229</x:v>
      </x:c>
      <x:c r="P602" s="14" t="n">
        <x:v>0.43897892328014476</x:v>
      </x:c>
      <x:c r="Q602" s="14" t="n">
        <x:v>0.25515366050311467</x:v>
      </x:c>
      <x:c r="R602" s="14" t="n">
        <x:v>0.3672099368431974</x:v>
      </x:c>
      <x:c r="S602" s="14" t="n">
        <x:v>0.475483088888075</x:v>
      </x:c>
      <x:c r="T602" t="str">
        <x:v>직장밀집·2030소비</x:v>
      </x:c>
      <x:c r="U602" s="16" t="n">
        <x:v>66.23248769698782</x:v>
      </x:c>
      <x:c r="V602" t="str">
        <x:v>커피-음료</x:v>
      </x:c>
      <x:c r="W602" t="str">
        <x:v>커피-음료 / 시계및귀금속 / 일반의류</x:v>
      </x:c>
      <x:c r="X602" s="16" t="n">
        <x:v>58.52780774242543</x:v>
      </x:c>
    </x:row>
    <x:row r="603">
      <x:c r="A603" t="str">
        <x:v>3130015</x:v>
      </x:c>
      <x:c r="B603" t="str">
        <x:v>창신골목시장</x:v>
      </x:c>
      <x:c r="C603" t="str">
        <x:v>전통시장</x:v>
      </x:c>
      <x:c r="D603" t="str">
        <x:v>종로구</x:v>
      </x:c>
      <x:c r="E603" t="str">
        <x:v>창신2동</x:v>
      </x:c>
      <x:c r="F603" s="12" t="n">
        <x:v>24588</x:v>
      </x:c>
      <x:c r="G603" s="12" t="n">
        <x:v>5731184346</x:v>
      </x:c>
      <x:c r="H603" s="12" t="n">
        <x:v>227109</x:v>
      </x:c>
      <x:c r="I603" s="12" t="n">
        <x:v>25235.390697858737</x:v>
      </x:c>
      <x:c r="J603" s="12" t="n">
        <x:v>233088.67520741824</x:v>
      </x:c>
      <x:c r="K603" s="12" t="n">
        <x:v>18</x:v>
      </x:c>
      <x:c r="L603" s="12" t="n">
        <x:v>7.320644216691069</x:v>
      </x:c>
      <x:c r="M603" s="12" t="n">
        <x:v>11</x:v>
      </x:c>
      <x:c r="N603" s="14" t="n">
        <x:v>0.6964141805673476</x:v>
      </x:c>
      <x:c r="O603" s="14" t="n">
        <x:v>0.3035858194326524</x:v>
      </x:c>
      <x:c r="P603" s="14" t="n">
        <x:v>0.5639067717749521</x:v>
      </x:c>
      <x:c r="Q603" s="14" t="n">
        <x:v>0.14605470326289868</x:v>
      </x:c>
      <x:c r="R603" s="14" t="n">
        <x:v>0.24219242153129653</x:v>
      </x:c>
      <x:c r="S603" s="14" t="n">
        <x:v>0.4058893782789516</x:v>
      </x:c>
      <x:c r="T603" t="str">
        <x:v>야간활성·고매출밀도</x:v>
      </x:c>
      <x:c r="U603" s="16" t="n">
        <x:v>76.68412250632728</x:v>
      </x:c>
      <x:c r="V603" t="str">
        <x:v>육류판매</x:v>
      </x:c>
      <x:c r="W603" t="str">
        <x:v>육류판매 / 일반의류 / 양식음식점</x:v>
      </x:c>
      <x:c r="X603" s="16" t="n">
        <x:v>65.56589800017917</x:v>
      </x:c>
    </x:row>
    <x:row r="604">
      <x:c r="A604" t="str">
        <x:v>3130319</x:v>
      </x:c>
      <x:c r="B604" t="str">
        <x:v>성내전통시장</x:v>
      </x:c>
      <x:c r="C604" t="str">
        <x:v>전통시장</x:v>
      </x:c>
      <x:c r="D604" t="str">
        <x:v>강동구</x:v>
      </x:c>
      <x:c r="E604" t="str">
        <x:v>성내2동</x:v>
      </x:c>
      <x:c r="F604" s="12" t="n">
        <x:v>31651</x:v>
      </x:c>
      <x:c r="G604" s="12" t="n">
        <x:v>5728407632</x:v>
      </x:c>
      <x:c r="H604" s="12" t="n">
        <x:v>175142</x:v>
      </x:c>
      <x:c r="I604" s="12" t="n">
        <x:v>32707.21832570143</x:v>
      </x:c>
      <x:c r="J604" s="12" t="n">
        <x:v>180986.6238665445</x:v>
      </x:c>
      <x:c r="K604" s="12" t="n">
        <x:v>95</x:v>
      </x:c>
      <x:c r="L604" s="12" t="n">
        <x:v>30.014849451834063</x:v>
      </x:c>
      <x:c r="M604" s="12" t="n">
        <x:v>15</x:v>
      </x:c>
      <x:c r="N604" s="14" t="n">
        <x:v>0.6888198535239993</x:v>
      </x:c>
      <x:c r="O604" s="14" t="n">
        <x:v>0.3111801464760006</x:v>
      </x:c>
      <x:c r="P604" s="14" t="n">
        <x:v>0.35896279613782905</x:v>
      </x:c>
      <x:c r="Q604" s="14" t="n">
        <x:v>0.21747148545102002</x:v>
      </x:c>
      <x:c r="R604" s="14" t="n">
        <x:v>0.14005486071176995</x:v>
      </x:c>
      <x:c r="S604" s="14" t="n">
        <x:v>0.5224271578164813</x:v>
      </x:c>
      <x:c r="T604" t="str">
        <x:v>여성소비·고매출밀도</x:v>
      </x:c>
      <x:c r="U604" s="16" t="n">
        <x:v>79.36168250971437</x:v>
      </x:c>
      <x:c r="V604" t="str">
        <x:v>육류판매</x:v>
      </x:c>
      <x:c r="W604" t="str">
        <x:v>육류판매 / 청과상 / 피부관리실</x:v>
      </x:c>
      <x:c r="X604" s="16" t="n">
        <x:v>61.797737323434795</x:v>
      </x:c>
    </x:row>
    <x:row r="605">
      <x:c r="A605" t="str">
        <x:v>3130268</x:v>
      </x:c>
      <x:c r="B605" t="str">
        <x:v>상도전통시장</x:v>
      </x:c>
      <x:c r="C605" t="str">
        <x:v>전통시장</x:v>
      </x:c>
      <x:c r="D605" t="str">
        <x:v>동작구</x:v>
      </x:c>
      <x:c r="E605" t="str">
        <x:v>상도1동</x:v>
      </x:c>
      <x:c r="F605" s="12" t="n">
        <x:v>48100</x:v>
      </x:c>
      <x:c r="G605" s="12" t="n">
        <x:v>5718358530</x:v>
      </x:c>
      <x:c r="H605" s="12" t="n">
        <x:v>218330</x:v>
      </x:c>
      <x:c r="I605" s="12" t="n">
        <x:v>26191.35496725141</x:v>
      </x:c>
      <x:c r="J605" s="12" t="n">
        <x:v>118884.79272349272</x:v>
      </x:c>
      <x:c r="K605" s="12" t="n">
        <x:v>564</x:v>
      </x:c>
      <x:c r="L605" s="12" t="n">
        <x:v>117.25571725571724</x:v>
      </x:c>
      <x:c r="M605" s="12" t="n">
        <x:v>16</x:v>
      </x:c>
      <x:c r="N605" s="14" t="n">
        <x:v>0.7745512747694049</x:v>
      </x:c>
      <x:c r="O605" s="14" t="n">
        <x:v>0.22544872523059514</x:v>
      </x:c>
      <x:c r="P605" s="14" t="n">
        <x:v>0.36181069762339646</x:v>
      </x:c>
      <x:c r="Q605" s="14" t="n">
        <x:v>0.2675250586290188</x:v>
      </x:c>
      <x:c r="R605" s="14" t="n">
        <x:v>0.24021800343463248</x:v>
      </x:c>
      <x:c r="S605" s="14" t="n">
        <x:v>0.5238429892572686</x:v>
      </x:c>
      <x:c r="T605" t="str">
        <x:v>여성소비·고매출밀도</x:v>
      </x:c>
      <x:c r="U605" s="16" t="n">
        <x:v>66.52441298136783</x:v>
      </x:c>
      <x:c r="V605" t="str">
        <x:v>육류판매</x:v>
      </x:c>
      <x:c r="W605" t="str">
        <x:v>육류판매 / 일반의류 / 일반교습학원</x:v>
      </x:c>
      <x:c r="X605" s="16" t="n">
        <x:v>60.01373835956158</x:v>
      </x:c>
    </x:row>
    <x:row r="606">
      <x:c r="A606" t="str">
        <x:v>3110824</x:v>
      </x:c>
      <x:c r="B606" t="str">
        <x:v>대방역 3번</x:v>
      </x:c>
      <x:c r="C606" t="str">
        <x:v>골목상권</x:v>
      </x:c>
      <x:c r="D606" t="str">
        <x:v>동작구</x:v>
      </x:c>
      <x:c r="E606" t="str">
        <x:v>대방동</x:v>
      </x:c>
      <x:c r="F606" s="12" t="n">
        <x:v>46862</x:v>
      </x:c>
      <x:c r="G606" s="12" t="n">
        <x:v>5710575469</x:v>
      </x:c>
      <x:c r="H606" s="12" t="n">
        <x:v>95655</x:v>
      </x:c>
      <x:c r="I606" s="12" t="n">
        <x:v>59699.706957294446</x:v>
      </x:c>
      <x:c r="J606" s="12" t="n">
        <x:v>121859.40568050873</x:v>
      </x:c>
      <x:c r="K606" s="12" t="n">
        <x:v>1091</x:v>
      </x:c>
      <x:c r="L606" s="12" t="n">
        <x:v>232.811232981947</x:v>
      </x:c>
      <x:c r="M606" s="12" t="n">
        <x:v>9</x:v>
      </x:c>
      <x:c r="N606" s="14" t="n">
        <x:v>0.7049329863256203</x:v>
      </x:c>
      <x:c r="O606" s="14" t="n">
        <x:v>0.29506701367437965</x:v>
      </x:c>
      <x:c r="P606" s="14" t="n">
        <x:v>0.5358558943159989</x:v>
      </x:c>
      <x:c r="Q606" s="14" t="n">
        <x:v>0.24507724529644948</x:v>
      </x:c>
      <x:c r="R606" s="14" t="n">
        <x:v>0.23665188234289317</x:v>
      </x:c>
      <x:c r="S606" s="14" t="n">
        <x:v>0.44105831079070884</x:v>
      </x:c>
      <x:c r="T606" t="str">
        <x:v>야간활성·직장밀집</x:v>
      </x:c>
      <x:c r="U606" s="16" t="n">
        <x:v>65.8500193354223</x:v>
      </x:c>
      <x:c r="V606" t="str">
        <x:v>패스트푸드점</x:v>
      </x:c>
      <x:c r="W606" t="str">
        <x:v>패스트푸드점 / 커피-음료 / 한식음식점</x:v>
      </x:c>
      <x:c r="X606" s="16" t="n">
        <x:v>55.46847360498852</x:v>
      </x:c>
    </x:row>
    <x:row r="607">
      <x:c r="A607" t="str">
        <x:v>3111015</x:v>
      </x:c>
      <x:c r="B607" t="str">
        <x:v>석촌역 3번</x:v>
      </x:c>
      <x:c r="C607" t="str">
        <x:v>골목상권</x:v>
      </x:c>
      <x:c r="D607" t="str">
        <x:v>송파구</x:v>
      </x:c>
      <x:c r="E607" t="str">
        <x:v>송파1동</x:v>
      </x:c>
      <x:c r="F607" s="12" t="n">
        <x:v>226584</x:v>
      </x:c>
      <x:c r="G607" s="12" t="n">
        <x:v>5674868983</x:v>
      </x:c>
      <x:c r="H607" s="12" t="n">
        <x:v>205785</x:v>
      </x:c>
      <x:c r="I607" s="12" t="n">
        <x:v>27576.68918045533</x:v>
      </x:c>
      <x:c r="J607" s="12" t="n">
        <x:v>25045.320865550966</x:v>
      </x:c>
      <x:c r="K607" s="12" t="n">
        <x:v>1249</x:v>
      </x:c>
      <x:c r="L607" s="12" t="n">
        <x:v>55.12304487518978</x:v>
      </x:c>
      <x:c r="M607" s="12" t="n">
        <x:v>23</x:v>
      </x:c>
      <x:c r="N607" s="14" t="n">
        <x:v>0.7642420905208764</x:v>
      </x:c>
      <x:c r="O607" s="14" t="n">
        <x:v>0.23575790947912356</x:v>
      </x:c>
      <x:c r="P607" s="14" t="n">
        <x:v>0.40188288590133253</x:v>
      </x:c>
      <x:c r="Q607" s="14" t="n">
        <x:v>0.2656854021681649</x:v>
      </x:c>
      <x:c r="R607" s="14" t="n">
        <x:v>0.30535332166980533</x:v>
      </x:c>
      <x:c r="S607" s="14" t="n">
        <x:v>0.3753915158890286</x:v>
      </x:c>
      <x:c r="T607" t="str">
        <x:v>2030소비·야간활성</x:v>
      </x:c>
      <x:c r="U607" s="16" t="n">
        <x:v>75.02251135685299</x:v>
      </x:c>
      <x:c r="V607" t="str">
        <x:v>인테리어</x:v>
      </x:c>
      <x:c r="W607" t="str">
        <x:v>인테리어 / 일반교습학원 / 자동차수리</x:v>
      </x:c>
      <x:c r="X607" s="16" t="n">
        <x:v>61.443247765256764</x:v>
      </x:c>
    </x:row>
    <x:row r="608">
      <x:c r="A608" t="str">
        <x:v>3110712</x:v>
      </x:c>
      <x:c r="B608" t="str">
        <x:v>남구로역 5번</x:v>
      </x:c>
      <x:c r="C608" t="str">
        <x:v>골목상권</x:v>
      </x:c>
      <x:c r="D608" t="str">
        <x:v>구로구</x:v>
      </x:c>
      <x:c r="E608" t="str">
        <x:v>구로4동</x:v>
      </x:c>
      <x:c r="F608" s="12" t="n">
        <x:v>83115</x:v>
      </x:c>
      <x:c r="G608" s="12" t="n">
        <x:v>5670643805</x:v>
      </x:c>
      <x:c r="H608" s="12" t="n">
        <x:v>374568</x:v>
      </x:c>
      <x:c r="I608" s="12" t="n">
        <x:v>15139.157122338267</x:v>
      </x:c>
      <x:c r="J608" s="12" t="n">
        <x:v>68226.47903507188</x:v>
      </x:c>
      <x:c r="K608" s="12" t="n">
        <x:v>147</x:v>
      </x:c>
      <x:c r="L608" s="12" t="n">
        <x:v>17.686338206099983</x:v>
      </x:c>
      <x:c r="M608" s="12" t="n">
        <x:v>22</x:v>
      </x:c>
      <x:c r="N608" s="14" t="n">
        <x:v>0.7142078658562473</x:v>
      </x:c>
      <x:c r="O608" s="14" t="n">
        <x:v>0.28579213414375265</x:v>
      </x:c>
      <x:c r="P608" s="14" t="n">
        <x:v>0.39659980812355045</x:v>
      </x:c>
      <x:c r="Q608" s="14" t="n">
        <x:v>0.19797782308423445</x:v>
      </x:c>
      <x:c r="R608" s="14" t="n">
        <x:v>0.1867616684134157</x:v>
      </x:c>
      <x:c r="S608" s="14" t="n">
        <x:v>0.408968053319653</x:v>
      </x:c>
      <x:c r="T608" t="str">
        <x:v>균형형</x:v>
      </x:c>
      <x:c r="U608" s="16" t="n">
        <x:v>56.80105889972434</x:v>
      </x:c>
      <x:c r="V608" t="str">
        <x:v>커피-음료</x:v>
      </x:c>
      <x:c r="W608" t="str">
        <x:v>커피-음료 / 핸드폰 / 여관</x:v>
      </x:c>
      <x:c r="X608" s="16" t="n">
        <x:v>53.00923337609972</x:v>
      </x:c>
    </x:row>
    <x:row r="609">
      <x:c r="A609" t="str">
        <x:v>3110194</x:v>
      </x:c>
      <x:c r="B609" t="str">
        <x:v>홍파초등학교</x:v>
      </x:c>
      <x:c r="C609" t="str">
        <x:v>골목상권</x:v>
      </x:c>
      <x:c r="D609" t="str">
        <x:v>동대문구</x:v>
      </x:c>
      <x:c r="E609" t="str">
        <x:v>제기동</x:v>
      </x:c>
      <x:c r="F609" s="12" t="n">
        <x:v>87946</x:v>
      </x:c>
      <x:c r="G609" s="12" t="n">
        <x:v>5627745120</x:v>
      </x:c>
      <x:c r="H609" s="12" t="n">
        <x:v>153912</x:v>
      </x:c>
      <x:c r="I609" s="12" t="n">
        <x:v>36564.69359114299</x:v>
      </x:c>
      <x:c r="J609" s="12" t="n">
        <x:v>63990.916244058855</x:v>
      </x:c>
      <x:c r="K609" s="12" t="n">
        <x:v>233</x:v>
      </x:c>
      <x:c r="L609" s="12" t="n">
        <x:v>26.49353012075592</x:v>
      </x:c>
      <x:c r="M609" s="12" t="n">
        <x:v>6</x:v>
      </x:c>
      <x:c r="N609" s="14" t="n">
        <x:v>0.8175609225174008</x:v>
      </x:c>
      <x:c r="O609" s="14" t="n">
        <x:v>0.18243907748259927</x:v>
      </x:c>
      <x:c r="P609" s="14" t="n">
        <x:v>0.04132957624065249</x:v>
      </x:c>
      <x:c r="Q609" s="14" t="n">
        <x:v>0.3563281650537862</x:v>
      </x:c>
      <x:c r="R609" s="14" t="n">
        <x:v>0.05587158467475158</x:v>
      </x:c>
      <x:c r="S609" s="14" t="n">
        <x:v>0.44397077048151745</x:v>
      </x:c>
      <x:c r="T609" t="str">
        <x:v>평일집중·고매출밀도</x:v>
      </x:c>
      <x:c r="U609" s="16" t="n">
        <x:v>65.26739701317693</x:v>
      </x:c>
      <x:c r="V609" t="str">
        <x:v>청과상</x:v>
      </x:c>
      <x:c r="W609" t="str">
        <x:v>청과상 / 반찬가게 / 미곡판매</x:v>
      </x:c>
      <x:c r="X609" s="16" t="n">
        <x:v>44.99295672213823</x:v>
      </x:c>
    </x:row>
    <x:row r="610">
      <x:c r="A610" t="str">
        <x:v>3130133</x:v>
      </x:c>
      <x:c r="B610" t="str">
        <x:v>우이골목시장(우이시장)</x:v>
      </x:c>
      <x:c r="C610" t="str">
        <x:v>전통시장</x:v>
      </x:c>
      <x:c r="D610" t="str">
        <x:v>강북구</x:v>
      </x:c>
      <x:c r="E610" t="str">
        <x:v>수유2동</x:v>
      </x:c>
      <x:c r="F610" s="12" t="n">
        <x:v>54278</x:v>
      </x:c>
      <x:c r="G610" s="12" t="n">
        <x:v>5626628654</x:v>
      </x:c>
      <x:c r="H610" s="12" t="n">
        <x:v>266269</x:v>
      </x:c>
      <x:c r="I610" s="12" t="n">
        <x:v>21131.369607427077</x:v>
      </x:c>
      <x:c r="J610" s="12" t="n">
        <x:v>103663.1536534139</x:v>
      </x:c>
      <x:c r="K610" s="12" t="n">
        <x:v>232</x:v>
      </x:c>
      <x:c r="L610" s="12" t="n">
        <x:v>42.74291609860348</x:v>
      </x:c>
      <x:c r="M610" s="12" t="n">
        <x:v>14</x:v>
      </x:c>
      <x:c r="N610" s="14" t="n">
        <x:v>0.6983554832975476</x:v>
      </x:c>
      <x:c r="O610" s="14" t="n">
        <x:v>0.30164451670245235</x:v>
      </x:c>
      <x:c r="P610" s="14" t="n">
        <x:v>0.43077730823357085</x:v>
      </x:c>
      <x:c r="Q610" s="14" t="n">
        <x:v>0.23452791363117387</x:v>
      </x:c>
      <x:c r="R610" s="14" t="n">
        <x:v>0.1306820149713047</x:v>
      </x:c>
      <x:c r="S610" s="14" t="n">
        <x:v>0.43608934992637954</x:v>
      </x:c>
      <x:c r="T610" t="str">
        <x:v>고매출밀도·야간활성</x:v>
      </x:c>
      <x:c r="U610" s="16" t="n">
        <x:v>69.97671409126976</x:v>
      </x:c>
      <x:c r="V610" t="str">
        <x:v>육류판매</x:v>
      </x:c>
      <x:c r="W610" t="str">
        <x:v>육류판매 / 슈퍼마켓 / 한식음식점</x:v>
      </x:c>
      <x:c r="X610" s="16" t="n">
        <x:v>61.54012968282022</x:v>
      </x:c>
    </x:row>
    <x:row r="611">
      <x:c r="A611" t="str">
        <x:v>3110903</x:v>
      </x:c>
      <x:c r="B611" t="str">
        <x:v>방배아이파크아파트</x:v>
      </x:c>
      <x:c r="C611" t="str">
        <x:v>골목상권</x:v>
      </x:c>
      <x:c r="D611" t="str">
        <x:v>서초구</x:v>
      </x:c>
      <x:c r="E611" t="str">
        <x:v>방배본동</x:v>
      </x:c>
      <x:c r="F611" s="12" t="n">
        <x:v>92803</x:v>
      </x:c>
      <x:c r="G611" s="12" t="n">
        <x:v>5616911304</x:v>
      </x:c>
      <x:c r="H611" s="12" t="n">
        <x:v>121038</x:v>
      </x:c>
      <x:c r="I611" s="12" t="n">
        <x:v>46406.180736628165</x:v>
      </x:c>
      <x:c r="J611" s="12" t="n">
        <x:v>60525.104834973004</x:v>
      </x:c>
      <x:c r="K611" s="12" t="n">
        <x:v>2902</x:v>
      </x:c>
      <x:c r="L611" s="12" t="n">
        <x:v>312.70540823033735</x:v>
      </x:c>
      <x:c r="M611" s="12" t="n">
        <x:v>15</x:v>
      </x:c>
      <x:c r="N611" s="14" t="n">
        <x:v>0.7801286585884818</x:v>
      </x:c>
      <x:c r="O611" s="14" t="n">
        <x:v>0.2198713414115182</x:v>
      </x:c>
      <x:c r="P611" s="14" t="n">
        <x:v>0.3502331276976134</x:v>
      </x:c>
      <x:c r="Q611" s="14" t="n">
        <x:v>0.3324415919956282</x:v>
      </x:c>
      <x:c r="R611" s="14" t="n">
        <x:v>0.1090718743526736</x:v>
      </x:c>
      <x:c r="S611" s="14" t="n">
        <x:v>0.42111060011140955</x:v>
      </x:c>
      <x:c r="T611" t="str">
        <x:v>직장밀집·평일집중</x:v>
      </x:c>
      <x:c r="U611" s="16" t="n">
        <x:v>74.84921082735865</x:v>
      </x:c>
      <x:c r="V611" t="str">
        <x:v>자동차수리</x:v>
      </x:c>
      <x:c r="W611" t="str">
        <x:v>자동차수리 / 피부관리실 / 분식전문점</x:v>
      </x:c>
      <x:c r="X611" s="16" t="n">
        <x:v>66.01316013600415</x:v>
      </x:c>
    </x:row>
    <x:row r="612">
      <x:c r="A612" t="str">
        <x:v>3110273</x:v>
      </x:c>
      <x:c r="B612" t="str">
        <x:v>장스여성병원</x:v>
      </x:c>
      <x:c r="C612" t="str">
        <x:v>골목상권</x:v>
      </x:c>
      <x:c r="D612" t="str">
        <x:v>중랑구</x:v>
      </x:c>
      <x:c r="E612" t="str">
        <x:v>신내1동</x:v>
      </x:c>
      <x:c r="F612" s="12" t="n">
        <x:v>69230</x:v>
      </x:c>
      <x:c r="G612" s="12" t="n">
        <x:v>5615410720</x:v>
      </x:c>
      <x:c r="H612" s="12" t="n">
        <x:v>240880</x:v>
      </x:c>
      <x:c r="I612" s="12" t="n">
        <x:v>23312.067087346397</x:v>
      </x:c>
      <x:c r="J612" s="12" t="n">
        <x:v>81112.38942654918</x:v>
      </x:c>
      <x:c r="K612" s="12" t="n">
        <x:v>349</x:v>
      </x:c>
      <x:c r="L612" s="12" t="n">
        <x:v>50.41167124079157</x:v>
      </x:c>
      <x:c r="M612" s="12" t="n">
        <x:v>13</x:v>
      </x:c>
      <x:c r="N612" s="14" t="n">
        <x:v>0.7664592389779816</x:v>
      </x:c>
      <x:c r="O612" s="14" t="n">
        <x:v>0.23354076102201834</x:v>
      </x:c>
      <x:c r="P612" s="14" t="n">
        <x:v>0.32381934673515744</x:v>
      </x:c>
      <x:c r="Q612" s="14" t="n">
        <x:v>0.31745807686886346</x:v>
      </x:c>
      <x:c r="R612" s="14" t="n">
        <x:v>0.20679073480131832</x:v>
      </x:c>
      <x:c r="S612" s="14" t="n">
        <x:v>0.4448908032857123</x:v>
      </x:c>
      <x:c r="T612" t="str">
        <x:v>고매출밀도·평일집중</x:v>
      </x:c>
      <x:c r="U612" s="16" t="n">
        <x:v>61.99025320542487</x:v>
      </x:c>
      <x:c r="V612" t="str">
        <x:v>의약품</x:v>
      </x:c>
      <x:c r="W612" t="str">
        <x:v>의약품 / 한식음식점 / 호프-간이주점</x:v>
      </x:c>
      <x:c r="X612" s="16" t="n">
        <x:v>58.506784283560876</x:v>
      </x:c>
    </x:row>
    <x:row r="613">
      <x:c r="A613" t="str">
        <x:v>3130196</x:v>
      </x:c>
      <x:c r="B613" t="str">
        <x:v>공덕시장</x:v>
      </x:c>
      <x:c r="C613" t="str">
        <x:v>전통시장</x:v>
      </x:c>
      <x:c r="D613" t="str">
        <x:v>마포구</x:v>
      </x:c>
      <x:c r="E613" t="str">
        <x:v>공덕동</x:v>
      </x:c>
      <x:c r="F613" s="12" t="n">
        <x:v>7426</x:v>
      </x:c>
      <x:c r="G613" s="12" t="n">
        <x:v>5598255928</x:v>
      </x:c>
      <x:c r="H613" s="12" t="n">
        <x:v>156238</x:v>
      </x:c>
      <x:c r="I613" s="12" t="n">
        <x:v>35831.589805297044</x:v>
      </x:c>
      <x:c r="J613" s="12" t="n">
        <x:v>753872.330729868</x:v>
      </x:c>
      <x:c r="K613" s="12" t="n">
        <x:v>473</x:v>
      </x:c>
      <x:c r="L613" s="12" t="n">
        <x:v>636.951252356585</x:v>
      </x:c>
      <x:c r="M613" s="12" t="n">
        <x:v>8</x:v>
      </x:c>
      <x:c r="N613" s="14" t="n">
        <x:v>0.8289817731962753</x:v>
      </x:c>
      <x:c r="O613" s="14" t="n">
        <x:v>0.17101822680372464</x:v>
      </x:c>
      <x:c r="P613" s="14" t="n">
        <x:v>0.3636133842718453</x:v>
      </x:c>
      <x:c r="Q613" s="14" t="n">
        <x:v>0.19774746085884912</x:v>
      </x:c>
      <x:c r="R613" s="14" t="n">
        <x:v>0.24745426322353015</x:v>
      </x:c>
      <x:c r="S613" s="14" t="n">
        <x:v>0.4784043715480526</x:v>
      </x:c>
      <x:c r="T613" t="str">
        <x:v>고매출밀도·직장밀집</x:v>
      </x:c>
      <x:c r="U613" s="16" t="n">
        <x:v>75.24148617263663</x:v>
      </x:c>
      <x:c r="V613" t="str">
        <x:v>청과상</x:v>
      </x:c>
      <x:c r="W613" t="str">
        <x:v>청과상 / 노래방 / 일반의원</x:v>
      </x:c>
      <x:c r="X613" s="16" t="n">
        <x:v>61.90602800219209</x:v>
      </x:c>
    </x:row>
    <x:row r="614">
      <x:c r="A614" t="str">
        <x:v>3110254</x:v>
      </x:c>
      <x:c r="B614" t="str">
        <x:v>오거리공원</x:v>
      </x:c>
      <x:c r="C614" t="str">
        <x:v>골목상권</x:v>
      </x:c>
      <x:c r="D614" t="str">
        <x:v>중랑구</x:v>
      </x:c>
      <x:c r="E614" t="str">
        <x:v>면목7동</x:v>
      </x:c>
      <x:c r="F614" s="12" t="n">
        <x:v>165615</x:v>
      </x:c>
      <x:c r="G614" s="12" t="n">
        <x:v>5594576179</x:v>
      </x:c>
      <x:c r="H614" s="12" t="n">
        <x:v>248797</x:v>
      </x:c>
      <x:c r="I614" s="12" t="n">
        <x:v>22486.509801163196</x:v>
      </x:c>
      <x:c r="J614" s="12" t="n">
        <x:v>33780.61274039187</x:v>
      </x:c>
      <x:c r="K614" s="12" t="n">
        <x:v>300</x:v>
      </x:c>
      <x:c r="L614" s="12" t="n">
        <x:v>18.114301240829633</x:v>
      </x:c>
      <x:c r="M614" s="12" t="n">
        <x:v>21</x:v>
      </x:c>
      <x:c r="N614" s="14" t="n">
        <x:v>0.8300651980450939</x:v>
      </x:c>
      <x:c r="O614" s="14" t="n">
        <x:v>0.16993480195490604</x:v>
      </x:c>
      <x:c r="P614" s="14" t="n">
        <x:v>0.3667932340795819</x:v>
      </x:c>
      <x:c r="Q614" s="14" t="n">
        <x:v>0.22781639077221688</x:v>
      </x:c>
      <x:c r="R614" s="14" t="n">
        <x:v>0.15118508979730885</x:v>
      </x:c>
      <x:c r="S614" s="14" t="n">
        <x:v>0.33635833006681093</x:v>
      </x:c>
      <x:c r="T614" t="str">
        <x:v>평일집중</x:v>
      </x:c>
      <x:c r="U614" s="16" t="n">
        <x:v>73.62562165594821</x:v>
      </x:c>
      <x:c r="V614" t="str">
        <x:v>예술학원</x:v>
      </x:c>
      <x:c r="W614" t="str">
        <x:v>예술학원 / 일반교습학원 / 세탁소</x:v>
      </x:c>
      <x:c r="X614" s="16" t="n">
        <x:v>60.68412003053159</x:v>
      </x:c>
    </x:row>
    <x:row r="615">
      <x:c r="A615" t="str">
        <x:v>3120092</x:v>
      </x:c>
      <x:c r="B615" t="str">
        <x:v>불광역</x:v>
      </x:c>
      <x:c r="C615" t="str">
        <x:v>발달상권</x:v>
      </x:c>
      <x:c r="D615" t="str">
        <x:v>은평구</x:v>
      </x:c>
      <x:c r="E615" t="str">
        <x:v>대조동</x:v>
      </x:c>
      <x:c r="F615" s="12" t="n">
        <x:v>61492</x:v>
      </x:c>
      <x:c r="G615" s="12" t="n">
        <x:v>5593798297</x:v>
      </x:c>
      <x:c r="H615" s="12" t="n">
        <x:v>295404</x:v>
      </x:c>
      <x:c r="I615" s="12" t="n">
        <x:v>18936.09530338113</x:v>
      </x:c>
      <x:c r="J615" s="12" t="n">
        <x:v>90967.90309308528</x:v>
      </x:c>
      <x:c r="K615" s="12" t="n">
        <x:v>361</x:v>
      </x:c>
      <x:c r="L615" s="12" t="n">
        <x:v>58.70682365185716</x:v>
      </x:c>
      <x:c r="M615" s="12" t="n">
        <x:v>13</x:v>
      </x:c>
      <x:c r="N615" s="14" t="n">
        <x:v>0.6940933887591693</x:v>
      </x:c>
      <x:c r="O615" s="14" t="n">
        <x:v>0.30590661124083074</x:v>
      </x:c>
      <x:c r="P615" s="14" t="n">
        <x:v>0.5328585878040286</x:v>
      </x:c>
      <x:c r="Q615" s="14" t="n">
        <x:v>0.15987820931613403</x:v>
      </x:c>
      <x:c r="R615" s="14" t="n">
        <x:v>0.276970014601869</x:v>
      </x:c>
      <x:c r="S615" s="14" t="n">
        <x:v>0.3776613331111678</x:v>
      </x:c>
      <x:c r="T615" t="str">
        <x:v>야간활성·2030소비</x:v>
      </x:c>
      <x:c r="U615" s="16" t="n">
        <x:v>57.45467849484379</x:v>
      </x:c>
      <x:c r="V615" t="str">
        <x:v>호프-간이주점</x:v>
      </x:c>
      <x:c r="W615" t="str">
        <x:v>호프-간이주점 / 한식음식점 / 의약품</x:v>
      </x:c>
      <x:c r="X615" s="16" t="n">
        <x:v>52.15084760401216</x:v>
      </x:c>
    </x:row>
    <x:row r="616">
      <x:c r="A616" t="str">
        <x:v>3111052</x:v>
      </x:c>
      <x:c r="B616" t="str">
        <x:v>암사역 3번(천호동자전거거리)</x:v>
      </x:c>
      <x:c r="C616" t="str">
        <x:v>골목상권</x:v>
      </x:c>
      <x:c r="D616" t="str">
        <x:v>강동구</x:v>
      </x:c>
      <x:c r="E616" t="str">
        <x:v>천호2동</x:v>
      </x:c>
      <x:c r="F616" s="12" t="n">
        <x:v>129295</x:v>
      </x:c>
      <x:c r="G616" s="12" t="n">
        <x:v>5592637072</x:v>
      </x:c>
      <x:c r="H616" s="12" t="n">
        <x:v>206396</x:v>
      </x:c>
      <x:c r="I616" s="12" t="n">
        <x:v>27096.634973546</x:v>
      </x:c>
      <x:c r="J616" s="12" t="n">
        <x:v>43254.859600139214</x:v>
      </x:c>
      <x:c r="K616" s="12" t="n">
        <x:v>440</x:v>
      </x:c>
      <x:c r="L616" s="12" t="n">
        <x:v>34.0307049769906</x:v>
      </x:c>
      <x:c r="M616" s="12" t="n">
        <x:v>19</x:v>
      </x:c>
      <x:c r="N616" s="14" t="n">
        <x:v>0.7287360657469818</x:v>
      </x:c>
      <x:c r="O616" s="14" t="n">
        <x:v>0.27126393425301815</x:v>
      </x:c>
      <x:c r="P616" s="14" t="n">
        <x:v>0.3535004632962888</x:v>
      </x:c>
      <x:c r="Q616" s="14" t="n">
        <x:v>0.2832494339621972</x:v>
      </x:c>
      <x:c r="R616" s="14" t="n">
        <x:v>0.1919421908091232</x:v>
      </x:c>
      <x:c r="S616" s="14" t="n">
        <x:v>0.35124906188441474</x:v>
      </x:c>
      <x:c r="T616" t="str">
        <x:v>균형형</x:v>
      </x:c>
      <x:c r="U616" s="16" t="n">
        <x:v>58.076325903954775</x:v>
      </x:c>
      <x:c r="V616" t="str">
        <x:v>자동차수리</x:v>
      </x:c>
      <x:c r="W616" t="str">
        <x:v>자동차수리 / 일반의류 / 예술학원</x:v>
      </x:c>
      <x:c r="X616" s="16" t="n">
        <x:v>54.19935482104732</x:v>
      </x:c>
    </x:row>
    <x:row r="617">
      <x:c r="A617" t="str">
        <x:v>3110468</x:v>
      </x:c>
      <x:c r="B617" t="str">
        <x:v>응암역 3번</x:v>
      </x:c>
      <x:c r="C617" t="str">
        <x:v>골목상권</x:v>
      </x:c>
      <x:c r="D617" t="str">
        <x:v>은평구</x:v>
      </x:c>
      <x:c r="E617" t="str">
        <x:v>역촌동</x:v>
      </x:c>
      <x:c r="F617" s="12" t="n">
        <x:v>243033</x:v>
      </x:c>
      <x:c r="G617" s="12" t="n">
        <x:v>5574742869</x:v>
      </x:c>
      <x:c r="H617" s="12" t="n">
        <x:v>411332</x:v>
      </x:c>
      <x:c r="I617" s="12" t="n">
        <x:v>13552.903418649656</x:v>
      </x:c>
      <x:c r="J617" s="12" t="n">
        <x:v>22938.21361296614</x:v>
      </x:c>
      <x:c r="K617" s="12" t="n">
        <x:v>1243</x:v>
      </x:c>
      <x:c r="L617" s="12" t="n">
        <x:v>51.14531771405529</x:v>
      </x:c>
      <x:c r="M617" s="12" t="n">
        <x:v>24</x:v>
      </x:c>
      <x:c r="N617" s="14" t="n">
        <x:v>0.7257295102340262</x:v>
      </x:c>
      <x:c r="O617" s="14" t="n">
        <x:v>0.2742704897659738</x:v>
      </x:c>
      <x:c r="P617" s="14" t="n">
        <x:v>0.45167348722070716</x:v>
      </x:c>
      <x:c r="Q617" s="14" t="n">
        <x:v>0.16921469746087406</x:v>
      </x:c>
      <x:c r="R617" s="14" t="n">
        <x:v>0.24189196536734472</x:v>
      </x:c>
      <x:c r="S617" s="14" t="n">
        <x:v>0.40012286959526133</x:v>
      </x:c>
      <x:c r="T617" t="str">
        <x:v>야간활성·2030소비</x:v>
      </x:c>
      <x:c r="U617" s="16" t="n">
        <x:v>68.67070348149797</x:v>
      </x:c>
      <x:c r="V617" t="str">
        <x:v>육류판매</x:v>
      </x:c>
      <x:c r="W617" t="str">
        <x:v>육류판매 / 화초 / 세탁소</x:v>
      </x:c>
      <x:c r="X617" s="16" t="n">
        <x:v>61.01596761986242</x:v>
      </x:c>
    </x:row>
    <x:row r="618">
      <x:c r="A618" t="str">
        <x:v>3110063</x:v>
      </x:c>
      <x:c r="B618" t="str">
        <x:v>효창공원앞역 5번</x:v>
      </x:c>
      <x:c r="C618" t="str">
        <x:v>골목상권</x:v>
      </x:c>
      <x:c r="D618" t="str">
        <x:v>용산구</x:v>
      </x:c>
      <x:c r="E618" t="str">
        <x:v>용문동</x:v>
      </x:c>
      <x:c r="F618" s="12" t="n">
        <x:v>110329</x:v>
      </x:c>
      <x:c r="G618" s="12" t="n">
        <x:v>5549014117</x:v>
      </x:c>
      <x:c r="H618" s="12" t="n">
        <x:v>129368</x:v>
      </x:c>
      <x:c r="I618" s="12" t="n">
        <x:v>42893.25116721291</x:v>
      </x:c>
      <x:c r="J618" s="12" t="n">
        <x:v>50295.154646557115</x:v>
      </x:c>
      <x:c r="K618" s="12" t="n">
        <x:v>1297</x:v>
      </x:c>
      <x:c r="L618" s="12" t="n">
        <x:v>117.55748715206337</x:v>
      </x:c>
      <x:c r="M618" s="12" t="n">
        <x:v>14</x:v>
      </x:c>
      <x:c r="N618" s="14" t="n">
        <x:v>0.8135813582036342</x:v>
      </x:c>
      <x:c r="O618" s="14" t="n">
        <x:v>0.18641864179636577</x:v>
      </x:c>
      <x:c r="P618" s="14" t="n">
        <x:v>0.45740863881100124</x:v>
      </x:c>
      <x:c r="Q618" s="14" t="n">
        <x:v>0.20693004771463622</x:v>
      </x:c>
      <x:c r="R618" s="14" t="n">
        <x:v>0.19397931133430563</x:v>
      </x:c>
      <x:c r="S618" s="14" t="n">
        <x:v>0.268317038595849</x:v>
      </x:c>
      <x:c r="T618" t="str">
        <x:v>평일집중·야간활성</x:v>
      </x:c>
      <x:c r="U618" s="16" t="n">
        <x:v>67.76793780989532</x:v>
      </x:c>
      <x:c r="V618" t="str">
        <x:v>철물점</x:v>
      </x:c>
      <x:c r="W618" t="str">
        <x:v>철물점 / 한식음식점 / 호프-간이주점</x:v>
      </x:c>
      <x:c r="X618" s="16" t="n">
        <x:v>62.552756479979756</x:v>
      </x:c>
    </x:row>
    <x:row r="619">
      <x:c r="A619" t="str">
        <x:v>3110392</x:v>
      </x:c>
      <x:c r="B619" t="str">
        <x:v>발바닥공원</x:v>
      </x:c>
      <x:c r="C619" t="str">
        <x:v>골목상권</x:v>
      </x:c>
      <x:c r="D619" t="str">
        <x:v>도봉구</x:v>
      </x:c>
      <x:c r="E619" t="str">
        <x:v>쌍문4동</x:v>
      </x:c>
      <x:c r="F619" s="12" t="n">
        <x:v>10355</x:v>
      </x:c>
      <x:c r="G619" s="12" t="n">
        <x:v>5531654813</x:v>
      </x:c>
      <x:c r="H619" s="12" t="n">
        <x:v>210290</x:v>
      </x:c>
      <x:c r="I619" s="12" t="n">
        <x:v>26304.887598078843</x:v>
      </x:c>
      <x:c r="J619" s="12" t="n">
        <x:v>534201.3339449541</x:v>
      </x:c>
      <x:c r="K619" s="12" t="n">
        <x:v>265</x:v>
      </x:c>
      <x:c r="L619" s="12" t="n">
        <x:v>255.9150169000483</x:v>
      </x:c>
      <x:c r="M619" s="12" t="n">
        <x:v>6</x:v>
      </x:c>
      <x:c r="N619" s="14" t="n">
        <x:v>0.7937867732962607</x:v>
      </x:c>
      <x:c r="O619" s="14" t="n">
        <x:v>0.20621322670373937</x:v>
      </x:c>
      <x:c r="P619" s="14" t="n">
        <x:v>0.2925526981902079</x:v>
      </x:c>
      <x:c r="Q619" s="14" t="n">
        <x:v>0.22006771990528398</x:v>
      </x:c>
      <x:c r="R619" s="14" t="n">
        <x:v>0.13114719781413084</x:v>
      </x:c>
      <x:c r="S619" s="14" t="n">
        <x:v>0.5748892637925345</x:v>
      </x:c>
      <x:c r="T619" t="str">
        <x:v>고매출밀도·여성소비</x:v>
      </x:c>
      <x:c r="U619" s="16" t="n">
        <x:v>77.99377957497073</x:v>
      </x:c>
      <x:c r="V619" t="str">
        <x:v>일반의원</x:v>
      </x:c>
      <x:c r="W619" t="str">
        <x:v>일반의원 / 일반교습학원 / 스포츠 강습</x:v>
      </x:c>
      <x:c r="X619" s="16" t="n">
        <x:v>66.00887679222221</x:v>
      </x:c>
    </x:row>
    <x:row r="620">
      <x:c r="A620" t="str">
        <x:v>3110449</x:v>
      </x:c>
      <x:c r="B620" t="str">
        <x:v>증산역 3번</x:v>
      </x:c>
      <x:c r="C620" t="str">
        <x:v>골목상권</x:v>
      </x:c>
      <x:c r="D620" t="str">
        <x:v>은평구</x:v>
      </x:c>
      <x:c r="E620" t="str">
        <x:v>증산동</x:v>
      </x:c>
      <x:c r="F620" s="12" t="n">
        <x:v>154127</x:v>
      </x:c>
      <x:c r="G620" s="12" t="n">
        <x:v>5508506548</x:v>
      </x:c>
      <x:c r="H620" s="12" t="n">
        <x:v>119933</x:v>
      </x:c>
      <x:c r="I620" s="12" t="n">
        <x:v>45929.86540818624</x:v>
      </x:c>
      <x:c r="J620" s="12" t="n">
        <x:v>35740.049102363635</x:v>
      </x:c>
      <x:c r="K620" s="12" t="n">
        <x:v>809</x:v>
      </x:c>
      <x:c r="L620" s="12" t="n">
        <x:v>52.48918100008434</x:v>
      </x:c>
      <x:c r="M620" s="12" t="n">
        <x:v>16</x:v>
      </x:c>
      <x:c r="N620" s="14" t="n">
        <x:v>0.9130006046422875</x:v>
      </x:c>
      <x:c r="O620" s="14" t="n">
        <x:v>0.08699939535771248</x:v>
      </x:c>
      <x:c r="P620" s="14" t="n">
        <x:v>0.17875896677612518</x:v>
      </x:c>
      <x:c r="Q620" s="14" t="n">
        <x:v>0.2830076405311736</x:v>
      </x:c>
      <x:c r="R620" s="14" t="n">
        <x:v>0.09439452734948442</x:v>
      </x:c>
      <x:c r="S620" s="14" t="n">
        <x:v>0.6292695128516347</x:v>
      </x:c>
      <x:c r="T620" t="str">
        <x:v>여성소비·평일집중</x:v>
      </x:c>
      <x:c r="U620" s="16" t="n">
        <x:v>81.79088776672037</x:v>
      </x:c>
      <x:c r="V620" t="str">
        <x:v>슈퍼마켓</x:v>
      </x:c>
      <x:c r="W620" t="str">
        <x:v>슈퍼마켓 / 세탁소 / 커피-음료</x:v>
      </x:c>
      <x:c r="X620" s="16" t="n">
        <x:v>65.31728196167805</x:v>
      </x:c>
    </x:row>
    <x:row r="621">
      <x:c r="A621" t="str">
        <x:v>3110760</x:v>
      </x:c>
      <x:c r="B621" t="str">
        <x:v>선유도역 6번</x:v>
      </x:c>
      <x:c r="C621" t="str">
        <x:v>골목상권</x:v>
      </x:c>
      <x:c r="D621" t="str">
        <x:v>영등포구</x:v>
      </x:c>
      <x:c r="E621" t="str">
        <x:v>양평2동</x:v>
      </x:c>
      <x:c r="F621" s="12" t="n">
        <x:v>153365</x:v>
      </x:c>
      <x:c r="G621" s="12" t="n">
        <x:v>5465456696</x:v>
      </x:c>
      <x:c r="H621" s="12" t="n">
        <x:v>317901</x:v>
      </x:c>
      <x:c r="I621" s="12" t="n">
        <x:v>17192.323069131584</x:v>
      </x:c>
      <x:c r="J621" s="12" t="n">
        <x:v>35636.92300068464</x:v>
      </x:c>
      <x:c r="K621" s="12" t="n">
        <x:v>6117</x:v>
      </x:c>
      <x:c r="L621" s="12" t="n">
        <x:v>398.85241091513706</x:v>
      </x:c>
      <x:c r="M621" s="12" t="n">
        <x:v>12</x:v>
      </x:c>
      <x:c r="N621" s="14" t="n">
        <x:v>0.8699343762946173</x:v>
      </x:c>
      <x:c r="O621" s="14" t="n">
        <x:v>0.13006562370538266</x:v>
      </x:c>
      <x:c r="P621" s="14" t="n">
        <x:v>0.33973834635977507</x:v>
      </x:c>
      <x:c r="Q621" s="14" t="n">
        <x:v>0.3778636626123952</x:v>
      </x:c>
      <x:c r="R621" s="14" t="n">
        <x:v>0.2680709539007571</x:v>
      </x:c>
      <x:c r="S621" s="14" t="n">
        <x:v>0.2405596591703377</x:v>
      </x:c>
      <x:c r="T621" t="str">
        <x:v>평일집중·직장밀집</x:v>
      </x:c>
      <x:c r="U621" s="16" t="n">
        <x:v>68.50439838246159</x:v>
      </x:c>
      <x:c r="V621" t="str">
        <x:v>한식음식점</x:v>
      </x:c>
      <x:c r="W621" t="str">
        <x:v>한식음식점 / 자동차미용 / 커피-음료</x:v>
      </x:c>
      <x:c r="X621" s="16" t="n">
        <x:v>63.31500273650869</x:v>
      </x:c>
    </x:row>
    <x:row r="622">
      <x:c r="A622" t="str">
        <x:v>3120116</x:v>
      </x:c>
      <x:c r="B622" t="str">
        <x:v>송정역</x:v>
      </x:c>
      <x:c r="C622" t="str">
        <x:v>발달상권</x:v>
      </x:c>
      <x:c r="D622" t="str">
        <x:v>강서구</x:v>
      </x:c>
      <x:c r="E622" t="str">
        <x:v>공항동</x:v>
      </x:c>
      <x:c r="F622" s="12" t="n">
        <x:v>61122</x:v>
      </x:c>
      <x:c r="G622" s="12" t="n">
        <x:v>5463811621</x:v>
      </x:c>
      <x:c r="H622" s="12" t="n">
        <x:v>166553</x:v>
      </x:c>
      <x:c r="I622" s="12" t="n">
        <x:v>32805.24290165893</x:v>
      </x:c>
      <x:c r="J622" s="12" t="n">
        <x:v>89391.89851444651</x:v>
      </x:c>
      <x:c r="K622" s="12" t="n">
        <x:v>791</x:v>
      </x:c>
      <x:c r="L622" s="12" t="n">
        <x:v>129.41330453846405</x:v>
      </x:c>
      <x:c r="M622" s="12" t="n">
        <x:v>12</x:v>
      </x:c>
      <x:c r="N622" s="14" t="n">
        <x:v>0.7600245868725568</x:v>
      </x:c>
      <x:c r="O622" s="14" t="n">
        <x:v>0.2399754131274432</x:v>
      </x:c>
      <x:c r="P622" s="14" t="n">
        <x:v>0.5668396322626439</x:v>
      </x:c>
      <x:c r="Q622" s="14" t="n">
        <x:v>0.15867197830684507</x:v>
      </x:c>
      <x:c r="R622" s="14" t="n">
        <x:v>0.26796642519165653</x:v>
      </x:c>
      <x:c r="S622" s="14" t="n">
        <x:v>0.3013150617551278</x:v>
      </x:c>
      <x:c r="T622" t="str">
        <x:v>야간활성·2030소비</x:v>
      </x:c>
      <x:c r="U622" s="16" t="n">
        <x:v>76.40006616457774</x:v>
      </x:c>
      <x:c r="V622" t="str">
        <x:v>미용실</x:v>
      </x:c>
      <x:c r="W622" t="str">
        <x:v>미용실 / 핸드폰 / 노래방</x:v>
      </x:c>
      <x:c r="X622" s="16" t="n">
        <x:v>65.65895309440629</x:v>
      </x:c>
    </x:row>
    <x:row r="623">
      <x:c r="A623" t="str">
        <x:v>3130306</x:v>
      </x:c>
      <x:c r="B623" t="str">
        <x:v>강남언주로</x:v>
      </x:c>
      <x:c r="C623" t="str">
        <x:v>전통시장</x:v>
      </x:c>
      <x:c r="D623" t="str">
        <x:v>강남구</x:v>
      </x:c>
      <x:c r="E623" t="str">
        <x:v>역삼1동</x:v>
      </x:c>
      <x:c r="F623" s="12" t="n">
        <x:v>22922</x:v>
      </x:c>
      <x:c r="G623" s="12" t="n">
        <x:v>5458275946</x:v>
      </x:c>
      <x:c r="H623" s="12" t="n">
        <x:v>118171</x:v>
      </x:c>
      <x:c r="I623" s="12" t="n">
        <x:v>46189.63997935196</x:v>
      </x:c>
      <x:c r="J623" s="12" t="n">
        <x:v>238123.8960823663</x:v>
      </x:c>
      <x:c r="K623" s="12" t="n">
        <x:v>940</x:v>
      </x:c>
      <x:c r="L623" s="12" t="n">
        <x:v>410.08637989704215</x:v>
      </x:c>
      <x:c r="M623" s="12" t="n">
        <x:v>8</x:v>
      </x:c>
      <x:c r="N623" s="14" t="n">
        <x:v>0.8857159223587557</x:v>
      </x:c>
      <x:c r="O623" s="14" t="n">
        <x:v>0.11428407764124426</x:v>
      </x:c>
      <x:c r="P623" s="14" t="n">
        <x:v>0.5715536616074192</x:v>
      </x:c>
      <x:c r="Q623" s="14" t="n">
        <x:v>0.33308019564901636</x:v>
      </x:c>
      <x:c r="R623" s="14" t="n">
        <x:v>0.2884465986285993</x:v>
      </x:c>
      <x:c r="S623" s="14" t="n">
        <x:v>0.22223277166646935</x:v>
      </x:c>
      <x:c r="T623" t="str">
        <x:v>평일집중·야간활성</x:v>
      </x:c>
      <x:c r="U623" s="16" t="n">
        <x:v>58.21222426172274</x:v>
      </x:c>
      <x:c r="V623" t="str">
        <x:v>한식음식점</x:v>
      </x:c>
      <x:c r="W623" t="str">
        <x:v>한식음식점 / 커피-음료 / 노래방</x:v>
      </x:c>
      <x:c r="X623" s="16" t="n">
        <x:v>51.72569421916372</x:v>
      </x:c>
    </x:row>
    <x:row r="624">
      <x:c r="A624" t="str">
        <x:v>3130242</x:v>
      </x:c>
      <x:c r="B624" t="str">
        <x:v>대림중앙 골목형상점가</x:v>
      </x:c>
      <x:c r="C624" t="str">
        <x:v>전통시장</x:v>
      </x:c>
      <x:c r="D624" t="str">
        <x:v>영등포구</x:v>
      </x:c>
      <x:c r="E624" t="str">
        <x:v>대림2동</x:v>
      </x:c>
      <x:c r="F624" s="12" t="n">
        <x:v>19474</x:v>
      </x:c>
      <x:c r="G624" s="12" t="n">
        <x:v>5450840047</x:v>
      </x:c>
      <x:c r="H624" s="12" t="n">
        <x:v>236517</x:v>
      </x:c>
      <x:c r="I624" s="12" t="n">
        <x:v>23046.29285421344</x:v>
      </x:c>
      <x:c r="J624" s="12" t="n">
        <x:v>279903.46343843074</x:v>
      </x:c>
      <x:c r="K624" s="12" t="n">
        <x:v>166</x:v>
      </x:c>
      <x:c r="L624" s="12" t="n">
        <x:v>85.24186094279553</x:v>
      </x:c>
      <x:c r="M624" s="12" t="n">
        <x:v>5</x:v>
      </x:c>
      <x:c r="N624" s="14" t="n">
        <x:v>0.5848151003356713</x:v>
      </x:c>
      <x:c r="O624" s="14" t="n">
        <x:v>0.41518489966432875</x:v>
      </x:c>
      <x:c r="P624" s="14" t="n">
        <x:v>0.3851717406669299</x:v>
      </x:c>
      <x:c r="Q624" s="14" t="n">
        <x:v>0.27573124711799124</x:v>
      </x:c>
      <x:c r="R624" s="14" t="n">
        <x:v>0.17595429947130128</x:v>
      </x:c>
      <x:c r="S624" s="14" t="n">
        <x:v>0.5108498143387182</x:v>
      </x:c>
      <x:c r="T624" t="str">
        <x:v>고매출밀도·여성소비</x:v>
      </x:c>
      <x:c r="U624" s="16" t="n">
        <x:v>64.23350649152148</x:v>
      </x:c>
      <x:c r="V624" t="str">
        <x:v>중식음식점</x:v>
      </x:c>
      <x:c r="W624" t="str">
        <x:v>중식음식점 / 슈퍼마켓 / 노래방</x:v>
      </x:c>
      <x:c r="X624" s="16" t="n">
        <x:v>49.39979324842134</x:v>
      </x:c>
    </x:row>
    <x:row r="625">
      <x:c r="A625" t="str">
        <x:v>3110240</x:v>
      </x:c>
      <x:c r="B625" t="str">
        <x:v>태릉시장 특화거리</x:v>
      </x:c>
      <x:c r="C625" t="str">
        <x:v>골목상권</x:v>
      </x:c>
      <x:c r="D625" t="str">
        <x:v>중랑구</x:v>
      </x:c>
      <x:c r="E625" t="str">
        <x:v>중화2동</x:v>
      </x:c>
      <x:c r="F625" s="12" t="n">
        <x:v>45536</x:v>
      </x:c>
      <x:c r="G625" s="12" t="n">
        <x:v>5412666355</x:v>
      </x:c>
      <x:c r="H625" s="12" t="n">
        <x:v>184035</x:v>
      </x:c>
      <x:c r="I625" s="12" t="n">
        <x:v>29411.070475724726</x:v>
      </x:c>
      <x:c r="J625" s="12" t="n">
        <x:v>118865.65256061139</x:v>
      </x:c>
      <x:c r="K625" s="12" t="n">
        <x:v>18</x:v>
      </x:c>
      <x:c r="L625" s="12" t="n">
        <x:v>3.9529163738580464</x:v>
      </x:c>
      <x:c r="M625" s="12" t="n">
        <x:v>14</x:v>
      </x:c>
      <x:c r="N625" s="14" t="n">
        <x:v>0.7275421699256022</x:v>
      </x:c>
      <x:c r="O625" s="14" t="n">
        <x:v>0.2724578300743978</x:v>
      </x:c>
      <x:c r="P625" s="14" t="n">
        <x:v>0.4785291326163776</x:v>
      </x:c>
      <x:c r="Q625" s="14" t="n">
        <x:v>0.1669948315149752</x:v>
      </x:c>
      <x:c r="R625" s="14" t="n">
        <x:v>0.2312044748230191</x:v>
      </x:c>
      <x:c r="S625" s="14" t="n">
        <x:v>0.475243845692388</x:v>
      </x:c>
      <x:c r="T625" t="str">
        <x:v>야간활성·고매출밀도</x:v>
      </x:c>
      <x:c r="U625" s="16" t="n">
        <x:v>60.09717796692562</x:v>
      </x:c>
      <x:c r="V625" t="str">
        <x:v>육류판매</x:v>
      </x:c>
      <x:c r="W625" t="str">
        <x:v>육류판매 / 인테리어 / 한식음식점</x:v>
      </x:c>
      <x:c r="X625" s="16" t="n">
        <x:v>55.23811513858605</x:v>
      </x:c>
    </x:row>
    <x:row r="626">
      <x:c r="A626" t="str">
        <x:v>3110532</x:v>
      </x:c>
      <x:c r="B626" t="str">
        <x:v>아현역 2번</x:v>
      </x:c>
      <x:c r="C626" t="str">
        <x:v>골목상권</x:v>
      </x:c>
      <x:c r="D626" t="str">
        <x:v>서대문구</x:v>
      </x:c>
      <x:c r="E626" t="str">
        <x:v>북아현동</x:v>
      </x:c>
      <x:c r="F626" s="12" t="n">
        <x:v>61152</x:v>
      </x:c>
      <x:c r="G626" s="12" t="n">
        <x:v>5411470150</x:v>
      </x:c>
      <x:c r="H626" s="12" t="n">
        <x:v>279401</x:v>
      </x:c>
      <x:c r="I626" s="12" t="n">
        <x:v>19368.113034670598</x:v>
      </x:c>
      <x:c r="J626" s="12" t="n">
        <x:v>88492.12045395082</x:v>
      </x:c>
      <x:c r="K626" s="12" t="n">
        <x:v>426</x:v>
      </x:c>
      <x:c r="L626" s="12" t="n">
        <x:v>69.66248037676608</x:v>
      </x:c>
      <x:c r="M626" s="12" t="n">
        <x:v>12</x:v>
      </x:c>
      <x:c r="N626" s="14" t="n">
        <x:v>0.7370245399949217</x:v>
      </x:c>
      <x:c r="O626" s="14" t="n">
        <x:v>0.26297546000507827</x:v>
      </x:c>
      <x:c r="P626" s="14" t="n">
        <x:v>0.2658031638592703</x:v>
      </x:c>
      <x:c r="Q626" s="14" t="n">
        <x:v>0.26257602769923805</x:v>
      </x:c>
      <x:c r="R626" s="14" t="n">
        <x:v>0.17142383442695328</x:v>
      </x:c>
      <x:c r="S626" s="14" t="n">
        <x:v>0.4983798193915936</x:v>
      </x:c>
      <x:c r="T626" t="str">
        <x:v>여성소비·고매출밀도</x:v>
      </x:c>
      <x:c r="U626" s="16" t="n">
        <x:v>78.66281288968642</x:v>
      </x:c>
      <x:c r="V626" t="str">
        <x:v>가전제품</x:v>
      </x:c>
      <x:c r="W626" t="str">
        <x:v>가전제품 / 일반의원 / 일반의류</x:v>
      </x:c>
      <x:c r="X626" s="16" t="n">
        <x:v>66.19551940070346</x:v>
      </x:c>
    </x:row>
    <x:row r="627">
      <x:c r="A627" t="str">
        <x:v>3110744</x:v>
      </x:c>
      <x:c r="B627" t="str">
        <x:v>독산동성당</x:v>
      </x:c>
      <x:c r="C627" t="str">
        <x:v>골목상권</x:v>
      </x:c>
      <x:c r="D627" t="str">
        <x:v>금천구</x:v>
      </x:c>
      <x:c r="E627" t="str">
        <x:v>독산4동</x:v>
      </x:c>
      <x:c r="F627" s="12" t="n">
        <x:v>207152</x:v>
      </x:c>
      <x:c r="G627" s="12" t="n">
        <x:v>5397220763</x:v>
      </x:c>
      <x:c r="H627" s="12" t="n">
        <x:v>310157</x:v>
      </x:c>
      <x:c r="I627" s="12" t="n">
        <x:v>17401.576501578234</x:v>
      </x:c>
      <x:c r="J627" s="12" t="n">
        <x:v>26054.398523789296</x:v>
      </x:c>
      <x:c r="K627" s="12" t="n">
        <x:v>429</x:v>
      </x:c>
      <x:c r="L627" s="12" t="n">
        <x:v>20.709430756159726</x:v>
      </x:c>
      <x:c r="M627" s="12" t="n">
        <x:v>21</x:v>
      </x:c>
      <x:c r="N627" s="14" t="n">
        <x:v>0.7195007557633232</x:v>
      </x:c>
      <x:c r="O627" s="14" t="n">
        <x:v>0.28049924423667677</x:v>
      </x:c>
      <x:c r="P627" s="14" t="n">
        <x:v>0.4538162744409497</x:v>
      </x:c>
      <x:c r="Q627" s="14" t="n">
        <x:v>0.19366874135772683</x:v>
      </x:c>
      <x:c r="R627" s="14" t="n">
        <x:v>0.1486368600112791</x:v>
      </x:c>
      <x:c r="S627" s="14" t="n">
        <x:v>0.4402456700102189</x:v>
      </x:c>
      <x:c r="T627" t="str">
        <x:v>야간활성</x:v>
      </x:c>
      <x:c r="U627" s="16" t="n">
        <x:v>72.07091781813997</x:v>
      </x:c>
      <x:c r="V627" t="str">
        <x:v>인테리어</x:v>
      </x:c>
      <x:c r="W627" t="str">
        <x:v>인테리어 / 미용실 / 화장품</x:v>
      </x:c>
      <x:c r="X627" s="16" t="n">
        <x:v>65.11589600486934</x:v>
      </x:c>
    </x:row>
    <x:row r="628">
      <x:c r="A628" t="str">
        <x:v>3110673</x:v>
      </x:c>
      <x:c r="B628" t="str">
        <x:v>뜸부기어린이공원</x:v>
      </x:c>
      <x:c r="C628" t="str">
        <x:v>골목상권</x:v>
      </x:c>
      <x:c r="D628" t="str">
        <x:v>강서구</x:v>
      </x:c>
      <x:c r="E628" t="str">
        <x:v>화곡4동</x:v>
      </x:c>
      <x:c r="F628" s="12" t="n">
        <x:v>145209</x:v>
      </x:c>
      <x:c r="G628" s="12" t="n">
        <x:v>5377057018</x:v>
      </x:c>
      <x:c r="H628" s="12" t="n">
        <x:v>151690</x:v>
      </x:c>
      <x:c r="I628" s="12" t="n">
        <x:v>35447.669707957015</x:v>
      </x:c>
      <x:c r="J628" s="12" t="n">
        <x:v>37029.77789255487</x:v>
      </x:c>
      <x:c r="K628" s="12" t="n">
        <x:v>723</x:v>
      </x:c>
      <x:c r="L628" s="12" t="n">
        <x:v>49.79030225399252</x:v>
      </x:c>
      <x:c r="M628" s="12" t="n">
        <x:v>13</x:v>
      </x:c>
      <x:c r="N628" s="14" t="n">
        <x:v>0.8894550033577494</x:v>
      </x:c>
      <x:c r="O628" s="14" t="n">
        <x:v>0.11054499664225059</x:v>
      </x:c>
      <x:c r="P628" s="14" t="n">
        <x:v>0.23797902806616658</x:v>
      </x:c>
      <x:c r="Q628" s="14" t="n">
        <x:v>0.21199107247406168</x:v>
      </x:c>
      <x:c r="R628" s="14" t="n">
        <x:v>0.21830842802493042</x:v>
      </x:c>
      <x:c r="S628" s="14" t="n">
        <x:v>0.2768867882590863</x:v>
      </x:c>
      <x:c r="T628" t="str">
        <x:v>평일집중</x:v>
      </x:c>
      <x:c r="U628" s="16" t="n">
        <x:v>67.49961341965567</x:v>
      </x:c>
      <x:c r="V628" t="str">
        <x:v>인테리어</x:v>
      </x:c>
      <x:c r="W628" t="str">
        <x:v>인테리어 / 문구 / 자동차수리</x:v>
      </x:c>
      <x:c r="X628" s="16" t="n">
        <x:v>62.03857871658844</x:v>
      </x:c>
    </x:row>
    <x:row r="629">
      <x:c r="A629" t="str">
        <x:v>3110134</x:v>
      </x:c>
      <x:c r="B629" t="str">
        <x:v>성수119안전센터</x:v>
      </x:c>
      <x:c r="C629" t="str">
        <x:v>골목상권</x:v>
      </x:c>
      <x:c r="D629" t="str">
        <x:v>성동구</x:v>
      </x:c>
      <x:c r="E629" t="str">
        <x:v>성수2가1동</x:v>
      </x:c>
      <x:c r="F629" s="12" t="n">
        <x:v>222826</x:v>
      </x:c>
      <x:c r="G629" s="12" t="n">
        <x:v>5320822386</x:v>
      </x:c>
      <x:c r="H629" s="12" t="n">
        <x:v>323743</x:v>
      </x:c>
      <x:c r="I629" s="12" t="n">
        <x:v>16435.327979292215</x:v>
      </x:c>
      <x:c r="J629" s="12" t="n">
        <x:v>23878.821977686624</x:v>
      </x:c>
      <x:c r="K629" s="12" t="n">
        <x:v>601</x:v>
      </x:c>
      <x:c r="L629" s="12" t="n">
        <x:v>26.971717842621594</x:v>
      </x:c>
      <x:c r="M629" s="12" t="n">
        <x:v>20</x:v>
      </x:c>
      <x:c r="N629" s="14" t="n">
        <x:v>0.7142339526309458</x:v>
      </x:c>
      <x:c r="O629" s="14" t="n">
        <x:v>0.2857660473690542</x:v>
      </x:c>
      <x:c r="P629" s="14" t="n">
        <x:v>0.4853367817341009</x:v>
      </x:c>
      <x:c r="Q629" s="14" t="n">
        <x:v>0.15693652924726662</x:v>
      </x:c>
      <x:c r="R629" s="14" t="n">
        <x:v>0.37922112403321256</x:v>
      </x:c>
      <x:c r="S629" s="14" t="n">
        <x:v>0.40271837275344075</x:v>
      </x:c>
      <x:c r="T629" t="str">
        <x:v>2030소비·야간활성</x:v>
      </x:c>
      <x:c r="U629" s="16" t="n">
        <x:v>73.24103449731895</x:v>
      </x:c>
      <x:c r="V629" t="str">
        <x:v>세탁소</x:v>
      </x:c>
      <x:c r="W629" t="str">
        <x:v>세탁소 / 한식음식점 / 여관</x:v>
      </x:c>
      <x:c r="X629" s="16" t="n">
        <x:v>59.060188445283096</x:v>
      </x:c>
    </x:row>
    <x:row r="630">
      <x:c r="A630" t="str">
        <x:v>3130240</x:v>
      </x:c>
      <x:c r="B630" t="str">
        <x:v>영등포유통상가</x:v>
      </x:c>
      <x:c r="C630" t="str">
        <x:v>전통시장</x:v>
      </x:c>
      <x:c r="D630" t="str">
        <x:v>영등포구</x:v>
      </x:c>
      <x:c r="E630" t="str">
        <x:v>당산1동</x:v>
      </x:c>
      <x:c r="F630" s="12" t="n">
        <x:v>47667</x:v>
      </x:c>
      <x:c r="G630" s="12" t="n">
        <x:v>5313063503</x:v>
      </x:c>
      <x:c r="H630" s="12" t="n">
        <x:v>292711</x:v>
      </x:c>
      <x:c r="I630" s="12" t="n">
        <x:v>18151.225963493</x:v>
      </x:c>
      <x:c r="J630" s="12" t="n">
        <x:v>111462.09123712422</x:v>
      </x:c>
      <x:c r="K630" s="12" t="n">
        <x:v>1053</x:v>
      </x:c>
      <x:c r="L630" s="12" t="n">
        <x:v>220.9075461010762</x:v>
      </x:c>
      <x:c r="M630" s="12" t="n">
        <x:v>13</x:v>
      </x:c>
      <x:c r="N630" s="14" t="n">
        <x:v>0.8331268793419502</x:v>
      </x:c>
      <x:c r="O630" s="14" t="n">
        <x:v>0.16687312065804985</x:v>
      </x:c>
      <x:c r="P630" s="14" t="n">
        <x:v>0.3629271626268383</x:v>
      </x:c>
      <x:c r="Q630" s="14" t="n">
        <x:v>0.24329098480944694</x:v>
      </x:c>
      <x:c r="R630" s="14" t="n">
        <x:v>0.23906595738650632</x:v>
      </x:c>
      <x:c r="S630" s="14" t="n">
        <x:v>0.37792630576807923</x:v>
      </x:c>
      <x:c r="T630" t="str">
        <x:v>평일집중·직장밀집</x:v>
      </x:c>
      <x:c r="U630" s="16" t="n">
        <x:v>63.18873255295583</x:v>
      </x:c>
      <x:c r="V630" t="str">
        <x:v>핸드폰</x:v>
      </x:c>
      <x:c r="W630" t="str">
        <x:v>핸드폰 / 일반의류 / 슈퍼마켓</x:v>
      </x:c>
      <x:c r="X630" s="16" t="n">
        <x:v>58.718506086055775</x:v>
      </x:c>
    </x:row>
    <x:row r="631">
      <x:c r="A631" t="str">
        <x:v>3110826</x:v>
      </x:c>
      <x:c r="B631" t="str">
        <x:v>장승배기역 4번</x:v>
      </x:c>
      <x:c r="C631" t="str">
        <x:v>골목상권</x:v>
      </x:c>
      <x:c r="D631" t="str">
        <x:v>동작구</x:v>
      </x:c>
      <x:c r="E631" t="str">
        <x:v>상도2동</x:v>
      </x:c>
      <x:c r="F631" s="12" t="n">
        <x:v>115676</x:v>
      </x:c>
      <x:c r="G631" s="12" t="n">
        <x:v>5312116514</x:v>
      </x:c>
      <x:c r="H631" s="12" t="n">
        <x:v>330921</x:v>
      </x:c>
      <x:c r="I631" s="12" t="n">
        <x:v>16052.521641116762</x:v>
      </x:c>
      <x:c r="J631" s="12" t="n">
        <x:v>45922.37381997994</x:v>
      </x:c>
      <x:c r="K631" s="12" t="n">
        <x:v>489</x:v>
      </x:c>
      <x:c r="L631" s="12" t="n">
        <x:v>42.273245962861786</x:v>
      </x:c>
      <x:c r="M631" s="12" t="n">
        <x:v>11</x:v>
      </x:c>
      <x:c r="N631" s="14" t="n">
        <x:v>0.6912218126848112</x:v>
      </x:c>
      <x:c r="O631" s="14" t="n">
        <x:v>0.30877818731518886</x:v>
      </x:c>
      <x:c r="P631" s="14" t="n">
        <x:v>0.5530280464025229</x:v>
      </x:c>
      <x:c r="Q631" s="14" t="n">
        <x:v>0.17651551797269183</x:v>
      </x:c>
      <x:c r="R631" s="14" t="n">
        <x:v>0.2788255952399466</x:v>
      </x:c>
      <x:c r="S631" s="14" t="n">
        <x:v>0.4123750819897773</x:v>
      </x:c>
      <x:c r="T631" t="str">
        <x:v>야간활성·2030소비</x:v>
      </x:c>
      <x:c r="U631" s="16" t="n">
        <x:v>60.741325171457255</x:v>
      </x:c>
      <x:c r="V631" t="str">
        <x:v>커피-음료</x:v>
      </x:c>
      <x:c r="W631" t="str">
        <x:v>커피-음료 / 한식음식점 / 미용실</x:v>
      </x:c>
      <x:c r="X631" s="16" t="n">
        <x:v>55.26436933655272</x:v>
      </x:c>
    </x:row>
    <x:row r="632">
      <x:c r="A632" t="str">
        <x:v>3130316</x:v>
      </x:c>
      <x:c r="B632" t="str">
        <x:v>마천시장</x:v>
      </x:c>
      <x:c r="C632" t="str">
        <x:v>전통시장</x:v>
      </x:c>
      <x:c r="D632" t="str">
        <x:v>송파구</x:v>
      </x:c>
      <x:c r="E632" t="str">
        <x:v>마천2동</x:v>
      </x:c>
      <x:c r="F632" s="12" t="n">
        <x:v>9557</x:v>
      </x:c>
      <x:c r="G632" s="12" t="n">
        <x:v>5310514027</x:v>
      </x:c>
      <x:c r="H632" s="12" t="n">
        <x:v>228577</x:v>
      </x:c>
      <x:c r="I632" s="12" t="n">
        <x:v>23232.93256539372</x:v>
      </x:c>
      <x:c r="J632" s="12" t="n">
        <x:v>555667.471696139</x:v>
      </x:c>
      <x:c r="K632" s="12" t="n">
        <x:v>69</x:v>
      </x:c>
      <x:c r="L632" s="12" t="n">
        <x:v>72.19838861567438</x:v>
      </x:c>
      <x:c r="M632" s="12" t="n">
        <x:v>7</x:v>
      </x:c>
      <x:c r="N632" s="14" t="n">
        <x:v>0.6331036149996407</x:v>
      </x:c>
      <x:c r="O632" s="14" t="n">
        <x:v>0.3668963850003592</x:v>
      </x:c>
      <x:c r="P632" s="14" t="n">
        <x:v>0.31740196418466216</x:v>
      </x:c>
      <x:c r="Q632" s="14" t="n">
        <x:v>0.26724138469166686</x:v>
      </x:c>
      <x:c r="R632" s="14" t="n">
        <x:v>0.11779618918611323</x:v>
      </x:c>
      <x:c r="S632" s="14" t="n">
        <x:v>0.5469146535030892</x:v>
      </x:c>
      <x:c r="T632" t="str">
        <x:v>고매출밀도·여성소비</x:v>
      </x:c>
      <x:c r="U632" s="16" t="n">
        <x:v>70.25735517802651</x:v>
      </x:c>
      <x:c r="V632" t="str">
        <x:v>육류판매</x:v>
      </x:c>
      <x:c r="W632" t="str">
        <x:v>육류판매 / 수산물판매 / 반찬가게</x:v>
      </x:c>
      <x:c r="X632" s="16" t="n">
        <x:v>58.04806242543312</x:v>
      </x:c>
    </x:row>
    <x:row r="633">
      <x:c r="A633" t="str">
        <x:v>3110547</x:v>
      </x:c>
      <x:c r="B633" t="str">
        <x:v>KB국민은행 망원동지점</x:v>
      </x:c>
      <x:c r="C633" t="str">
        <x:v>골목상권</x:v>
      </x:c>
      <x:c r="D633" t="str">
        <x:v>마포구</x:v>
      </x:c>
      <x:c r="E633" t="str">
        <x:v>망원2동</x:v>
      </x:c>
      <x:c r="F633" s="12" t="n">
        <x:v>72666</x:v>
      </x:c>
      <x:c r="G633" s="12" t="n">
        <x:v>5308244940</x:v>
      </x:c>
      <x:c r="H633" s="12" t="n">
        <x:v>188449</x:v>
      </x:c>
      <x:c r="I633" s="12" t="n">
        <x:v>28168.071679870947</x:v>
      </x:c>
      <x:c r="J633" s="12" t="n">
        <x:v>73049.91247626125</x:v>
      </x:c>
      <x:c r="K633" s="12" t="n">
        <x:v>963</x:v>
      </x:c>
      <x:c r="L633" s="12" t="n">
        <x:v>132.5241515977211</x:v>
      </x:c>
      <x:c r="M633" s="12" t="n">
        <x:v>16</x:v>
      </x:c>
      <x:c r="N633" s="14" t="n">
        <x:v>0.695094943376897</x:v>
      </x:c>
      <x:c r="O633" s="14" t="n">
        <x:v>0.304905056623103</x:v>
      </x:c>
      <x:c r="P633" s="14" t="n">
        <x:v>0.513736843688302</x:v>
      </x:c>
      <x:c r="Q633" s="14" t="n">
        <x:v>0.22119238472819983</x:v>
      </x:c>
      <x:c r="R633" s="14" t="n">
        <x:v>0.37759674198455506</x:v>
      </x:c>
      <x:c r="S633" s="14" t="n">
        <x:v>0.42122486457831015</x:v>
      </x:c>
      <x:c r="T633" t="str">
        <x:v>2030소비·야간활성</x:v>
      </x:c>
      <x:c r="U633" s="16" t="n">
        <x:v>64.39062605981208</x:v>
      </x:c>
      <x:c r="V633" t="str">
        <x:v>호프-간이주점</x:v>
      </x:c>
      <x:c r="W633" t="str">
        <x:v>호프-간이주점 / 예술학원 / 스포츠 강습</x:v>
      </x:c>
      <x:c r="X633" s="16" t="n">
        <x:v>58.23999121424998</x:v>
      </x:c>
    </x:row>
    <x:row r="634">
      <x:c r="A634" t="str">
        <x:v>3110736</x:v>
      </x:c>
      <x:c r="B634" t="str">
        <x:v>독산119안전센터</x:v>
      </x:c>
      <x:c r="C634" t="str">
        <x:v>골목상권</x:v>
      </x:c>
      <x:c r="D634" t="str">
        <x:v>금천구</x:v>
      </x:c>
      <x:c r="E634" t="str">
        <x:v>독산4동</x:v>
      </x:c>
      <x:c r="F634" s="12" t="n">
        <x:v>124454</x:v>
      </x:c>
      <x:c r="G634" s="12" t="n">
        <x:v>5296273728</x:v>
      </x:c>
      <x:c r="H634" s="12" t="n">
        <x:v>140661</x:v>
      </x:c>
      <x:c r="I634" s="12" t="n">
        <x:v>37652.75185019302</x:v>
      </x:c>
      <x:c r="J634" s="12" t="n">
        <x:v>42556.07475854533</x:v>
      </x:c>
      <x:c r="K634" s="12" t="n">
        <x:v>477</x:v>
      </x:c>
      <x:c r="L634" s="12" t="n">
        <x:v>38.3274141449853</x:v>
      </x:c>
      <x:c r="M634" s="12" t="n">
        <x:v>11</x:v>
      </x:c>
      <x:c r="N634" s="14" t="n">
        <x:v>0.8073290518189773</x:v>
      </x:c>
      <x:c r="O634" s="14" t="n">
        <x:v>0.1926709481810227</x:v>
      </x:c>
      <x:c r="P634" s="14" t="n">
        <x:v>0.5729595487025402</x:v>
      </x:c>
      <x:c r="Q634" s="14" t="n">
        <x:v>0.1732695831313347</x:v>
      </x:c>
      <x:c r="R634" s="14" t="n">
        <x:v>0.16910504290309974</x:v>
      </x:c>
      <x:c r="S634" s="14" t="n">
        <x:v>0.2250056105861453</x:v>
      </x:c>
      <x:c r="T634" t="str">
        <x:v>야간활성·평일집중</x:v>
      </x:c>
      <x:c r="U634" s="16" t="n">
        <x:v>74.07876253920584</x:v>
      </x:c>
      <x:c r="V634" t="str">
        <x:v>자동차수리</x:v>
      </x:c>
      <x:c r="W634" t="str">
        <x:v>자동차수리 / 한식음식점 / 편의점</x:v>
      </x:c>
      <x:c r="X634" s="16" t="n">
        <x:v>60.12930153308098</x:v>
      </x:c>
    </x:row>
    <x:row r="635">
      <x:c r="A635" t="str">
        <x:v>3110792</x:v>
      </x:c>
      <x:c r="B635" t="str">
        <x:v>영등포역 2번</x:v>
      </x:c>
      <x:c r="C635" t="str">
        <x:v>골목상권</x:v>
      </x:c>
      <x:c r="D635" t="str">
        <x:v>영등포구</x:v>
      </x:c>
      <x:c r="E635" t="str">
        <x:v>도림동</x:v>
      </x:c>
      <x:c r="F635" s="12" t="n">
        <x:v>129915</x:v>
      </x:c>
      <x:c r="G635" s="12" t="n">
        <x:v>5280762036</x:v>
      </x:c>
      <x:c r="H635" s="12" t="n">
        <x:v>299449</x:v>
      </x:c>
      <x:c r="I635" s="12" t="n">
        <x:v>17634.929607378886</x:v>
      </x:c>
      <x:c r="J635" s="12" t="n">
        <x:v>40647.82385405842</x:v>
      </x:c>
      <x:c r="K635" s="12" t="n">
        <x:v>534</x:v>
      </x:c>
      <x:c r="L635" s="12" t="n">
        <x:v>41.10379863757072</x:v>
      </x:c>
      <x:c r="M635" s="12" t="n">
        <x:v>17</x:v>
      </x:c>
      <x:c r="N635" s="14" t="n">
        <x:v>0.7191197230838448</x:v>
      </x:c>
      <x:c r="O635" s="14" t="n">
        <x:v>0.2808802769161553</x:v>
      </x:c>
      <x:c r="P635" s="14" t="n">
        <x:v>0.4265276389363893</x:v>
      </x:c>
      <x:c r="Q635" s="14" t="n">
        <x:v>0.23314252689419993</x:v>
      </x:c>
      <x:c r="R635" s="14" t="n">
        <x:v>0.229430417947354</x:v>
      </x:c>
      <x:c r="S635" s="14" t="n">
        <x:v>0.4727751782754257</x:v>
      </x:c>
      <x:c r="T635" t="str">
        <x:v>여성소비·야간활성</x:v>
      </x:c>
      <x:c r="U635" s="16" t="n">
        <x:v>84.76471035605303</x:v>
      </x:c>
      <x:c r="V635" t="str">
        <x:v>육류판매</x:v>
      </x:c>
      <x:c r="W635" t="str">
        <x:v>육류판매 / 커피-음료 / 슈퍼마켓</x:v>
      </x:c>
      <x:c r="X635" s="16" t="n">
        <x:v>65.96788298578915</x:v>
      </x:c>
    </x:row>
    <x:row r="636">
      <x:c r="A636" t="str">
        <x:v>3110668</x:v>
      </x:c>
      <x:c r="B636" t="str">
        <x:v>화곡2동주민센터</x:v>
      </x:c>
      <x:c r="C636" t="str">
        <x:v>골목상권</x:v>
      </x:c>
      <x:c r="D636" t="str">
        <x:v>강서구</x:v>
      </x:c>
      <x:c r="E636" t="str">
        <x:v>화곡2동</x:v>
      </x:c>
      <x:c r="F636" s="12" t="n">
        <x:v>178678</x:v>
      </x:c>
      <x:c r="G636" s="12" t="n">
        <x:v>5249024096</x:v>
      </x:c>
      <x:c r="H636" s="12" t="n">
        <x:v>271224</x:v>
      </x:c>
      <x:c r="I636" s="12" t="n">
        <x:v>19353.095950210896</x:v>
      </x:c>
      <x:c r="J636" s="12" t="n">
        <x:v>29377.00274236336</x:v>
      </x:c>
      <x:c r="K636" s="12" t="n">
        <x:v>700</x:v>
      </x:c>
      <x:c r="L636" s="12" t="n">
        <x:v>39.176619393545934</x:v>
      </x:c>
      <x:c r="M636" s="12" t="n">
        <x:v>25</x:v>
      </x:c>
      <x:c r="N636" s="14" t="n">
        <x:v>0.7979672657993453</x:v>
      </x:c>
      <x:c r="O636" s="14" t="n">
        <x:v>0.20203273420065473</x:v>
      </x:c>
      <x:c r="P636" s="14" t="n">
        <x:v>0.4093378143638836</x:v>
      </x:c>
      <x:c r="Q636" s="14" t="n">
        <x:v>0.2373198305470305</x:v>
      </x:c>
      <x:c r="R636" s="14" t="n">
        <x:v>0.18459384435639672</x:v>
      </x:c>
      <x:c r="S636" s="14" t="n">
        <x:v>0.4726545355146337</x:v>
      </x:c>
      <x:c r="T636" t="str">
        <x:v>평일집중·여성소비</x:v>
      </x:c>
      <x:c r="U636" s="16" t="n">
        <x:v>71.21207014102431</x:v>
      </x:c>
      <x:c r="V636" t="str">
        <x:v>예술학원</x:v>
      </x:c>
      <x:c r="W636" t="str">
        <x:v>예술학원 / 철물점 / 피부관리실</x:v>
      </x:c>
      <x:c r="X636" s="16" t="n">
        <x:v>65.71670746555138</x:v>
      </x:c>
    </x:row>
    <x:row r="637">
      <x:c r="A637" t="str">
        <x:v>3110467</x:v>
      </x:c>
      <x:c r="B637" t="str">
        <x:v>은평요양병원</x:v>
      </x:c>
      <x:c r="C637" t="str">
        <x:v>골목상권</x:v>
      </x:c>
      <x:c r="D637" t="str">
        <x:v>은평구</x:v>
      </x:c>
      <x:c r="E637" t="str">
        <x:v>갈현1동</x:v>
      </x:c>
      <x:c r="F637" s="12" t="n">
        <x:v>59339</x:v>
      </x:c>
      <x:c r="G637" s="12" t="n">
        <x:v>5241926805</x:v>
      </x:c>
      <x:c r="H637" s="12" t="n">
        <x:v>184709</x:v>
      </x:c>
      <x:c r="I637" s="12" t="n">
        <x:v>28379.379483403623</x:v>
      </x:c>
      <x:c r="J637" s="12" t="n">
        <x:v>88338.64414634557</x:v>
      </x:c>
      <x:c r="K637" s="12" t="n">
        <x:v>384</x:v>
      </x:c>
      <x:c r="L637" s="12" t="n">
        <x:v>64.7129206761152</x:v>
      </x:c>
      <x:c r="M637" s="12" t="n">
        <x:v>14</x:v>
      </x:c>
      <x:c r="N637" s="14" t="n">
        <x:v>0.7279197260748475</x:v>
      </x:c>
      <x:c r="O637" s="14" t="n">
        <x:v>0.2720802739251526</x:v>
      </x:c>
      <x:c r="P637" s="14" t="n">
        <x:v>0.340933092445193</x:v>
      </x:c>
      <x:c r="Q637" s="14" t="n">
        <x:v>0.22753536654924733</x:v>
      </x:c>
      <x:c r="R637" s="14" t="n">
        <x:v>0.17339773862027438</x:v>
      </x:c>
      <x:c r="S637" s="14" t="n">
        <x:v>0.43081621148275456</x:v>
      </x:c>
      <x:c r="T637" t="str">
        <x:v>고매출밀도</x:v>
      </x:c>
      <x:c r="U637" s="16" t="n">
        <x:v>69.17550735909828</x:v>
      </x:c>
      <x:c r="V637" t="str">
        <x:v>육류판매</x:v>
      </x:c>
      <x:c r="W637" t="str">
        <x:v>육류판매 / 일반의류 / 미용실</x:v>
      </x:c>
      <x:c r="X637" s="16" t="n">
        <x:v>59.258260908266365</x:v>
      </x:c>
    </x:row>
    <x:row r="638">
      <x:c r="A638" t="str">
        <x:v>3110291</x:v>
      </x:c>
      <x:c r="B638" t="str">
        <x:v>한성대입구역 3번</x:v>
      </x:c>
      <x:c r="C638" t="str">
        <x:v>골목상권</x:v>
      </x:c>
      <x:c r="D638" t="str">
        <x:v>성북구</x:v>
      </x:c>
      <x:c r="E638" t="str">
        <x:v>삼선동</x:v>
      </x:c>
      <x:c r="F638" s="12" t="n">
        <x:v>175682</x:v>
      </x:c>
      <x:c r="G638" s="12" t="n">
        <x:v>5239394556</x:v>
      </x:c>
      <x:c r="H638" s="12" t="n">
        <x:v>259384</x:v>
      </x:c>
      <x:c r="I638" s="12" t="n">
        <x:v>20199.37450266786</x:v>
      </x:c>
      <x:c r="J638" s="12" t="n">
        <x:v>29823.17229995105</x:v>
      </x:c>
      <x:c r="K638" s="12" t="n">
        <x:v>462</x:v>
      </x:c>
      <x:c r="L638" s="12" t="n">
        <x:v>26.29751482792773</x:v>
      </x:c>
      <x:c r="M638" s="12" t="n">
        <x:v>18</x:v>
      </x:c>
      <x:c r="N638" s="14" t="n">
        <x:v>0.7477651578107263</x:v>
      </x:c>
      <x:c r="O638" s="14" t="n">
        <x:v>0.2522348421892737</x:v>
      </x:c>
      <x:c r="P638" s="14" t="n">
        <x:v>0.4264658124365162</x:v>
      </x:c>
      <x:c r="Q638" s="14" t="n">
        <x:v>0.189235176011814</x:v>
      </x:c>
      <x:c r="R638" s="14" t="n">
        <x:v>0.26488289022072264</x:v>
      </x:c>
      <x:c r="S638" s="14" t="n">
        <x:v>0.48919423181536015</x:v>
      </x:c>
      <x:c r="T638" t="str">
        <x:v>여성소비·2030소비</x:v>
      </x:c>
      <x:c r="U638" s="16" t="n">
        <x:v>61.35878620566605</x:v>
      </x:c>
      <x:c r="V638" t="str">
        <x:v>슈퍼마켓</x:v>
      </x:c>
      <x:c r="W638" t="str">
        <x:v>슈퍼마켓 / 미용실 / 일반교습학원</x:v>
      </x:c>
      <x:c r="X638" s="16" t="n">
        <x:v>56.588019793882665</x:v>
      </x:c>
    </x:row>
    <x:row r="639">
      <x:c r="A639" t="str">
        <x:v>3110355</x:v>
      </x:c>
      <x:c r="B639" t="str">
        <x:v>삼양사거리역 2번</x:v>
      </x:c>
      <x:c r="C639" t="str">
        <x:v>골목상권</x:v>
      </x:c>
      <x:c r="D639" t="str">
        <x:v>강북구</x:v>
      </x:c>
      <x:c r="E639" t="str">
        <x:v>삼양동</x:v>
      </x:c>
      <x:c r="F639" s="12" t="n">
        <x:v>101492</x:v>
      </x:c>
      <x:c r="G639" s="12" t="n">
        <x:v>5238870160</x:v>
      </x:c>
      <x:c r="H639" s="12" t="n">
        <x:v>261970</x:v>
      </x:c>
      <x:c r="I639" s="12" t="n">
        <x:v>19997.977478337216</x:v>
      </x:c>
      <x:c r="J639" s="12" t="n">
        <x:v>51618.55279233831</x:v>
      </x:c>
      <x:c r="K639" s="12" t="n">
        <x:v>35</x:v>
      </x:c>
      <x:c r="L639" s="12" t="n">
        <x:v>3.4485476687817758</x:v>
      </x:c>
      <x:c r="M639" s="12" t="n">
        <x:v>12</x:v>
      </x:c>
      <x:c r="N639" s="14" t="n">
        <x:v>0.8113585218153221</x:v>
      </x:c>
      <x:c r="O639" s="14" t="n">
        <x:v>0.18864147818467789</x:v>
      </x:c>
      <x:c r="P639" s="14" t="n">
        <x:v>0.2294572914172013</x:v>
      </x:c>
      <x:c r="Q639" s="14" t="n">
        <x:v>0.26871898653812026</x:v>
      </x:c>
      <x:c r="R639" s="14" t="n">
        <x:v>0.17636287534944367</x:v>
      </x:c>
      <x:c r="S639" s="14" t="n">
        <x:v>0.4959335218569341</x:v>
      </x:c>
      <x:c r="T639" t="str">
        <x:v>평일집중·여성소비</x:v>
      </x:c>
      <x:c r="U639" s="16" t="n">
        <x:v>71.87590507136966</x:v>
      </x:c>
      <x:c r="V639" t="str">
        <x:v>의약품</x:v>
      </x:c>
      <x:c r="W639" t="str">
        <x:v>의약품 / 일반의원 / 스포츠 강습</x:v>
      </x:c>
      <x:c r="X639" s="16" t="n">
        <x:v>56.60178951063066</x:v>
      </x:c>
    </x:row>
    <x:row r="640">
      <x:c r="A640" t="str">
        <x:v>3111061</x:v>
      </x:c>
      <x:c r="B640" t="str">
        <x:v>암사역 1번</x:v>
      </x:c>
      <x:c r="C640" t="str">
        <x:v>골목상권</x:v>
      </x:c>
      <x:c r="D640" t="str">
        <x:v>강동구</x:v>
      </x:c>
      <x:c r="E640" t="str">
        <x:v>암사1동</x:v>
      </x:c>
      <x:c r="F640" s="12" t="n">
        <x:v>175331</x:v>
      </x:c>
      <x:c r="G640" s="12" t="n">
        <x:v>5236224390</x:v>
      </x:c>
      <x:c r="H640" s="12" t="n">
        <x:v>301098</x:v>
      </x:c>
      <x:c r="I640" s="12" t="n">
        <x:v>17390.432317717154</x:v>
      </x:c>
      <x:c r="J640" s="12" t="n">
        <x:v>29864.795101835956</x:v>
      </x:c>
      <x:c r="K640" s="12" t="n">
        <x:v>801</x:v>
      </x:c>
      <x:c r="L640" s="12" t="n">
        <x:v>45.685018621920825</x:v>
      </x:c>
      <x:c r="M640" s="12" t="n">
        <x:v>23</x:v>
      </x:c>
      <x:c r="N640" s="14" t="n">
        <x:v>0.7046498484760314</x:v>
      </x:c>
      <x:c r="O640" s="14" t="n">
        <x:v>0.2953501515239686</x:v>
      </x:c>
      <x:c r="P640" s="14" t="n">
        <x:v>0.5043347603749273</x:v>
      </x:c>
      <x:c r="Q640" s="14" t="n">
        <x:v>0.21766477161991907</x:v>
      </x:c>
      <x:c r="R640" s="14" t="n">
        <x:v>0.2099184926259434</x:v>
      </x:c>
      <x:c r="S640" s="14" t="n">
        <x:v>0.3673161520108194</x:v>
      </x:c>
      <x:c r="T640" t="str">
        <x:v>야간활성</x:v>
      </x:c>
      <x:c r="U640" s="16" t="n">
        <x:v>68.65866376379385</x:v>
      </x:c>
      <x:c r="V640" t="str">
        <x:v>인테리어</x:v>
      </x:c>
      <x:c r="W640" t="str">
        <x:v>인테리어 / 일반의류 / 커피-음료</x:v>
      </x:c>
      <x:c r="X640" s="16" t="n">
        <x:v>58.41479873094363</x:v>
      </x:c>
    </x:row>
    <x:row r="641">
      <x:c r="A641" t="str">
        <x:v>3110813</x:v>
      </x:c>
      <x:c r="B641" t="str">
        <x:v>보라매역 6번</x:v>
      </x:c>
      <x:c r="C641" t="str">
        <x:v>골목상권</x:v>
      </x:c>
      <x:c r="D641" t="str">
        <x:v>영등포구</x:v>
      </x:c>
      <x:c r="E641" t="str">
        <x:v>신길6동</x:v>
      </x:c>
      <x:c r="F641" s="12" t="n">
        <x:v>100264</x:v>
      </x:c>
      <x:c r="G641" s="12" t="n">
        <x:v>5223926218</x:v>
      </x:c>
      <x:c r="H641" s="12" t="n">
        <x:v>88441</x:v>
      </x:c>
      <x:c r="I641" s="12" t="n">
        <x:v>59066.7927544917</x:v>
      </x:c>
      <x:c r="J641" s="12" t="n">
        <x:v>52101.7136559483</x:v>
      </x:c>
      <x:c r="K641" s="12" t="n">
        <x:v>708</x:v>
      </x:c>
      <x:c r="L641" s="12" t="n">
        <x:v>70.6135801484082</x:v>
      </x:c>
      <x:c r="M641" s="12" t="n">
        <x:v>15</x:v>
      </x:c>
      <x:c r="N641" s="14" t="n">
        <x:v>0.7460468730532901</x:v>
      </x:c>
      <x:c r="O641" s="14" t="n">
        <x:v>0.25395312694670985</x:v>
      </x:c>
      <x:c r="P641" s="14" t="n">
        <x:v>0.4617690059802449</x:v>
      </x:c>
      <x:c r="Q641" s="14" t="n">
        <x:v>0.22118279523525997</x:v>
      </x:c>
      <x:c r="R641" s="14" t="n">
        <x:v>0.3781492794046962</x:v>
      </x:c>
      <x:c r="S641" s="14" t="n">
        <x:v>0.18217309707033844</x:v>
      </x:c>
      <x:c r="T641" t="str">
        <x:v>2030소비·야간활성</x:v>
      </x:c>
      <x:c r="U641" s="16" t="n">
        <x:v>77.70897722782233</x:v>
      </x:c>
      <x:c r="V641" t="str">
        <x:v>반찬가게</x:v>
      </x:c>
      <x:c r="W641" t="str">
        <x:v>반찬가게 / 의약품 / 예술학원</x:v>
      </x:c>
      <x:c r="X641" s="16" t="n">
        <x:v>63.82066446775847</x:v>
      </x:c>
    </x:row>
    <x:row r="642">
      <x:c r="A642" t="str">
        <x:v>3110586</x:v>
      </x:c>
      <x:c r="B642" t="str">
        <x:v>서울서부지방법원</x:v>
      </x:c>
      <x:c r="C642" t="str">
        <x:v>골목상권</x:v>
      </x:c>
      <x:c r="D642" t="str">
        <x:v>마포구</x:v>
      </x:c>
      <x:c r="E642" t="str">
        <x:v>공덕동</x:v>
      </x:c>
      <x:c r="F642" s="12" t="n">
        <x:v>132139</x:v>
      </x:c>
      <x:c r="G642" s="12" t="n">
        <x:v>5215858191</x:v>
      </x:c>
      <x:c r="H642" s="12" t="n">
        <x:v>199219</x:v>
      </x:c>
      <x:c r="I642" s="12" t="n">
        <x:v>26181.529828982177</x:v>
      </x:c>
      <x:c r="J642" s="12" t="n">
        <x:v>39472.511453847845</x:v>
      </x:c>
      <x:c r="K642" s="12" t="n">
        <x:v>2505</x:v>
      </x:c>
      <x:c r="L642" s="12" t="n">
        <x:v>189.5731010526794</x:v>
      </x:c>
      <x:c r="M642" s="12" t="n">
        <x:v>17</x:v>
      </x:c>
      <x:c r="N642" s="14" t="n">
        <x:v>0.8461060242425598</x:v>
      </x:c>
      <x:c r="O642" s="14" t="n">
        <x:v>0.1538939757574402</x:v>
      </x:c>
      <x:c r="P642" s="14" t="n">
        <x:v>0.39848539432808366</x:v>
      </x:c>
      <x:c r="Q642" s="14" t="n">
        <x:v>0.4156472477991877</x:v>
      </x:c>
      <x:c r="R642" s="14" t="n">
        <x:v>0.18477172474952358</x:v>
      </x:c>
      <x:c r="S642" s="14" t="n">
        <x:v>0.2779673085249338</x:v>
      </x:c>
      <x:c r="T642" t="str">
        <x:v>평일집중·직장밀집</x:v>
      </x:c>
      <x:c r="U642" s="16" t="n">
        <x:v>63.52160773405048</x:v>
      </x:c>
      <x:c r="V642" t="str">
        <x:v>당구장</x:v>
      </x:c>
      <x:c r="W642" t="str">
        <x:v>당구장 / 커피-음료 / 한식음식점</x:v>
      </x:c>
      <x:c r="X642" s="16" t="n">
        <x:v>57.82159137549862</x:v>
      </x:c>
    </x:row>
    <x:row r="643">
      <x:c r="A643" t="str">
        <x:v>3110115</x:v>
      </x:c>
      <x:c r="B643" t="str">
        <x:v>상왕십리역 3번</x:v>
      </x:c>
      <x:c r="C643" t="str">
        <x:v>골목상권</x:v>
      </x:c>
      <x:c r="D643" t="str">
        <x:v>성동구</x:v>
      </x:c>
      <x:c r="E643" t="str">
        <x:v>왕십리도선동</x:v>
      </x:c>
      <x:c r="F643" s="12" t="n">
        <x:v>80878</x:v>
      </x:c>
      <x:c r="G643" s="12" t="n">
        <x:v>5214618484</x:v>
      </x:c>
      <x:c r="H643" s="12" t="n">
        <x:v>121099</x:v>
      </x:c>
      <x:c r="I643" s="12" t="n">
        <x:v>43060.78897431027</x:v>
      </x:c>
      <x:c r="J643" s="12" t="n">
        <x:v>64475.116644823065</x:v>
      </x:c>
      <x:c r="K643" s="12" t="n">
        <x:v>630</x:v>
      </x:c>
      <x:c r="L643" s="12" t="n">
        <x:v>77.89510126363164</x:v>
      </x:c>
      <x:c r="M643" s="12" t="n">
        <x:v>13</x:v>
      </x:c>
      <x:c r="N643" s="14" t="n">
        <x:v>0.8152646614597472</x:v>
      </x:c>
      <x:c r="O643" s="14" t="n">
        <x:v>0.18473533854025284</x:v>
      </x:c>
      <x:c r="P643" s="14" t="n">
        <x:v>0.49340374830765854</x:v>
      </x:c>
      <x:c r="Q643" s="14" t="n">
        <x:v>0.24703796067777678</x:v>
      </x:c>
      <x:c r="R643" s="14" t="n">
        <x:v>0.16842014419553844</x:v>
      </x:c>
      <x:c r="S643" s="14" t="n">
        <x:v>0.3421384203799788</x:v>
      </x:c>
      <x:c r="T643" t="str">
        <x:v>야간활성·평일집중</x:v>
      </x:c>
      <x:c r="U643" s="16" t="n">
        <x:v>61.633580971008236</x:v>
      </x:c>
      <x:c r="V643" t="str">
        <x:v>일반의류</x:v>
      </x:c>
      <x:c r="W643" t="str">
        <x:v>일반의류 / 한식음식점 / 청과상</x:v>
      </x:c>
      <x:c r="X643" s="16" t="n">
        <x:v>55.45680971826714</x:v>
      </x:c>
    </x:row>
    <x:row r="644">
      <x:c r="A644" t="str">
        <x:v>3110557</x:v>
      </x:c>
      <x:c r="B644" t="str">
        <x:v>홍대부속여중고앞</x:v>
      </x:c>
      <x:c r="C644" t="str">
        <x:v>골목상권</x:v>
      </x:c>
      <x:c r="D644" t="str">
        <x:v>마포구</x:v>
      </x:c>
      <x:c r="E644" t="str">
        <x:v>서교동</x:v>
      </x:c>
      <x:c r="F644" s="12" t="n">
        <x:v>112569</x:v>
      </x:c>
      <x:c r="G644" s="12" t="n">
        <x:v>5175643401</x:v>
      </x:c>
      <x:c r="H644" s="12" t="n">
        <x:v>304550</x:v>
      </x:c>
      <x:c r="I644" s="12" t="n">
        <x:v>16994.39632572648</x:v>
      </x:c>
      <x:c r="J644" s="12" t="n">
        <x:v>45977.51957466087</x:v>
      </x:c>
      <x:c r="K644" s="12" t="n">
        <x:v>1045</x:v>
      </x:c>
      <x:c r="L644" s="12" t="n">
        <x:v>92.83195195835442</x:v>
      </x:c>
      <x:c r="M644" s="12" t="n">
        <x:v>20</x:v>
      </x:c>
      <x:c r="N644" s="14" t="n">
        <x:v>0.7390695717678174</x:v>
      </x:c>
      <x:c r="O644" s="14" t="n">
        <x:v>0.2609304282321826</x:v>
      </x:c>
      <x:c r="P644" s="14" t="n">
        <x:v>0.391024442605334</x:v>
      </x:c>
      <x:c r="Q644" s="14" t="n">
        <x:v>0.22769508304461333</x:v>
      </x:c>
      <x:c r="R644" s="14" t="n">
        <x:v>0.27249439996725927</x:v>
      </x:c>
      <x:c r="S644" s="14" t="n">
        <x:v>0.4384130308439695</x:v>
      </x:c>
      <x:c r="T644" t="str">
        <x:v>2030소비·직장밀집</x:v>
      </x:c>
      <x:c r="U644" s="16" t="n">
        <x:v>56.3370017750904</x:v>
      </x:c>
      <x:c r="V644" t="str">
        <x:v>육류판매</x:v>
      </x:c>
      <x:c r="W644" t="str">
        <x:v>육류판매 / 커피-음료 / 치킨전문점</x:v>
      </x:c>
      <x:c r="X644" s="16" t="n">
        <x:v>50.29703357063142</x:v>
      </x:c>
    </x:row>
    <x:row r="645">
      <x:c r="A645" t="str">
        <x:v>3110632</x:v>
      </x:c>
      <x:c r="B645" t="str">
        <x:v>방화역 3번</x:v>
      </x:c>
      <x:c r="C645" t="str">
        <x:v>골목상권</x:v>
      </x:c>
      <x:c r="D645" t="str">
        <x:v>강서구</x:v>
      </x:c>
      <x:c r="E645" t="str">
        <x:v>방화1동</x:v>
      </x:c>
      <x:c r="F645" s="12" t="n">
        <x:v>70905</x:v>
      </x:c>
      <x:c r="G645" s="12" t="n">
        <x:v>5143586527</x:v>
      </x:c>
      <x:c r="H645" s="12" t="n">
        <x:v>116485</x:v>
      </x:c>
      <x:c r="I645" s="12" t="n">
        <x:v>44156.64271794652</x:v>
      </x:c>
      <x:c r="J645" s="12" t="n">
        <x:v>72541.94382624638</x:v>
      </x:c>
      <x:c r="K645" s="12" t="n">
        <x:v>756</x:v>
      </x:c>
      <x:c r="L645" s="12" t="n">
        <x:v>106.62153585783796</x:v>
      </x:c>
      <x:c r="M645" s="12" t="n">
        <x:v>11</x:v>
      </x:c>
      <x:c r="N645" s="14" t="n">
        <x:v>0.7864479212638703</x:v>
      </x:c>
      <x:c r="O645" s="14" t="n">
        <x:v>0.21355207873612972</x:v>
      </x:c>
      <x:c r="P645" s="14" t="n">
        <x:v>0.33884868502767196</x:v>
      </x:c>
      <x:c r="Q645" s="14" t="n">
        <x:v>0.2738549120552201</x:v>
      </x:c>
      <x:c r="R645" s="14" t="n">
        <x:v>0.14619995037559907</x:v>
      </x:c>
      <x:c r="S645" s="14" t="n">
        <x:v>0.34708081561937726</x:v>
      </x:c>
      <x:c r="T645" t="str">
        <x:v>평일집중·직장밀집</x:v>
      </x:c>
      <x:c r="U645" s="16" t="n">
        <x:v>61.03030145288594</x:v>
      </x:c>
      <x:c r="V645" t="str">
        <x:v>자동차수리</x:v>
      </x:c>
      <x:c r="W645" t="str">
        <x:v>자동차수리 / 제과점 / 치킨전문점</x:v>
      </x:c>
      <x:c r="X645" s="16" t="n">
        <x:v>51.664354433417486</x:v>
      </x:c>
    </x:row>
    <x:row r="646">
      <x:c r="A646" t="str">
        <x:v>3110787</x:v>
      </x:c>
      <x:c r="B646" t="str">
        <x:v>신길3동주민센터</x:v>
      </x:c>
      <x:c r="C646" t="str">
        <x:v>골목상권</x:v>
      </x:c>
      <x:c r="D646" t="str">
        <x:v>영등포구</x:v>
      </x:c>
      <x:c r="E646" t="str">
        <x:v>신길3동</x:v>
      </x:c>
      <x:c r="F646" s="12" t="n">
        <x:v>95882</x:v>
      </x:c>
      <x:c r="G646" s="12" t="n">
        <x:v>5121672354</x:v>
      </x:c>
      <x:c r="H646" s="12" t="n">
        <x:v>273240</x:v>
      </x:c>
      <x:c r="I646" s="12" t="n">
        <x:v>18744.226152832674</x:v>
      </x:c>
      <x:c r="J646" s="12" t="n">
        <x:v>53416.41135979642</x:v>
      </x:c>
      <x:c r="K646" s="12" t="n">
        <x:v>270</x:v>
      </x:c>
      <x:c r="L646" s="12" t="n">
        <x:v>28.15961285747064</x:v>
      </x:c>
      <x:c r="M646" s="12" t="n">
        <x:v>23</x:v>
      </x:c>
      <x:c r="N646" s="14" t="n">
        <x:v>0.6595595222645904</x:v>
      </x:c>
      <x:c r="O646" s="14" t="n">
        <x:v>0.34044047773540964</x:v>
      </x:c>
      <x:c r="P646" s="14" t="n">
        <x:v>0.30064117217444325</x:v>
      </x:c>
      <x:c r="Q646" s="14" t="n">
        <x:v>0.2600995717657733</x:v>
      </x:c>
      <x:c r="R646" s="14" t="n">
        <x:v>0.1450622762738329</x:v>
      </x:c>
      <x:c r="S646" s="14" t="n">
        <x:v>0.42499489982017696</x:v>
      </x:c>
      <x:c r="T646" t="str">
        <x:v>균형형</x:v>
      </x:c>
      <x:c r="U646" s="16" t="n">
        <x:v>76.08219201225431</x:v>
      </x:c>
      <x:c r="V646" t="str">
        <x:v>미용실</x:v>
      </x:c>
      <x:c r="W646" t="str">
        <x:v>미용실 / 육류판매 / 편의점</x:v>
      </x:c>
      <x:c r="X646" s="16" t="n">
        <x:v>64.73541886225537</x:v>
      </x:c>
    </x:row>
    <x:row r="647">
      <x:c r="A647" t="str">
        <x:v>3110745</x:v>
      </x:c>
      <x:c r="B647" t="str">
        <x:v>독산동정훈단지</x:v>
      </x:c>
      <x:c r="C647" t="str">
        <x:v>골목상권</x:v>
      </x:c>
      <x:c r="D647" t="str">
        <x:v>금천구</x:v>
      </x:c>
      <x:c r="E647" t="str">
        <x:v>독산2동</x:v>
      </x:c>
      <x:c r="F647" s="12" t="n">
        <x:v>79548</x:v>
      </x:c>
      <x:c r="G647" s="12" t="n">
        <x:v>5115280384</x:v>
      </x:c>
      <x:c r="H647" s="12" t="n">
        <x:v>198785</x:v>
      </x:c>
      <x:c r="I647" s="12" t="n">
        <x:v>25732.728244082802</x:v>
      </x:c>
      <x:c r="J647" s="12" t="n">
        <x:v>64304.324231910294</x:v>
      </x:c>
      <x:c r="K647" s="12" t="n">
        <x:v>251</x:v>
      </x:c>
      <x:c r="L647" s="12" t="n">
        <x:v>31.553276009453413</x:v>
      </x:c>
      <x:c r="M647" s="12" t="n">
        <x:v>16</x:v>
      </x:c>
      <x:c r="N647" s="14" t="n">
        <x:v>0.7290898433769999</x:v>
      </x:c>
      <x:c r="O647" s="14" t="n">
        <x:v>0.2709101566230001</x:v>
      </x:c>
      <x:c r="P647" s="14" t="n">
        <x:v>0.3410056587427916</x:v>
      </x:c>
      <x:c r="Q647" s="14" t="n">
        <x:v>0.2550598266482043</x:v>
      </x:c>
      <x:c r="R647" s="14" t="n">
        <x:v>0.14452253356675435</x:v>
      </x:c>
      <x:c r="S647" s="14" t="n">
        <x:v>0.5016460515099694</x:v>
      </x:c>
      <x:c r="T647" t="str">
        <x:v>여성소비·고매출밀도</x:v>
      </x:c>
      <x:c r="U647" s="16" t="n">
        <x:v>71.29104622134687</x:v>
      </x:c>
      <x:c r="V647" t="str">
        <x:v>육류판매</x:v>
      </x:c>
      <x:c r="W647" t="str">
        <x:v>육류판매 / 커피-음료 / 일반의류</x:v>
      </x:c>
      <x:c r="X647" s="16" t="n">
        <x:v>59.49098429767944</x:v>
      </x:c>
    </x:row>
    <x:row r="648">
      <x:c r="A648" t="str">
        <x:v>3130014</x:v>
      </x:c>
      <x:c r="B648" t="str">
        <x:v>동문시장</x:v>
      </x:c>
      <x:c r="C648" t="str">
        <x:v>전통시장</x:v>
      </x:c>
      <x:c r="D648" t="str">
        <x:v>종로구</x:v>
      </x:c>
      <x:c r="E648" t="str">
        <x:v>창신1동</x:v>
      </x:c>
      <x:c r="F648" s="12" t="n">
        <x:v>8177</x:v>
      </x:c>
      <x:c r="G648" s="12" t="n">
        <x:v>5106210785</x:v>
      </x:c>
      <x:c r="H648" s="12" t="n">
        <x:v>55780</x:v>
      </x:c>
      <x:c r="I648" s="12" t="n">
        <x:v>91541.9645930441</x:v>
      </x:c>
      <x:c r="J648" s="12" t="n">
        <x:v>624460.1669316376</x:v>
      </x:c>
      <x:c r="K648" s="12" t="n">
        <x:v>134</x:v>
      </x:c>
      <x:c r="L648" s="12" t="n">
        <x:v>163.87428152134032</x:v>
      </x:c>
      <x:c r="M648" s="12" t="n">
        <x:v>3</x:v>
      </x:c>
      <x:c r="N648" s="14" t="n">
        <x:v>0.8917228494318806</x:v>
      </x:c>
      <x:c r="O648" s="14" t="n">
        <x:v>0.10827715056811937</x:v>
      </x:c>
      <x:c r="P648" s="14" t="n">
        <x:v>0.05452364379822601</x:v>
      </x:c>
      <x:c r="Q648" s="14" t="n">
        <x:v>0.2226833358192439</x:v>
      </x:c>
      <x:c r="R648" s="14" t="n">
        <x:v>0.42819497237029946</x:v>
      </x:c>
      <x:c r="S648" s="14" t="n">
        <x:v>0.6327061678477106</x:v>
      </x:c>
      <x:c r="T648" t="str">
        <x:v>고매출밀도·여성소비</x:v>
      </x:c>
      <x:c r="U648" s="16" t="n">
        <x:v>52.824250743251085</x:v>
      </x:c>
      <x:c r="V648" t="str">
        <x:v>신발</x:v>
      </x:c>
      <x:c r="W648" t="str">
        <x:v>신발 / 일반의류 / 한식음식점</x:v>
      </x:c>
      <x:c r="X648" s="16" t="n">
        <x:v>39.135256226271316</x:v>
      </x:c>
    </x:row>
    <x:row r="649">
      <x:c r="A649" t="str">
        <x:v>3110621</x:v>
      </x:c>
      <x:c r="B649" t="str">
        <x:v>목동역 5번</x:v>
      </x:c>
      <x:c r="C649" t="str">
        <x:v>골목상권</x:v>
      </x:c>
      <x:c r="D649" t="str">
        <x:v>양천구</x:v>
      </x:c>
      <x:c r="E649" t="str">
        <x:v>목1동</x:v>
      </x:c>
      <x:c r="F649" s="12" t="n">
        <x:v>34475</x:v>
      </x:c>
      <x:c r="G649" s="12" t="n">
        <x:v>5104123867</x:v>
      </x:c>
      <x:c r="H649" s="12" t="n">
        <x:v>24965</x:v>
      </x:c>
      <x:c r="I649" s="12" t="n">
        <x:v>204451.18634087723</x:v>
      </x:c>
      <x:c r="J649" s="12" t="n">
        <x:v>148052.90404641043</x:v>
      </x:c>
      <x:c r="K649" s="12" t="n">
        <x:v>581</x:v>
      </x:c>
      <x:c r="L649" s="12" t="n">
        <x:v>168.5279187817259</x:v>
      </x:c>
      <x:c r="M649" s="12" t="n">
        <x:v>6</x:v>
      </x:c>
      <x:c r="N649" s="14" t="n">
        <x:v>0.7532455438350748</x:v>
      </x:c>
      <x:c r="O649" s="14" t="n">
        <x:v>0.2467544561649252</x:v>
      </x:c>
      <x:c r="P649" s="14" t="n">
        <x:v>0.41702931912800306</x:v>
      </x:c>
      <x:c r="Q649" s="14" t="n">
        <x:v>0.2143753873361867</x:v>
      </x:c>
      <x:c r="R649" s="14" t="n">
        <x:v>0.10340037600031857</x:v>
      </x:c>
      <x:c r="S649" s="14" t="n">
        <x:v>0.5102226511071464</x:v>
      </x:c>
      <x:c r="T649" t="str">
        <x:v>여성소비·고매출밀도</x:v>
      </x:c>
      <x:c r="U649" s="16" t="n">
        <x:v>66.43322050391015</x:v>
      </x:c>
      <x:c r="V649" t="str">
        <x:v>예술학원</x:v>
      </x:c>
      <x:c r="W649" t="str">
        <x:v>예술학원 / 자동차수리 / 일반교습학원</x:v>
      </x:c>
      <x:c r="X649" s="16" t="n">
        <x:v>52.655690476900546</x:v>
      </x:c>
    </x:row>
    <x:row r="650">
      <x:c r="A650" t="str">
        <x:v>3110056</x:v>
      </x:c>
      <x:c r="B650" t="str">
        <x:v>신당역 3번</x:v>
      </x:c>
      <x:c r="C650" t="str">
        <x:v>골목상권</x:v>
      </x:c>
      <x:c r="D650" t="str">
        <x:v>중구</x:v>
      </x:c>
      <x:c r="E650" t="str">
        <x:v>신당5동</x:v>
      </x:c>
      <x:c r="F650" s="12" t="n">
        <x:v>129607</x:v>
      </x:c>
      <x:c r="G650" s="12" t="n">
        <x:v>5090267089</x:v>
      </x:c>
      <x:c r="H650" s="12" t="n">
        <x:v>155442</x:v>
      </x:c>
      <x:c r="I650" s="12" t="n">
        <x:v>32747.050919313955</x:v>
      </x:c>
      <x:c r="J650" s="12" t="n">
        <x:v>39274.63091499687</x:v>
      </x:c>
      <x:c r="K650" s="12" t="n">
        <x:v>499</x:v>
      </x:c>
      <x:c r="L650" s="12" t="n">
        <x:v>38.50100689005995</x:v>
      </x:c>
      <x:c r="M650" s="12" t="n">
        <x:v>13</x:v>
      </x:c>
      <x:c r="N650" s="14" t="n">
        <x:v>0.7798054252551619</x:v>
      </x:c>
      <x:c r="O650" s="14" t="n">
        <x:v>0.2201945747448381</x:v>
      </x:c>
      <x:c r="P650" s="14" t="n">
        <x:v>0.44064854707666207</x:v>
      </x:c>
      <x:c r="Q650" s="14" t="n">
        <x:v>0.23670567240052343</x:v>
      </x:c>
      <x:c r="R650" s="14" t="n">
        <x:v>0.28040984982585854</x:v>
      </x:c>
      <x:c r="S650" s="14" t="n">
        <x:v>0.4812079264550356</x:v>
      </x:c>
      <x:c r="T650" t="str">
        <x:v>2030소비·여성소비</x:v>
      </x:c>
      <x:c r="U650" s="16" t="n">
        <x:v>66.69295983022351</x:v>
      </x:c>
      <x:c r="V650" t="str">
        <x:v>스포츠 강습</x:v>
      </x:c>
      <x:c r="W650" t="str">
        <x:v>스포츠 강습 / 일반의원 / 커피-음료</x:v>
      </x:c>
      <x:c r="X650" s="16" t="n">
        <x:v>62.98369981722524</x:v>
      </x:c>
    </x:row>
    <x:row r="651">
      <x:c r="A651" t="str">
        <x:v>3110008</x:v>
      </x:c>
      <x:c r="B651" t="str">
        <x:v>배화여자대학교(박노수미술관)</x:v>
      </x:c>
      <x:c r="C651" t="str">
        <x:v>골목상권</x:v>
      </x:c>
      <x:c r="D651" t="str">
        <x:v>종로구</x:v>
      </x:c>
      <x:c r="E651" t="str">
        <x:v>청운효자동</x:v>
      </x:c>
      <x:c r="F651" s="12" t="n">
        <x:v>149264</x:v>
      </x:c>
      <x:c r="G651" s="12" t="n">
        <x:v>5088808259</x:v>
      </x:c>
      <x:c r="H651" s="12" t="n">
        <x:v>231823</x:v>
      </x:c>
      <x:c r="I651" s="12" t="n">
        <x:v>21951.265659576486</x:v>
      </x:c>
      <x:c r="J651" s="12" t="n">
        <x:v>34092.66975962054</x:v>
      </x:c>
      <x:c r="K651" s="12" t="n">
        <x:v>1536</x:v>
      </x:c>
      <x:c r="L651" s="12" t="n">
        <x:v>102.90492014149426</x:v>
      </x:c>
      <x:c r="M651" s="12" t="n">
        <x:v>15</x:v>
      </x:c>
      <x:c r="N651" s="14" t="n">
        <x:v>0.6367555724406003</x:v>
      </x:c>
      <x:c r="O651" s="14" t="n">
        <x:v>0.3632444275593996</x:v>
      </x:c>
      <x:c r="P651" s="14" t="n">
        <x:v>0.32884299679407514</x:v>
      </x:c>
      <x:c r="Q651" s="14" t="n">
        <x:v>0.3433669873314046</x:v>
      </x:c>
      <x:c r="R651" s="14" t="n">
        <x:v>0.5137441901797543</x:v>
      </x:c>
      <x:c r="S651" s="14" t="n">
        <x:v>0.5995618995083855</x:v>
      </x:c>
      <x:c r="T651" t="str">
        <x:v>2030소비·여성소비</x:v>
      </x:c>
      <x:c r="U651" s="16" t="n">
        <x:v>67.29627916775426</x:v>
      </x:c>
      <x:c r="V651" t="str">
        <x:v>미용실</x:v>
      </x:c>
      <x:c r="W651" t="str">
        <x:v>미용실 / 일식음식점 / 한식음식점</x:v>
      </x:c>
      <x:c r="X651" s="16" t="n">
        <x:v>63.30288853968989</x:v>
      </x:c>
    </x:row>
    <x:row r="652">
      <x:c r="A652" t="str">
        <x:v>3110205</x:v>
      </x:c>
      <x:c r="B652" t="str">
        <x:v>경희대삼거리</x:v>
      </x:c>
      <x:c r="C652" t="str">
        <x:v>골목상권</x:v>
      </x:c>
      <x:c r="D652" t="str">
        <x:v>동대문구</x:v>
      </x:c>
      <x:c r="E652" t="str">
        <x:v>회기동</x:v>
      </x:c>
      <x:c r="F652" s="12" t="n">
        <x:v>88816</x:v>
      </x:c>
      <x:c r="G652" s="12" t="n">
        <x:v>5086835873</x:v>
      </x:c>
      <x:c r="H652" s="12" t="n">
        <x:v>171724</x:v>
      </x:c>
      <x:c r="I652" s="12" t="n">
        <x:v>29622.16040273928</x:v>
      </x:c>
      <x:c r="J652" s="12" t="n">
        <x:v>57273.868143127365</x:v>
      </x:c>
      <x:c r="K652" s="12"/>
      <x:c r="L652" s="12"/>
      <x:c r="M652" s="12" t="n">
        <x:v>19</x:v>
      </x:c>
      <x:c r="N652" s="14" t="n">
        <x:v>0.7303185077620844</x:v>
      </x:c>
      <x:c r="O652" s="14" t="n">
        <x:v>0.2696814922379156</x:v>
      </x:c>
      <x:c r="P652" s="14" t="n">
        <x:v>0.7229976739609267</x:v>
      </x:c>
      <x:c r="Q652" s="14" t="n">
        <x:v>0.10586919992022317</x:v>
      </x:c>
      <x:c r="R652" s="14" t="n">
        <x:v>0.5483263857213897</x:v>
      </x:c>
      <x:c r="S652" s="14" t="n">
        <x:v>0.4503713493411546</x:v>
      </x:c>
      <x:c r="T652" t="str">
        <x:v>야간활성·2030소비</x:v>
      </x:c>
      <x:c r="U652" s="16" t="n">
        <x:v>74.70483989010391</x:v>
      </x:c>
      <x:c r="V652" t="str">
        <x:v>일반의류</x:v>
      </x:c>
      <x:c r="W652" t="str">
        <x:v>일반의류 / 호프-간이주점 / 미용실</x:v>
      </x:c>
      <x:c r="X652" s="16" t="n">
        <x:v>60.01123195972906</x:v>
      </x:c>
    </x:row>
    <x:row r="653">
      <x:c r="A653" t="str">
        <x:v>3110158</x:v>
      </x:c>
      <x:c r="B653" t="str">
        <x:v>중곡3동주민센터</x:v>
      </x:c>
      <x:c r="C653" t="str">
        <x:v>골목상권</x:v>
      </x:c>
      <x:c r="D653" t="str">
        <x:v>광진구</x:v>
      </x:c>
      <x:c r="E653" t="str">
        <x:v>중곡3동</x:v>
      </x:c>
      <x:c r="F653" s="12" t="n">
        <x:v>166799</x:v>
      </x:c>
      <x:c r="G653" s="12" t="n">
        <x:v>5083865081</x:v>
      </x:c>
      <x:c r="H653" s="12" t="n">
        <x:v>248148</x:v>
      </x:c>
      <x:c r="I653" s="12" t="n">
        <x:v>20487.22972177894</x:v>
      </x:c>
      <x:c r="J653" s="12" t="n">
        <x:v>30478.99016780676</x:v>
      </x:c>
      <x:c r="K653" s="12" t="n">
        <x:v>268</x:v>
      </x:c>
      <x:c r="L653" s="12" t="n">
        <x:v>16.06724260936816</x:v>
      </x:c>
      <x:c r="M653" s="12" t="n">
        <x:v>21</x:v>
      </x:c>
      <x:c r="N653" s="14" t="n">
        <x:v>0.7820643708384833</x:v>
      </x:c>
      <x:c r="O653" s="14" t="n">
        <x:v>0.21793562916151668</x:v>
      </x:c>
      <x:c r="P653" s="14" t="n">
        <x:v>0.2590209688926243</x:v>
      </x:c>
      <x:c r="Q653" s="14" t="n">
        <x:v>0.2606506110778513</x:v>
      </x:c>
      <x:c r="R653" s="14" t="n">
        <x:v>0.1957134522941129</x:v>
      </x:c>
      <x:c r="S653" s="14" t="n">
        <x:v>0.4799371673175998</x:v>
      </x:c>
      <x:c r="T653" t="str">
        <x:v>여성소비·평일집중</x:v>
      </x:c>
      <x:c r="U653" s="16" t="n">
        <x:v>71.4878344922817</x:v>
      </x:c>
      <x:c r="V653" t="str">
        <x:v>서적</x:v>
      </x:c>
      <x:c r="W653" t="str">
        <x:v>서적 / 조명용품 / 커피-음료</x:v>
      </x:c>
      <x:c r="X653" s="16" t="n">
        <x:v>60.30708678120199</x:v>
      </x:c>
    </x:row>
    <x:row r="654">
      <x:c r="A654" t="str">
        <x:v>3110487</x:v>
      </x:c>
      <x:c r="B654" t="str">
        <x:v>불광역 8번</x:v>
      </x:c>
      <x:c r="C654" t="str">
        <x:v>골목상권</x:v>
      </x:c>
      <x:c r="D654" t="str">
        <x:v>은평구</x:v>
      </x:c>
      <x:c r="E654" t="str">
        <x:v>불광1동</x:v>
      </x:c>
      <x:c r="F654" s="12" t="n">
        <x:v>23276</x:v>
      </x:c>
      <x:c r="G654" s="12" t="n">
        <x:v>5074357928</x:v>
      </x:c>
      <x:c r="H654" s="12" t="n">
        <x:v>174689</x:v>
      </x:c>
      <x:c r="I654" s="12" t="n">
        <x:v>29047.953380006755</x:v>
      </x:c>
      <x:c r="J654" s="12" t="n">
        <x:v>218008.15982127513</x:v>
      </x:c>
      <x:c r="K654" s="12" t="n">
        <x:v>470</x:v>
      </x:c>
      <x:c r="L654" s="12" t="n">
        <x:v>201.92472933493727</x:v>
      </x:c>
      <x:c r="M654" s="12" t="n">
        <x:v>6</x:v>
      </x:c>
      <x:c r="N654" s="14" t="n">
        <x:v>0.7813804919281209</x:v>
      </x:c>
      <x:c r="O654" s="14" t="n">
        <x:v>0.21861950807187916</x:v>
      </x:c>
      <x:c r="P654" s="14" t="n">
        <x:v>0.2964616026983582</x:v>
      </x:c>
      <x:c r="Q654" s="14" t="n">
        <x:v>0.31272875495116237</x:v>
      </x:c>
      <x:c r="R654" s="14" t="n">
        <x:v>0.2663849370067535</x:v>
      </x:c>
      <x:c r="S654" s="14" t="n">
        <x:v>0.5520874163293749</x:v>
      </x:c>
      <x:c r="T654" t="str">
        <x:v>여성소비·고매출밀도</x:v>
      </x:c>
      <x:c r="U654" s="16" t="n">
        <x:v>66.23636244376195</x:v>
      </x:c>
      <x:c r="V654" t="str">
        <x:v>일반의원</x:v>
      </x:c>
      <x:c r="W654" t="str">
        <x:v>일반의원 / 분식전문점 / 미용실</x:v>
      </x:c>
      <x:c r="X654" s="16" t="n">
        <x:v>54.79278435435405</x:v>
      </x:c>
    </x:row>
    <x:row r="655">
      <x:c r="A655" t="str">
        <x:v>3110408</x:v>
      </x:c>
      <x:c r="B655" t="str">
        <x:v>가인초등학교</x:v>
      </x:c>
      <x:c r="C655" t="str">
        <x:v>골목상권</x:v>
      </x:c>
      <x:c r="D655" t="str">
        <x:v>도봉구</x:v>
      </x:c>
      <x:c r="E655" t="str">
        <x:v>창5동</x:v>
      </x:c>
      <x:c r="F655" s="12" t="n">
        <x:v>53197</x:v>
      </x:c>
      <x:c r="G655" s="12" t="n">
        <x:v>5059570122</x:v>
      </x:c>
      <x:c r="H655" s="12" t="n">
        <x:v>262926</x:v>
      </x:c>
      <x:c r="I655" s="12" t="n">
        <x:v>19243.32368042719</x:v>
      </x:c>
      <x:c r="J655" s="12" t="n">
        <x:v>95110.0648908773</x:v>
      </x:c>
      <x:c r="K655" s="12" t="n">
        <x:v>1022</x:v>
      </x:c>
      <x:c r="L655" s="12" t="n">
        <x:v>192.11609677237436</x:v>
      </x:c>
      <x:c r="M655" s="12" t="n">
        <x:v>9</x:v>
      </x:c>
      <x:c r="N655" s="14" t="n">
        <x:v>0.847713032644871</x:v>
      </x:c>
      <x:c r="O655" s="14" t="n">
        <x:v>0.15228696735512898</x:v>
      </x:c>
      <x:c r="P655" s="14" t="n">
        <x:v>0.22479362605422548</x:v>
      </x:c>
      <x:c r="Q655" s="14" t="n">
        <x:v>0.28000713417130896</x:v>
      </x:c>
      <x:c r="R655" s="14" t="n">
        <x:v>0.19846944242034956</x:v>
      </x:c>
      <x:c r="S655" s="14" t="n">
        <x:v>0.4645284773859292</x:v>
      </x:c>
      <x:c r="T655" t="str">
        <x:v>평일집중·직장밀집</x:v>
      </x:c>
      <x:c r="U655" s="16" t="n">
        <x:v>74.85610532539441</x:v>
      </x:c>
      <x:c r="V655" t="str">
        <x:v>의약품</x:v>
      </x:c>
      <x:c r="W655" t="str">
        <x:v>의약품 / 세탁소 / 일반교습학원</x:v>
      </x:c>
      <x:c r="X655" s="16" t="n">
        <x:v>62.92661381859923</x:v>
      </x:c>
    </x:row>
    <x:row r="656">
      <x:c r="A656" t="str">
        <x:v>3110341</x:v>
      </x:c>
      <x:c r="B656" t="str">
        <x:v>북한산우이역 2번</x:v>
      </x:c>
      <x:c r="C656" t="str">
        <x:v>골목상권</x:v>
      </x:c>
      <x:c r="D656" t="str">
        <x:v>강북구</x:v>
      </x:c>
      <x:c r="E656" t="str">
        <x:v>우이동</x:v>
      </x:c>
      <x:c r="F656" s="12" t="n">
        <x:v>140183</x:v>
      </x:c>
      <x:c r="G656" s="12" t="n">
        <x:v>5054665682</x:v>
      </x:c>
      <x:c r="H656" s="12" t="n">
        <x:v>207652</x:v>
      </x:c>
      <x:c r="I656" s="12" t="n">
        <x:v>24342.0033613931</x:v>
      </x:c>
      <x:c r="J656" s="12" t="n">
        <x:v>36057.62240785259</x:v>
      </x:c>
      <x:c r="K656" s="12" t="n">
        <x:v>453</x:v>
      </x:c>
      <x:c r="L656" s="12" t="n">
        <x:v>32.314902662947716</x:v>
      </x:c>
      <x:c r="M656" s="12" t="n">
        <x:v>8</x:v>
      </x:c>
      <x:c r="N656" s="14" t="n">
        <x:v>0.5800970907812455</x:v>
      </x:c>
      <x:c r="O656" s="14" t="n">
        <x:v>0.41990290921875456</x:v>
      </x:c>
      <x:c r="P656" s="14" t="n">
        <x:v>0.29141902208202264</x:v>
      </x:c>
      <x:c r="Q656" s="14" t="n">
        <x:v>0.26336609120175636</x:v>
      </x:c>
      <x:c r="R656" s="14" t="n">
        <x:v>0.15765049760614416</x:v>
      </x:c>
      <x:c r="S656" s="14" t="n">
        <x:v>0.37453195010336193</x:v>
      </x:c>
      <x:c r="T656" t="str">
        <x:v>균형형</x:v>
      </x:c>
      <x:c r="U656" s="16" t="n">
        <x:v>73.54639048757275</x:v>
      </x:c>
      <x:c r="V656" t="str">
        <x:v>일반의류</x:v>
      </x:c>
      <x:c r="W656" t="str">
        <x:v>일반의류 / 한식음식점 / 편의점</x:v>
      </x:c>
      <x:c r="X656" s="16" t="n">
        <x:v>57.8691502264327</x:v>
      </x:c>
    </x:row>
    <x:row r="657">
      <x:c r="A657" t="str">
        <x:v>3110054</x:v>
      </x:c>
      <x:c r="B657" t="str">
        <x:v>청구역 3번</x:v>
      </x:c>
      <x:c r="C657" t="str">
        <x:v>골목상권</x:v>
      </x:c>
      <x:c r="D657" t="str">
        <x:v>중구</x:v>
      </x:c>
      <x:c r="E657" t="str">
        <x:v>청구동</x:v>
      </x:c>
      <x:c r="F657" s="12" t="n">
        <x:v>69155</x:v>
      </x:c>
      <x:c r="G657" s="12" t="n">
        <x:v>5037163535</x:v>
      </x:c>
      <x:c r="H657" s="12" t="n">
        <x:v>113457</x:v>
      </x:c>
      <x:c r="I657" s="12" t="n">
        <x:v>44397.11551512908</x:v>
      </x:c>
      <x:c r="J657" s="12" t="n">
        <x:v>72838.74680066518</x:v>
      </x:c>
      <x:c r="K657" s="12" t="n">
        <x:v>1867</x:v>
      </x:c>
      <x:c r="L657" s="12" t="n">
        <x:v>269.97324849974694</x:v>
      </x:c>
      <x:c r="M657" s="12" t="n">
        <x:v>10</x:v>
      </x:c>
      <x:c r="N657" s="14" t="n">
        <x:v>0.8353445532913396</x:v>
      </x:c>
      <x:c r="O657" s="14" t="n">
        <x:v>0.16465544670866042</x:v>
      </x:c>
      <x:c r="P657" s="14" t="n">
        <x:v>0.33496442556931993</x:v>
      </x:c>
      <x:c r="Q657" s="14" t="n">
        <x:v>0.27896385440660504</x:v>
      </x:c>
      <x:c r="R657" s="14" t="n">
        <x:v>0.18338147582099495</x:v>
      </x:c>
      <x:c r="S657" s="14" t="n">
        <x:v>0.6787353166607087</x:v>
      </x:c>
      <x:c r="T657" t="str">
        <x:v>여성소비·평일집중</x:v>
      </x:c>
      <x:c r="U657" s="16" t="n">
        <x:v>69.49096623349531</x:v>
      </x:c>
      <x:c r="V657" t="str">
        <x:v>일반교습학원</x:v>
      </x:c>
      <x:c r="W657" t="str">
        <x:v>일반교습학원 / 커피-음료 / 일반의류</x:v>
      </x:c>
      <x:c r="X657" s="16" t="n">
        <x:v>68.4434651508204</x:v>
      </x:c>
    </x:row>
    <x:row r="658">
      <x:c r="A658" t="str">
        <x:v>3110882</x:v>
      </x:c>
      <x:c r="B658" t="str">
        <x:v>신성초등학교</x:v>
      </x:c>
      <x:c r="C658" t="str">
        <x:v>골목상권</x:v>
      </x:c>
      <x:c r="D658" t="str">
        <x:v>관악구</x:v>
      </x:c>
      <x:c r="E658" t="str">
        <x:v>서림동</x:v>
      </x:c>
      <x:c r="F658" s="12" t="n">
        <x:v>147004</x:v>
      </x:c>
      <x:c r="G658" s="12" t="n">
        <x:v>5036271215</x:v>
      </x:c>
      <x:c r="H658" s="12" t="n">
        <x:v>253005</x:v>
      </x:c>
      <x:c r="I658" s="12" t="n">
        <x:v>19905.816940376673</x:v>
      </x:c>
      <x:c r="J658" s="12" t="n">
        <x:v>34259.416172349054</x:v>
      </x:c>
      <x:c r="K658" s="12" t="n">
        <x:v>666</x:v>
      </x:c>
      <x:c r="L658" s="12" t="n">
        <x:v>45.304889662866316</x:v>
      </x:c>
      <x:c r="M658" s="12" t="n">
        <x:v>17</x:v>
      </x:c>
      <x:c r="N658" s="14" t="n">
        <x:v>0.7185176118439046</x:v>
      </x:c>
      <x:c r="O658" s="14" t="n">
        <x:v>0.2814823881560954</x:v>
      </x:c>
      <x:c r="P658" s="14" t="n">
        <x:v>0.4384231948080262</x:v>
      </x:c>
      <x:c r="Q658" s="14" t="n">
        <x:v>0.2615923767322368</x:v>
      </x:c>
      <x:c r="R658" s="14" t="n">
        <x:v>0.2328143604553672</x:v>
      </x:c>
      <x:c r="S658" s="14" t="n">
        <x:v>0.3792199793195609</x:v>
      </x:c>
      <x:c r="T658" t="str">
        <x:v>야간활성·2030소비</x:v>
      </x:c>
      <x:c r="U658" s="16" t="n">
        <x:v>73.82942097172177</x:v>
      </x:c>
      <x:c r="V658" t="str">
        <x:v>일반의류</x:v>
      </x:c>
      <x:c r="W658" t="str">
        <x:v>일반의류 / 한식음식점 / 일반교습학원</x:v>
      </x:c>
      <x:c r="X658" s="16" t="n">
        <x:v>68.98753503188186</x:v>
      </x:c>
    </x:row>
    <x:row r="659">
      <x:c r="A659" t="str">
        <x:v>3110463</x:v>
      </x:c>
      <x:c r="B659" t="str">
        <x:v>응암3동주민센터</x:v>
      </x:c>
      <x:c r="C659" t="str">
        <x:v>골목상권</x:v>
      </x:c>
      <x:c r="D659" t="str">
        <x:v>은평구</x:v>
      </x:c>
      <x:c r="E659" t="str">
        <x:v>응암3동</x:v>
      </x:c>
      <x:c r="F659" s="12" t="n">
        <x:v>53976</x:v>
      </x:c>
      <x:c r="G659" s="12" t="n">
        <x:v>4982248368</x:v>
      </x:c>
      <x:c r="H659" s="12" t="n">
        <x:v>171268</x:v>
      </x:c>
      <x:c r="I659" s="12" t="n">
        <x:v>29090.363453768365</x:v>
      </x:c>
      <x:c r="J659" s="12" t="n">
        <x:v>92304.8830591374</x:v>
      </x:c>
      <x:c r="K659" s="12" t="n">
        <x:v>135</x:v>
      </x:c>
      <x:c r="L659" s="12" t="n">
        <x:v>25.011116051578476</x:v>
      </x:c>
      <x:c r="M659" s="12" t="n">
        <x:v>7</x:v>
      </x:c>
      <x:c r="N659" s="14" t="n">
        <x:v>0.7602432747688342</x:v>
      </x:c>
      <x:c r="O659" s="14" t="n">
        <x:v>0.23975672523116576</x:v>
      </x:c>
      <x:c r="P659" s="14" t="n">
        <x:v>0.23677426512431143</x:v>
      </x:c>
      <x:c r="Q659" s="14" t="n">
        <x:v>0.2844796516174001</x:v>
      </x:c>
      <x:c r="R659" s="14" t="n">
        <x:v>0.17705491413590643</x:v>
      </x:c>
      <x:c r="S659" s="14" t="n">
        <x:v>0.48620299693578023</x:v>
      </x:c>
      <x:c r="T659" t="str">
        <x:v>여성소비·고매출밀도</x:v>
      </x:c>
      <x:c r="U659" s="16" t="n">
        <x:v>57.57239338532052</x:v>
      </x:c>
      <x:c r="V659" t="str">
        <x:v>일반의원</x:v>
      </x:c>
      <x:c r="W659" t="str">
        <x:v>일반의원 / 한식음식점 / 의약품</x:v>
      </x:c>
      <x:c r="X659" s="16" t="n">
        <x:v>50.19272331602062</x:v>
      </x:c>
    </x:row>
    <x:row r="660">
      <x:c r="A660" t="str">
        <x:v>3110839</x:v>
      </x:c>
      <x:c r="B660" t="str">
        <x:v>숭실대입구역 4번</x:v>
      </x:c>
      <x:c r="C660" t="str">
        <x:v>골목상권</x:v>
      </x:c>
      <x:c r="D660" t="str">
        <x:v>동작구</x:v>
      </x:c>
      <x:c r="E660" t="str">
        <x:v>상도1동</x:v>
      </x:c>
      <x:c r="F660" s="12" t="n">
        <x:v>68786</x:v>
      </x:c>
      <x:c r="G660" s="12" t="n">
        <x:v>4981028650</x:v>
      </x:c>
      <x:c r="H660" s="12" t="n">
        <x:v>438062</x:v>
      </x:c>
      <x:c r="I660" s="12" t="n">
        <x:v>11370.601992412034</x:v>
      </x:c>
      <x:c r="J660" s="12" t="n">
        <x:v>72413.40752478702</x:v>
      </x:c>
      <x:c r="K660" s="12" t="n">
        <x:v>536</x:v>
      </x:c>
      <x:c r="L660" s="12" t="n">
        <x:v>77.9228331346495</x:v>
      </x:c>
      <x:c r="M660" s="12" t="n">
        <x:v>15</x:v>
      </x:c>
      <x:c r="N660" s="14" t="n">
        <x:v>0.7635245260032785</x:v>
      </x:c>
      <x:c r="O660" s="14" t="n">
        <x:v>0.23647547399672153</x:v>
      </x:c>
      <x:c r="P660" s="14" t="n">
        <x:v>0.4454044888900609</x:v>
      </x:c>
      <x:c r="Q660" s="14" t="n">
        <x:v>0.28827430896226625</x:v>
      </x:c>
      <x:c r="R660" s="14" t="n">
        <x:v>0.49916012830000484</x:v>
      </x:c>
      <x:c r="S660" s="14" t="n">
        <x:v>0.41120916821066666</x:v>
      </x:c>
      <x:c r="T660" t="str">
        <x:v>2030소비·야간활성</x:v>
      </x:c>
      <x:c r="U660" s="16" t="n">
        <x:v>68.24197822310215</x:v>
      </x:c>
      <x:c r="V660" t="str">
        <x:v>커피-음료</x:v>
      </x:c>
      <x:c r="W660" t="str">
        <x:v>커피-음료 / 미용실 / 패스트푸드점</x:v>
      </x:c>
      <x:c r="X660" s="16" t="n">
        <x:v>62.40712885963609</x:v>
      </x:c>
    </x:row>
    <x:row r="661">
      <x:c r="A661" t="str">
        <x:v>3110399</x:v>
      </x:c>
      <x:c r="B661" t="str">
        <x:v>창2동주민센터</x:v>
      </x:c>
      <x:c r="C661" t="str">
        <x:v>골목상권</x:v>
      </x:c>
      <x:c r="D661" t="str">
        <x:v>도봉구</x:v>
      </x:c>
      <x:c r="E661" t="str">
        <x:v>창2동</x:v>
      </x:c>
      <x:c r="F661" s="12" t="n">
        <x:v>161205</x:v>
      </x:c>
      <x:c r="G661" s="12" t="n">
        <x:v>4940804122</x:v>
      </x:c>
      <x:c r="H661" s="12" t="n">
        <x:v>257245</x:v>
      </x:c>
      <x:c r="I661" s="12" t="n">
        <x:v>19206.608960329646</x:v>
      </x:c>
      <x:c r="J661" s="12" t="n">
        <x:v>30649.198982661826</x:v>
      </x:c>
      <x:c r="K661" s="12" t="n">
        <x:v>715</x:v>
      </x:c>
      <x:c r="L661" s="12" t="n">
        <x:v>44.35346298191744</x:v>
      </x:c>
      <x:c r="M661" s="12" t="n">
        <x:v>18</x:v>
      </x:c>
      <x:c r="N661" s="14" t="n">
        <x:v>0.7509999618236232</x:v>
      </x:c>
      <x:c r="O661" s="14" t="n">
        <x:v>0.24900003817637684</x:v>
      </x:c>
      <x:c r="P661" s="14" t="n">
        <x:v>0.43926414069648884</x:v>
      </x:c>
      <x:c r="Q661" s="14" t="n">
        <x:v>0.18956749830043151</x:v>
      </x:c>
      <x:c r="R661" s="14" t="n">
        <x:v>0.18977063163160954</x:v>
      </x:c>
      <x:c r="S661" s="14" t="n">
        <x:v>0.4498014661428021</x:v>
      </x:c>
      <x:c r="T661" t="str">
        <x:v>야간활성·여성소비</x:v>
      </x:c>
      <x:c r="U661" s="16" t="n">
        <x:v>65.38199075131439</x:v>
      </x:c>
      <x:c r="V661" t="str">
        <x:v>스포츠 강습</x:v>
      </x:c>
      <x:c r="W661" t="str">
        <x:v>스포츠 강습 / 편의점 / 한식음식점</x:v>
      </x:c>
      <x:c r="X661" s="16" t="n">
        <x:v>60.11580603897712</x:v>
      </x:c>
    </x:row>
    <x:row r="662">
      <x:c r="A662" t="str">
        <x:v>3110252</x:v>
      </x:c>
      <x:c r="B662" t="str">
        <x:v>장안제일시장</x:v>
      </x:c>
      <x:c r="C662" t="str">
        <x:v>골목상권</x:v>
      </x:c>
      <x:c r="D662" t="str">
        <x:v>중랑구</x:v>
      </x:c>
      <x:c r="E662" t="str">
        <x:v>면목5동</x:v>
      </x:c>
      <x:c r="F662" s="12" t="n">
        <x:v>121544</x:v>
      </x:c>
      <x:c r="G662" s="12" t="n">
        <x:v>4930400620</x:v>
      </x:c>
      <x:c r="H662" s="12" t="n">
        <x:v>138273</x:v>
      </x:c>
      <x:c r="I662" s="12" t="n">
        <x:v>35657.0018731061</x:v>
      </x:c>
      <x:c r="J662" s="12" t="n">
        <x:v>40564.738860001315</x:v>
      </x:c>
      <x:c r="K662" s="12" t="n">
        <x:v>693</x:v>
      </x:c>
      <x:c r="L662" s="12" t="n">
        <x:v>57.01638912657145</x:v>
      </x:c>
      <x:c r="M662" s="12" t="n">
        <x:v>13</x:v>
      </x:c>
      <x:c r="N662" s="14" t="n">
        <x:v>0.793127179997799</x:v>
      </x:c>
      <x:c r="O662" s="14" t="n">
        <x:v>0.20687282000220095</x:v>
      </x:c>
      <x:c r="P662" s="14" t="n">
        <x:v>0.3889934982605937</x:v>
      </x:c>
      <x:c r="Q662" s="14" t="n">
        <x:v>0.2671216190135884</x:v>
      </x:c>
      <x:c r="R662" s="14" t="n">
        <x:v>0.23311071443926598</x:v>
      </x:c>
      <x:c r="S662" s="14" t="n">
        <x:v>0.313937154056256</x:v>
      </x:c>
      <x:c r="T662" t="str">
        <x:v>평일집중·2030소비</x:v>
      </x:c>
      <x:c r="U662" s="16" t="n">
        <x:v>70.58865001953902</x:v>
      </x:c>
      <x:c r="V662" t="str">
        <x:v>자동차수리</x:v>
      </x:c>
      <x:c r="W662" t="str">
        <x:v>자동차수리 / 미용실 / 육류판매</x:v>
      </x:c>
      <x:c r="X662" s="16" t="n">
        <x:v>62.580261980441</x:v>
      </x:c>
    </x:row>
    <x:row r="663">
      <x:c r="A663" t="str">
        <x:v>3110871</x:v>
      </x:c>
      <x:c r="B663" t="str">
        <x:v>신원동주민센터</x:v>
      </x:c>
      <x:c r="C663" t="str">
        <x:v>골목상권</x:v>
      </x:c>
      <x:c r="D663" t="str">
        <x:v>관악구</x:v>
      </x:c>
      <x:c r="E663" t="str">
        <x:v>신원동</x:v>
      </x:c>
      <x:c r="F663" s="12" t="n">
        <x:v>49950</x:v>
      </x:c>
      <x:c r="G663" s="12" t="n">
        <x:v>4894217209</x:v>
      </x:c>
      <x:c r="H663" s="12" t="n">
        <x:v>304829</x:v>
      </x:c>
      <x:c r="I663" s="12" t="n">
        <x:v>16055.615472937287</x:v>
      </x:c>
      <x:c r="J663" s="12" t="n">
        <x:v>97982.3265065065</x:v>
      </x:c>
      <x:c r="K663" s="12" t="n">
        <x:v>76</x:v>
      </x:c>
      <x:c r="L663" s="12" t="n">
        <x:v>15.215215215215215</x:v>
      </x:c>
      <x:c r="M663" s="12" t="n">
        <x:v>16</x:v>
      </x:c>
      <x:c r="N663" s="14" t="n">
        <x:v>0.7187856702663153</x:v>
      </x:c>
      <x:c r="O663" s="14" t="n">
        <x:v>0.2812143297336847</x:v>
      </x:c>
      <x:c r="P663" s="14" t="n">
        <x:v>0.3854088303500957</x:v>
      </x:c>
      <x:c r="Q663" s="14" t="n">
        <x:v>0.2223334753102087</x:v>
      </x:c>
      <x:c r="R663" s="14" t="n">
        <x:v>0.24927835992985656</x:v>
      </x:c>
      <x:c r="S663" s="14" t="n">
        <x:v>0.39920385662638047</x:v>
      </x:c>
      <x:c r="T663" t="str">
        <x:v>고매출밀도·2030소비</x:v>
      </x:c>
      <x:c r="U663" s="16" t="n">
        <x:v>58.191152700445976</x:v>
      </x:c>
      <x:c r="V663" t="str">
        <x:v>한식음식점</x:v>
      </x:c>
      <x:c r="W663" t="str">
        <x:v>한식음식점 / 노래방 / 의약품</x:v>
      </x:c>
      <x:c r="X663" s="16" t="n">
        <x:v>54.65727596953432</x:v>
      </x:c>
    </x:row>
    <x:row r="664">
      <x:c r="A664" t="str">
        <x:v>3110957</x:v>
      </x:c>
      <x:c r="B664" t="str">
        <x:v>언북중학교</x:v>
      </x:c>
      <x:c r="C664" t="str">
        <x:v>골목상권</x:v>
      </x:c>
      <x:c r="D664" t="str">
        <x:v>강남구</x:v>
      </x:c>
      <x:c r="E664" t="str">
        <x:v>논현2동</x:v>
      </x:c>
      <x:c r="F664" s="12" t="n">
        <x:v>94815</x:v>
      </x:c>
      <x:c r="G664" s="12" t="n">
        <x:v>4873795121</x:v>
      </x:c>
      <x:c r="H664" s="12" t="n">
        <x:v>75270</x:v>
      </x:c>
      <x:c r="I664" s="12" t="n">
        <x:v>64750.83195164076</x:v>
      </x:c>
      <x:c r="J664" s="12" t="n">
        <x:v>51403.207519907184</x:v>
      </x:c>
      <x:c r="K664" s="12" t="n">
        <x:v>2925</x:v>
      </x:c>
      <x:c r="L664" s="12" t="n">
        <x:v>308.4954912197437</x:v>
      </x:c>
      <x:c r="M664" s="12" t="n">
        <x:v>10</x:v>
      </x:c>
      <x:c r="N664" s="14" t="n">
        <x:v>0.7710094158059296</x:v>
      </x:c>
      <x:c r="O664" s="14" t="n">
        <x:v>0.2289905841940704</x:v>
      </x:c>
      <x:c r="P664" s="14" t="n">
        <x:v>0.4469731816615687</x:v>
      </x:c>
      <x:c r="Q664" s="14" t="n">
        <x:v>0.22493305745996703</x:v>
      </x:c>
      <x:c r="R664" s="14" t="n">
        <x:v>0.5457703709248717</x:v>
      </x:c>
      <x:c r="S664" s="14" t="n">
        <x:v>0.5714831682191263</x:v>
      </x:c>
      <x:c r="T664" t="str">
        <x:v>2030소비·여성소비</x:v>
      </x:c>
      <x:c r="U664" s="16" t="n">
        <x:v>71.9022889219177</x:v>
      </x:c>
      <x:c r="V664" t="str">
        <x:v>애완동물</x:v>
      </x:c>
      <x:c r="W664" t="str">
        <x:v>애완동물 / 세탁소 / 화초</x:v>
      </x:c>
      <x:c r="X664" s="16" t="n">
        <x:v>62.42069935418632</x:v>
      </x:c>
    </x:row>
    <x:row r="665">
      <x:c r="A665" t="str">
        <x:v>3110230</x:v>
      </x:c>
      <x:c r="B665" t="str">
        <x:v>장안현대홈타운1차아파트</x:v>
      </x:c>
      <x:c r="C665" t="str">
        <x:v>골목상권</x:v>
      </x:c>
      <x:c r="D665" t="str">
        <x:v>동대문구</x:v>
      </x:c>
      <x:c r="E665" t="str">
        <x:v>장안2동</x:v>
      </x:c>
      <x:c r="F665" s="12" t="n">
        <x:v>79796</x:v>
      </x:c>
      <x:c r="G665" s="12" t="n">
        <x:v>4857347678</x:v>
      </x:c>
      <x:c r="H665" s="12" t="n">
        <x:v>329661</x:v>
      </x:c>
      <x:c r="I665" s="12" t="n">
        <x:v>14734.371605983117</x:v>
      </x:c>
      <x:c r="J665" s="12" t="n">
        <x:v>60872.069752869815</x:v>
      </x:c>
      <x:c r="K665" s="12" t="n">
        <x:v>369</x:v>
      </x:c>
      <x:c r="L665" s="12" t="n">
        <x:v>46.24291944458369</x:v>
      </x:c>
      <x:c r="M665" s="12" t="n">
        <x:v>10</x:v>
      </x:c>
      <x:c r="N665" s="14" t="n">
        <x:v>0.6605728365981711</x:v>
      </x:c>
      <x:c r="O665" s="14" t="n">
        <x:v>0.3394271634018289</x:v>
      </x:c>
      <x:c r="P665" s="14" t="n">
        <x:v>0.5787313853879743</x:v>
      </x:c>
      <x:c r="Q665" s="14" t="n">
        <x:v>0.1210618450607027</x:v>
      </x:c>
      <x:c r="R665" s="14" t="n">
        <x:v>0.3707562026405144</x:v>
      </x:c>
      <x:c r="S665" s="14" t="n">
        <x:v>0.3994627656134604</x:v>
      </x:c>
      <x:c r="T665" t="str">
        <x:v>야간활성·2030소비</x:v>
      </x:c>
      <x:c r="U665" s="16" t="n">
        <x:v>60.21887951924268</x:v>
      </x:c>
      <x:c r="V665" t="str">
        <x:v>호프-간이주점</x:v>
      </x:c>
      <x:c r="W665" t="str">
        <x:v>호프-간이주점 / 일반의류 / 여관</x:v>
      </x:c>
      <x:c r="X665" s="16" t="n">
        <x:v>54.605160762433265</x:v>
      </x:c>
    </x:row>
    <x:row r="666">
      <x:c r="A666" t="str">
        <x:v>3110999</x:v>
      </x:c>
      <x:c r="B666" t="str">
        <x:v>윗방죽마을공원</x:v>
      </x:c>
      <x:c r="C666" t="str">
        <x:v>골목상권</x:v>
      </x:c>
      <x:c r="D666" t="str">
        <x:v>강남구</x:v>
      </x:c>
      <x:c r="E666" t="str">
        <x:v>세곡동</x:v>
      </x:c>
      <x:c r="F666" s="12" t="n">
        <x:v>239797</x:v>
      </x:c>
      <x:c r="G666" s="12" t="n">
        <x:v>4844604549</x:v>
      </x:c>
      <x:c r="H666" s="12" t="n">
        <x:v>469492</x:v>
      </x:c>
      <x:c r="I666" s="12" t="n">
        <x:v>10318.822363320354</x:v>
      </x:c>
      <x:c r="J666" s="12" t="n">
        <x:v>20202.940608097684</x:v>
      </x:c>
      <x:c r="K666" s="12" t="n">
        <x:v>99</x:v>
      </x:c>
      <x:c r="L666" s="12" t="n">
        <x:v>4.128492016163672</x:v>
      </x:c>
      <x:c r="M666" s="12" t="n">
        <x:v>11</x:v>
      </x:c>
      <x:c r="N666" s="14" t="n">
        <x:v>0.7398776021336722</x:v>
      </x:c>
      <x:c r="O666" s="14" t="n">
        <x:v>0.2601223978663279</x:v>
      </x:c>
      <x:c r="P666" s="14" t="n">
        <x:v>0.48699051287622447</x:v>
      </x:c>
      <x:c r="Q666" s="14" t="n">
        <x:v>0.2256180369201895</x:v>
      </x:c>
      <x:c r="R666" s="14" t="n">
        <x:v>0.3988314072814945</x:v>
      </x:c>
      <x:c r="S666" s="14" t="n">
        <x:v>0.3896108691450597</x:v>
      </x:c>
      <x:c r="T666" t="str">
        <x:v>2030소비·야간활성</x:v>
      </x:c>
      <x:c r="U666" s="16" t="n">
        <x:v>68.42975564004759</x:v>
      </x:c>
      <x:c r="V666" t="str">
        <x:v>커피-음료</x:v>
      </x:c>
      <x:c r="W666" t="str">
        <x:v>커피-음료 / 일식음식점 / 한식음식점</x:v>
      </x:c>
      <x:c r="X666" s="16" t="n">
        <x:v>62.10131516462185</x:v>
      </x:c>
    </x:row>
    <x:row r="667">
      <x:c r="A667" t="str">
        <x:v>3110142</x:v>
      </x:c>
      <x:c r="B667" t="str">
        <x:v>화양사거리</x:v>
      </x:c>
      <x:c r="C667" t="str">
        <x:v>골목상권</x:v>
      </x:c>
      <x:c r="D667" t="str">
        <x:v>광진구</x:v>
      </x:c>
      <x:c r="E667" t="str">
        <x:v>화양동</x:v>
      </x:c>
      <x:c r="F667" s="12" t="n">
        <x:v>116892</x:v>
      </x:c>
      <x:c r="G667" s="12" t="n">
        <x:v>4835591981</x:v>
      </x:c>
      <x:c r="H667" s="12" t="n">
        <x:v>319692</x:v>
      </x:c>
      <x:c r="I667" s="12" t="n">
        <x:v>15125.78350725073</x:v>
      </x:c>
      <x:c r="J667" s="12" t="n">
        <x:v>41368.03186702255</x:v>
      </x:c>
      <x:c r="K667" s="12" t="n">
        <x:v>89</x:v>
      </x:c>
      <x:c r="L667" s="12" t="n">
        <x:v>7.613865790644356</x:v>
      </x:c>
      <x:c r="M667" s="12" t="n">
        <x:v>16</x:v>
      </x:c>
      <x:c r="N667" s="14" t="n">
        <x:v>0.7320168686498614</x:v>
      </x:c>
      <x:c r="O667" s="14" t="n">
        <x:v>0.2679831313501386</x:v>
      </x:c>
      <x:c r="P667" s="14" t="n">
        <x:v>0.5402995400078607</x:v>
      </x:c>
      <x:c r="Q667" s="14" t="n">
        <x:v>0.15283788849512528</x:v>
      </x:c>
      <x:c r="R667" s="14" t="n">
        <x:v>0.4735489571902324</x:v>
      </x:c>
      <x:c r="S667" s="14" t="n">
        <x:v>0.3002244115517322</x:v>
      </x:c>
      <x:c r="T667" t="str">
        <x:v>2030소비·야간활성</x:v>
      </x:c>
      <x:c r="U667" s="16" t="n">
        <x:v>63.42035293081444</x:v>
      </x:c>
      <x:c r="V667" t="str">
        <x:v>화초</x:v>
      </x:c>
      <x:c r="W667" t="str">
        <x:v>화초 / 여관 / 세탁소</x:v>
      </x:c>
      <x:c r="X667" s="16" t="n">
        <x:v>53.44802880159117</x:v>
      </x:c>
    </x:row>
    <x:row r="668">
      <x:c r="A668" t="str">
        <x:v>3130134</x:v>
      </x:c>
      <x:c r="B668" t="str">
        <x:v>솔샘시장(미아6,7동골목시장)</x:v>
      </x:c>
      <x:c r="C668" t="str">
        <x:v>전통시장</x:v>
      </x:c>
      <x:c r="D668" t="str">
        <x:v>강북구</x:v>
      </x:c>
      <x:c r="E668" t="str">
        <x:v>삼각산동</x:v>
      </x:c>
      <x:c r="F668" s="12" t="n">
        <x:v>21168</x:v>
      </x:c>
      <x:c r="G668" s="12" t="n">
        <x:v>4804743432</x:v>
      </x:c>
      <x:c r="H668" s="12" t="n">
        <x:v>196498</x:v>
      </x:c>
      <x:c r="I668" s="12" t="n">
        <x:v>24451.869393072702</x:v>
      </x:c>
      <x:c r="J668" s="12" t="n">
        <x:v>226981.45464852607</x:v>
      </x:c>
      <x:c r="K668" s="12" t="n">
        <x:v>194</x:v>
      </x:c>
      <x:c r="L668" s="12" t="n">
        <x:v>91.6477702191988</x:v>
      </x:c>
      <x:c r="M668" s="12" t="n">
        <x:v>14</x:v>
      </x:c>
      <x:c r="N668" s="14" t="n">
        <x:v>0.7464001686573303</x:v>
      </x:c>
      <x:c r="O668" s="14" t="n">
        <x:v>0.2535998313426697</x:v>
      </x:c>
      <x:c r="P668" s="14" t="n">
        <x:v>0.30148350031606846</x:v>
      </x:c>
      <x:c r="Q668" s="14" t="n">
        <x:v>0.29709791525867263</x:v>
      </x:c>
      <x:c r="R668" s="14" t="n">
        <x:v>0.117058804067272</x:v>
      </x:c>
      <x:c r="S668" s="14" t="n">
        <x:v>0.5147850691728674</x:v>
      </x:c>
      <x:c r="T668" t="str">
        <x:v>고매출밀도·여성소비</x:v>
      </x:c>
      <x:c r="U668" s="16" t="n">
        <x:v>66.61879188789959</x:v>
      </x:c>
      <x:c r="V668" t="str">
        <x:v>육류판매</x:v>
      </x:c>
      <x:c r="W668" t="str">
        <x:v>육류판매 / 반찬가게 / 수산물판매</x:v>
      </x:c>
      <x:c r="X668" s="16" t="n">
        <x:v>61.833750200515624</x:v>
      </x:c>
    </x:row>
    <x:row r="669">
      <x:c r="A669" t="str">
        <x:v>3111068</x:v>
      </x:c>
      <x:c r="B669" t="str">
        <x:v>강동성심병원</x:v>
      </x:c>
      <x:c r="C669" t="str">
        <x:v>골목상권</x:v>
      </x:c>
      <x:c r="D669" t="str">
        <x:v>강동구</x:v>
      </x:c>
      <x:c r="E669" t="str">
        <x:v>길동</x:v>
      </x:c>
      <x:c r="F669" s="12" t="n">
        <x:v>19646</x:v>
      </x:c>
      <x:c r="G669" s="12" t="n">
        <x:v>4803113208</x:v>
      </x:c>
      <x:c r="H669" s="12" t="n">
        <x:v>170466</x:v>
      </x:c>
      <x:c r="I669" s="12" t="n">
        <x:v>28176.37070148886</x:v>
      </x:c>
      <x:c r="J669" s="12" t="n">
        <x:v>244483.0096711799</x:v>
      </x:c>
      <x:c r="K669" s="12" t="n">
        <x:v>1023</x:v>
      </x:c>
      <x:c r="L669" s="12" t="n">
        <x:v>520.7166853303471</x:v>
      </x:c>
      <x:c r="M669" s="12" t="n">
        <x:v>4</x:v>
      </x:c>
      <x:c r="N669" s="14" t="n">
        <x:v>0.9218235590669426</x:v>
      </x:c>
      <x:c r="O669" s="14" t="n">
        <x:v>0.07817644093305744</x:v>
      </x:c>
      <x:c r="P669" s="14" t="n">
        <x:v>0.11824242286316729</x:v>
      </x:c>
      <x:c r="Q669" s="14" t="n">
        <x:v>0.29599829015731166</x:v>
      </x:c>
      <x:c r="R669" s="14" t="n">
        <x:v>0.1454507519906868</x:v>
      </x:c>
      <x:c r="S669" s="14" t="n">
        <x:v>0.4656919381526266</x:v>
      </x:c>
      <x:c r="T669" t="str">
        <x:v>평일집중·직장밀집</x:v>
      </x:c>
      <x:c r="U669" s="16" t="n">
        <x:v>71.1511421865301</x:v>
      </x:c>
      <x:c r="V669" t="str">
        <x:v>의약품</x:v>
      </x:c>
      <x:c r="W669" t="str">
        <x:v>의약품 / 커피-음료 / 호프-간이주점</x:v>
      </x:c>
      <x:c r="X669" s="16" t="n">
        <x:v>53.57386426700879</x:v>
      </x:c>
    </x:row>
    <x:row r="670">
      <x:c r="A670" t="str">
        <x:v>3110842</x:v>
      </x:c>
      <x:c r="B670" t="str">
        <x:v>흑리단길</x:v>
      </x:c>
      <x:c r="C670" t="str">
        <x:v>골목상권</x:v>
      </x:c>
      <x:c r="D670" t="str">
        <x:v>동작구</x:v>
      </x:c>
      <x:c r="E670" t="str">
        <x:v>흑석동</x:v>
      </x:c>
      <x:c r="F670" s="12" t="n">
        <x:v>29278</x:v>
      </x:c>
      <x:c r="G670" s="12" t="n">
        <x:v>4766621959</x:v>
      </x:c>
      <x:c r="H670" s="12" t="n">
        <x:v>187192</x:v>
      </x:c>
      <x:c r="I670" s="12" t="n">
        <x:v>25463.812337065687</x:v>
      </x:c>
      <x:c r="J670" s="12" t="n">
        <x:v>162805.58641300636</x:v>
      </x:c>
      <x:c r="K670" s="12" t="n">
        <x:v>22</x:v>
      </x:c>
      <x:c r="L670" s="12" t="n">
        <x:v>7.514174465468953</x:v>
      </x:c>
      <x:c r="M670" s="12" t="n">
        <x:v>15</x:v>
      </x:c>
      <x:c r="N670" s="14" t="n">
        <x:v>0.7677498407630694</x:v>
      </x:c>
      <x:c r="O670" s="14" t="n">
        <x:v>0.23225015923693057</x:v>
      </x:c>
      <x:c r="P670" s="14" t="n">
        <x:v>0.4776404903898946</x:v>
      </x:c>
      <x:c r="Q670" s="14" t="n">
        <x:v>0.21538798772608936</x:v>
      </x:c>
      <x:c r="R670" s="14" t="n">
        <x:v>0.18053920226988993</x:v>
      </x:c>
      <x:c r="S670" s="14" t="n">
        <x:v>0.46743049588674124</x:v>
      </x:c>
      <x:c r="T670" t="str">
        <x:v>고매출밀도·야간활성</x:v>
      </x:c>
      <x:c r="U670" s="16" t="n">
        <x:v>68.9450676818346</x:v>
      </x:c>
      <x:c r="V670" t="str">
        <x:v>피부관리실</x:v>
      </x:c>
      <x:c r="W670" t="str">
        <x:v>피부관리실 / 제과점 / 일반교습학원</x:v>
      </x:c>
      <x:c r="X670" s="16" t="n">
        <x:v>62.35562435839453</x:v>
      </x:c>
    </x:row>
    <x:row r="671">
      <x:c r="A671" t="str">
        <x:v>3130065</x:v>
      </x:c>
      <x:c r="B671" t="str">
        <x:v>무학봉상점가</x:v>
      </x:c>
      <x:c r="C671" t="str">
        <x:v>전통시장</x:v>
      </x:c>
      <x:c r="D671" t="str">
        <x:v>성동구</x:v>
      </x:c>
      <x:c r="E671" t="str">
        <x:v>왕십리2동</x:v>
      </x:c>
      <x:c r="F671" s="12" t="n">
        <x:v>69338</x:v>
      </x:c>
      <x:c r="G671" s="12" t="n">
        <x:v>4753690243</x:v>
      </x:c>
      <x:c r="H671" s="12" t="n">
        <x:v>182937</x:v>
      </x:c>
      <x:c r="I671" s="12" t="n">
        <x:v>25985.395207093152</x:v>
      </x:c>
      <x:c r="J671" s="12" t="n">
        <x:v>68558.22554731893</x:v>
      </x:c>
      <x:c r="K671" s="12" t="n">
        <x:v>689</x:v>
      </x:c>
      <x:c r="L671" s="12" t="n">
        <x:v>99.3683117482477</x:v>
      </x:c>
      <x:c r="M671" s="12" t="n">
        <x:v>19</x:v>
      </x:c>
      <x:c r="N671" s="14" t="n">
        <x:v>0.7523592533751047</x:v>
      </x:c>
      <x:c r="O671" s="14" t="n">
        <x:v>0.2476407466248953</x:v>
      </x:c>
      <x:c r="P671" s="14" t="n">
        <x:v>0.37616283089398594</x:v>
      </x:c>
      <x:c r="Q671" s="14" t="n">
        <x:v>0.2538534818874609</x:v>
      </x:c>
      <x:c r="R671" s="14" t="n">
        <x:v>0.2187147840629716</x:v>
      </x:c>
      <x:c r="S671" s="14" t="n">
        <x:v>0.5184940479934422</x:v>
      </x:c>
      <x:c r="T671" t="str">
        <x:v>여성소비·직장밀집</x:v>
      </x:c>
      <x:c r="U671" s="16" t="n">
        <x:v>78.37977714435823</x:v>
      </x:c>
      <x:c r="V671" t="str">
        <x:v>미용실</x:v>
      </x:c>
      <x:c r="W671" t="str">
        <x:v>미용실 / 한식음식점 / 일반의류</x:v>
      </x:c>
      <x:c r="X671" s="16" t="n">
        <x:v>65.26923559051467</x:v>
      </x:c>
    </x:row>
    <x:row r="672">
      <x:c r="A672" t="str">
        <x:v>3110327</x:v>
      </x:c>
      <x:c r="B672" t="str">
        <x:v>상월곡역 2번</x:v>
      </x:c>
      <x:c r="C672" t="str">
        <x:v>골목상권</x:v>
      </x:c>
      <x:c r="D672" t="str">
        <x:v>성북구</x:v>
      </x:c>
      <x:c r="E672" t="str">
        <x:v>장위2동</x:v>
      </x:c>
      <x:c r="F672" s="12" t="n">
        <x:v>117350</x:v>
      </x:c>
      <x:c r="G672" s="12" t="n">
        <x:v>4732921601</x:v>
      </x:c>
      <x:c r="H672" s="12" t="n">
        <x:v>271163</x:v>
      </x:c>
      <x:c r="I672" s="12" t="n">
        <x:v>17454.157097391606</x:v>
      </x:c>
      <x:c r="J672" s="12" t="n">
        <x:v>40331.67107797188</x:v>
      </x:c>
      <x:c r="K672" s="12" t="n">
        <x:v>341</x:v>
      </x:c>
      <x:c r="L672" s="12" t="n">
        <x:v>29.05837239028547</x:v>
      </x:c>
      <x:c r="M672" s="12" t="n">
        <x:v>10</x:v>
      </x:c>
      <x:c r="N672" s="14" t="n">
        <x:v>0.7377184522266926</x:v>
      </x:c>
      <x:c r="O672" s="14" t="n">
        <x:v>0.26228154777330737</x:v>
      </x:c>
      <x:c r="P672" s="14" t="n">
        <x:v>0.37368080439496804</x:v>
      </x:c>
      <x:c r="Q672" s="14" t="n">
        <x:v>0.26069313608307115</x:v>
      </x:c>
      <x:c r="R672" s="14" t="n">
        <x:v>0.12903761703362304</x:v>
      </x:c>
      <x:c r="S672" s="14" t="n">
        <x:v>0.5169324774961553</x:v>
      </x:c>
      <x:c r="T672" t="str">
        <x:v>여성소비</x:v>
      </x:c>
      <x:c r="U672" s="16" t="n">
        <x:v>59.109484305863894</x:v>
      </x:c>
      <x:c r="V672" t="str">
        <x:v>철물점</x:v>
      </x:c>
      <x:c r="W672" t="str">
        <x:v>철물점 / 슈퍼마켓 / 미용실</x:v>
      </x:c>
      <x:c r="X672" s="16" t="n">
        <x:v>54.21817399805811</x:v>
      </x:c>
    </x:row>
    <x:row r="673">
      <x:c r="A673" t="str">
        <x:v>3110655</x:v>
      </x:c>
      <x:c r="B673" t="str">
        <x:v>발산역 5번</x:v>
      </x:c>
      <x:c r="C673" t="str">
        <x:v>골목상권</x:v>
      </x:c>
      <x:c r="D673" t="str">
        <x:v>강서구</x:v>
      </x:c>
      <x:c r="E673" t="str">
        <x:v>우장산동</x:v>
      </x:c>
      <x:c r="F673" s="12" t="n">
        <x:v>121172</x:v>
      </x:c>
      <x:c r="G673" s="12" t="n">
        <x:v>4727621099</x:v>
      </x:c>
      <x:c r="H673" s="12" t="n">
        <x:v>145094</x:v>
      </x:c>
      <x:c r="I673" s="12" t="n">
        <x:v>32583.160564875183</x:v>
      </x:c>
      <x:c r="J673" s="12" t="n">
        <x:v>39015.78829267488</x:v>
      </x:c>
      <x:c r="K673" s="12" t="n">
        <x:v>1112</x:v>
      </x:c>
      <x:c r="L673" s="12" t="n">
        <x:v>91.77037599445416</x:v>
      </x:c>
      <x:c r="M673" s="12" t="n">
        <x:v>12</x:v>
      </x:c>
      <x:c r="N673" s="14" t="n">
        <x:v>0.7383615981277267</x:v>
      </x:c>
      <x:c r="O673" s="14" t="n">
        <x:v>0.2616384018722732</x:v>
      </x:c>
      <x:c r="P673" s="14" t="n">
        <x:v>0.41760541901668163</x:v>
      </x:c>
      <x:c r="Q673" s="14" t="n">
        <x:v>0.2726753307858524</x:v>
      </x:c>
      <x:c r="R673" s="14" t="n">
        <x:v>0.28448700368235663</x:v>
      </x:c>
      <x:c r="S673" s="14" t="n">
        <x:v>0.4696875651624635</x:v>
      </x:c>
      <x:c r="T673" t="str">
        <x:v>2030소비·여성소비</x:v>
      </x:c>
      <x:c r="U673" s="16" t="n">
        <x:v>56.94022288999551</x:v>
      </x:c>
      <x:c r="V673" t="str">
        <x:v>미용실</x:v>
      </x:c>
      <x:c r="W673" t="str">
        <x:v>미용실 / 한식음식점 / 커피-음료</x:v>
      </x:c>
      <x:c r="X673" s="16" t="n">
        <x:v>54.14892662274559</x:v>
      </x:c>
    </x:row>
    <x:row r="674">
      <x:c r="A674" t="str">
        <x:v>3110665</x:v>
      </x:c>
      <x:c r="B674" t="str">
        <x:v>곰달래도서관</x:v>
      </x:c>
      <x:c r="C674" t="str">
        <x:v>골목상권</x:v>
      </x:c>
      <x:c r="D674" t="str">
        <x:v>강서구</x:v>
      </x:c>
      <x:c r="E674" t="str">
        <x:v>화곡2동</x:v>
      </x:c>
      <x:c r="F674" s="12" t="n">
        <x:v>205223</x:v>
      </x:c>
      <x:c r="G674" s="12" t="n">
        <x:v>4723153051</x:v>
      </x:c>
      <x:c r="H674" s="12" t="n">
        <x:v>118246</x:v>
      </x:c>
      <x:c r="I674" s="12" t="n">
        <x:v>39943.44883547858</x:v>
      </x:c>
      <x:c r="J674" s="12" t="n">
        <x:v>23014.73543901025</x:v>
      </x:c>
      <x:c r="K674" s="12" t="n">
        <x:v>1177</x:v>
      </x:c>
      <x:c r="L674" s="12" t="n">
        <x:v>57.35224609327415</x:v>
      </x:c>
      <x:c r="M674" s="12" t="n">
        <x:v>16</x:v>
      </x:c>
      <x:c r="N674" s="14" t="n">
        <x:v>0.88554215369211</x:v>
      </x:c>
      <x:c r="O674" s="14" t="n">
        <x:v>0.11445784630789005</x:v>
      </x:c>
      <x:c r="P674" s="14" t="n">
        <x:v>0.16278381045416604</x:v>
      </x:c>
      <x:c r="Q674" s="14" t="n">
        <x:v>0.33332934397852526</x:v>
      </x:c>
      <x:c r="R674" s="14" t="n">
        <x:v>0.20739091713164134</x:v>
      </x:c>
      <x:c r="S674" s="14" t="n">
        <x:v>0.24182157124003814</x:v>
      </x:c>
      <x:c r="T674" t="str">
        <x:v>평일집중</x:v>
      </x:c>
      <x:c r="U674" s="16" t="n">
        <x:v>68.15882644435959</x:v>
      </x:c>
      <x:c r="V674" t="str">
        <x:v>반찬가게</x:v>
      </x:c>
      <x:c r="W674" t="str">
        <x:v>반찬가게 / 완구 / 운동/경기용품</x:v>
      </x:c>
      <x:c r="X674" s="16" t="n">
        <x:v>61.94150248450742</x:v>
      </x:c>
    </x:row>
    <x:row r="675">
      <x:c r="A675" t="str">
        <x:v>3110425</x:v>
      </x:c>
      <x:c r="B675" t="str">
        <x:v>계상초등학교</x:v>
      </x:c>
      <x:c r="C675" t="str">
        <x:v>골목상권</x:v>
      </x:c>
      <x:c r="D675" t="str">
        <x:v>노원구</x:v>
      </x:c>
      <x:c r="E675" t="str">
        <x:v>상계5동</x:v>
      </x:c>
      <x:c r="F675" s="12" t="n">
        <x:v>104277</x:v>
      </x:c>
      <x:c r="G675" s="12" t="n">
        <x:v>4720293263</x:v>
      </x:c>
      <x:c r="H675" s="12" t="n">
        <x:v>191310</x:v>
      </x:c>
      <x:c r="I675" s="12" t="n">
        <x:v>24673.531247713137</x:v>
      </x:c>
      <x:c r="J675" s="12" t="n">
        <x:v>45266.86865751796</x:v>
      </x:c>
      <x:c r="K675" s="12" t="n">
        <x:v>307</x:v>
      </x:c>
      <x:c r="L675" s="12" t="n">
        <x:v>29.4408162873884</x:v>
      </x:c>
      <x:c r="M675" s="12" t="n">
        <x:v>19</x:v>
      </x:c>
      <x:c r="N675" s="14" t="n">
        <x:v>0.8382994448707413</x:v>
      </x:c>
      <x:c r="O675" s="14" t="n">
        <x:v>0.1617005551292587</x:v>
      </x:c>
      <x:c r="P675" s="14" t="n">
        <x:v>0.3022278647774771</x:v>
      </x:c>
      <x:c r="Q675" s="14" t="n">
        <x:v>0.13882843956680663</x:v>
      </x:c>
      <x:c r="R675" s="14" t="n">
        <x:v>0.41072658476473983</x:v>
      </x:c>
      <x:c r="S675" s="14" t="n">
        <x:v>0.5255785795019151</x:v>
      </x:c>
      <x:c r="T675" t="str">
        <x:v>2030소비·평일집중</x:v>
      </x:c>
      <x:c r="U675" s="16" t="n">
        <x:v>72.2665958679185</x:v>
      </x:c>
      <x:c r="V675" t="str">
        <x:v>반찬가게</x:v>
      </x:c>
      <x:c r="W675" t="str">
        <x:v>반찬가게 / 조명용품 / 일반의류</x:v>
      </x:c>
      <x:c r="X675" s="16" t="n">
        <x:v>63.832419808174585</x:v>
      </x:c>
    </x:row>
    <x:row r="676">
      <x:c r="A676" t="str">
        <x:v>3110400</x:v>
      </x:c>
      <x:c r="B676" t="str">
        <x:v>도봉구보건소</x:v>
      </x:c>
      <x:c r="C676" t="str">
        <x:v>골목상권</x:v>
      </x:c>
      <x:c r="D676" t="str">
        <x:v>도봉구</x:v>
      </x:c>
      <x:c r="E676" t="str">
        <x:v>쌍문2동</x:v>
      </x:c>
      <x:c r="F676" s="12" t="n">
        <x:v>123299</x:v>
      </x:c>
      <x:c r="G676" s="12" t="n">
        <x:v>4699756983</x:v>
      </x:c>
      <x:c r="H676" s="12" t="n">
        <x:v>177643</x:v>
      </x:c>
      <x:c r="I676" s="12" t="n">
        <x:v>26456.19012851618</x:v>
      </x:c>
      <x:c r="J676" s="12" t="n">
        <x:v>38116.748578658386</x:v>
      </x:c>
      <x:c r="K676" s="12" t="n">
        <x:v>330</x:v>
      </x:c>
      <x:c r="L676" s="12" t="n">
        <x:v>26.764207333392807</x:v>
      </x:c>
      <x:c r="M676" s="12" t="n">
        <x:v>15</x:v>
      </x:c>
      <x:c r="N676" s="14" t="n">
        <x:v>0.8421098053188424</x:v>
      </x:c>
      <x:c r="O676" s="14" t="n">
        <x:v>0.15789019468115761</x:v>
      </x:c>
      <x:c r="P676" s="14" t="n">
        <x:v>0.23851851745841643</x:v>
      </x:c>
      <x:c r="Q676" s="14" t="n">
        <x:v>0.2595777688958859</x:v>
      </x:c>
      <x:c r="R676" s="14" t="n">
        <x:v>0.11621826744993635</x:v>
      </x:c>
      <x:c r="S676" s="14" t="n">
        <x:v>0.45518046033828297</x:v>
      </x:c>
      <x:c r="T676" t="str">
        <x:v>평일집중·여성소비</x:v>
      </x:c>
      <x:c r="U676" s="16" t="n">
        <x:v>71.54964167051429</x:v>
      </x:c>
      <x:c r="V676" t="str">
        <x:v>의료기기</x:v>
      </x:c>
      <x:c r="W676" t="str">
        <x:v>의료기기 / 일반의류 / 미용실</x:v>
      </x:c>
      <x:c r="X676" s="16" t="n">
        <x:v>60.40914001272042</x:v>
      </x:c>
    </x:row>
    <x:row r="677">
      <x:c r="A677" t="str">
        <x:v>3110597</x:v>
      </x:c>
      <x:c r="B677" t="str">
        <x:v>신월1동주민센터</x:v>
      </x:c>
      <x:c r="C677" t="str">
        <x:v>골목상권</x:v>
      </x:c>
      <x:c r="D677" t="str">
        <x:v>양천구</x:v>
      </x:c>
      <x:c r="E677" t="str">
        <x:v>신월1동</x:v>
      </x:c>
      <x:c r="F677" s="12" t="n">
        <x:v>181005</x:v>
      </x:c>
      <x:c r="G677" s="12" t="n">
        <x:v>4694280752</x:v>
      </x:c>
      <x:c r="H677" s="12" t="n">
        <x:v>174906</x:v>
      </x:c>
      <x:c r="I677" s="12" t="n">
        <x:v>26838.877751477936</x:v>
      </x:c>
      <x:c r="J677" s="12" t="n">
        <x:v>25934.53634982459</x:v>
      </x:c>
      <x:c r="K677" s="12" t="n">
        <x:v>523</x:v>
      </x:c>
      <x:c r="L677" s="12" t="n">
        <x:v>28.894229441175657</x:v>
      </x:c>
      <x:c r="M677" s="12" t="n">
        <x:v>12</x:v>
      </x:c>
      <x:c r="N677" s="14" t="n">
        <x:v>0.7198461908270628</x:v>
      </x:c>
      <x:c r="O677" s="14" t="n">
        <x:v>0.2801538091729372</x:v>
      </x:c>
      <x:c r="P677" s="14" t="n">
        <x:v>0.4356906028955807</x:v>
      </x:c>
      <x:c r="Q677" s="14" t="n">
        <x:v>0.20186724826721655</x:v>
      </x:c>
      <x:c r="R677" s="14" t="n">
        <x:v>0.15248264277653925</x:v>
      </x:c>
      <x:c r="S677" s="14" t="n">
        <x:v>0.3248026282514941</x:v>
      </x:c>
      <x:c r="T677" t="str">
        <x:v>야간활성</x:v>
      </x:c>
      <x:c r="U677" s="16" t="n">
        <x:v>59.562753230455634</x:v>
      </x:c>
      <x:c r="V677" t="str">
        <x:v>자동차수리</x:v>
      </x:c>
      <x:c r="W677" t="str">
        <x:v>자동차수리 / 호프-간이주점 / 슈퍼마켓</x:v>
      </x:c>
      <x:c r="X677" s="16" t="n">
        <x:v>56.39311864798587</x:v>
      </x:c>
    </x:row>
    <x:row r="678">
      <x:c r="A678" t="str">
        <x:v>3110028</x:v>
      </x:c>
      <x:c r="B678" t="str">
        <x:v>이화달팽이길</x:v>
      </x:c>
      <x:c r="C678" t="str">
        <x:v>골목상권</x:v>
      </x:c>
      <x:c r="D678" t="str">
        <x:v>종로구</x:v>
      </x:c>
      <x:c r="E678" t="str">
        <x:v>이화동</x:v>
      </x:c>
      <x:c r="F678" s="12" t="n">
        <x:v>159124</x:v>
      </x:c>
      <x:c r="G678" s="12" t="n">
        <x:v>4635101757</x:v>
      </x:c>
      <x:c r="H678" s="12" t="n">
        <x:v>445504</x:v>
      </x:c>
      <x:c r="I678" s="12" t="n">
        <x:v>10404.175399098549</x:v>
      </x:c>
      <x:c r="J678" s="12" t="n">
        <x:v>29128.866525476988</x:v>
      </x:c>
      <x:c r="K678" s="12" t="n">
        <x:v>722</x:v>
      </x:c>
      <x:c r="L678" s="12" t="n">
        <x:v>45.37341947160705</x:v>
      </x:c>
      <x:c r="M678" s="12" t="n">
        <x:v>13</x:v>
      </x:c>
      <x:c r="N678" s="14" t="n">
        <x:v>0.7293327892736488</x:v>
      </x:c>
      <x:c r="O678" s="14" t="n">
        <x:v>0.27066721072635125</x:v>
      </x:c>
      <x:c r="P678" s="14" t="n">
        <x:v>0.3777416686388402</x:v>
      </x:c>
      <x:c r="Q678" s="14" t="n">
        <x:v>0.21942793045783826</x:v>
      </x:c>
      <x:c r="R678" s="14" t="n">
        <x:v>0.40930631806191864</x:v>
      </x:c>
      <x:c r="S678" s="14" t="n">
        <x:v>0.2997506035119393</x:v>
      </x:c>
      <x:c r="T678" t="str">
        <x:v>2030소비</x:v>
      </x:c>
      <x:c r="U678" s="16" t="n">
        <x:v>71.24016319853914</x:v>
      </x:c>
      <x:c r="V678" t="str">
        <x:v>일반의류</x:v>
      </x:c>
      <x:c r="W678" t="str">
        <x:v>일반의류 / 일반교습학원 / 슈퍼마켓</x:v>
      </x:c>
      <x:c r="X678" s="16" t="n">
        <x:v>57.95783165035276</x:v>
      </x:c>
    </x:row>
    <x:row r="679">
      <x:c r="A679" t="str">
        <x:v>3130058</x:v>
      </x:c>
      <x:c r="B679" t="str">
        <x:v>이촌종합시장</x:v>
      </x:c>
      <x:c r="C679" t="str">
        <x:v>전통시장</x:v>
      </x:c>
      <x:c r="D679" t="str">
        <x:v>용산구</x:v>
      </x:c>
      <x:c r="E679" t="str">
        <x:v>이촌1동</x:v>
      </x:c>
      <x:c r="F679" s="12" t="n">
        <x:v>7486</x:v>
      </x:c>
      <x:c r="G679" s="12" t="n">
        <x:v>4631137937</x:v>
      </x:c>
      <x:c r="H679" s="12" t="n">
        <x:v>119708</x:v>
      </x:c>
      <x:c r="I679" s="12" t="n">
        <x:v>38686.95439736693</x:v>
      </x:c>
      <x:c r="J679" s="12" t="n">
        <x:v>618639.8526582955</x:v>
      </x:c>
      <x:c r="K679" s="12" t="n">
        <x:v>2891</x:v>
      </x:c>
      <x:c r="L679" s="12" t="n">
        <x:v>3861.8755009350784</x:v>
      </x:c>
      <x:c r="M679" s="12" t="n">
        <x:v>10</x:v>
      </x:c>
      <x:c r="N679" s="14" t="n">
        <x:v>0.7324471011540074</x:v>
      </x:c>
      <x:c r="O679" s="14" t="n">
        <x:v>0.26755289884599265</x:v>
      </x:c>
      <x:c r="P679" s="14" t="n">
        <x:v>0.6104704769021437</x:v>
      </x:c>
      <x:c r="Q679" s="14" t="n">
        <x:v>0.16424087089332576</x:v>
      </x:c>
      <x:c r="R679" s="14" t="n">
        <x:v>0.16513026871650271</x:v>
      </x:c>
      <x:c r="S679" s="14" t="n">
        <x:v>0.38680734959071894</x:v>
      </x:c>
      <x:c r="T679" t="str">
        <x:v>직장밀집·고매출밀도</x:v>
      </x:c>
      <x:c r="U679" s="16" t="n">
        <x:v>73.15382221265929</x:v>
      </x:c>
      <x:c r="V679" t="str">
        <x:v>호프-간이주점</x:v>
      </x:c>
      <x:c r="W679" t="str">
        <x:v>호프-간이주점 / 한식음식점 / 치킨전문점</x:v>
      </x:c>
      <x:c r="X679" s="16" t="n">
        <x:v>67.92391554646676</x:v>
      </x:c>
    </x:row>
    <x:row r="680">
      <x:c r="A680" t="str">
        <x:v>3130064</x:v>
      </x:c>
      <x:c r="B680" t="str">
        <x:v>금남시장</x:v>
      </x:c>
      <x:c r="C680" t="str">
        <x:v>전통시장</x:v>
      </x:c>
      <x:c r="D680" t="str">
        <x:v>성동구</x:v>
      </x:c>
      <x:c r="E680" t="str">
        <x:v>금호2·3가동</x:v>
      </x:c>
      <x:c r="F680" s="12" t="n">
        <x:v>11274</x:v>
      </x:c>
      <x:c r="G680" s="12" t="n">
        <x:v>4627800493</x:v>
      </x:c>
      <x:c r="H680" s="12" t="n">
        <x:v>186633</x:v>
      </x:c>
      <x:c r="I680" s="12" t="n">
        <x:v>24796.260538061328</x:v>
      </x:c>
      <x:c r="J680" s="12" t="n">
        <x:v>410484.3438885932</x:v>
      </x:c>
      <x:c r="K680" s="12" t="n">
        <x:v>39</x:v>
      </x:c>
      <x:c r="L680" s="12" t="n">
        <x:v>34.59286854709952</x:v>
      </x:c>
      <x:c r="M680" s="12" t="n">
        <x:v>13</x:v>
      </x:c>
      <x:c r="N680" s="14" t="n">
        <x:v>0.7542363332817943</x:v>
      </x:c>
      <x:c r="O680" s="14" t="n">
        <x:v>0.24576366671820568</x:v>
      </x:c>
      <x:c r="P680" s="14" t="n">
        <x:v>0.3480227305468676</x:v>
      </x:c>
      <x:c r="Q680" s="14" t="n">
        <x:v>0.30018924305430295</x:v>
      </x:c>
      <x:c r="R680" s="14" t="n">
        <x:v>0.14991851745757614</x:v>
      </x:c>
      <x:c r="S680" s="14" t="n">
        <x:v>0.5021943375725381</x:v>
      </x:c>
      <x:c r="T680" t="str">
        <x:v>고매출밀도·여성소비</x:v>
      </x:c>
      <x:c r="U680" s="16" t="n">
        <x:v>71.1261113661206</x:v>
      </x:c>
      <x:c r="V680" t="str">
        <x:v>일반의류</x:v>
      </x:c>
      <x:c r="W680" t="str">
        <x:v>일반의류 / 육류판매 / 분식전문점</x:v>
      </x:c>
      <x:c r="X680" s="16" t="n">
        <x:v>57.608190294492374</x:v>
      </x:c>
    </x:row>
    <x:row r="681">
      <x:c r="A681" t="str">
        <x:v>3130132</x:v>
      </x:c>
      <x:c r="B681" t="str">
        <x:v>삼양골목시장(삼양시장)</x:v>
      </x:c>
      <x:c r="C681" t="str">
        <x:v>전통시장</x:v>
      </x:c>
      <x:c r="D681" t="str">
        <x:v>강북구</x:v>
      </x:c>
      <x:c r="E681" t="str">
        <x:v>삼양동</x:v>
      </x:c>
      <x:c r="F681" s="12" t="n">
        <x:v>47564</x:v>
      </x:c>
      <x:c r="G681" s="12" t="n">
        <x:v>4568203158</x:v>
      </x:c>
      <x:c r="H681" s="12" t="n">
        <x:v>308861</x:v>
      </x:c>
      <x:c r="I681" s="12" t="n">
        <x:v>14790.482314050658</x:v>
      </x:c>
      <x:c r="J681" s="12" t="n">
        <x:v>96043.29236397275</x:v>
      </x:c>
      <x:c r="K681" s="12" t="n">
        <x:v>65</x:v>
      </x:c>
      <x:c r="L681" s="12" t="n">
        <x:v>13.665797662097384</x:v>
      </x:c>
      <x:c r="M681" s="12" t="n">
        <x:v>12</x:v>
      </x:c>
      <x:c r="N681" s="14" t="n">
        <x:v>0.7571280502144427</x:v>
      </x:c>
      <x:c r="O681" s="14" t="n">
        <x:v>0.24287194978555723</x:v>
      </x:c>
      <x:c r="P681" s="14" t="n">
        <x:v>0.4045273612150504</x:v>
      </x:c>
      <x:c r="Q681" s="14" t="n">
        <x:v>0.22484595900714974</x:v>
      </x:c>
      <x:c r="R681" s="14" t="n">
        <x:v>0.15993284508823502</x:v>
      </x:c>
      <x:c r="S681" s="14" t="n">
        <x:v>0.4433325981690064</x:v>
      </x:c>
      <x:c r="T681" t="str">
        <x:v>고매출밀도·야간활성</x:v>
      </x:c>
      <x:c r="U681" s="16" t="n">
        <x:v>57.94818618136061</x:v>
      </x:c>
      <x:c r="V681" t="str">
        <x:v>슈퍼마켓</x:v>
      </x:c>
      <x:c r="W681" t="str">
        <x:v>슈퍼마켓 / 분식전문점 / 커피-음료</x:v>
      </x:c>
      <x:c r="X681" s="16" t="n">
        <x:v>54.11965351242792</x:v>
      </x:c>
    </x:row>
    <x:row r="682">
      <x:c r="A682" t="str">
        <x:v>3110741</x:v>
      </x:c>
      <x:c r="B682" t="str">
        <x:v>독산2동주민센터</x:v>
      </x:c>
      <x:c r="C682" t="str">
        <x:v>골목상권</x:v>
      </x:c>
      <x:c r="D682" t="str">
        <x:v>금천구</x:v>
      </x:c>
      <x:c r="E682" t="str">
        <x:v>독산2동</x:v>
      </x:c>
      <x:c r="F682" s="12" t="n">
        <x:v>96407</x:v>
      </x:c>
      <x:c r="G682" s="12" t="n">
        <x:v>4567972254</x:v>
      </x:c>
      <x:c r="H682" s="12" t="n">
        <x:v>225914</x:v>
      </x:c>
      <x:c r="I682" s="12" t="n">
        <x:v>20219.960932036083</x:v>
      </x:c>
      <x:c r="J682" s="12" t="n">
        <x:v>47382.163681060505</x:v>
      </x:c>
      <x:c r="K682" s="12" t="n">
        <x:v>229</x:v>
      </x:c>
      <x:c r="L682" s="12" t="n">
        <x:v>23.75346188554773</x:v>
      </x:c>
      <x:c r="M682" s="12" t="n">
        <x:v>19</x:v>
      </x:c>
      <x:c r="N682" s="14" t="n">
        <x:v>0.7272878757288529</x:v>
      </x:c>
      <x:c r="O682" s="14" t="n">
        <x:v>0.2727121242711471</x:v>
      </x:c>
      <x:c r="P682" s="14" t="n">
        <x:v>0.4269958888852743</x:v>
      </x:c>
      <x:c r="Q682" s="14" t="n">
        <x:v>0.20433324418349236</x:v>
      </x:c>
      <x:c r="R682" s="14" t="n">
        <x:v>0.15201066346056663</x:v>
      </x:c>
      <x:c r="S682" s="14" t="n">
        <x:v>0.4704271321084079</x:v>
      </x:c>
      <x:c r="T682" t="str">
        <x:v>여성소비·야간활성</x:v>
      </x:c>
      <x:c r="U682" s="16" t="n">
        <x:v>65.60595317251585</x:v>
      </x:c>
      <x:c r="V682" t="str">
        <x:v>노래방</x:v>
      </x:c>
      <x:c r="W682" t="str">
        <x:v>노래방 / 인테리어 / 일반교습학원</x:v>
      </x:c>
      <x:c r="X682" s="16" t="n">
        <x:v>58.02918693648504</x:v>
      </x:c>
    </x:row>
    <x:row r="683">
      <x:c r="A683" t="str">
        <x:v>3130100</x:v>
      </x:c>
      <x:c r="B683" t="str">
        <x:v>답십리시장</x:v>
      </x:c>
      <x:c r="C683" t="str">
        <x:v>전통시장</x:v>
      </x:c>
      <x:c r="D683" t="str">
        <x:v>동대문구</x:v>
      </x:c>
      <x:c r="E683" t="str">
        <x:v>답십리2동</x:v>
      </x:c>
      <x:c r="F683" s="12" t="n">
        <x:v>22189</x:v>
      </x:c>
      <x:c r="G683" s="12" t="n">
        <x:v>4547393523</x:v>
      </x:c>
      <x:c r="H683" s="12" t="n">
        <x:v>190081</x:v>
      </x:c>
      <x:c r="I683" s="12" t="n">
        <x:v>23923.451176077568</x:v>
      </x:c>
      <x:c r="J683" s="12" t="n">
        <x:v>204939.09247825498</x:v>
      </x:c>
      <x:c r="K683" s="12" t="n">
        <x:v>519</x:v>
      </x:c>
      <x:c r="L683" s="12" t="n">
        <x:v>233.89968002163235</x:v>
      </x:c>
      <x:c r="M683" s="12" t="n">
        <x:v>12</x:v>
      </x:c>
      <x:c r="N683" s="14" t="n">
        <x:v>0.7157012186297209</x:v>
      </x:c>
      <x:c r="O683" s="14" t="n">
        <x:v>0.28429878137027903</x:v>
      </x:c>
      <x:c r="P683" s="14" t="n">
        <x:v>0.2639404768752405</x:v>
      </x:c>
      <x:c r="Q683" s="14" t="n">
        <x:v>0.2896879538437078</x:v>
      </x:c>
      <x:c r="R683" s="14" t="n">
        <x:v>0.1598898044170874</x:v>
      </x:c>
      <x:c r="S683" s="14" t="n">
        <x:v>0.5329725555401421</x:v>
      </x:c>
      <x:c r="T683" t="str">
        <x:v>여성소비·고매출밀도</x:v>
      </x:c>
      <x:c r="U683" s="16" t="n">
        <x:v>65.75203382707608</x:v>
      </x:c>
      <x:c r="V683" t="str">
        <x:v>육류판매</x:v>
      </x:c>
      <x:c r="W683" t="str">
        <x:v>육류판매 / 일반의원 / 분식전문점</x:v>
      </x:c>
      <x:c r="X683" s="16" t="n">
        <x:v>60.89832529458137</x:v>
      </x:c>
    </x:row>
    <x:row r="684">
      <x:c r="A684" t="str">
        <x:v>3110938</x:v>
      </x:c>
      <x:c r="B684" t="str">
        <x:v>바우뫼공원</x:v>
      </x:c>
      <x:c r="C684" t="str">
        <x:v>골목상권</x:v>
      </x:c>
      <x:c r="D684" t="str">
        <x:v>서초구</x:v>
      </x:c>
      <x:c r="E684" t="str">
        <x:v>양재1동</x:v>
      </x:c>
      <x:c r="F684" s="12" t="n">
        <x:v>38156</x:v>
      </x:c>
      <x:c r="G684" s="12" t="n">
        <x:v>4535729215</x:v>
      </x:c>
      <x:c r="H684" s="12" t="n">
        <x:v>75525</x:v>
      </x:c>
      <x:c r="I684" s="12" t="n">
        <x:v>60055.99755047997</x:v>
      </x:c>
      <x:c r="J684" s="12" t="n">
        <x:v>118873.28899779852</x:v>
      </x:c>
      <x:c r="K684" s="12" t="n">
        <x:v>1442</x:v>
      </x:c>
      <x:c r="L684" s="12" t="n">
        <x:v>377.92221406856066</x:v>
      </x:c>
      <x:c r="M684" s="12" t="n">
        <x:v>4</x:v>
      </x:c>
      <x:c r="N684" s="14" t="n">
        <x:v>0.7927217709798842</x:v>
      </x:c>
      <x:c r="O684" s="14" t="n">
        <x:v>0.20727822902011578</x:v>
      </x:c>
      <x:c r="P684" s="14" t="n">
        <x:v>0.14755745091365646</x:v>
      </x:c>
      <x:c r="Q684" s="14" t="n">
        <x:v>0.4166706865458237</x:v>
      </x:c>
      <x:c r="R684" s="14" t="n">
        <x:v>0.1353880264653321</x:v>
      </x:c>
      <x:c r="S684" s="14" t="n">
        <x:v>0.16729925157139258</x:v>
      </x:c>
      <x:c r="T684" t="str">
        <x:v>직장밀집·고매출밀도</x:v>
      </x:c>
      <x:c r="U684" s="16" t="n">
        <x:v>68.1474935433305</x:v>
      </x:c>
      <x:c r="V684" t="str">
        <x:v>서적</x:v>
      </x:c>
      <x:c r="W684" t="str">
        <x:v>서적 / 커피-음료 / 자동차수리</x:v>
      </x:c>
      <x:c r="X684" s="16" t="n">
        <x:v>54.988207420913625</x:v>
      </x:c>
    </x:row>
    <x:row r="685">
      <x:c r="A685" t="str">
        <x:v>3120174</x:v>
      </x:c>
      <x:c r="B685" t="str">
        <x:v>논현역 5번</x:v>
      </x:c>
      <x:c r="C685" t="str">
        <x:v>발달상권</x:v>
      </x:c>
      <x:c r="D685" t="str">
        <x:v>서초구</x:v>
      </x:c>
      <x:c r="E685" t="str">
        <x:v>잠원동</x:v>
      </x:c>
      <x:c r="F685" s="12" t="n">
        <x:v>70278</x:v>
      </x:c>
      <x:c r="G685" s="12" t="n">
        <x:v>4534013074</x:v>
      </x:c>
      <x:c r="H685" s="12" t="n">
        <x:v>10875</x:v>
      </x:c>
      <x:c r="I685" s="12" t="n">
        <x:v>416920.7424367816</x:v>
      </x:c>
      <x:c r="J685" s="12" t="n">
        <x:v>64515.397051708926</x:v>
      </x:c>
      <x:c r="K685" s="12" t="n">
        <x:v>1175</x:v>
      </x:c>
      <x:c r="L685" s="12" t="n">
        <x:v>167.19314721534477</x:v>
      </x:c>
      <x:c r="M685" s="12" t="n">
        <x:v>4</x:v>
      </x:c>
      <x:c r="N685" s="14" t="n">
        <x:v>0.9701090837657342</x:v>
      </x:c>
      <x:c r="O685" s="14" t="n">
        <x:v>0.029890916234265805</x:v>
      </x:c>
      <x:c r="P685" s="14" t="n">
        <x:v>0.10625889783219447</x:v>
      </x:c>
      <x:c r="Q685" s="14" t="n">
        <x:v>0.4011883738119102</x:v>
      </x:c>
      <x:c r="R685" s="14" t="n">
        <x:v>0.1179401978495486</x:v>
      </x:c>
      <x:c r="S685" s="14" t="n">
        <x:v>0.5848562145103333</x:v>
      </x:c>
      <x:c r="T685" t="str">
        <x:v>평일집중·여성소비</x:v>
      </x:c>
      <x:c r="U685" s="16" t="n">
        <x:v>60.614509129179666</x:v>
      </x:c>
      <x:c r="V685" t="str">
        <x:v>피부관리실</x:v>
      </x:c>
      <x:c r="W685" t="str">
        <x:v>피부관리실 / 미용실 / 화장품</x:v>
      </x:c>
      <x:c r="X685" s="16" t="n">
        <x:v>54.88238300544306</x:v>
      </x:c>
    </x:row>
    <x:row r="686">
      <x:c r="A686" t="str">
        <x:v>3111062</x:v>
      </x:c>
      <x:c r="B686" t="str">
        <x:v>둔촌동역 3번(성내3동주민센터)</x:v>
      </x:c>
      <x:c r="C686" t="str">
        <x:v>골목상권</x:v>
      </x:c>
      <x:c r="D686" t="str">
        <x:v>강동구</x:v>
      </x:c>
      <x:c r="E686" t="str">
        <x:v>성내3동</x:v>
      </x:c>
      <x:c r="F686" s="12" t="n">
        <x:v>106811</x:v>
      </x:c>
      <x:c r="G686" s="12" t="n">
        <x:v>4531129525</x:v>
      </x:c>
      <x:c r="H686" s="12" t="n">
        <x:v>67484</x:v>
      </x:c>
      <x:c r="I686" s="12" t="n">
        <x:v>67143.76037282911</x:v>
      </x:c>
      <x:c r="J686" s="12" t="n">
        <x:v>42421.93711321868</x:v>
      </x:c>
      <x:c r="K686" s="12" t="n">
        <x:v>503</x:v>
      </x:c>
      <x:c r="L686" s="12" t="n">
        <x:v>47.09252792315398</x:v>
      </x:c>
      <x:c r="M686" s="12" t="n">
        <x:v>10</x:v>
      </x:c>
      <x:c r="N686" s="14" t="n">
        <x:v>0.7924983581218636</x:v>
      </x:c>
      <x:c r="O686" s="14" t="n">
        <x:v>0.20750164187813633</x:v>
      </x:c>
      <x:c r="P686" s="14" t="n">
        <x:v>0.358013989679538</x:v>
      </x:c>
      <x:c r="Q686" s="14" t="n">
        <x:v>0.24737321760847258</x:v>
      </x:c>
      <x:c r="R686" s="14" t="n">
        <x:v>0.16975260865004738</x:v>
      </x:c>
      <x:c r="S686" s="14" t="n">
        <x:v>0.42820484038138373</x:v>
      </x:c>
      <x:c r="T686" t="str">
        <x:v>평일집중</x:v>
      </x:c>
      <x:c r="U686" s="16" t="n">
        <x:v>56.01307212283145</x:v>
      </x:c>
      <x:c r="V686" t="str">
        <x:v>의료기기</x:v>
      </x:c>
      <x:c r="W686" t="str">
        <x:v>의료기기 / 한식음식점 / 피부관리실</x:v>
      </x:c>
      <x:c r="X686" s="16" t="n">
        <x:v>53.32135251023882</x:v>
      </x:c>
    </x:row>
    <x:row r="687">
      <x:c r="A687" t="str">
        <x:v>3110600</x:v>
      </x:c>
      <x:c r="B687" t="str">
        <x:v>신월7동주민센터</x:v>
      </x:c>
      <x:c r="C687" t="str">
        <x:v>골목상권</x:v>
      </x:c>
      <x:c r="D687" t="str">
        <x:v>양천구</x:v>
      </x:c>
      <x:c r="E687" t="str">
        <x:v>신월7동</x:v>
      </x:c>
      <x:c r="F687" s="12" t="n">
        <x:v>158307</x:v>
      </x:c>
      <x:c r="G687" s="12" t="n">
        <x:v>4524627314</x:v>
      </x:c>
      <x:c r="H687" s="12" t="n">
        <x:v>309399</x:v>
      </x:c>
      <x:c r="I687" s="12" t="n">
        <x:v>14623.923522700461</x:v>
      </x:c>
      <x:c r="J687" s="12" t="n">
        <x:v>28581.347091410993</x:v>
      </x:c>
      <x:c r="K687" s="12" t="n">
        <x:v>899</x:v>
      </x:c>
      <x:c r="L687" s="12" t="n">
        <x:v>56.78839217469853</x:v>
      </x:c>
      <x:c r="M687" s="12" t="n">
        <x:v>15</x:v>
      </x:c>
      <x:c r="N687" s="14" t="n">
        <x:v>0.7685076521641667</x:v>
      </x:c>
      <x:c r="O687" s="14" t="n">
        <x:v>0.23149234783583328</x:v>
      </x:c>
      <x:c r="P687" s="14" t="n">
        <x:v>0.3102501058278322</x:v>
      </x:c>
      <x:c r="Q687" s="14" t="n">
        <x:v>0.25887749193744974</x:v>
      </x:c>
      <x:c r="R687" s="14" t="n">
        <x:v>0.1597905044605404</x:v>
      </x:c>
      <x:c r="S687" s="14" t="n">
        <x:v>0.48805610600617083</x:v>
      </x:c>
      <x:c r="T687" t="str">
        <x:v>여성소비·평일집중</x:v>
      </x:c>
      <x:c r="U687" s="16" t="n">
        <x:v>72.17873964402665</x:v>
      </x:c>
      <x:c r="V687" t="str">
        <x:v>일반의류</x:v>
      </x:c>
      <x:c r="W687" t="str">
        <x:v>일반의류 / 의약품 / 일반의원</x:v>
      </x:c>
      <x:c r="X687" s="16" t="n">
        <x:v>62.378256645814005</x:v>
      </x:c>
    </x:row>
    <x:row r="688">
      <x:c r="A688" t="str">
        <x:v>3110601</x:v>
      </x:c>
      <x:c r="B688" t="str">
        <x:v>신월1동우편취급국</x:v>
      </x:c>
      <x:c r="C688" t="str">
        <x:v>골목상권</x:v>
      </x:c>
      <x:c r="D688" t="str">
        <x:v>양천구</x:v>
      </x:c>
      <x:c r="E688" t="str">
        <x:v>신월1동</x:v>
      </x:c>
      <x:c r="F688" s="12" t="n">
        <x:v>220158</x:v>
      </x:c>
      <x:c r="G688" s="12" t="n">
        <x:v>4516050377</x:v>
      </x:c>
      <x:c r="H688" s="12" t="n">
        <x:v>178127</x:v>
      </x:c>
      <x:c r="I688" s="12" t="n">
        <x:v>25352.980609340528</x:v>
      </x:c>
      <x:c r="J688" s="12" t="n">
        <x:v>20512.769815314456</x:v>
      </x:c>
      <x:c r="K688" s="12" t="n">
        <x:v>936</x:v>
      </x:c>
      <x:c r="L688" s="12" t="n">
        <x:v>42.51492110211757</x:v>
      </x:c>
      <x:c r="M688" s="12" t="n">
        <x:v>15</x:v>
      </x:c>
      <x:c r="N688" s="14" t="n">
        <x:v>0.7431724276356539</x:v>
      </x:c>
      <x:c r="O688" s="14" t="n">
        <x:v>0.2568275723643461</x:v>
      </x:c>
      <x:c r="P688" s="14" t="n">
        <x:v>0.46537892263197844</x:v>
      </x:c>
      <x:c r="Q688" s="14" t="n">
        <x:v>0.2640967264391524</x:v>
      </x:c>
      <x:c r="R688" s="14" t="n">
        <x:v>0.21390184594036915</x:v>
      </x:c>
      <x:c r="S688" s="14" t="n">
        <x:v>0.4159396530575948</x:v>
      </x:c>
      <x:c r="T688" t="str">
        <x:v>야간활성</x:v>
      </x:c>
      <x:c r="U688" s="16" t="n">
        <x:v>66.72067990260761</x:v>
      </x:c>
      <x:c r="V688" t="str">
        <x:v>화장품</x:v>
      </x:c>
      <x:c r="W688" t="str">
        <x:v>화장품 / 반찬가게 / 세탁소</x:v>
      </x:c>
      <x:c r="X688" s="16" t="n">
        <x:v>62.55112929456675</x:v>
      </x:c>
    </x:row>
    <x:row r="689">
      <x:c r="A689" t="str">
        <x:v>3110409</x:v>
      </x:c>
      <x:c r="B689" t="str">
        <x:v>창동역 2번</x:v>
      </x:c>
      <x:c r="C689" t="str">
        <x:v>골목상권</x:v>
      </x:c>
      <x:c r="D689" t="str">
        <x:v>도봉구</x:v>
      </x:c>
      <x:c r="E689" t="str">
        <x:v>창5동</x:v>
      </x:c>
      <x:c r="F689" s="12" t="n">
        <x:v>77642</x:v>
      </x:c>
      <x:c r="G689" s="12" t="n">
        <x:v>4511864152</x:v>
      </x:c>
      <x:c r="H689" s="12" t="n">
        <x:v>167257</x:v>
      </x:c>
      <x:c r="I689" s="12" t="n">
        <x:v>26975.63720501982</x:v>
      </x:c>
      <x:c r="J689" s="12" t="n">
        <x:v>58111.12737951109</x:v>
      </x:c>
      <x:c r="K689" s="12" t="n">
        <x:v>1140</x:v>
      </x:c>
      <x:c r="L689" s="12" t="n">
        <x:v>146.82774786842174</x:v>
      </x:c>
      <x:c r="M689" s="12" t="n">
        <x:v>21</x:v>
      </x:c>
      <x:c r="N689" s="14" t="n">
        <x:v>0.7356982023779691</x:v>
      </x:c>
      <x:c r="O689" s="14" t="n">
        <x:v>0.2643017976220309</x:v>
      </x:c>
      <x:c r="P689" s="14" t="n">
        <x:v>0.5303640097273922</x:v>
      </x:c>
      <x:c r="Q689" s="14" t="n">
        <x:v>0.16133136957976388</x:v>
      </x:c>
      <x:c r="R689" s="14" t="n">
        <x:v>0.260612533176287</x:v>
      </x:c>
      <x:c r="S689" s="14" t="n">
        <x:v>0.5096176543748031</x:v>
      </x:c>
      <x:c r="T689" t="str">
        <x:v>야간활성·여성소비</x:v>
      </x:c>
      <x:c r="U689" s="16" t="n">
        <x:v>67.72706087885608</x:v>
      </x:c>
      <x:c r="V689" t="str">
        <x:v>예술학원</x:v>
      </x:c>
      <x:c r="W689" t="str">
        <x:v>예술학원 / 미용실 / 반찬가게</x:v>
      </x:c>
      <x:c r="X689" s="16" t="n">
        <x:v>61.778595471276006</x:v>
      </x:c>
    </x:row>
    <x:row r="690">
      <x:c r="A690" t="str">
        <x:v>3110785</x:v>
      </x:c>
      <x:c r="B690" t="str">
        <x:v>영등포푸르지오아파트</x:v>
      </x:c>
      <x:c r="C690" t="str">
        <x:v>골목상권</x:v>
      </x:c>
      <x:c r="D690" t="str">
        <x:v>영등포구</x:v>
      </x:c>
      <x:c r="E690" t="str">
        <x:v>도림동</x:v>
      </x:c>
      <x:c r="F690" s="12" t="n">
        <x:v>109702</x:v>
      </x:c>
      <x:c r="G690" s="12" t="n">
        <x:v>4507454481</x:v>
      </x:c>
      <x:c r="H690" s="12" t="n">
        <x:v>103027</x:v>
      </x:c>
      <x:c r="I690" s="12" t="n">
        <x:v>43750.225484581715</x:v>
      </x:c>
      <x:c r="J690" s="12" t="n">
        <x:v>41088.170507374525</x:v>
      </x:c>
      <x:c r="K690" s="12" t="n">
        <x:v>297</x:v>
      </x:c>
      <x:c r="L690" s="12" t="n">
        <x:v>27.073344150516853</x:v>
      </x:c>
      <x:c r="M690" s="12" t="n">
        <x:v>16</x:v>
      </x:c>
      <x:c r="N690" s="14" t="n">
        <x:v>0.8780313593143526</x:v>
      </x:c>
      <x:c r="O690" s="14" t="n">
        <x:v>0.12196864068564733</x:v>
      </x:c>
      <x:c r="P690" s="14" t="n">
        <x:v>0.2696305555880776</x:v>
      </x:c>
      <x:c r="Q690" s="14" t="n">
        <x:v>0.3803088058295136</x:v>
      </x:c>
      <x:c r="R690" s="14" t="n">
        <x:v>0.16000310885890454</x:v>
      </x:c>
      <x:c r="S690" s="14" t="n">
        <x:v>0.42847777257453795</x:v>
      </x:c>
      <x:c r="T690" t="str">
        <x:v>평일집중</x:v>
      </x:c>
      <x:c r="U690" s="16" t="n">
        <x:v>65.73639736651923</x:v>
      </x:c>
      <x:c r="V690" t="str">
        <x:v>일반교습학원</x:v>
      </x:c>
      <x:c r="W690" t="str">
        <x:v>일반교습학원 / 의약품 / 예술학원</x:v>
      </x:c>
      <x:c r="X690" s="16" t="n">
        <x:v>62.35447546240262</x:v>
      </x:c>
    </x:row>
    <x:row r="691">
      <x:c r="A691" t="str">
        <x:v>3111038</x:v>
      </x:c>
      <x:c r="B691" t="str">
        <x:v>보인중학교</x:v>
      </x:c>
      <x:c r="C691" t="str">
        <x:v>골목상권</x:v>
      </x:c>
      <x:c r="D691" t="str">
        <x:v>송파구</x:v>
      </x:c>
      <x:c r="E691" t="str">
        <x:v>오금동</x:v>
      </x:c>
      <x:c r="F691" s="12" t="n">
        <x:v>83602</x:v>
      </x:c>
      <x:c r="G691" s="12" t="n">
        <x:v>4469502423</x:v>
      </x:c>
      <x:c r="H691" s="12" t="n">
        <x:v>162214</x:v>
      </x:c>
      <x:c r="I691" s="12" t="n">
        <x:v>27553.123793260755</x:v>
      </x:c>
      <x:c r="J691" s="12" t="n">
        <x:v>53461.668656252245</x:v>
      </x:c>
      <x:c r="K691" s="12" t="n">
        <x:v>2429</x:v>
      </x:c>
      <x:c r="L691" s="12" t="n">
        <x:v>290.54328843807565</x:v>
      </x:c>
      <x:c r="M691" s="12" t="n">
        <x:v>13</x:v>
      </x:c>
      <x:c r="N691" s="14" t="n">
        <x:v>0.7910284287589477</x:v>
      </x:c>
      <x:c r="O691" s="14" t="n">
        <x:v>0.20897157124105223</x:v>
      </x:c>
      <x:c r="P691" s="14" t="n">
        <x:v>0.21663414299037287</x:v>
      </x:c>
      <x:c r="Q691" s="14" t="n">
        <x:v>0.48348698724936345</x:v>
      </x:c>
      <x:c r="R691" s="14" t="n">
        <x:v>0.13865959034071207</x:v>
      </x:c>
      <x:c r="S691" s="14" t="n">
        <x:v>0.34170832935243717</x:v>
      </x:c>
      <x:c r="T691" t="str">
        <x:v>직장밀집·평일집중</x:v>
      </x:c>
      <x:c r="U691" s="16" t="n">
        <x:v>61.03194929212943</x:v>
      </x:c>
      <x:c r="V691" t="str">
        <x:v>반찬가게</x:v>
      </x:c>
      <x:c r="W691" t="str">
        <x:v>반찬가게 / 화장품 / 육류판매</x:v>
      </x:c>
      <x:c r="X691" s="16" t="n">
        <x:v>53.41899300849982</x:v>
      </x:c>
    </x:row>
    <x:row r="692">
      <x:c r="A692" t="str">
        <x:v>3110453</x:v>
      </x:c>
      <x:c r="B692" t="str">
        <x:v>신사1동주민센터</x:v>
      </x:c>
      <x:c r="C692" t="str">
        <x:v>골목상권</x:v>
      </x:c>
      <x:c r="D692" t="str">
        <x:v>은평구</x:v>
      </x:c>
      <x:c r="E692" t="str">
        <x:v>신사1동</x:v>
      </x:c>
      <x:c r="F692" s="12" t="n">
        <x:v>209465</x:v>
      </x:c>
      <x:c r="G692" s="12" t="n">
        <x:v>4469378455</x:v>
      </x:c>
      <x:c r="H692" s="12" t="n">
        <x:v>222057</x:v>
      </x:c>
      <x:c r="I692" s="12" t="n">
        <x:v>20127.167596608077</x:v>
      </x:c>
      <x:c r="J692" s="12" t="n">
        <x:v>21337.11338409758</x:v>
      </x:c>
      <x:c r="K692" s="12" t="n">
        <x:v>878</x:v>
      </x:c>
      <x:c r="L692" s="12" t="n">
        <x:v>41.91631060081636</x:v>
      </x:c>
      <x:c r="M692" s="12" t="n">
        <x:v>17</x:v>
      </x:c>
      <x:c r="N692" s="14" t="n">
        <x:v>0.7443172878498158</x:v>
      </x:c>
      <x:c r="O692" s="14" t="n">
        <x:v>0.2556827121501842</x:v>
      </x:c>
      <x:c r="P692" s="14" t="n">
        <x:v>0.5088559999781893</x:v>
      </x:c>
      <x:c r="Q692" s="14" t="n">
        <x:v>0.17088470392243835</x:v>
      </x:c>
      <x:c r="R692" s="14" t="n">
        <x:v>0.23272676782078416</x:v>
      </x:c>
      <x:c r="S692" s="14" t="n">
        <x:v>0.42591758969760374</x:v>
      </x:c>
      <x:c r="T692" t="str">
        <x:v>야간활성·2030소비</x:v>
      </x:c>
      <x:c r="U692" s="16" t="n">
        <x:v>66.8526942174781</x:v>
      </x:c>
      <x:c r="V692" t="str">
        <x:v>한식음식점</x:v>
      </x:c>
      <x:c r="W692" t="str">
        <x:v>한식음식점 / 일반교습학원 / 스포츠 강습</x:v>
      </x:c>
      <x:c r="X692" s="16" t="n">
        <x:v>59.175815299323766</x:v>
      </x:c>
    </x:row>
    <x:row r="693">
      <x:c r="A693" t="str">
        <x:v>3130068</x:v>
      </x:c>
      <x:c r="B693" t="str">
        <x:v>마장축산물시장</x:v>
      </x:c>
      <x:c r="C693" t="str">
        <x:v>전통시장</x:v>
      </x:c>
      <x:c r="D693" t="str">
        <x:v>성동구</x:v>
      </x:c>
      <x:c r="E693" t="str">
        <x:v>마장동</x:v>
      </x:c>
      <x:c r="F693" s="12" t="n">
        <x:v>218303</x:v>
      </x:c>
      <x:c r="G693" s="12" t="n">
        <x:v>4419580362</x:v>
      </x:c>
      <x:c r="H693" s="12" t="n">
        <x:v>134050</x:v>
      </x:c>
      <x:c r="I693" s="12" t="n">
        <x:v>32969.640895188364</x:v>
      </x:c>
      <x:c r="J693" s="12" t="n">
        <x:v>20245.165490167336</x:v>
      </x:c>
      <x:c r="K693" s="12" t="n">
        <x:v>3134</x:v>
      </x:c>
      <x:c r="L693" s="12" t="n">
        <x:v>143.56192997805803</x:v>
      </x:c>
      <x:c r="M693" s="12" t="n">
        <x:v>8</x:v>
      </x:c>
      <x:c r="N693" s="14" t="n">
        <x:v>0.7245844455130195</x:v>
      </x:c>
      <x:c r="O693" s="14" t="n">
        <x:v>0.2754155544869805</x:v>
      </x:c>
      <x:c r="P693" s="14" t="n">
        <x:v>0.5881343320169273</x:v>
      </x:c>
      <x:c r="Q693" s="14" t="n">
        <x:v>0.17249896179170324</x:v>
      </x:c>
      <x:c r="R693" s="14" t="n">
        <x:v>0.25814727543130483</x:v>
      </x:c>
      <x:c r="S693" s="14" t="n">
        <x:v>0.2487829734817706</x:v>
      </x:c>
      <x:c r="T693" t="str">
        <x:v>야간활성·직장밀집</x:v>
      </x:c>
      <x:c r="U693" s="16" t="n">
        <x:v>62.060891057110986</x:v>
      </x:c>
      <x:c r="V693" t="str">
        <x:v>반찬가게</x:v>
      </x:c>
      <x:c r="W693" t="str">
        <x:v>반찬가게 / 슈퍼마켓 / 호프-간이주점</x:v>
      </x:c>
      <x:c r="X693" s="16" t="n">
        <x:v>51.707686116312935</x:v>
      </x:c>
    </x:row>
    <x:row r="694">
      <x:c r="A694" t="str">
        <x:v>3110735</x:v>
      </x:c>
      <x:c r="B694" t="str">
        <x:v>말미고개</x:v>
      </x:c>
      <x:c r="C694" t="str">
        <x:v>골목상권</x:v>
      </x:c>
      <x:c r="D694" t="str">
        <x:v>금천구</x:v>
      </x:c>
      <x:c r="E694" t="str">
        <x:v>독산2동</x:v>
      </x:c>
      <x:c r="F694" s="12" t="n">
        <x:v>180092</x:v>
      </x:c>
      <x:c r="G694" s="12" t="n">
        <x:v>4418106177</x:v>
      </x:c>
      <x:c r="H694" s="12" t="n">
        <x:v>164834</x:v>
      </x:c>
      <x:c r="I694" s="12" t="n">
        <x:v>26803.366884259314</x:v>
      </x:c>
      <x:c r="J694" s="12" t="n">
        <x:v>24532.495485640673</x:v>
      </x:c>
      <x:c r="K694" s="12" t="n">
        <x:v>695</x:v>
      </x:c>
      <x:c r="L694" s="12" t="n">
        <x:v>38.59138662461408</x:v>
      </x:c>
      <x:c r="M694" s="12" t="n">
        <x:v>14</x:v>
      </x:c>
      <x:c r="N694" s="14" t="n">
        <x:v>0.7596393865479526</x:v>
      </x:c>
      <x:c r="O694" s="14" t="n">
        <x:v>0.24036061345204743</x:v>
      </x:c>
      <x:c r="P694" s="14" t="n">
        <x:v>0.2921060921347794</x:v>
      </x:c>
      <x:c r="Q694" s="14" t="n">
        <x:v>0.22322625203853266</x:v>
      </x:c>
      <x:c r="R694" s="14" t="n">
        <x:v>0.17789557708947745</x:v>
      </x:c>
      <x:c r="S694" s="14" t="n">
        <x:v>0.33133454094441966</x:v>
      </x:c>
      <x:c r="T694" t="str">
        <x:v>균형형</x:v>
      </x:c>
      <x:c r="U694" s="16" t="n">
        <x:v>76.07663672834074</x:v>
      </x:c>
      <x:c r="V694" t="str">
        <x:v>자동차수리</x:v>
      </x:c>
      <x:c r="W694" t="str">
        <x:v>자동차수리 / 슈퍼마켓 / 육류판매</x:v>
      </x:c>
      <x:c r="X694" s="16" t="n">
        <x:v>60.595922024459526</x:v>
      </x:c>
    </x:row>
    <x:row r="695">
      <x:c r="A695" t="str">
        <x:v>3110959</x:v>
      </x:c>
      <x:c r="B695" t="str">
        <x:v>신구중학교</x:v>
      </x:c>
      <x:c r="C695" t="str">
        <x:v>골목상권</x:v>
      </x:c>
      <x:c r="D695" t="str">
        <x:v>강남구</x:v>
      </x:c>
      <x:c r="E695" t="str">
        <x:v>압구정동</x:v>
      </x:c>
      <x:c r="F695" s="12" t="n">
        <x:v>35960</x:v>
      </x:c>
      <x:c r="G695" s="12" t="n">
        <x:v>4389896780</x:v>
      </x:c>
      <x:c r="H695" s="12" t="n">
        <x:v>10422</x:v>
      </x:c>
      <x:c r="I695" s="12" t="n">
        <x:v>421214.4290923047</x:v>
      </x:c>
      <x:c r="J695" s="12" t="n">
        <x:v>122077.21857619577</x:v>
      </x:c>
      <x:c r="K695" s="12" t="n">
        <x:v>689</x:v>
      </x:c>
      <x:c r="L695" s="12" t="n">
        <x:v>191.60177975528364</x:v>
      </x:c>
      <x:c r="M695" s="12" t="n">
        <x:v>3</x:v>
      </x:c>
      <x:c r="N695" s="14" t="n">
        <x:v>0.6837420655708447</x:v>
      </x:c>
      <x:c r="O695" s="14" t="n">
        <x:v>0.3162579344291553</x:v>
      </x:c>
      <x:c r="P695" s="14" t="n">
        <x:v>0.4882714028187241</x:v>
      </x:c>
      <x:c r="Q695" s="14" t="n">
        <x:v>0.25301488751633017</x:v>
      </x:c>
      <x:c r="R695" s="14" t="n">
        <x:v>0.11164769231772233</x:v>
      </x:c>
      <x:c r="S695" s="14" t="n">
        <x:v>0.31306488532060656</x:v>
      </x:c>
      <x:c r="T695" t="str">
        <x:v>야간활성·직장밀집</x:v>
      </x:c>
      <x:c r="U695" s="16" t="n">
        <x:v>67.72535927936372</x:v>
      </x:c>
      <x:c r="V695" t="str">
        <x:v>한식음식점</x:v>
      </x:c>
      <x:c r="W695" t="str">
        <x:v>한식음식점 / 일반의원 / 미용실</x:v>
      </x:c>
      <x:c r="X695" s="16" t="n">
        <x:v>47.765356565948935</x:v>
      </x:c>
    </x:row>
    <x:row r="696">
      <x:c r="A696" t="str">
        <x:v>3110780</x:v>
      </x:c>
      <x:c r="B696" t="str">
        <x:v>신길대성유니드아파트</x:v>
      </x:c>
      <x:c r="C696" t="str">
        <x:v>골목상권</x:v>
      </x:c>
      <x:c r="D696" t="str">
        <x:v>영등포구</x:v>
      </x:c>
      <x:c r="E696" t="str">
        <x:v>신길5동</x:v>
      </x:c>
      <x:c r="F696" s="12" t="n">
        <x:v>87225</x:v>
      </x:c>
      <x:c r="G696" s="12" t="n">
        <x:v>4385918863</x:v>
      </x:c>
      <x:c r="H696" s="12" t="n">
        <x:v>60435</x:v>
      </x:c>
      <x:c r="I696" s="12" t="n">
        <x:v>72572.49711260031</x:v>
      </x:c>
      <x:c r="J696" s="12" t="n">
        <x:v>50282.81872169676</x:v>
      </x:c>
      <x:c r="K696" s="12" t="n">
        <x:v>229</x:v>
      </x:c>
      <x:c r="L696" s="12" t="n">
        <x:v>26.253940957294354</x:v>
      </x:c>
      <x:c r="M696" s="12" t="n">
        <x:v>7</x:v>
      </x:c>
      <x:c r="N696" s="14" t="n">
        <x:v>0.8878567152371875</x:v>
      </x:c>
      <x:c r="O696" s="14" t="n">
        <x:v>0.11214328476281255</x:v>
      </x:c>
      <x:c r="P696" s="14" t="n">
        <x:v>0.11794855312169508</x:v>
      </x:c>
      <x:c r="Q696" s="14" t="n">
        <x:v>0.3141850264547404</x:v>
      </x:c>
      <x:c r="R696" s="14" t="n">
        <x:v>0.008699135162273065</x:v>
      </x:c>
      <x:c r="S696" s="14" t="n">
        <x:v>0.04450178767477122</x:v>
      </x:c>
      <x:c r="T696" t="str">
        <x:v>평일집중</x:v>
      </x:c>
      <x:c r="U696" s="16" t="n">
        <x:v>73.57495047392008</x:v>
      </x:c>
      <x:c r="V696" t="str">
        <x:v>조명용품</x:v>
      </x:c>
      <x:c r="W696" t="str">
        <x:v>조명용품 / 미용실 / 일반교습학원</x:v>
      </x:c>
      <x:c r="X696" s="16" t="n">
        <x:v>56.584675962908534</x:v>
      </x:c>
    </x:row>
    <x:row r="697">
      <x:c r="A697" t="str">
        <x:v>3110066</x:v>
      </x:c>
      <x:c r="B697" t="str">
        <x:v>서울역 15번</x:v>
      </x:c>
      <x:c r="C697" t="str">
        <x:v>골목상권</x:v>
      </x:c>
      <x:c r="D697" t="str">
        <x:v>용산구</x:v>
      </x:c>
      <x:c r="E697" t="str">
        <x:v>청파동</x:v>
      </x:c>
      <x:c r="F697" s="12" t="n">
        <x:v>133737</x:v>
      </x:c>
      <x:c r="G697" s="12" t="n">
        <x:v>4378847556</x:v>
      </x:c>
      <x:c r="H697" s="12" t="n">
        <x:v>288323</x:v>
      </x:c>
      <x:c r="I697" s="12" t="n">
        <x:v>15187.298814177155</x:v>
      </x:c>
      <x:c r="J697" s="12" t="n">
        <x:v>32742.229569976895</x:v>
      </x:c>
      <x:c r="K697" s="12" t="n">
        <x:v>1065</x:v>
      </x:c>
      <x:c r="L697" s="12" t="n">
        <x:v>79.63390834249311</x:v>
      </x:c>
      <x:c r="M697" s="12" t="n">
        <x:v>9</x:v>
      </x:c>
      <x:c r="N697" s="14" t="n">
        <x:v>0.80200784683357</x:v>
      </x:c>
      <x:c r="O697" s="14" t="n">
        <x:v>0.19799215316643007</x:v>
      </x:c>
      <x:c r="P697" s="14" t="n">
        <x:v>0.4741361813692698</x:v>
      </x:c>
      <x:c r="Q697" s="14" t="n">
        <x:v>0.29453275034267945</x:v>
      </x:c>
      <x:c r="R697" s="14" t="n">
        <x:v>0.27789712759756097</x:v>
      </x:c>
      <x:c r="S697" s="14" t="n">
        <x:v>0.2719910626639773</x:v>
      </x:c>
      <x:c r="T697" t="str">
        <x:v>야간활성·평일집중</x:v>
      </x:c>
      <x:c r="U697" s="16" t="n">
        <x:v>64.95180154264165</x:v>
      </x:c>
      <x:c r="V697" t="str">
        <x:v>한식음식점</x:v>
      </x:c>
      <x:c r="W697" t="str">
        <x:v>한식음식점 / 편의점 / 철물점</x:v>
      </x:c>
      <x:c r="X697" s="16" t="n">
        <x:v>57.60371396542206</x:v>
      </x:c>
    </x:row>
    <x:row r="698">
      <x:c r="A698" t="str">
        <x:v>3110455</x:v>
      </x:c>
      <x:c r="B698" t="str">
        <x:v>역촌노인복지관</x:v>
      </x:c>
      <x:c r="C698" t="str">
        <x:v>골목상권</x:v>
      </x:c>
      <x:c r="D698" t="str">
        <x:v>은평구</x:v>
      </x:c>
      <x:c r="E698" t="str">
        <x:v>역촌동</x:v>
      </x:c>
      <x:c r="F698" s="12" t="n">
        <x:v>155405</x:v>
      </x:c>
      <x:c r="G698" s="12" t="n">
        <x:v>4373172753</x:v>
      </x:c>
      <x:c r="H698" s="12" t="n">
        <x:v>219178</x:v>
      </x:c>
      <x:c r="I698" s="12" t="n">
        <x:v>19952.608167790564</x:v>
      </x:c>
      <x:c r="J698" s="12" t="n">
        <x:v>28140.4893857984</x:v>
      </x:c>
      <x:c r="K698" s="12" t="n">
        <x:v>588</x:v>
      </x:c>
      <x:c r="L698" s="12" t="n">
        <x:v>37.83662044335768</x:v>
      </x:c>
      <x:c r="M698" s="12" t="n">
        <x:v>22</x:v>
      </x:c>
      <x:c r="N698" s="14" t="n">
        <x:v>0.7547693234244387</x:v>
      </x:c>
      <x:c r="O698" s="14" t="n">
        <x:v>0.2452306765755613</x:v>
      </x:c>
      <x:c r="P698" s="14" t="n">
        <x:v>0.4136077162191173</x:v>
      </x:c>
      <x:c r="Q698" s="14" t="n">
        <x:v>0.21852384938244857</x:v>
      </x:c>
      <x:c r="R698" s="14" t="n">
        <x:v>0.20222296967192321</x:v>
      </x:c>
      <x:c r="S698" s="14" t="n">
        <x:v>0.5110964851472448</x:v>
      </x:c>
      <x:c r="T698" t="str">
        <x:v>여성소비·야간활성</x:v>
      </x:c>
      <x:c r="U698" s="16" t="n">
        <x:v>62.9671607099438</x:v>
      </x:c>
      <x:c r="V698" t="str">
        <x:v>피부관리실</x:v>
      </x:c>
      <x:c r="W698" t="str">
        <x:v>피부관리실 / 예술학원 / 미용실</x:v>
      </x:c>
      <x:c r="X698" s="16" t="n">
        <x:v>55.835574335865786</x:v>
      </x:c>
    </x:row>
    <x:row r="699">
      <x:c r="A699" t="str">
        <x:v>3110012</x:v>
      </x:c>
      <x:c r="B699" t="str">
        <x:v>성곡미술관</x:v>
      </x:c>
      <x:c r="C699" t="str">
        <x:v>골목상권</x:v>
      </x:c>
      <x:c r="D699" t="str">
        <x:v>종로구</x:v>
      </x:c>
      <x:c r="E699" t="str">
        <x:v>사직동</x:v>
      </x:c>
      <x:c r="F699" s="12" t="n">
        <x:v>124348</x:v>
      </x:c>
      <x:c r="G699" s="12" t="n">
        <x:v>4356707591</x:v>
      </x:c>
      <x:c r="H699" s="12" t="n">
        <x:v>117843</x:v>
      </x:c>
      <x:c r="I699" s="12" t="n">
        <x:v>36970.44025525487</x:v>
      </x:c>
      <x:c r="J699" s="12" t="n">
        <x:v>35036.410645929165</x:v>
      </x:c>
      <x:c r="K699" s="12" t="n">
        <x:v>3035</x:v>
      </x:c>
      <x:c r="L699" s="12" t="n">
        <x:v>244.07308521246821</x:v>
      </x:c>
      <x:c r="M699" s="12" t="n">
        <x:v>6</x:v>
      </x:c>
      <x:c r="N699" s="14" t="n">
        <x:v>0.8251109572802174</x:v>
      </x:c>
      <x:c r="O699" s="14" t="n">
        <x:v>0.17488904271978256</x:v>
      </x:c>
      <x:c r="P699" s="14" t="n">
        <x:v>0.4616325114760267</x:v>
      </x:c>
      <x:c r="Q699" s="14" t="n">
        <x:v>0.3938436186409647</x:v>
      </x:c>
      <x:c r="R699" s="14" t="n">
        <x:v>0.25964806803578755</x:v>
      </x:c>
      <x:c r="S699" s="14" t="n">
        <x:v>0.3107240960574258</x:v>
      </x:c>
      <x:c r="T699" t="str">
        <x:v>평일집중·직장밀집</x:v>
      </x:c>
      <x:c r="U699" s="16" t="n">
        <x:v>56.67694946688155</x:v>
      </x:c>
      <x:c r="V699" t="str">
        <x:v>한식음식점</x:v>
      </x:c>
      <x:c r="W699" t="str">
        <x:v>한식음식점 / 양식음식점 / 스포츠 강습</x:v>
      </x:c>
      <x:c r="X699" s="16" t="n">
        <x:v>52.213126914801286</x:v>
      </x:c>
    </x:row>
    <x:row r="700">
      <x:c r="A700" t="str">
        <x:v>3120161</x:v>
      </x:c>
      <x:c r="B700" t="str">
        <x:v>방배동가구거리(사당동가구거리)</x:v>
      </x:c>
      <x:c r="C700" t="str">
        <x:v>발달상권</x:v>
      </x:c>
      <x:c r="D700" t="str">
        <x:v>서초구</x:v>
      </x:c>
      <x:c r="E700" t="str">
        <x:v>방배본동</x:v>
      </x:c>
      <x:c r="F700" s="12" t="n">
        <x:v>51195</x:v>
      </x:c>
      <x:c r="G700" s="12" t="n">
        <x:v>4346233099</x:v>
      </x:c>
      <x:c r="H700" s="12" t="n">
        <x:v>89372</x:v>
      </x:c>
      <x:c r="I700" s="12" t="n">
        <x:v>48630.81389025645</x:v>
      </x:c>
      <x:c r="J700" s="12" t="n">
        <x:v>84895.65580623108</x:v>
      </x:c>
      <x:c r="K700" s="12" t="n">
        <x:v>6540</x:v>
      </x:c>
      <x:c r="L700" s="12" t="n">
        <x:v>1277.468502783475</x:v>
      </x:c>
      <x:c r="M700" s="12" t="n">
        <x:v>9</x:v>
      </x:c>
      <x:c r="N700" s="14" t="n">
        <x:v>0.7038340584410518</x:v>
      </x:c>
      <x:c r="O700" s="14" t="n">
        <x:v>0.2961659415589481</x:v>
      </x:c>
      <x:c r="P700" s="14" t="n">
        <x:v>0.21762418638282982</x:v>
      </x:c>
      <x:c r="Q700" s="14" t="n">
        <x:v>0.19058688688155886</x:v>
      </x:c>
      <x:c r="R700" s="14" t="n">
        <x:v>0.12273893894985498</x:v>
      </x:c>
      <x:c r="S700" s="14" t="n">
        <x:v>0.38257743317600185</x:v>
      </x:c>
      <x:c r="T700" t="str">
        <x:v>직장밀집·고매출밀도</x:v>
      </x:c>
      <x:c r="U700" s="16" t="n">
        <x:v>66.13555939435358</x:v>
      </x:c>
      <x:c r="V700" t="str">
        <x:v>인테리어</x:v>
      </x:c>
      <x:c r="W700" t="str">
        <x:v>인테리어 / 슈퍼마켓 / 자동차수리</x:v>
      </x:c>
      <x:c r="X700" s="16" t="n">
        <x:v>59.69134489565734</x:v>
      </x:c>
    </x:row>
    <x:row r="701">
      <x:c r="A701" t="str">
        <x:v>3130140</x:v>
      </x:c>
      <x:c r="B701" t="str">
        <x:v>숭인시장</x:v>
      </x:c>
      <x:c r="C701" t="str">
        <x:v>전통시장</x:v>
      </x:c>
      <x:c r="D701" t="str">
        <x:v>강북구</x:v>
      </x:c>
      <x:c r="E701" t="str">
        <x:v>송천동</x:v>
      </x:c>
      <x:c r="F701" s="12" t="n">
        <x:v>32450</x:v>
      </x:c>
      <x:c r="G701" s="12" t="n">
        <x:v>4340788591</x:v>
      </x:c>
      <x:c r="H701" s="12" t="n">
        <x:v>298839</x:v>
      </x:c>
      <x:c r="I701" s="12" t="n">
        <x:v>14525.509023253324</x:v>
      </x:c>
      <x:c r="J701" s="12" t="n">
        <x:v>133768.523605547</x:v>
      </x:c>
      <x:c r="K701" s="12" t="n">
        <x:v>62</x:v>
      </x:c>
      <x:c r="L701" s="12" t="n">
        <x:v>19.106317411402156</x:v>
      </x:c>
      <x:c r="M701" s="12" t="n">
        <x:v>13</x:v>
      </x:c>
      <x:c r="N701" s="14" t="n">
        <x:v>0.7660778135785512</x:v>
      </x:c>
      <x:c r="O701" s="14" t="n">
        <x:v>0.2339221864214488</x:v>
      </x:c>
      <x:c r="P701" s="14" t="n">
        <x:v>0.3524272228257891</x:v>
      </x:c>
      <x:c r="Q701" s="14" t="n">
        <x:v>0.24926468527939422</x:v>
      </x:c>
      <x:c r="R701" s="14" t="n">
        <x:v>0.20121364049171223</x:v>
      </x:c>
      <x:c r="S701" s="14" t="n">
        <x:v>0.5252913686530651</x:v>
      </x:c>
      <x:c r="T701" t="str">
        <x:v>여성소비·고매출밀도</x:v>
      </x:c>
      <x:c r="U701" s="16" t="n">
        <x:v>52.90276963567121</x:v>
      </x:c>
      <x:c r="V701" t="str">
        <x:v>반찬가게</x:v>
      </x:c>
      <x:c r="W701" t="str">
        <x:v>반찬가게 / 의약품 / 일반의류</x:v>
      </x:c>
      <x:c r="X701" s="16" t="n">
        <x:v>49.00431229926643</x:v>
      </x:c>
    </x:row>
    <x:row r="702">
      <x:c r="A702" t="str">
        <x:v>3130022</x:v>
      </x:c>
      <x:c r="B702" t="str">
        <x:v>숭례문수입상가(남대문시장)</x:v>
      </x:c>
      <x:c r="C702" t="str">
        <x:v>전통시장</x:v>
      </x:c>
      <x:c r="D702" t="str">
        <x:v>중구</x:v>
      </x:c>
      <x:c r="E702" t="str">
        <x:v>회현동</x:v>
      </x:c>
      <x:c r="F702" s="12" t="n">
        <x:v>7685</x:v>
      </x:c>
      <x:c r="G702" s="12" t="n">
        <x:v>4334325862</x:v>
      </x:c>
      <x:c r="H702" s="12" t="n">
        <x:v>88372</x:v>
      </x:c>
      <x:c r="I702" s="12" t="n">
        <x:v>49046.37059249536</x:v>
      </x:c>
      <x:c r="J702" s="12" t="n">
        <x:v>563998.1603122967</x:v>
      </x:c>
      <x:c r="K702" s="12" t="n">
        <x:v>1992</x:v>
      </x:c>
      <x:c r="L702" s="12" t="n">
        <x:v>2592.0624593363696</x:v>
      </x:c>
      <x:c r="M702" s="12" t="n">
        <x:v>11</x:v>
      </x:c>
      <x:c r="N702" s="14" t="n">
        <x:v>0.8190678901474806</x:v>
      </x:c>
      <x:c r="O702" s="14" t="n">
        <x:v>0.18093210985251942</x:v>
      </x:c>
      <x:c r="P702" s="14" t="n">
        <x:v>0.05294559368780565</x:v>
      </x:c>
      <x:c r="Q702" s="14" t="n">
        <x:v>0.46775653851380866</x:v>
      </x:c>
      <x:c r="R702" s="14" t="n">
        <x:v>0.033125499921168595</x:v>
      </x:c>
      <x:c r="S702" s="14" t="n">
        <x:v>0.6301793395247033</x:v>
      </x:c>
      <x:c r="T702" t="str">
        <x:v>직장밀집·여성소비</x:v>
      </x:c>
      <x:c r="U702" s="16" t="n">
        <x:v>64.2571286021932</x:v>
      </x:c>
      <x:c r="V702" t="str">
        <x:v>반찬가게</x:v>
      </x:c>
      <x:c r="W702" t="str">
        <x:v>반찬가게 / 인테리어 / 안경</x:v>
      </x:c>
      <x:c r="X702" s="16" t="n">
        <x:v>58.24475287226958</x:v>
      </x:c>
    </x:row>
    <x:row r="703">
      <x:c r="A703" t="str">
        <x:v>3110542</x:v>
      </x:c>
      <x:c r="B703" t="str">
        <x:v>마포구청역 7번</x:v>
      </x:c>
      <x:c r="C703" t="str">
        <x:v>골목상권</x:v>
      </x:c>
      <x:c r="D703" t="str">
        <x:v>마포구</x:v>
      </x:c>
      <x:c r="E703" t="str">
        <x:v>망원2동</x:v>
      </x:c>
      <x:c r="F703" s="12" t="n">
        <x:v>123656</x:v>
      </x:c>
      <x:c r="G703" s="12" t="n">
        <x:v>4295114829</x:v>
      </x:c>
      <x:c r="H703" s="12" t="n">
        <x:v>239368</x:v>
      </x:c>
      <x:c r="I703" s="12" t="n">
        <x:v>17943.563170515692</x:v>
      </x:c>
      <x:c r="J703" s="12" t="n">
        <x:v>34734.382714951156</x:v>
      </x:c>
      <x:c r="K703" s="12" t="n">
        <x:v>1552</x:v>
      </x:c>
      <x:c r="L703" s="12" t="n">
        <x:v>125.50947790645014</x:v>
      </x:c>
      <x:c r="M703" s="12" t="n">
        <x:v>18</x:v>
      </x:c>
      <x:c r="N703" s="14" t="n">
        <x:v>0.7924984175085485</x:v>
      </x:c>
      <x:c r="O703" s="14" t="n">
        <x:v>0.20750158249145148</x:v>
      </x:c>
      <x:c r="P703" s="14" t="n">
        <x:v>0.42166957208491435</x:v>
      </x:c>
      <x:c r="Q703" s="14" t="n">
        <x:v>0.2311405754036943</x:v>
      </x:c>
      <x:c r="R703" s="14" t="n">
        <x:v>0.3907853272436922</x:v>
      </x:c>
      <x:c r="S703" s="14" t="n">
        <x:v>0.4469559961559761</x:v>
      </x:c>
      <x:c r="T703" t="str">
        <x:v>2030소비·평일집중</x:v>
      </x:c>
      <x:c r="U703" s="16" t="n">
        <x:v>78.97575607438185</x:v>
      </x:c>
      <x:c r="V703" t="str">
        <x:v>스포츠클럽</x:v>
      </x:c>
      <x:c r="W703" t="str">
        <x:v>스포츠클럽 / 패스트푸드점 / 조명용품</x:v>
      </x:c>
      <x:c r="X703" s="16" t="n">
        <x:v>64.81988689566597</x:v>
      </x:c>
    </x:row>
    <x:row r="704">
      <x:c r="A704" t="str">
        <x:v>3111049</x:v>
      </x:c>
      <x:c r="B704" t="str">
        <x:v>천호지구대(천호동자전거거리)</x:v>
      </x:c>
      <x:c r="C704" t="str">
        <x:v>골목상권</x:v>
      </x:c>
      <x:c r="D704" t="str">
        <x:v>강동구</x:v>
      </x:c>
      <x:c r="E704" t="str">
        <x:v>천호2동</x:v>
      </x:c>
      <x:c r="F704" s="12" t="n">
        <x:v>110424</x:v>
      </x:c>
      <x:c r="G704" s="12" t="n">
        <x:v>4243378321</x:v>
      </x:c>
      <x:c r="H704" s="12" t="n">
        <x:v>61704</x:v>
      </x:c>
      <x:c r="I704" s="12" t="n">
        <x:v>68769.90666731492</x:v>
      </x:c>
      <x:c r="J704" s="12" t="n">
        <x:v>38428.043912555244</x:v>
      </x:c>
      <x:c r="K704" s="12" t="n">
        <x:v>247</x:v>
      </x:c>
      <x:c r="L704" s="12" t="n">
        <x:v>22.36832572629139</x:v>
      </x:c>
      <x:c r="M704" s="12" t="n">
        <x:v>12</x:v>
      </x:c>
      <x:c r="N704" s="14" t="n">
        <x:v>0.7363805743023213</x:v>
      </x:c>
      <x:c r="O704" s="14" t="n">
        <x:v>0.26361942569767866</x:v>
      </x:c>
      <x:c r="P704" s="14" t="n">
        <x:v>0.41379461673504647</x:v>
      </x:c>
      <x:c r="Q704" s="14" t="n">
        <x:v>0.1842512790176457</x:v>
      </x:c>
      <x:c r="R704" s="14" t="n">
        <x:v>0.18784469017416183</x:v>
      </x:c>
      <x:c r="S704" s="14" t="n">
        <x:v>0.2576879760139586</x:v>
      </x:c>
      <x:c r="T704" t="str">
        <x:v>균형형</x:v>
      </x:c>
      <x:c r="U704" s="16" t="n">
        <x:v>69.90933595283958</x:v>
      </x:c>
      <x:c r="V704" t="str">
        <x:v>자동차수리</x:v>
      </x:c>
      <x:c r="W704" t="str">
        <x:v>자동차수리 / 일반교습학원 / 미용실</x:v>
      </x:c>
      <x:c r="X704" s="16" t="n">
        <x:v>53.700346677962344</x:v>
      </x:c>
    </x:row>
    <x:row r="705">
      <x:c r="A705" t="str">
        <x:v>3130104</x:v>
      </x:c>
      <x:c r="B705" t="str">
        <x:v>전곡시장</x:v>
      </x:c>
      <x:c r="C705" t="str">
        <x:v>전통시장</x:v>
      </x:c>
      <x:c r="D705" t="str">
        <x:v>동대문구</x:v>
      </x:c>
      <x:c r="E705" t="str">
        <x:v>장안2동</x:v>
      </x:c>
      <x:c r="F705" s="12" t="n">
        <x:v>26448</x:v>
      </x:c>
      <x:c r="G705" s="12" t="n">
        <x:v>4206029043</x:v>
      </x:c>
      <x:c r="H705" s="12" t="n">
        <x:v>198412</x:v>
      </x:c>
      <x:c r="I705" s="12" t="n">
        <x:v>21198.460995302703</x:v>
      </x:c>
      <x:c r="J705" s="12" t="n">
        <x:v>159030.13622958257</x:v>
      </x:c>
      <x:c r="K705" s="12" t="n">
        <x:v>217</x:v>
      </x:c>
      <x:c r="L705" s="12" t="n">
        <x:v>82.04779189352692</x:v>
      </x:c>
      <x:c r="M705" s="12" t="n">
        <x:v>7</x:v>
      </x:c>
      <x:c r="N705" s="14" t="n">
        <x:v>0.6942054501167647</x:v>
      </x:c>
      <x:c r="O705" s="14" t="n">
        <x:v>0.3057945498832353</x:v>
      </x:c>
      <x:c r="P705" s="14" t="n">
        <x:v>0.3738806382274427</x:v>
      </x:c>
      <x:c r="Q705" s="14" t="n">
        <x:v>0.2354691103829356</x:v>
      </x:c>
      <x:c r="R705" s="14" t="n">
        <x:v>0.1018707026555356</x:v>
      </x:c>
      <x:c r="S705" s="14" t="n">
        <x:v>0.48841226582086633</x:v>
      </x:c>
      <x:c r="T705" t="str">
        <x:v>고매출밀도·여성소비</x:v>
      </x:c>
      <x:c r="U705" s="16" t="n">
        <x:v>59.85828014939203</x:v>
      </x:c>
      <x:c r="V705" t="str">
        <x:v>일반의류</x:v>
      </x:c>
      <x:c r="W705" t="str">
        <x:v>일반의류 / 육류판매 / 슈퍼마켓</x:v>
      </x:c>
      <x:c r="X705" s="16" t="n">
        <x:v>49.54997042260477</x:v>
      </x:c>
    </x:row>
    <x:row r="706">
      <x:c r="A706" t="str">
        <x:v>3130061</x:v>
      </x:c>
      <x:c r="B706" t="str">
        <x:v>이태원시장</x:v>
      </x:c>
      <x:c r="C706" t="str">
        <x:v>전통시장</x:v>
      </x:c>
      <x:c r="D706" t="str">
        <x:v>용산구</x:v>
      </x:c>
      <x:c r="E706" t="str">
        <x:v>이태원1동</x:v>
      </x:c>
      <x:c r="F706" s="12" t="n">
        <x:v>10573</x:v>
      </x:c>
      <x:c r="G706" s="12" t="n">
        <x:v>4193233887</x:v>
      </x:c>
      <x:c r="H706" s="12" t="n">
        <x:v>40309</x:v>
      </x:c>
      <x:c r="I706" s="12" t="n">
        <x:v>104027.23677094445</x:v>
      </x:c>
      <x:c r="J706" s="12" t="n">
        <x:v>396598.3057788707</x:v>
      </x:c>
      <x:c r="K706" s="12" t="n">
        <x:v>754</x:v>
      </x:c>
      <x:c r="L706" s="12" t="n">
        <x:v>713.1372363567577</x:v>
      </x:c>
      <x:c r="M706" s="12" t="n">
        <x:v>6</x:v>
      </x:c>
      <x:c r="N706" s="14" t="n">
        <x:v>0.6078045627031345</x:v>
      </x:c>
      <x:c r="O706" s="14" t="n">
        <x:v>0.39219543729686546</x:v>
      </x:c>
      <x:c r="P706" s="14" t="n">
        <x:v>0.3540778501774041</x:v>
      </x:c>
      <x:c r="Q706" s="14" t="n">
        <x:v>0.24301505936961823</x:v>
      </x:c>
      <x:c r="R706" s="14" t="n">
        <x:v>0.3552433198677906</x:v>
      </x:c>
      <x:c r="S706" s="14" t="n">
        <x:v>0.38050444620953716</x:v>
      </x:c>
      <x:c r="T706" t="str">
        <x:v>직장밀집·고매출밀도</x:v>
      </x:c>
      <x:c r="U706" s="16" t="n">
        <x:v>69.16390571481647</x:v>
      </x:c>
      <x:c r="V706" t="str">
        <x:v>일반의류</x:v>
      </x:c>
      <x:c r="W706" t="str">
        <x:v>일반의류 / 분식전문점 / 한식음식점</x:v>
      </x:c>
      <x:c r="X706" s="16" t="n">
        <x:v>56.58908429159452</x:v>
      </x:c>
    </x:row>
    <x:row r="707">
      <x:c r="A707" t="str">
        <x:v>3110598</x:v>
      </x:c>
      <x:c r="B707" t="str">
        <x:v>신월문화체육센터</x:v>
      </x:c>
      <x:c r="C707" t="str">
        <x:v>골목상권</x:v>
      </x:c>
      <x:c r="D707" t="str">
        <x:v>양천구</x:v>
      </x:c>
      <x:c r="E707" t="str">
        <x:v>신월7동</x:v>
      </x:c>
      <x:c r="F707" s="12" t="n">
        <x:v>105945</x:v>
      </x:c>
      <x:c r="G707" s="12" t="n">
        <x:v>4170118044</x:v>
      </x:c>
      <x:c r="H707" s="12" t="n">
        <x:v>257532</x:v>
      </x:c>
      <x:c r="I707" s="12" t="n">
        <x:v>16192.62089371418</x:v>
      </x:c>
      <x:c r="J707" s="12" t="n">
        <x:v>39361.15950729152</x:v>
      </x:c>
      <x:c r="K707" s="12" t="n">
        <x:v>745</x:v>
      </x:c>
      <x:c r="L707" s="12" t="n">
        <x:v>70.31950540374723</x:v>
      </x:c>
      <x:c r="M707" s="12" t="n">
        <x:v>19</x:v>
      </x:c>
      <x:c r="N707" s="14" t="n">
        <x:v>0.7326415786708603</x:v>
      </x:c>
      <x:c r="O707" s="14" t="n">
        <x:v>0.26735842132913973</x:v>
      </x:c>
      <x:c r="P707" s="14" t="n">
        <x:v>0.4551392305862505</x:v>
      </x:c>
      <x:c r="Q707" s="14" t="n">
        <x:v>0.18305813934892054</x:v>
      </x:c>
      <x:c r="R707" s="14" t="n">
        <x:v>0.2111302430075766</x:v>
      </x:c>
      <x:c r="S707" s="14" t="n">
        <x:v>0.3904990709658674</x:v>
      </x:c>
      <x:c r="T707" t="str">
        <x:v>야간활성</x:v>
      </x:c>
      <x:c r="U707" s="16" t="n">
        <x:v>62.35118119237559</x:v>
      </x:c>
      <x:c r="V707" t="str">
        <x:v>미용실</x:v>
      </x:c>
      <x:c r="W707" t="str">
        <x:v>미용실 / 당구장 / 일반의류</x:v>
      </x:c>
      <x:c r="X707" s="16" t="n">
        <x:v>61.662371574223435</x:v>
      </x:c>
    </x:row>
    <x:row r="708">
      <x:c r="A708" t="str">
        <x:v>3110730</x:v>
      </x:c>
      <x:c r="B708" t="str">
        <x:v>서울축산농협 독산역지점(독산파출소)</x:v>
      </x:c>
      <x:c r="C708" t="str">
        <x:v>골목상권</x:v>
      </x:c>
      <x:c r="D708" t="str">
        <x:v>금천구</x:v>
      </x:c>
      <x:c r="E708" t="str">
        <x:v>독산1동</x:v>
      </x:c>
      <x:c r="F708" s="12" t="n">
        <x:v>115670</x:v>
      </x:c>
      <x:c r="G708" s="12" t="n">
        <x:v>4168377075</x:v>
      </x:c>
      <x:c r="H708" s="12" t="n">
        <x:v>266245</x:v>
      </x:c>
      <x:c r="I708" s="12" t="n">
        <x:v>15656.170350616912</x:v>
      </x:c>
      <x:c r="J708" s="12" t="n">
        <x:v>36036.803622374</x:v>
      </x:c>
      <x:c r="K708" s="12" t="n">
        <x:v>631</x:v>
      </x:c>
      <x:c r="L708" s="12" t="n">
        <x:v>54.55174202472551</x:v>
      </x:c>
      <x:c r="M708" s="12" t="n">
        <x:v>10</x:v>
      </x:c>
      <x:c r="N708" s="14" t="n">
        <x:v>0.724290060538729</x:v>
      </x:c>
      <x:c r="O708" s="14" t="n">
        <x:v>0.27570993946127104</x:v>
      </x:c>
      <x:c r="P708" s="14" t="n">
        <x:v>0.3405954721598693</x:v>
      </x:c>
      <x:c r="Q708" s="14" t="n">
        <x:v>0.1723229681662137</x:v>
      </x:c>
      <x:c r="R708" s="14" t="n">
        <x:v>0.30276428146798595</x:v>
      </x:c>
      <x:c r="S708" s="14" t="n">
        <x:v>0.41400543471705953</x:v>
      </x:c>
      <x:c r="T708" t="str">
        <x:v>2030소비</x:v>
      </x:c>
      <x:c r="U708" s="16" t="n">
        <x:v>54.317233012434</x:v>
      </x:c>
      <x:c r="V708" t="str">
        <x:v>편의점</x:v>
      </x:c>
      <x:c r="W708" t="str">
        <x:v>편의점 / 육류판매 / 호프-간이주점</x:v>
      </x:c>
      <x:c r="X708" s="16" t="n">
        <x:v>46.973937902002724</x:v>
      </x:c>
    </x:row>
    <x:row r="709">
      <x:c r="A709" t="str">
        <x:v>3130020</x:v>
      </x:c>
      <x:c r="B709" t="str">
        <x:v>동묘시장(동묘벼룩시장)</x:v>
      </x:c>
      <x:c r="C709" t="str">
        <x:v>전통시장</x:v>
      </x:c>
      <x:c r="D709" t="str">
        <x:v>종로구</x:v>
      </x:c>
      <x:c r="E709" t="str">
        <x:v>숭인2동</x:v>
      </x:c>
      <x:c r="F709" s="12" t="n">
        <x:v>31213</x:v>
      </x:c>
      <x:c r="G709" s="12" t="n">
        <x:v>4148520475</x:v>
      </x:c>
      <x:c r="H709" s="12" t="n">
        <x:v>119458</x:v>
      </x:c>
      <x:c r="I709" s="12" t="n">
        <x:v>34727.858117497366</x:v>
      </x:c>
      <x:c r="J709" s="12" t="n">
        <x:v>132910.02066446672</x:v>
      </x:c>
      <x:c r="K709" s="12" t="n">
        <x:v>157</x:v>
      </x:c>
      <x:c r="L709" s="12" t="n">
        <x:v>50.29955467273251</x:v>
      </x:c>
      <x:c r="M709" s="12" t="n">
        <x:v>10</x:v>
      </x:c>
      <x:c r="N709" s="14" t="n">
        <x:v>0.7111184434976182</x:v>
      </x:c>
      <x:c r="O709" s="14" t="n">
        <x:v>0.28888155650238173</x:v>
      </x:c>
      <x:c r="P709" s="14" t="n">
        <x:v>0.24924293280726786</x:v>
      </x:c>
      <x:c r="Q709" s="14" t="n">
        <x:v>0.2953618962191575</x:v>
      </x:c>
      <x:c r="R709" s="14" t="n">
        <x:v>0.1658404323049653</x:v>
      </x:c>
      <x:c r="S709" s="14" t="n">
        <x:v>0.3819262097290239</x:v>
      </x:c>
      <x:c r="T709" t="str">
        <x:v>고매출밀도</x:v>
      </x:c>
      <x:c r="U709" s="16" t="n">
        <x:v>68.25506002236203</x:v>
      </x:c>
      <x:c r="V709" t="str">
        <x:v>신발</x:v>
      </x:c>
      <x:c r="W709" t="str">
        <x:v>신발 / 한식음식점 / 슈퍼마켓</x:v>
      </x:c>
      <x:c r="X709" s="16" t="n">
        <x:v>61.10879842497583</x:v>
      </x:c>
    </x:row>
    <x:row r="710">
      <x:c r="A710" t="str">
        <x:v>3110165</x:v>
      </x:c>
      <x:c r="B710" t="str">
        <x:v>국립정신건강센터</x:v>
      </x:c>
      <x:c r="C710" t="str">
        <x:v>골목상권</x:v>
      </x:c>
      <x:c r="D710" t="str">
        <x:v>광진구</x:v>
      </x:c>
      <x:c r="E710" t="str">
        <x:v>중곡2동</x:v>
      </x:c>
      <x:c r="F710" s="12" t="n">
        <x:v>95687</x:v>
      </x:c>
      <x:c r="G710" s="12" t="n">
        <x:v>4136021046</x:v>
      </x:c>
      <x:c r="H710" s="12" t="n">
        <x:v>102114</x:v>
      </x:c>
      <x:c r="I710" s="12" t="n">
        <x:v>40503.95681297374</x:v>
      </x:c>
      <x:c r="J710" s="12" t="n">
        <x:v>43224.482385277</x:v>
      </x:c>
      <x:c r="K710" s="12" t="n">
        <x:v>310</x:v>
      </x:c>
      <x:c r="L710" s="12" t="n">
        <x:v>32.39729534837544</x:v>
      </x:c>
      <x:c r="M710" s="12" t="n">
        <x:v>16</x:v>
      </x:c>
      <x:c r="N710" s="14" t="n">
        <x:v>0.7476458938695643</x:v>
      </x:c>
      <x:c r="O710" s="14" t="n">
        <x:v>0.2523541061304358</x:v>
      </x:c>
      <x:c r="P710" s="14" t="n">
        <x:v>0.4802824821022441</x:v>
      </x:c>
      <x:c r="Q710" s="14" t="n">
        <x:v>0.1615316550785269</x:v>
      </x:c>
      <x:c r="R710" s="14" t="n">
        <x:v>0.16950648297063814</x:v>
      </x:c>
      <x:c r="S710" s="14" t="n">
        <x:v>0.3991768706294924</x:v>
      </x:c>
      <x:c r="T710" t="str">
        <x:v>야간활성</x:v>
      </x:c>
      <x:c r="U710" s="16" t="n">
        <x:v>64.67806942722628</x:v>
      </x:c>
      <x:c r="V710" t="str">
        <x:v>일반교습학원</x:v>
      </x:c>
      <x:c r="W710" t="str">
        <x:v>일반교습학원 / 자동차수리 / 청과상</x:v>
      </x:c>
      <x:c r="X710" s="16" t="n">
        <x:v>58.30920091192081</x:v>
      </x:c>
    </x:row>
    <x:row r="711">
      <x:c r="A711" t="str">
        <x:v>3110465</x:v>
      </x:c>
      <x:c r="B711" t="str">
        <x:v>연신내역 7번</x:v>
      </x:c>
      <x:c r="C711" t="str">
        <x:v>골목상권</x:v>
      </x:c>
      <x:c r="D711" t="str">
        <x:v>은평구</x:v>
      </x:c>
      <x:c r="E711" t="str">
        <x:v>갈현1동</x:v>
      </x:c>
      <x:c r="F711" s="12" t="n">
        <x:v>72295</x:v>
      </x:c>
      <x:c r="G711" s="12" t="n">
        <x:v>4135871627</x:v>
      </x:c>
      <x:c r="H711" s="12" t="n">
        <x:v>189791</x:v>
      </x:c>
      <x:c r="I711" s="12" t="n">
        <x:v>21791.716293185662</x:v>
      </x:c>
      <x:c r="J711" s="12" t="n">
        <x:v>57208.26650529082</x:v>
      </x:c>
      <x:c r="K711" s="12" t="n">
        <x:v>356</x:v>
      </x:c>
      <x:c r="L711" s="12" t="n">
        <x:v>49.24268621619752</x:v>
      </x:c>
      <x:c r="M711" s="12" t="n">
        <x:v>17</x:v>
      </x:c>
      <x:c r="N711" s="14" t="n">
        <x:v>0.7174203954082253</x:v>
      </x:c>
      <x:c r="O711" s="14" t="n">
        <x:v>0.2825796045917747</x:v>
      </x:c>
      <x:c r="P711" s="14" t="n">
        <x:v>0.4641187140502125</x:v>
      </x:c>
      <x:c r="Q711" s="14" t="n">
        <x:v>0.17264464021044432</x:v>
      </x:c>
      <x:c r="R711" s="14" t="n">
        <x:v>0.22453440816140688</x:v>
      </x:c>
      <x:c r="S711" s="14" t="n">
        <x:v>0.43306156368764875</x:v>
      </x:c>
      <x:c r="T711" t="str">
        <x:v>야간활성·2030소비</x:v>
      </x:c>
      <x:c r="U711" s="16" t="n">
        <x:v>67.52281058214771</x:v>
      </x:c>
      <x:c r="V711" t="str">
        <x:v>일반교습학원</x:v>
      </x:c>
      <x:c r="W711" t="str">
        <x:v>일반교습학원 / 미용실 / 육류판매</x:v>
      </x:c>
      <x:c r="X711" s="16" t="n">
        <x:v>57.06149232506921</x:v>
      </x:c>
    </x:row>
    <x:row r="712">
      <x:c r="A712" t="str">
        <x:v>3130131</x:v>
      </x:c>
      <x:c r="B712" t="str">
        <x:v>동북프라자</x:v>
      </x:c>
      <x:c r="C712" t="str">
        <x:v>전통시장</x:v>
      </x:c>
      <x:c r="D712" t="str">
        <x:v>강북구</x:v>
      </x:c>
      <x:c r="E712" t="str">
        <x:v>삼양동</x:v>
      </x:c>
      <x:c r="F712" s="12" t="n">
        <x:v>8454</x:v>
      </x:c>
      <x:c r="G712" s="12" t="n">
        <x:v>4110892227</x:v>
      </x:c>
      <x:c r="H712" s="12" t="n">
        <x:v>162750</x:v>
      </x:c>
      <x:c r="I712" s="12" t="n">
        <x:v>25258.938414746543</x:v>
      </x:c>
      <x:c r="J712" s="12" t="n">
        <x:v>486265.9364797729</x:v>
      </x:c>
      <x:c r="K712" s="12" t="n">
        <x:v>20</x:v>
      </x:c>
      <x:c r="L712" s="12" t="n">
        <x:v>23.657440264963334</x:v>
      </x:c>
      <x:c r="M712" s="12" t="n">
        <x:v>5</x:v>
      </x:c>
      <x:c r="N712" s="14" t="n">
        <x:v>0.7646276283661864</x:v>
      </x:c>
      <x:c r="O712" s="14" t="n">
        <x:v>0.2353723716338137</x:v>
      </x:c>
      <x:c r="P712" s="14" t="n">
        <x:v>0.17587466104107136</x:v>
      </x:c>
      <x:c r="Q712" s="14" t="n">
        <x:v>0.3126976274291902</x:v>
      </x:c>
      <x:c r="R712" s="14" t="n">
        <x:v>0.16385522966909927</x:v>
      </x:c>
      <x:c r="S712" s="14" t="n">
        <x:v>0.5223296957037935</x:v>
      </x:c>
      <x:c r="T712" t="str">
        <x:v>고매출밀도·여성소비</x:v>
      </x:c>
      <x:c r="U712" s="16" t="n">
        <x:v>78.08424034912201</x:v>
      </x:c>
      <x:c r="V712" t="str">
        <x:v>육류판매</x:v>
      </x:c>
      <x:c r="W712" t="str">
        <x:v>육류판매 / 일반의원 / 피부관리실</x:v>
      </x:c>
      <x:c r="X712" s="16" t="n">
        <x:v>54.54781628305957</x:v>
      </x:c>
    </x:row>
    <x:row r="713">
      <x:c r="A713" t="str">
        <x:v>3110112</x:v>
      </x:c>
      <x:c r="B713" t="str">
        <x:v>행당역 2번</x:v>
      </x:c>
      <x:c r="C713" t="str">
        <x:v>골목상권</x:v>
      </x:c>
      <x:c r="D713" t="str">
        <x:v>성동구</x:v>
      </x:c>
      <x:c r="E713" t="str">
        <x:v>행당1동</x:v>
      </x:c>
      <x:c r="F713" s="12" t="n">
        <x:v>68591</x:v>
      </x:c>
      <x:c r="G713" s="12" t="n">
        <x:v>4099614476</x:v>
      </x:c>
      <x:c r="H713" s="12" t="n">
        <x:v>78100</x:v>
      </x:c>
      <x:c r="I713" s="12" t="n">
        <x:v>52491.862688860434</x:v>
      </x:c>
      <x:c r="J713" s="12" t="n">
        <x:v>59768.98537709029</x:v>
      </x:c>
      <x:c r="K713" s="12" t="n">
        <x:v>106</x:v>
      </x:c>
      <x:c r="L713" s="12" t="n">
        <x:v>15.453922526278959</x:v>
      </x:c>
      <x:c r="M713" s="12" t="n">
        <x:v>11</x:v>
      </x:c>
      <x:c r="N713" s="14" t="n">
        <x:v>0.7348287253925678</x:v>
      </x:c>
      <x:c r="O713" s="14" t="n">
        <x:v>0.2651712746074321</x:v>
      </x:c>
      <x:c r="P713" s="14" t="n">
        <x:v>0.5261429611558431</x:v>
      </x:c>
      <x:c r="Q713" s="14" t="n">
        <x:v>0.1902761834232532</x:v>
      </x:c>
      <x:c r="R713" s="14" t="n">
        <x:v>0.1184467602606836</x:v>
      </x:c>
      <x:c r="S713" s="14" t="n">
        <x:v>0.5131054754817878</x:v>
      </x:c>
      <x:c r="T713" t="str">
        <x:v>야간활성·여성소비</x:v>
      </x:c>
      <x:c r="U713" s="16" t="n">
        <x:v>67.65319625870757</x:v>
      </x:c>
      <x:c r="V713" t="str">
        <x:v>미용실</x:v>
      </x:c>
      <x:c r="W713" t="str">
        <x:v>미용실 / 일반교습학원 / 핸드폰</x:v>
      </x:c>
      <x:c r="X713" s="16" t="n">
        <x:v>54.916203145872</x:v>
      </x:c>
    </x:row>
    <x:row r="714">
      <x:c r="A714" t="str">
        <x:v>3110917</x:v>
      </x:c>
      <x:c r="B714" t="str">
        <x:v>서초소방서</x:v>
      </x:c>
      <x:c r="C714" t="str">
        <x:v>골목상권</x:v>
      </x:c>
      <x:c r="D714" t="str">
        <x:v>서초구</x:v>
      </x:c>
      <x:c r="E714" t="str">
        <x:v>반포4동</x:v>
      </x:c>
      <x:c r="F714" s="12" t="n">
        <x:v>48294</x:v>
      </x:c>
      <x:c r="G714" s="12" t="n">
        <x:v>4092877526</x:v>
      </x:c>
      <x:c r="H714" s="12" t="n">
        <x:v>5029</x:v>
      </x:c>
      <x:c r="I714" s="12" t="n">
        <x:v>813855.1453569299</x:v>
      </x:c>
      <x:c r="J714" s="12" t="n">
        <x:v>84749.19298463577</x:v>
      </x:c>
      <x:c r="K714" s="12" t="n">
        <x:v>2855</x:v>
      </x:c>
      <x:c r="L714" s="12" t="n">
        <x:v>591.1707458483455</x:v>
      </x:c>
      <x:c r="M714" s="12" t="n">
        <x:v>3</x:v>
      </x:c>
      <x:c r="N714" s="14" t="n">
        <x:v>0.9102153774048698</x:v>
      </x:c>
      <x:c r="O714" s="14" t="n">
        <x:v>0.08978462259513015</x:v>
      </x:c>
      <x:c r="P714" s="14" t="n">
        <x:v>0.16237337686708</x:v>
      </x:c>
      <x:c r="Q714" s="14" t="n">
        <x:v>0.3873287954329079</x:v>
      </x:c>
      <x:c r="R714" s="14" t="n">
        <x:v>0.15526664454606012</x:v>
      </x:c>
      <x:c r="S714" s="14" t="n">
        <x:v>0.2719378092624607</x:v>
      </x:c>
      <x:c r="T714" t="str">
        <x:v>평일집중·직장밀집</x:v>
      </x:c>
      <x:c r="U714" s="16" t="n">
        <x:v>65.47404243430832</x:v>
      </x:c>
      <x:c r="V714" t="str">
        <x:v>운동/경기용품</x:v>
      </x:c>
      <x:c r="W714" t="str">
        <x:v>운동/경기용품 / 일반의류 / 전자상거래업</x:v>
      </x:c>
      <x:c r="X714" s="16" t="n">
        <x:v>57.253506377700326</x:v>
      </x:c>
    </x:row>
    <x:row r="715">
      <x:c r="A715" t="str">
        <x:v>3110479</x:v>
      </x:c>
      <x:c r="B715" t="str">
        <x:v>연신내역 2번</x:v>
      </x:c>
      <x:c r="C715" t="str">
        <x:v>골목상권</x:v>
      </x:c>
      <x:c r="D715" t="str">
        <x:v>은평구</x:v>
      </x:c>
      <x:c r="E715" t="str">
        <x:v>불광2동</x:v>
      </x:c>
      <x:c r="F715" s="12" t="n">
        <x:v>102295</x:v>
      </x:c>
      <x:c r="G715" s="12" t="n">
        <x:v>4055199665</x:v>
      </x:c>
      <x:c r="H715" s="12" t="n">
        <x:v>213325</x:v>
      </x:c>
      <x:c r="I715" s="12" t="n">
        <x:v>19009.490987929217</x:v>
      </x:c>
      <x:c r="J715" s="12" t="n">
        <x:v>39642.207976929465</x:v>
      </x:c>
      <x:c r="K715" s="12" t="n">
        <x:v>601</x:v>
      </x:c>
      <x:c r="L715" s="12" t="n">
        <x:v>58.75164964074491</x:v>
      </x:c>
      <x:c r="M715" s="12" t="n">
        <x:v>8</x:v>
      </x:c>
      <x:c r="N715" s="14" t="n">
        <x:v>0.7416285979595533</x:v>
      </x:c>
      <x:c r="O715" s="14" t="n">
        <x:v>0.25837140204044673</x:v>
      </x:c>
      <x:c r="P715" s="14" t="n">
        <x:v>0.3319011121983805</x:v>
      </x:c>
      <x:c r="Q715" s="14" t="n">
        <x:v>0.23841882715286722</x:v>
      </x:c>
      <x:c r="R715" s="14" t="n">
        <x:v>0.09010986515752734</x:v>
      </x:c>
      <x:c r="S715" s="14" t="n">
        <x:v>0.5291288511684171</x:v>
      </x:c>
      <x:c r="T715" t="str">
        <x:v>여성소비</x:v>
      </x:c>
      <x:c r="U715" s="16" t="n">
        <x:v>69.70903072235858</x:v>
      </x:c>
      <x:c r="V715" t="str">
        <x:v>청과상</x:v>
      </x:c>
      <x:c r="W715" t="str">
        <x:v>청과상 / 일반의원 / 슈퍼마켓</x:v>
      </x:c>
      <x:c r="X715" s="16" t="n">
        <x:v>59.235054007824644</x:v>
      </x:c>
    </x:row>
    <x:row r="716">
      <x:c r="A716" t="str">
        <x:v>3110984</x:v>
      </x:c>
      <x:c r="B716" t="str">
        <x:v>포이초등학교(개포목련어린이공원)</x:v>
      </x:c>
      <x:c r="C716" t="str">
        <x:v>골목상권</x:v>
      </x:c>
      <x:c r="D716" t="str">
        <x:v>강남구</x:v>
      </x:c>
      <x:c r="E716" t="str">
        <x:v>개포4동</x:v>
      </x:c>
      <x:c r="F716" s="12" t="n">
        <x:v>137098</x:v>
      </x:c>
      <x:c r="G716" s="12" t="n">
        <x:v>4054802759</x:v>
      </x:c>
      <x:c r="H716" s="12" t="n">
        <x:v>186104</x:v>
      </x:c>
      <x:c r="I716" s="12" t="n">
        <x:v>21787.83238941667</x:v>
      </x:c>
      <x:c r="J716" s="12" t="n">
        <x:v>29575.94391603087</x:v>
      </x:c>
      <x:c r="K716" s="12" t="n">
        <x:v>1589</x:v>
      </x:c>
      <x:c r="L716" s="12" t="n">
        <x:v>115.90249310712045</x:v>
      </x:c>
      <x:c r="M716" s="12" t="n">
        <x:v>14</x:v>
      </x:c>
      <x:c r="N716" s="14" t="n">
        <x:v>0.7975241586837443</x:v>
      </x:c>
      <x:c r="O716" s="14" t="n">
        <x:v>0.20247584131625576</x:v>
      </x:c>
      <x:c r="P716" s="14" t="n">
        <x:v>0.3367371386855663</x:v>
      </x:c>
      <x:c r="Q716" s="14" t="n">
        <x:v>0.23291168254825587</x:v>
      </x:c>
      <x:c r="R716" s="14" t="n">
        <x:v>0.2020482843910386</x:v>
      </x:c>
      <x:c r="S716" s="14" t="n">
        <x:v>0.4405361313901582</x:v>
      </x:c>
      <x:c r="T716" t="str">
        <x:v>평일집중·직장밀집</x:v>
      </x:c>
      <x:c r="U716" s="16" t="n">
        <x:v>67.46550173236258</x:v>
      </x:c>
      <x:c r="V716" t="str">
        <x:v>미용실</x:v>
      </x:c>
      <x:c r="W716" t="str">
        <x:v>미용실 / 한식음식점 / 의약품</x:v>
      </x:c>
      <x:c r="X716" s="16" t="n">
        <x:v>62.27211042428678</x:v>
      </x:c>
    </x:row>
    <x:row r="717">
      <x:c r="A717" t="str">
        <x:v>3110763</x:v>
      </x:c>
      <x:c r="B717" t="str">
        <x:v>영등포구청역 2번</x:v>
      </x:c>
      <x:c r="C717" t="str">
        <x:v>골목상권</x:v>
      </x:c>
      <x:c r="D717" t="str">
        <x:v>영등포구</x:v>
      </x:c>
      <x:c r="E717" t="str">
        <x:v>당산1동</x:v>
      </x:c>
      <x:c r="F717" s="12" t="n">
        <x:v>33508</x:v>
      </x:c>
      <x:c r="G717" s="12" t="n">
        <x:v>4031227096</x:v>
      </x:c>
      <x:c r="H717" s="12" t="n">
        <x:v>222386</x:v>
      </x:c>
      <x:c r="I717" s="12" t="n">
        <x:v>18127.16221344869</x:v>
      </x:c>
      <x:c r="J717" s="12" t="n">
        <x:v>120306.40730571804</x:v>
      </x:c>
      <x:c r="K717" s="12" t="n">
        <x:v>1298</x:v>
      </x:c>
      <x:c r="L717" s="12" t="n">
        <x:v>387.3701802554614</x:v>
      </x:c>
      <x:c r="M717" s="12" t="n">
        <x:v>11</x:v>
      </x:c>
      <x:c r="N717" s="14" t="n">
        <x:v>0.8728528959560258</x:v>
      </x:c>
      <x:c r="O717" s="14" t="n">
        <x:v>0.1271471040439742</x:v>
      </x:c>
      <x:c r="P717" s="14" t="n">
        <x:v>0.28739521302324567</x:v>
      </x:c>
      <x:c r="Q717" s="14" t="n">
        <x:v>0.4035980502349749</x:v>
      </x:c>
      <x:c r="R717" s="14" t="n">
        <x:v>0.24113810729357132</x:v>
      </x:c>
      <x:c r="S717" s="14" t="n">
        <x:v>0.41083391174943623</x:v>
      </x:c>
      <x:c r="T717" t="str">
        <x:v>평일집중·직장밀집</x:v>
      </x:c>
      <x:c r="U717" s="16" t="n">
        <x:v>61.54707783373236</x:v>
      </x:c>
      <x:c r="V717" t="str">
        <x:v>스포츠 강습</x:v>
      </x:c>
      <x:c r="W717" t="str">
        <x:v>스포츠 강습 / 의약품 / 한식음식점</x:v>
      </x:c>
      <x:c r="X717" s="16" t="n">
        <x:v>57.24905011090097</x:v>
      </x:c>
    </x:row>
    <x:row r="718">
      <x:c r="A718" t="str">
        <x:v>3110161</x:v>
      </x:c>
      <x:c r="B718" t="str">
        <x:v>중곡역 3번</x:v>
      </x:c>
      <x:c r="C718" t="str">
        <x:v>골목상권</x:v>
      </x:c>
      <x:c r="D718" t="str">
        <x:v>광진구</x:v>
      </x:c>
      <x:c r="E718" t="str">
        <x:v>중곡3동</x:v>
      </x:c>
      <x:c r="F718" s="12" t="n">
        <x:v>141901</x:v>
      </x:c>
      <x:c r="G718" s="12" t="n">
        <x:v>4027061420</x:v>
      </x:c>
      <x:c r="H718" s="12" t="n">
        <x:v>249268</x:v>
      </x:c>
      <x:c r="I718" s="12" t="n">
        <x:v>16155.549127846334</x:v>
      </x:c>
      <x:c r="J718" s="12" t="n">
        <x:v>28379.373084051556</x:v>
      </x:c>
      <x:c r="K718" s="12" t="n">
        <x:v>194</x:v>
      </x:c>
      <x:c r="L718" s="12" t="n">
        <x:v>13.671503372069258</x:v>
      </x:c>
      <x:c r="M718" s="12" t="n">
        <x:v>22</x:v>
      </x:c>
      <x:c r="N718" s="14" t="n">
        <x:v>0.7532014277050684</x:v>
      </x:c>
      <x:c r="O718" s="14" t="n">
        <x:v>0.24679857229493163</x:v>
      </x:c>
      <x:c r="P718" s="14" t="n">
        <x:v>0.333175200739799</x:v>
      </x:c>
      <x:c r="Q718" s="14" t="n">
        <x:v>0.269193839114577</x:v>
      </x:c>
      <x:c r="R718" s="14" t="n">
        <x:v>0.3033702495652525</x:v>
      </x:c>
      <x:c r="S718" s="14" t="n">
        <x:v>0.4509872042130413</x:v>
      </x:c>
      <x:c r="T718" t="str">
        <x:v>2030소비·여성소비</x:v>
      </x:c>
      <x:c r="U718" s="16" t="n">
        <x:v>69.63571692159289</x:v>
      </x:c>
      <x:c r="V718" t="str">
        <x:v>제과점</x:v>
      </x:c>
      <x:c r="W718" t="str">
        <x:v>제과점 / 커피-음료 / 철물점</x:v>
      </x:c>
      <x:c r="X718" s="16" t="n">
        <x:v>59.94405562820988</x:v>
      </x:c>
    </x:row>
    <x:row r="719">
      <x:c r="A719" t="str">
        <x:v>3110509</x:v>
      </x:c>
      <x:c r="B719" t="str">
        <x:v>연희대우아파트앞</x:v>
      </x:c>
      <x:c r="C719" t="str">
        <x:v>골목상권</x:v>
      </x:c>
      <x:c r="D719" t="str">
        <x:v>서대문구</x:v>
      </x:c>
      <x:c r="E719" t="str">
        <x:v>신촌동</x:v>
      </x:c>
      <x:c r="F719" s="12" t="n">
        <x:v>117804</x:v>
      </x:c>
      <x:c r="G719" s="12" t="n">
        <x:v>4018169986</x:v>
      </x:c>
      <x:c r="H719" s="12" t="n">
        <x:v>348544</x:v>
      </x:c>
      <x:c r="I719" s="12" t="n">
        <x:v>11528.444001331252</x:v>
      </x:c>
      <x:c r="J719" s="12" t="n">
        <x:v>34108.94355030389</x:v>
      </x:c>
      <x:c r="K719" s="12" t="n">
        <x:v>398</x:v>
      </x:c>
      <x:c r="L719" s="12" t="n">
        <x:v>33.7849309021765</x:v>
      </x:c>
      <x:c r="M719" s="12" t="n">
        <x:v>15</x:v>
      </x:c>
      <x:c r="N719" s="14" t="n">
        <x:v>0.7426017314838407</x:v>
      </x:c>
      <x:c r="O719" s="14" t="n">
        <x:v>0.25739826851615927</x:v>
      </x:c>
      <x:c r="P719" s="14" t="n">
        <x:v>0.40069176406415974</x:v>
      </x:c>
      <x:c r="Q719" s="14" t="n">
        <x:v>0.2597617628514136</x:v>
      </x:c>
      <x:c r="R719" s="14" t="n">
        <x:v>0.45341306573584067</x:v>
      </x:c>
      <x:c r="S719" s="14" t="n">
        <x:v>0.5253110105730604</x:v>
      </x:c>
      <x:c r="T719" t="str">
        <x:v>2030소비·여성소비</x:v>
      </x:c>
      <x:c r="U719" s="16" t="n">
        <x:v>50.19480704681517</x:v>
      </x:c>
      <x:c r="V719" t="str">
        <x:v>슈퍼마켓</x:v>
      </x:c>
      <x:c r="W719" t="str">
        <x:v>슈퍼마켓 / 한식음식점 / 커피-음료</x:v>
      </x:c>
      <x:c r="X719" s="16" t="n">
        <x:v>47.99836528153004</x:v>
      </x:c>
    </x:row>
    <x:row r="720">
      <x:c r="A720" t="str">
        <x:v>3110053</x:v>
      </x:c>
      <x:c r="B720" t="str">
        <x:v>청구역 1번</x:v>
      </x:c>
      <x:c r="C720" t="str">
        <x:v>골목상권</x:v>
      </x:c>
      <x:c r="D720" t="str">
        <x:v>중구</x:v>
      </x:c>
      <x:c r="E720" t="str">
        <x:v>신당동</x:v>
      </x:c>
      <x:c r="F720" s="12" t="n">
        <x:v>85550</x:v>
      </x:c>
      <x:c r="G720" s="12" t="n">
        <x:v>4017512649</x:v>
      </x:c>
      <x:c r="H720" s="12" t="n">
        <x:v>128678</x:v>
      </x:c>
      <x:c r="I720" s="12" t="n">
        <x:v>31221.44149738106</x:v>
      </x:c>
      <x:c r="J720" s="12" t="n">
        <x:v>46960.98946814728</x:v>
      </x:c>
      <x:c r="K720" s="12" t="n">
        <x:v>93</x:v>
      </x:c>
      <x:c r="L720" s="12" t="n">
        <x:v>10.8708357685564</x:v>
      </x:c>
      <x:c r="M720" s="12" t="n">
        <x:v>9</x:v>
      </x:c>
      <x:c r="N720" s="14" t="n">
        <x:v>0.7863370191967751</x:v>
      </x:c>
      <x:c r="O720" s="14" t="n">
        <x:v>0.21366298080322485</x:v>
      </x:c>
      <x:c r="P720" s="14" t="n">
        <x:v>0.4045811204613335</x:v>
      </x:c>
      <x:c r="Q720" s="14" t="n">
        <x:v>0.2067177581150162</x:v>
      </x:c>
      <x:c r="R720" s="14" t="n">
        <x:v>0.5413974991569467</x:v>
      </x:c>
      <x:c r="S720" s="14" t="n">
        <x:v>0.2764494081372586</x:v>
      </x:c>
      <x:c r="T720" t="str">
        <x:v>2030소비·평일집중</x:v>
      </x:c>
      <x:c r="U720" s="16" t="n">
        <x:v>66.23504224087982</x:v>
      </x:c>
      <x:c r="V720" t="str">
        <x:v>일반의류</x:v>
      </x:c>
      <x:c r="W720" t="str">
        <x:v>일반의류 / 미용실 / 중식음식점</x:v>
      </x:c>
      <x:c r="X720" s="16" t="n">
        <x:v>52.83504322681606</x:v>
      </x:c>
    </x:row>
    <x:row r="721">
      <x:c r="A721" t="str">
        <x:v>3130207</x:v>
      </x:c>
      <x:c r="B721" t="str">
        <x:v>신정1동 골목시장(신정제일시장)</x:v>
      </x:c>
      <x:c r="C721" t="str">
        <x:v>전통시장</x:v>
      </x:c>
      <x:c r="D721" t="str">
        <x:v>양천구</x:v>
      </x:c>
      <x:c r="E721" t="str">
        <x:v>신정1동</x:v>
      </x:c>
      <x:c r="F721" s="12" t="n">
        <x:v>15853</x:v>
      </x:c>
      <x:c r="G721" s="12" t="n">
        <x:v>4010679032</x:v>
      </x:c>
      <x:c r="H721" s="12" t="n">
        <x:v>124689</x:v>
      </x:c>
      <x:c r="I721" s="12" t="n">
        <x:v>32165.45992028166</x:v>
      </x:c>
      <x:c r="J721" s="12" t="n">
        <x:v>252991.80167791585</x:v>
      </x:c>
      <x:c r="K721" s="12" t="n">
        <x:v>989</x:v>
      </x:c>
      <x:c r="L721" s="12" t="n">
        <x:v>623.8566832776131</x:v>
      </x:c>
      <x:c r="M721" s="12" t="n">
        <x:v>8</x:v>
      </x:c>
      <x:c r="N721" s="14" t="n">
        <x:v>0.7333912176794705</x:v>
      </x:c>
      <x:c r="O721" s="14" t="n">
        <x:v>0.2666087823205295</x:v>
      </x:c>
      <x:c r="P721" s="14" t="n">
        <x:v>0.35369726414945885</x:v>
      </x:c>
      <x:c r="Q721" s="14" t="n">
        <x:v>0.252826843262585</x:v>
      </x:c>
      <x:c r="R721" s="14" t="n">
        <x:v>0.08170029348785844</x:v>
      </x:c>
      <x:c r="S721" s="14" t="n">
        <x:v>0.5711805890529312</x:v>
      </x:c>
      <x:c r="T721" t="str">
        <x:v>직장밀집·여성소비</x:v>
      </x:c>
      <x:c r="U721" s="16" t="n">
        <x:v>72.68695880912134</x:v>
      </x:c>
      <x:c r="V721" t="str">
        <x:v>육류판매</x:v>
      </x:c>
      <x:c r="W721" t="str">
        <x:v>육류판매 / 일반의류 / 수산물판매</x:v>
      </x:c>
      <x:c r="X721" s="16" t="n">
        <x:v>66.57126550718763</x:v>
      </x:c>
    </x:row>
    <x:row r="722">
      <x:c r="A722" t="str">
        <x:v>3110308</x:v>
      </x:c>
      <x:c r="B722" t="str">
        <x:v>길음역 8번</x:v>
      </x:c>
      <x:c r="C722" t="str">
        <x:v>골목상권</x:v>
      </x:c>
      <x:c r="D722" t="str">
        <x:v>성북구</x:v>
      </x:c>
      <x:c r="E722" t="str">
        <x:v>길음2동</x:v>
      </x:c>
      <x:c r="F722" s="12" t="n">
        <x:v>84969</x:v>
      </x:c>
      <x:c r="G722" s="12" t="n">
        <x:v>4008440877</x:v>
      </x:c>
      <x:c r="H722" s="12" t="n">
        <x:v>201815</x:v>
      </x:c>
      <x:c r="I722" s="12" t="n">
        <x:v>19861.957124098804</x:v>
      </x:c>
      <x:c r="J722" s="12" t="n">
        <x:v>47175.33308618437</x:v>
      </x:c>
      <x:c r="K722" s="12" t="n">
        <x:v>54</x:v>
      </x:c>
      <x:c r="L722" s="12" t="n">
        <x:v>6.355258976803305</x:v>
      </x:c>
      <x:c r="M722" s="12" t="n">
        <x:v>14</x:v>
      </x:c>
      <x:c r="N722" s="14" t="n">
        <x:v>0.7970550406099952</x:v>
      </x:c>
      <x:c r="O722" s="14" t="n">
        <x:v>0.20294495939000473</x:v>
      </x:c>
      <x:c r="P722" s="14" t="n">
        <x:v>0.4661136347851888</x:v>
      </x:c>
      <x:c r="Q722" s="14" t="n">
        <x:v>0.17452013699739546</x:v>
      </x:c>
      <x:c r="R722" s="14" t="n">
        <x:v>0.1713226406657064</x:v>
      </x:c>
      <x:c r="S722" s="14" t="n">
        <x:v>0.49238431439137326</x:v>
      </x:c>
      <x:c r="T722" t="str">
        <x:v>야간활성·여성소비</x:v>
      </x:c>
      <x:c r="U722" s="16" t="n">
        <x:v>69.34925743851996</x:v>
      </x:c>
      <x:c r="V722" t="str">
        <x:v>예술학원</x:v>
      </x:c>
      <x:c r="W722" t="str">
        <x:v>예술학원 / 미용실 / 일반교습학원</x:v>
      </x:c>
      <x:c r="X722" s="16" t="n">
        <x:v>58.2749457893755</x:v>
      </x:c>
    </x:row>
    <x:row r="723">
      <x:c r="A723" t="str">
        <x:v>3110539</x:v>
      </x:c>
      <x:c r="B723" t="str">
        <x:v>미근동</x:v>
      </x:c>
      <x:c r="C723" t="str">
        <x:v>골목상권</x:v>
      </x:c>
      <x:c r="D723" t="str">
        <x:v>서대문구</x:v>
      </x:c>
      <x:c r="E723" t="str">
        <x:v>충현동</x:v>
      </x:c>
      <x:c r="F723" s="12" t="n">
        <x:v>48052</x:v>
      </x:c>
      <x:c r="G723" s="12" t="n">
        <x:v>3997996886</x:v>
      </x:c>
      <x:c r="H723" s="12" t="n">
        <x:v>119797</x:v>
      </x:c>
      <x:c r="I723" s="12" t="n">
        <x:v>33373.09687220882</x:v>
      </x:c>
      <x:c r="J723" s="12" t="n">
        <x:v>83201.46686922501</x:v>
      </x:c>
      <x:c r="K723" s="12" t="n">
        <x:v>1289</x:v>
      </x:c>
      <x:c r="L723" s="12" t="n">
        <x:v>268.25106135020394</x:v>
      </x:c>
      <x:c r="M723" s="12" t="n">
        <x:v>5</x:v>
      </x:c>
      <x:c r="N723" s="14" t="n">
        <x:v>0.9572866090521512</x:v>
      </x:c>
      <x:c r="O723" s="14" t="n">
        <x:v>0.042713390947848776</x:v>
      </x:c>
      <x:c r="P723" s="14" t="n">
        <x:v>0.4504190946986145</x:v>
      </x:c>
      <x:c r="Q723" s="14" t="n">
        <x:v>0.48797836982607395</x:v>
      </x:c>
      <x:c r="R723" s="14" t="n">
        <x:v>0.17206493116813298</x:v>
      </x:c>
      <x:c r="S723" s="14" t="n">
        <x:v>0.1942158863902627</x:v>
      </x:c>
      <x:c r="T723" t="str">
        <x:v>평일집중·직장밀집</x:v>
      </x:c>
      <x:c r="U723" s="16" t="n">
        <x:v>66.85186022592727</x:v>
      </x:c>
      <x:c r="V723" t="str">
        <x:v>일식음식점</x:v>
      </x:c>
      <x:c r="W723" t="str">
        <x:v>일식음식점 / 한식음식점 / 커피-음료</x:v>
      </x:c>
      <x:c r="X723" s="16" t="n">
        <x:v>47.96310602815943</x:v>
      </x:c>
    </x:row>
    <x:row r="724">
      <x:c r="A724" t="str">
        <x:v>3110729</x:v>
      </x:c>
      <x:c r="B724" t="str">
        <x:v>가산동우체국</x:v>
      </x:c>
      <x:c r="C724" t="str">
        <x:v>골목상권</x:v>
      </x:c>
      <x:c r="D724" t="str">
        <x:v>금천구</x:v>
      </x:c>
      <x:c r="E724" t="str">
        <x:v>가산동</x:v>
      </x:c>
      <x:c r="F724" s="12" t="n">
        <x:v>85219</x:v>
      </x:c>
      <x:c r="G724" s="12" t="n">
        <x:v>3975142674</x:v>
      </x:c>
      <x:c r="H724" s="12" t="n">
        <x:v>243622</x:v>
      </x:c>
      <x:c r="I724" s="12" t="n">
        <x:v>16316.846073014753</x:v>
      </x:c>
      <x:c r="J724" s="12" t="n">
        <x:v>46646.201832924584</x:v>
      </x:c>
      <x:c r="K724" s="12" t="n">
        <x:v>300</x:v>
      </x:c>
      <x:c r="L724" s="12" t="n">
        <x:v>35.20341707835107</x:v>
      </x:c>
      <x:c r="M724" s="12" t="n">
        <x:v>13</x:v>
      </x:c>
      <x:c r="N724" s="14" t="n">
        <x:v>0.7148057901380372</x:v>
      </x:c>
      <x:c r="O724" s="14" t="n">
        <x:v>0.2851942098619628</x:v>
      </x:c>
      <x:c r="P724" s="14" t="n">
        <x:v>0.5899659062149174</x:v>
      </x:c>
      <x:c r="Q724" s="14" t="n">
        <x:v>0.09742571946739641</x:v>
      </x:c>
      <x:c r="R724" s="14" t="n">
        <x:v>0.4771606856795802</x:v>
      </x:c>
      <x:c r="S724" s="14" t="n">
        <x:v>0.3025100155185021</x:v>
      </x:c>
      <x:c r="T724" t="str">
        <x:v>2030소비·야간활성</x:v>
      </x:c>
      <x:c r="U724" s="16" t="n">
        <x:v>48.69525716573333</x:v>
      </x:c>
      <x:c r="V724" t="str">
        <x:v>여관</x:v>
      </x:c>
      <x:c r="W724" t="str">
        <x:v>여관 / 미용실 / 호프-간이주점</x:v>
      </x:c>
      <x:c r="X724" s="16" t="n">
        <x:v>45.81153595235668</x:v>
      </x:c>
    </x:row>
    <x:row r="725">
      <x:c r="A725" t="str">
        <x:v>3110038</x:v>
      </x:c>
      <x:c r="B725" t="str">
        <x:v>경향신문사</x:v>
      </x:c>
      <x:c r="C725" t="str">
        <x:v>골목상권</x:v>
      </x:c>
      <x:c r="D725" t="str">
        <x:v>중구</x:v>
      </x:c>
      <x:c r="E725" t="str">
        <x:v>소공동</x:v>
      </x:c>
      <x:c r="F725" s="12" t="n">
        <x:v>36893</x:v>
      </x:c>
      <x:c r="G725" s="12" t="n">
        <x:v>3974488497</x:v>
      </x:c>
      <x:c r="H725" s="12" t="n">
        <x:v>323173</x:v>
      </x:c>
      <x:c r="I725" s="12" t="n">
        <x:v>12298.330915639612</x:v>
      </x:c>
      <x:c r="J725" s="12" t="n">
        <x:v>107730.15198005042</x:v>
      </x:c>
      <x:c r="K725" s="12" t="n">
        <x:v>2843</x:v>
      </x:c>
      <x:c r="L725" s="12" t="n">
        <x:v>770.6068901959721</x:v>
      </x:c>
      <x:c r="M725" s="12" t="n">
        <x:v>6</x:v>
      </x:c>
      <x:c r="N725" s="14" t="n">
        <x:v>0.8376746994017027</x:v>
      </x:c>
      <x:c r="O725" s="14" t="n">
        <x:v>0.16232530059829733</x:v>
      </x:c>
      <x:c r="P725" s="14" t="n">
        <x:v>0.2377902131842552</x:v>
      </x:c>
      <x:c r="Q725" s="14" t="n">
        <x:v>0.5111664865890289</x:v>
      </x:c>
      <x:c r="R725" s="14" t="n">
        <x:v>0.26214642608386945</x:v>
      </x:c>
      <x:c r="S725" s="14" t="n">
        <x:v>0.3817962928174</x:v>
      </x:c>
      <x:c r="T725" t="str">
        <x:v>직장밀집·평일집중</x:v>
      </x:c>
      <x:c r="U725" s="16" t="n">
        <x:v>66.40300685422001</x:v>
      </x:c>
      <x:c r="V725" t="str">
        <x:v>분식전문점</x:v>
      </x:c>
      <x:c r="W725" t="str">
        <x:v>분식전문점 / 일식음식점 / 편의점</x:v>
      </x:c>
      <x:c r="X725" s="16" t="n">
        <x:v>55.659694971049625</x:v>
      </x:c>
    </x:row>
    <x:row r="726">
      <x:c r="A726" t="str">
        <x:v>3110345</x:v>
      </x:c>
      <x:c r="B726" t="str">
        <x:v>솔밭공원역 2번</x:v>
      </x:c>
      <x:c r="C726" t="str">
        <x:v>골목상권</x:v>
      </x:c>
      <x:c r="D726" t="str">
        <x:v>강북구</x:v>
      </x:c>
      <x:c r="E726" t="str">
        <x:v>우이동</x:v>
      </x:c>
      <x:c r="F726" s="12" t="n">
        <x:v>103855</x:v>
      </x:c>
      <x:c r="G726" s="12" t="n">
        <x:v>3970499669</x:v>
      </x:c>
      <x:c r="H726" s="12" t="n">
        <x:v>223229</x:v>
      </x:c>
      <x:c r="I726" s="12" t="n">
        <x:v>17786.666020095956</x:v>
      </x:c>
      <x:c r="J726" s="12" t="n">
        <x:v>38231.1845265033</x:v>
      </x:c>
      <x:c r="K726" s="12" t="n">
        <x:v>397</x:v>
      </x:c>
      <x:c r="L726" s="12" t="n">
        <x:v>38.22637330894035</x:v>
      </x:c>
      <x:c r="M726" s="12" t="n">
        <x:v>10</x:v>
      </x:c>
      <x:c r="N726" s="14" t="n">
        <x:v>0.7786145147264587</x:v>
      </x:c>
      <x:c r="O726" s="14" t="n">
        <x:v>0.22138548527354127</x:v>
      </x:c>
      <x:c r="P726" s="14" t="n">
        <x:v>0.34659050717074874</x:v>
      </x:c>
      <x:c r="Q726" s="14" t="n">
        <x:v>0.2563061760073906</x:v>
      </x:c>
      <x:c r="R726" s="14" t="n">
        <x:v>0.13173305820517373</x:v>
      </x:c>
      <x:c r="S726" s="14" t="n">
        <x:v>0.4223606759353693</x:v>
      </x:c>
      <x:c r="T726" t="str">
        <x:v>평일집중</x:v>
      </x:c>
      <x:c r="U726" s="16" t="n">
        <x:v>67.71902710045778</x:v>
      </x:c>
      <x:c r="V726" t="str">
        <x:v>예술학원</x:v>
      </x:c>
      <x:c r="W726" t="str">
        <x:v>예술학원 / 의약품 / 일반의원</x:v>
      </x:c>
      <x:c r="X726" s="16" t="n">
        <x:v>55.884558490596156</x:v>
      </x:c>
    </x:row>
    <x:row r="727">
      <x:c r="A727" t="str">
        <x:v>3120168</x:v>
      </x:c>
      <x:c r="B727" t="str">
        <x:v>서울고교교차로</x:v>
      </x:c>
      <x:c r="C727" t="str">
        <x:v>발달상권</x:v>
      </x:c>
      <x:c r="D727" t="str">
        <x:v>서초구</x:v>
      </x:c>
      <x:c r="E727" t="str">
        <x:v>서초3동</x:v>
      </x:c>
      <x:c r="F727" s="12" t="n">
        <x:v>49689</x:v>
      </x:c>
      <x:c r="G727" s="12" t="n">
        <x:v>3970230040</x:v>
      </x:c>
      <x:c r="H727" s="12" t="n">
        <x:v>91022</x:v>
      </x:c>
      <x:c r="I727" s="12" t="n">
        <x:v>43618.356441299904</x:v>
      </x:c>
      <x:c r="J727" s="12" t="n">
        <x:v>79901.58868159955</x:v>
      </x:c>
      <x:c r="K727" s="12" t="n">
        <x:v>2243</x:v>
      </x:c>
      <x:c r="L727" s="12" t="n">
        <x:v>451.4077562438366</x:v>
      </x:c>
      <x:c r="M727" s="12" t="n">
        <x:v>6</x:v>
      </x:c>
      <x:c r="N727" s="14" t="n">
        <x:v>0.7804928683678994</x:v>
      </x:c>
      <x:c r="O727" s="14" t="n">
        <x:v>0.2195071316321006</x:v>
      </x:c>
      <x:c r="P727" s="14" t="n">
        <x:v>0.35075905223869597</x:v>
      </x:c>
      <x:c r="Q727" s="14" t="n">
        <x:v>0.2525566407733895</x:v>
      </x:c>
      <x:c r="R727" s="14" t="n">
        <x:v>0.10861151461138005</x:v>
      </x:c>
      <x:c r="S727" s="14" t="n">
        <x:v>0.5019900466523094</x:v>
      </x:c>
      <x:c r="T727" t="str">
        <x:v>직장밀집·여성소비</x:v>
      </x:c>
      <x:c r="U727" s="16" t="n">
        <x:v>61.00635818512798</x:v>
      </x:c>
      <x:c r="V727" t="str">
        <x:v>일반교습학원</x:v>
      </x:c>
      <x:c r="W727" t="str">
        <x:v>일반교습학원 / 일반의류 / 커피-음료</x:v>
      </x:c>
      <x:c r="X727" s="16" t="n">
        <x:v>50.474235727620815</x:v>
      </x:c>
    </x:row>
    <x:row r="728">
      <x:c r="A728" t="str">
        <x:v>3130055</x:v>
      </x:c>
      <x:c r="B728" t="str">
        <x:v>황학시장(서울중앙시장, 신중앙시장)</x:v>
      </x:c>
      <x:c r="C728" t="str">
        <x:v>전통시장</x:v>
      </x:c>
      <x:c r="D728" t="str">
        <x:v>중구</x:v>
      </x:c>
      <x:c r="E728" t="str">
        <x:v>황학동</x:v>
      </x:c>
      <x:c r="F728" s="12" t="n">
        <x:v>39709</x:v>
      </x:c>
      <x:c r="G728" s="12" t="n">
        <x:v>3968171079</x:v>
      </x:c>
      <x:c r="H728" s="12" t="n">
        <x:v>156135</x:v>
      </x:c>
      <x:c r="I728" s="12" t="n">
        <x:v>25415.00034585455</x:v>
      </x:c>
      <x:c r="J728" s="12" t="n">
        <x:v>99931.2770152862</x:v>
      </x:c>
      <x:c r="K728" s="12" t="n">
        <x:v>153</x:v>
      </x:c>
      <x:c r="L728" s="12" t="n">
        <x:v>38.53030799063185</x:v>
      </x:c>
      <x:c r="M728" s="12" t="n">
        <x:v>13</x:v>
      </x:c>
      <x:c r="N728" s="14" t="n">
        <x:v>0.7645866371680191</x:v>
      </x:c>
      <x:c r="O728" s="14" t="n">
        <x:v>0.23541336283198086</x:v>
      </x:c>
      <x:c r="P728" s="14" t="n">
        <x:v>0.4099000329415989</x:v>
      </x:c>
      <x:c r="Q728" s="14" t="n">
        <x:v>0.162130507276952</x:v>
      </x:c>
      <x:c r="R728" s="14" t="n">
        <x:v>0.2918295854552293</x:v>
      </x:c>
      <x:c r="S728" s="14" t="n">
        <x:v>0.3923259405923411</x:v>
      </x:c>
      <x:c r="T728" t="str">
        <x:v>2030소비·고매출밀도</x:v>
      </x:c>
      <x:c r="U728" s="16" t="n">
        <x:v>61.17781677993584</x:v>
      </x:c>
      <x:c r="V728" t="str">
        <x:v>육류판매</x:v>
      </x:c>
      <x:c r="W728" t="str">
        <x:v>육류판매 / 청과상 / 슈퍼마켓</x:v>
      </x:c>
      <x:c r="X728" s="16" t="n">
        <x:v>52.68586319628137</x:v>
      </x:c>
    </x:row>
    <x:row r="729">
      <x:c r="A729" t="str">
        <x:v>3110541</x:v>
      </x:c>
      <x:c r="B729" t="str">
        <x:v>동교초등학교</x:v>
      </x:c>
      <x:c r="C729" t="str">
        <x:v>골목상권</x:v>
      </x:c>
      <x:c r="D729" t="str">
        <x:v>마포구</x:v>
      </x:c>
      <x:c r="E729" t="str">
        <x:v>망원2동</x:v>
      </x:c>
      <x:c r="F729" s="12" t="n">
        <x:v>101027</x:v>
      </x:c>
      <x:c r="G729" s="12" t="n">
        <x:v>3966420695</x:v>
      </x:c>
      <x:c r="H729" s="12" t="n">
        <x:v>227058</x:v>
      </x:c>
      <x:c r="I729" s="12" t="n">
        <x:v>17468.755538232523</x:v>
      </x:c>
      <x:c r="J729" s="12" t="n">
        <x:v>39260.99651578291</x:v>
      </x:c>
      <x:c r="K729" s="12" t="n">
        <x:v>958</x:v>
      </x:c>
      <x:c r="L729" s="12" t="n">
        <x:v>94.8261355875162</x:v>
      </x:c>
      <x:c r="M729" s="12" t="n">
        <x:v>20</x:v>
      </x:c>
      <x:c r="N729" s="14" t="n">
        <x:v>0.7246805598870041</x:v>
      </x:c>
      <x:c r="O729" s="14" t="n">
        <x:v>0.27531944011299586</x:v>
      </x:c>
      <x:c r="P729" s="14" t="n">
        <x:v>0.47426952198271544</x:v>
      </x:c>
      <x:c r="Q729" s="14" t="n">
        <x:v>0.1758618395873411</x:v>
      </x:c>
      <x:c r="R729" s="14" t="n">
        <x:v>0.31313221251736134</x:v>
      </x:c>
      <x:c r="S729" s="14" t="n">
        <x:v>0.5331817277138324</x:v>
      </x:c>
      <x:c r="T729" t="str">
        <x:v>여성소비·2030소비</x:v>
      </x:c>
      <x:c r="U729" s="16" t="n">
        <x:v>68.8731805003253</x:v>
      </x:c>
      <x:c r="V729" t="str">
        <x:v>예술학원</x:v>
      </x:c>
      <x:c r="W729" t="str">
        <x:v>예술학원 / 애완동물 / 분식전문점</x:v>
      </x:c>
      <x:c r="X729" s="16" t="n">
        <x:v>59.911097680854525</x:v>
      </x:c>
    </x:row>
    <x:row r="730">
      <x:c r="A730" t="str">
        <x:v>3110371</x:v>
      </x:c>
      <x:c r="B730" t="str">
        <x:v>삼양입구사거리</x:v>
      </x:c>
      <x:c r="C730" t="str">
        <x:v>골목상권</x:v>
      </x:c>
      <x:c r="D730" t="str">
        <x:v>강북구</x:v>
      </x:c>
      <x:c r="E730" t="str">
        <x:v>송천동</x:v>
      </x:c>
      <x:c r="F730" s="12" t="n">
        <x:v>62809</x:v>
      </x:c>
      <x:c r="G730" s="12" t="n">
        <x:v>3952631587</x:v>
      </x:c>
      <x:c r="H730" s="12" t="n">
        <x:v>109994</x:v>
      </x:c>
      <x:c r="I730" s="12" t="n">
        <x:v>35934.97451679182</x:v>
      </x:c>
      <x:c r="J730" s="12" t="n">
        <x:v>62930.97465331401</x:v>
      </x:c>
      <x:c r="K730" s="12" t="n">
        <x:v>61</x:v>
      </x:c>
      <x:c r="L730" s="12" t="n">
        <x:v>9.711983951344553</x:v>
      </x:c>
      <x:c r="M730" s="12" t="n">
        <x:v>10</x:v>
      </x:c>
      <x:c r="N730" s="14" t="n">
        <x:v>0.7506149975520094</x:v>
      </x:c>
      <x:c r="O730" s="14" t="n">
        <x:v>0.2493850024479906</x:v>
      </x:c>
      <x:c r="P730" s="14" t="n">
        <x:v>0.33265429222508514</x:v>
      </x:c>
      <x:c r="Q730" s="14" t="n">
        <x:v>0.28542701619613403</x:v>
      </x:c>
      <x:c r="R730" s="14" t="n">
        <x:v>0.09733429628638951</x:v>
      </x:c>
      <x:c r="S730" s="14" t="n">
        <x:v>0.3623549606066537</x:v>
      </x:c>
      <x:c r="T730" t="str">
        <x:v>균형형</x:v>
      </x:c>
      <x:c r="U730" s="16" t="n">
        <x:v>67.56408535687966</x:v>
      </x:c>
      <x:c r="V730" t="str">
        <x:v>조명용품</x:v>
      </x:c>
      <x:c r="W730" t="str">
        <x:v>조명용품 / 육류판매 / 한식음식점</x:v>
      </x:c>
      <x:c r="X730" s="16" t="n">
        <x:v>53.7598662469414</x:v>
      </x:c>
    </x:row>
    <x:row r="731">
      <x:c r="A731" t="str">
        <x:v>3130099</x:v>
      </x:c>
      <x:c r="B731" t="str">
        <x:v>전농로터리시장</x:v>
      </x:c>
      <x:c r="C731" t="str">
        <x:v>전통시장</x:v>
      </x:c>
      <x:c r="D731" t="str">
        <x:v>동대문구</x:v>
      </x:c>
      <x:c r="E731" t="str">
        <x:v>전농1동</x:v>
      </x:c>
      <x:c r="F731" s="12" t="n">
        <x:v>21809</x:v>
      </x:c>
      <x:c r="G731" s="12" t="n">
        <x:v>3949208969</x:v>
      </x:c>
      <x:c r="H731" s="12" t="n">
        <x:v>122944</x:v>
      </x:c>
      <x:c r="I731" s="12" t="n">
        <x:v>32122.01464894586</x:v>
      </x:c>
      <x:c r="J731" s="12" t="n">
        <x:v>181081.61625934247</x:v>
      </x:c>
      <x:c r="K731" s="12" t="n">
        <x:v>20</x:v>
      </x:c>
      <x:c r="L731" s="12" t="n">
        <x:v>9.170525929662066</x:v>
      </x:c>
      <x:c r="M731" s="12" t="n">
        <x:v>13</x:v>
      </x:c>
      <x:c r="N731" s="14" t="n">
        <x:v>0.7305197260125031</x:v>
      </x:c>
      <x:c r="O731" s="14" t="n">
        <x:v>0.26948027398749685</x:v>
      </x:c>
      <x:c r="P731" s="14" t="n">
        <x:v>0.324124170447259</x:v>
      </x:c>
      <x:c r="Q731" s="14" t="n">
        <x:v>0.2553967189169523</x:v>
      </x:c>
      <x:c r="R731" s="14" t="n">
        <x:v>0.15548618541588247</x:v>
      </x:c>
      <x:c r="S731" s="14" t="n">
        <x:v>0.5738808730533904</x:v>
      </x:c>
      <x:c r="T731" t="str">
        <x:v>여성소비·고매출밀도</x:v>
      </x:c>
      <x:c r="U731" s="16" t="n">
        <x:v>65.53638386486732</x:v>
      </x:c>
      <x:c r="V731" t="str">
        <x:v>육류판매</x:v>
      </x:c>
      <x:c r="W731" t="str">
        <x:v>육류판매 / 반찬가게 / 일반의류</x:v>
      </x:c>
      <x:c r="X731" s="16" t="n">
        <x:v>56.09859096847981</x:v>
      </x:c>
    </x:row>
    <x:row r="732">
      <x:c r="A732" t="str">
        <x:v>3111067</x:v>
      </x:c>
      <x:c r="B732" t="str">
        <x:v>강동구립성내도서관</x:v>
      </x:c>
      <x:c r="C732" t="str">
        <x:v>골목상권</x:v>
      </x:c>
      <x:c r="D732" t="str">
        <x:v>강동구</x:v>
      </x:c>
      <x:c r="E732" t="str">
        <x:v>성내3동</x:v>
      </x:c>
      <x:c r="F732" s="12" t="n">
        <x:v>203966</x:v>
      </x:c>
      <x:c r="G732" s="12" t="n">
        <x:v>3948348369</x:v>
      </x:c>
      <x:c r="H732" s="12" t="n">
        <x:v>177593</x:v>
      </x:c>
      <x:c r="I732" s="12" t="n">
        <x:v>22232.567550522825</x:v>
      </x:c>
      <x:c r="J732" s="12" t="n">
        <x:v>19357.87518017709</x:v>
      </x:c>
      <x:c r="K732" s="12" t="n">
        <x:v>605</x:v>
      </x:c>
      <x:c r="L732" s="12" t="n">
        <x:v>29.66180637949462</x:v>
      </x:c>
      <x:c r="M732" s="12" t="n">
        <x:v>19</x:v>
      </x:c>
      <x:c r="N732" s="14" t="n">
        <x:v>0.7892923806997538</x:v>
      </x:c>
      <x:c r="O732" s="14" t="n">
        <x:v>0.2107076193002462</x:v>
      </x:c>
      <x:c r="P732" s="14" t="n">
        <x:v>0.3602413612151051</x:v>
      </x:c>
      <x:c r="Q732" s="14" t="n">
        <x:v>0.28602009282327334</x:v>
      </x:c>
      <x:c r="R732" s="14" t="n">
        <x:v>0.17649956130302139</x:v>
      </x:c>
      <x:c r="S732" s="14" t="n">
        <x:v>0.38612271727839526</x:v>
      </x:c>
      <x:c r="T732" t="str">
        <x:v>평일집중</x:v>
      </x:c>
      <x:c r="U732" s="16" t="n">
        <x:v>58.17663170028094</x:v>
      </x:c>
      <x:c r="V732" t="str">
        <x:v>세탁소</x:v>
      </x:c>
      <x:c r="W732" t="str">
        <x:v>세탁소 / 조명용품 / 당구장</x:v>
      </x:c>
      <x:c r="X732" s="16" t="n">
        <x:v>54.90594991002157</x:v>
      </x:c>
    </x:row>
    <x:row r="733">
      <x:c r="A733" t="str">
        <x:v>3110827</x:v>
      </x:c>
      <x:c r="B733" t="str">
        <x:v>NH농협은행 상도동지점</x:v>
      </x:c>
      <x:c r="C733" t="str">
        <x:v>골목상권</x:v>
      </x:c>
      <x:c r="D733" t="str">
        <x:v>동작구</x:v>
      </x:c>
      <x:c r="E733" t="str">
        <x:v>상도4동</x:v>
      </x:c>
      <x:c r="F733" s="12" t="n">
        <x:v>68956</x:v>
      </x:c>
      <x:c r="G733" s="12" t="n">
        <x:v>3939319098</x:v>
      </x:c>
      <x:c r="H733" s="12" t="n">
        <x:v>212318</x:v>
      </x:c>
      <x:c r="I733" s="12" t="n">
        <x:v>18553.863063894725</x:v>
      </x:c>
      <x:c r="J733" s="12" t="n">
        <x:v>57128.01058646093</x:v>
      </x:c>
      <x:c r="K733" s="12" t="n">
        <x:v>453</x:v>
      </x:c>
      <x:c r="L733" s="12" t="n">
        <x:v>65.69406578107778</x:v>
      </x:c>
      <x:c r="M733" s="12" t="n">
        <x:v>14</x:v>
      </x:c>
      <x:c r="N733" s="14" t="n">
        <x:v>0.6677160926961799</x:v>
      </x:c>
      <x:c r="O733" s="14" t="n">
        <x:v>0.33228390730382007</x:v>
      </x:c>
      <x:c r="P733" s="14" t="n">
        <x:v>0.49791456117272376</x:v>
      </x:c>
      <x:c r="Q733" s="14" t="n">
        <x:v>0.23870805146945728</x:v>
      </x:c>
      <x:c r="R733" s="14" t="n">
        <x:v>0.20644485373446636</x:v>
      </x:c>
      <x:c r="S733" s="14" t="n">
        <x:v>0.41532344785946557</x:v>
      </x:c>
      <x:c r="T733" t="str">
        <x:v>야간활성</x:v>
      </x:c>
      <x:c r="U733" s="16" t="n">
        <x:v>70.61471136160729</x:v>
      </x:c>
      <x:c r="V733" t="str">
        <x:v>한식음식점</x:v>
      </x:c>
      <x:c r="W733" t="str">
        <x:v>한식음식점 / 커피-음료 / 반찬가게</x:v>
      </x:c>
      <x:c r="X733" s="16" t="n">
        <x:v>60.79699334287816</x:v>
      </x:c>
    </x:row>
    <x:row r="734">
      <x:c r="A734" t="str">
        <x:v>3110293</x:v>
      </x:c>
      <x:c r="B734" t="str">
        <x:v>삼선중학교</x:v>
      </x:c>
      <x:c r="C734" t="str">
        <x:v>골목상권</x:v>
      </x:c>
      <x:c r="D734" t="str">
        <x:v>성북구</x:v>
      </x:c>
      <x:c r="E734" t="str">
        <x:v>성북동</x:v>
      </x:c>
      <x:c r="F734" s="12" t="n">
        <x:v>79830</x:v>
      </x:c>
      <x:c r="G734" s="12" t="n">
        <x:v>3936383833</x:v>
      </x:c>
      <x:c r="H734" s="12" t="n">
        <x:v>171225</x:v>
      </x:c>
      <x:c r="I734" s="12" t="n">
        <x:v>22989.53910351876</x:v>
      </x:c>
      <x:c r="J734" s="12" t="n">
        <x:v>49309.58077163973</x:v>
      </x:c>
      <x:c r="K734" s="12" t="n">
        <x:v>6443</x:v>
      </x:c>
      <x:c r="L734" s="12" t="n">
        <x:v>807.090066391081</x:v>
      </x:c>
      <x:c r="M734" s="12" t="n">
        <x:v>14</x:v>
      </x:c>
      <x:c r="N734" s="14" t="n">
        <x:v>0.8154870353568998</x:v>
      </x:c>
      <x:c r="O734" s="14" t="n">
        <x:v>0.18451296464310013</x:v>
      </x:c>
      <x:c r="P734" s="14" t="n">
        <x:v>0.30735738112152744</x:v>
      </x:c>
      <x:c r="Q734" s="14" t="n">
        <x:v>0.25841002787189327</x:v>
      </x:c>
      <x:c r="R734" s="14" t="n">
        <x:v>0.11854112322282774</x:v>
      </x:c>
      <x:c r="S734" s="14" t="n">
        <x:v>0.49514106974537003</x:v>
      </x:c>
      <x:c r="T734" t="str">
        <x:v>직장밀집·평일집중</x:v>
      </x:c>
      <x:c r="U734" s="16" t="n">
        <x:v>71.71974699674054</x:v>
      </x:c>
      <x:c r="V734" t="str">
        <x:v>일반교습학원</x:v>
      </x:c>
      <x:c r="W734" t="str">
        <x:v>일반교습학원 / 조명용품 / 서적</x:v>
      </x:c>
      <x:c r="X734" s="16" t="n">
        <x:v>62.39525536383856</x:v>
      </x:c>
    </x:row>
    <x:row r="735">
      <x:c r="A735" t="str">
        <x:v>3130057</x:v>
      </x:c>
      <x:c r="B735" t="str">
        <x:v>만리시장</x:v>
      </x:c>
      <x:c r="C735" t="str">
        <x:v>전통시장</x:v>
      </x:c>
      <x:c r="D735" t="str">
        <x:v>용산구</x:v>
      </x:c>
      <x:c r="E735" t="str">
        <x:v>청파동</x:v>
      </x:c>
      <x:c r="F735" s="12" t="n">
        <x:v>6775</x:v>
      </x:c>
      <x:c r="G735" s="12" t="n">
        <x:v>3920697349</x:v>
      </x:c>
      <x:c r="H735" s="12" t="n">
        <x:v>186585</x:v>
      </x:c>
      <x:c r="I735" s="12" t="n">
        <x:v>21012.928954631938</x:v>
      </x:c>
      <x:c r="J735" s="12" t="n">
        <x:v>578700.7157195573</x:v>
      </x:c>
      <x:c r="K735" s="12" t="n">
        <x:v>97</x:v>
      </x:c>
      <x:c r="L735" s="12" t="n">
        <x:v>143.17343173431735</x:v>
      </x:c>
      <x:c r="M735" s="12" t="n">
        <x:v>4</x:v>
      </x:c>
      <x:c r="N735" s="14" t="n">
        <x:v>0.6998737887023782</x:v>
      </x:c>
      <x:c r="O735" s="14" t="n">
        <x:v>0.3001262112976219</x:v>
      </x:c>
      <x:c r="P735" s="14" t="n">
        <x:v>0.31158290152428697</x:v>
      </x:c>
      <x:c r="Q735" s="14" t="n">
        <x:v>0.2737264390666947</x:v>
      </x:c>
      <x:c r="R735" s="14" t="n">
        <x:v>0.07626145156964524</x:v>
      </x:c>
      <x:c r="S735" s="14" t="n">
        <x:v>0.6158677880647604</x:v>
      </x:c>
      <x:c r="T735" t="str">
        <x:v>고매출밀도·여성소비</x:v>
      </x:c>
      <x:c r="U735" s="16" t="n">
        <x:v>72.43867666383363</x:v>
      </x:c>
      <x:c r="V735" t="str">
        <x:v>육류판매</x:v>
      </x:c>
      <x:c r="W735" t="str">
        <x:v>육류판매 / 슈퍼마켓 / 한식음식점</x:v>
      </x:c>
      <x:c r="X735" s="16" t="n">
        <x:v>51.91878698579798</x:v>
      </x:c>
    </x:row>
    <x:row r="736">
      <x:c r="A736" t="str">
        <x:v>3111008</x:v>
      </x:c>
      <x:c r="B736" t="str">
        <x:v>석촌고분역 3번</x:v>
      </x:c>
      <x:c r="C736" t="str">
        <x:v>골목상권</x:v>
      </x:c>
      <x:c r="D736" t="str">
        <x:v>송파구</x:v>
      </x:c>
      <x:c r="E736" t="str">
        <x:v>석촌동</x:v>
      </x:c>
      <x:c r="F736" s="12" t="n">
        <x:v>104883</x:v>
      </x:c>
      <x:c r="G736" s="12" t="n">
        <x:v>3907512322</x:v>
      </x:c>
      <x:c r="H736" s="12" t="n">
        <x:v>532461</x:v>
      </x:c>
      <x:c r="I736" s="12" t="n">
        <x:v>7338.588783028241</x:v>
      </x:c>
      <x:c r="J736" s="12" t="n">
        <x:v>37255.916802532345</x:v>
      </x:c>
      <x:c r="K736" s="12" t="n">
        <x:v>481</x:v>
      </x:c>
      <x:c r="L736" s="12" t="n">
        <x:v>45.86062564953329</x:v>
      </x:c>
      <x:c r="M736" s="12" t="n">
        <x:v>15</x:v>
      </x:c>
      <x:c r="N736" s="14" t="n">
        <x:v>0.8491568088777481</x:v>
      </x:c>
      <x:c r="O736" s="14" t="n">
        <x:v>0.15084319112225184</x:v>
      </x:c>
      <x:c r="P736" s="14" t="n">
        <x:v>0.16006204164184848</x:v>
      </x:c>
      <x:c r="Q736" s="14" t="n">
        <x:v>0.22903388607663616</x:v>
      </x:c>
      <x:c r="R736" s="14" t="n">
        <x:v>0.1983637094721361</x:v>
      </x:c>
      <x:c r="S736" s="14" t="n">
        <x:v>0.46828709322237677</x:v>
      </x:c>
      <x:c r="T736" t="str">
        <x:v>평일집중·여성소비</x:v>
      </x:c>
      <x:c r="U736" s="16" t="n">
        <x:v>58.680487669585</x:v>
      </x:c>
      <x:c r="V736" t="str">
        <x:v>일반의류</x:v>
      </x:c>
      <x:c r="W736" t="str">
        <x:v>일반의류 / 섬유제품 / 컴퓨터및주변장치판매</x:v>
      </x:c>
      <x:c r="X736" s="16" t="n">
        <x:v>52.67171152057593</x:v>
      </x:c>
    </x:row>
    <x:row r="737">
      <x:c r="A737" t="str">
        <x:v>3110174</x:v>
      </x:c>
      <x:c r="B737" t="str">
        <x:v>아차산역 1번</x:v>
      </x:c>
      <x:c r="C737" t="str">
        <x:v>골목상권</x:v>
      </x:c>
      <x:c r="D737" t="str">
        <x:v>광진구</x:v>
      </x:c>
      <x:c r="E737" t="str">
        <x:v>중곡4동</x:v>
      </x:c>
      <x:c r="F737" s="12" t="n">
        <x:v>103458</x:v>
      </x:c>
      <x:c r="G737" s="12" t="n">
        <x:v>3904974416</x:v>
      </x:c>
      <x:c r="H737" s="12" t="n">
        <x:v>164755</x:v>
      </x:c>
      <x:c r="I737" s="12" t="n">
        <x:v>23701.705052957423</x:v>
      </x:c>
      <x:c r="J737" s="12" t="n">
        <x:v>37744.538034758065</x:v>
      </x:c>
      <x:c r="K737" s="12" t="n">
        <x:v>683</x:v>
      </x:c>
      <x:c r="L737" s="12" t="n">
        <x:v>66.01712772332735</x:v>
      </x:c>
      <x:c r="M737" s="12" t="n">
        <x:v>17</x:v>
      </x:c>
      <x:c r="N737" s="14" t="n">
        <x:v>0.6725125079539062</x:v>
      </x:c>
      <x:c r="O737" s="14" t="n">
        <x:v>0.32748749204609384</x:v>
      </x:c>
      <x:c r="P737" s="14" t="n">
        <x:v>0.43272108956116656</x:v>
      </x:c>
      <x:c r="Q737" s="14" t="n">
        <x:v>0.23772504633997069</x:v>
      </x:c>
      <x:c r="R737" s="14" t="n">
        <x:v>0.2168243327103017</x:v>
      </x:c>
      <x:c r="S737" s="14" t="n">
        <x:v>0.4779337678508365</x:v>
      </x:c>
      <x:c r="T737" t="str">
        <x:v>여성소비·야간활성</x:v>
      </x:c>
      <x:c r="U737" s="16" t="n">
        <x:v>65.89076465447909</x:v>
      </x:c>
      <x:c r="V737" t="str">
        <x:v>당구장</x:v>
      </x:c>
      <x:c r="W737" t="str">
        <x:v>당구장 / 미용실 / 청과상</x:v>
      </x:c>
      <x:c r="X737" s="16" t="n">
        <x:v>59.607861054892325</x:v>
      </x:c>
    </x:row>
    <x:row r="738">
      <x:c r="A738" t="str">
        <x:v>3110286</x:v>
      </x:c>
      <x:c r="B738" t="str">
        <x:v>한성대입구역 5번</x:v>
      </x:c>
      <x:c r="C738" t="str">
        <x:v>골목상권</x:v>
      </x:c>
      <x:c r="D738" t="str">
        <x:v>성북구</x:v>
      </x:c>
      <x:c r="E738" t="str">
        <x:v>성북동</x:v>
      </x:c>
      <x:c r="F738" s="12" t="n">
        <x:v>112177</x:v>
      </x:c>
      <x:c r="G738" s="12" t="n">
        <x:v>3888534048</x:v>
      </x:c>
      <x:c r="H738" s="12" t="n">
        <x:v>150930</x:v>
      </x:c>
      <x:c r="I738" s="12" t="n">
        <x:v>25763.82460743391</x:v>
      </x:c>
      <x:c r="J738" s="12" t="n">
        <x:v>34664.27207003218</x:v>
      </x:c>
      <x:c r="K738" s="12" t="n">
        <x:v>4146</x:v>
      </x:c>
      <x:c r="L738" s="12" t="n">
        <x:v>369.59448015190276</x:v>
      </x:c>
      <x:c r="M738" s="12" t="n">
        <x:v>11</x:v>
      </x:c>
      <x:c r="N738" s="14" t="n">
        <x:v>0.7337985054978744</x:v>
      </x:c>
      <x:c r="O738" s="14" t="n">
        <x:v>0.26620149450212555</x:v>
      </x:c>
      <x:c r="P738" s="14" t="n">
        <x:v>0.30815640295507063</x:v>
      </x:c>
      <x:c r="Q738" s="14" t="n">
        <x:v>0.276618667786447</x:v>
      </x:c>
      <x:c r="R738" s="14" t="n">
        <x:v>0.156078939391609</x:v>
      </x:c>
      <x:c r="S738" s="14" t="n">
        <x:v>0.5024598028156445</x:v>
      </x:c>
      <x:c r="T738" t="str">
        <x:v>직장밀집·여성소비</x:v>
      </x:c>
      <x:c r="U738" s="16" t="n">
        <x:v>78.02964477624828</x:v>
      </x:c>
      <x:c r="V738" t="str">
        <x:v>슈퍼마켓</x:v>
      </x:c>
      <x:c r="W738" t="str">
        <x:v>슈퍼마켓 / 일반의류 / 분식전문점</x:v>
      </x:c>
      <x:c r="X738" s="16" t="n">
        <x:v>62.775356114993414</x:v>
      </x:c>
    </x:row>
    <x:row r="739">
      <x:c r="A739" t="str">
        <x:v>3110981</x:v>
      </x:c>
      <x:c r="B739" t="str">
        <x:v>국악고교사거리</x:v>
      </x:c>
      <x:c r="C739" t="str">
        <x:v>골목상권</x:v>
      </x:c>
      <x:c r="D739" t="str">
        <x:v>강남구</x:v>
      </x:c>
      <x:c r="E739" t="str">
        <x:v>개포4동</x:v>
      </x:c>
      <x:c r="F739" s="12" t="n">
        <x:v>67409</x:v>
      </x:c>
      <x:c r="G739" s="12" t="n">
        <x:v>3883167330</x:v>
      </x:c>
      <x:c r="H739" s="12" t="n">
        <x:v>72287</x:v>
      </x:c>
      <x:c r="I739" s="12" t="n">
        <x:v>53718.750674395116</x:v>
      </x:c>
      <x:c r="J739" s="12" t="n">
        <x:v>57606.066400628995</x:v>
      </x:c>
      <x:c r="K739" s="12" t="n">
        <x:v>899</x:v>
      </x:c>
      <x:c r="L739" s="12" t="n">
        <x:v>133.36498093726357</x:v>
      </x:c>
      <x:c r="M739" s="12" t="n">
        <x:v>12</x:v>
      </x:c>
      <x:c r="N739" s="14" t="n">
        <x:v>0.7549403666825761</x:v>
      </x:c>
      <x:c r="O739" s="14" t="n">
        <x:v>0.2450596333174239</x:v>
      </x:c>
      <x:c r="P739" s="14" t="n">
        <x:v>0.5832569769791507</x:v>
      </x:c>
      <x:c r="Q739" s="14" t="n">
        <x:v>0.25091499623839286</x:v>
      </x:c>
      <x:c r="R739" s="14" t="n">
        <x:v>0.36656118833797463</x:v>
      </x:c>
      <x:c r="S739" s="14" t="n">
        <x:v>0.48522694874444156</x:v>
      </x:c>
      <x:c r="T739" t="str">
        <x:v>야간활성·2030소비</x:v>
      </x:c>
      <x:c r="U739" s="16" t="n">
        <x:v>72.55934447035749</x:v>
      </x:c>
      <x:c r="V739" t="str">
        <x:v>화초</x:v>
      </x:c>
      <x:c r="W739" t="str">
        <x:v>화초 / 일반의류 / 예술학원</x:v>
      </x:c>
      <x:c r="X739" s="16" t="n">
        <x:v>59.43753049765214</x:v>
      </x:c>
    </x:row>
    <x:row r="740">
      <x:c r="A740" t="str">
        <x:v>3110662</x:v>
      </x:c>
      <x:c r="B740" t="str">
        <x:v>까치산역 1번</x:v>
      </x:c>
      <x:c r="C740" t="str">
        <x:v>골목상권</x:v>
      </x:c>
      <x:c r="D740" t="str">
        <x:v>강서구</x:v>
      </x:c>
      <x:c r="E740" t="str">
        <x:v>화곡8동</x:v>
      </x:c>
      <x:c r="F740" s="12" t="n">
        <x:v>230187</x:v>
      </x:c>
      <x:c r="G740" s="12" t="n">
        <x:v>3883163711</x:v>
      </x:c>
      <x:c r="H740" s="12" t="n">
        <x:v>324935</x:v>
      </x:c>
      <x:c r="I740" s="12" t="n">
        <x:v>11950.58615107637</x:v>
      </x:c>
      <x:c r="J740" s="12" t="n">
        <x:v>16869.604760477352</x:v>
      </x:c>
      <x:c r="K740" s="12" t="n">
        <x:v>472</x:v>
      </x:c>
      <x:c r="L740" s="12" t="n">
        <x:v>20.505067618935907</x:v>
      </x:c>
      <x:c r="M740" s="12" t="n">
        <x:v>20</x:v>
      </x:c>
      <x:c r="N740" s="14" t="n">
        <x:v>0.7226340890678972</x:v>
      </x:c>
      <x:c r="O740" s="14" t="n">
        <x:v>0.27736591093210283</x:v>
      </x:c>
      <x:c r="P740" s="14" t="n">
        <x:v>0.5332964381938725</x:v>
      </x:c>
      <x:c r="Q740" s="14" t="n">
        <x:v>0.14932561337999176</x:v>
      </x:c>
      <x:c r="R740" s="14" t="n">
        <x:v>0.3143343456116265</x:v>
      </x:c>
      <x:c r="S740" s="14" t="n">
        <x:v>0.421028095047523</x:v>
      </x:c>
      <x:c r="T740" t="str">
        <x:v>야간활성·2030소비</x:v>
      </x:c>
      <x:c r="U740" s="16" t="n">
        <x:v>63.519262573001946</x:v>
      </x:c>
      <x:c r="V740" t="str">
        <x:v>세탁소</x:v>
      </x:c>
      <x:c r="W740" t="str">
        <x:v>세탁소 / 편의점 / 슈퍼마켓</x:v>
      </x:c>
      <x:c r="X740" s="16" t="n">
        <x:v>56.57091637052989</x:v>
      </x:c>
    </x:row>
    <x:row r="741">
      <x:c r="A741" t="str">
        <x:v>3111012</x:v>
      </x:c>
      <x:c r="B741" t="str">
        <x:v>석촌역 6번</x:v>
      </x:c>
      <x:c r="C741" t="str">
        <x:v>골목상권</x:v>
      </x:c>
      <x:c r="D741" t="str">
        <x:v>송파구</x:v>
      </x:c>
      <x:c r="E741" t="str">
        <x:v>석촌동</x:v>
      </x:c>
      <x:c r="F741" s="12" t="n">
        <x:v>120754</x:v>
      </x:c>
      <x:c r="G741" s="12" t="n">
        <x:v>3883029030</x:v>
      </x:c>
      <x:c r="H741" s="12" t="n">
        <x:v>66346</x:v>
      </x:c>
      <x:c r="I741" s="12" t="n">
        <x:v>58526.95007988424</x:v>
      </x:c>
      <x:c r="J741" s="12" t="n">
        <x:v>32156.525084055185</x:v>
      </x:c>
      <x:c r="K741" s="12" t="n">
        <x:v>536</x:v>
      </x:c>
      <x:c r="L741" s="12" t="n">
        <x:v>44.387763552346094</x:v>
      </x:c>
      <x:c r="M741" s="12" t="n">
        <x:v>16</x:v>
      </x:c>
      <x:c r="N741" s="14" t="n">
        <x:v>0.8915049107938294</x:v>
      </x:c>
      <x:c r="O741" s="14" t="n">
        <x:v>0.10849508920617057</x:v>
      </x:c>
      <x:c r="P741" s="14" t="n">
        <x:v>0.6588438582958521</x:v>
      </x:c>
      <x:c r="Q741" s="14" t="n">
        <x:v>0.1036110801365809</x:v>
      </x:c>
      <x:c r="R741" s="14" t="n">
        <x:v>0.13535342742467213</x:v>
      </x:c>
      <x:c r="S741" s="14" t="n">
        <x:v>0.6951897843524492</x:v>
      </x:c>
      <x:c r="T741" t="str">
        <x:v>여성소비·야간활성</x:v>
      </x:c>
      <x:c r="U741" s="16" t="n">
        <x:v>59.91730831665075</x:v>
      </x:c>
      <x:c r="V741" t="str">
        <x:v>일반교습학원</x:v>
      </x:c>
      <x:c r="W741" t="str">
        <x:v>일반교습학원 / 미곡판매 / 호프-간이주점</x:v>
      </x:c>
      <x:c r="X741" s="16" t="n">
        <x:v>54.292019144260145</x:v>
      </x:c>
    </x:row>
    <x:row r="742">
      <x:c r="A742" t="str">
        <x:v>3110098</x:v>
      </x:c>
      <x:c r="B742" t="str">
        <x:v>서울독일학교</x:v>
      </x:c>
      <x:c r="C742" t="str">
        <x:v>골목상권</x:v>
      </x:c>
      <x:c r="D742" t="str">
        <x:v>용산구</x:v>
      </x:c>
      <x:c r="E742" t="str">
        <x:v>한남동</x:v>
      </x:c>
      <x:c r="F742" s="12" t="n">
        <x:v>41414</x:v>
      </x:c>
      <x:c r="G742" s="12" t="n">
        <x:v>3879311830</x:v>
      </x:c>
      <x:c r="H742" s="12" t="n">
        <x:v>22920</x:v>
      </x:c>
      <x:c r="I742" s="12" t="n">
        <x:v>169254.44284467713</x:v>
      </x:c>
      <x:c r="J742" s="12" t="n">
        <x:v>93671.50794417347</x:v>
      </x:c>
      <x:c r="K742" s="12" t="n">
        <x:v>2490</x:v>
      </x:c>
      <x:c r="L742" s="12" t="n">
        <x:v>601.2459554739943</x:v>
      </x:c>
      <x:c r="M742" s="12" t="n">
        <x:v>7</x:v>
      </x:c>
      <x:c r="N742" s="14" t="n">
        <x:v>0.7164940184764678</x:v>
      </x:c>
      <x:c r="O742" s="14" t="n">
        <x:v>0.28350598152353224</x:v>
      </x:c>
      <x:c r="P742" s="14" t="n">
        <x:v>0.6062535777125192</x:v>
      </x:c>
      <x:c r="Q742" s="14" t="n">
        <x:v>0.17078941833866446</x:v>
      </x:c>
      <x:c r="R742" s="14" t="n">
        <x:v>0.4494226853632439</x:v>
      </x:c>
      <x:c r="S742" s="14" t="n">
        <x:v>0.40910937133919445</x:v>
      </x:c>
      <x:c r="T742" t="str">
        <x:v>야간활성·직장밀집</x:v>
      </x:c>
      <x:c r="U742" s="16" t="n">
        <x:v>78.4762711852327</x:v>
      </x:c>
      <x:c r="V742" t="str">
        <x:v>미용실</x:v>
      </x:c>
      <x:c r="W742" t="str">
        <x:v>미용실 / 호프-간이주점 / 양식음식점</x:v>
      </x:c>
      <x:c r="X742" s="16" t="n">
        <x:v>62.38049088967322</x:v>
      </x:c>
    </x:row>
    <x:row r="743">
      <x:c r="A743" t="str">
        <x:v>3110731</x:v>
      </x:c>
      <x:c r="B743" t="str">
        <x:v>금천구청역 1번 출입구</x:v>
      </x:c>
      <x:c r="C743" t="str">
        <x:v>골목상권</x:v>
      </x:c>
      <x:c r="D743" t="str">
        <x:v>금천구</x:v>
      </x:c>
      <x:c r="E743" t="str">
        <x:v>시흥1동</x:v>
      </x:c>
      <x:c r="F743" s="12" t="n">
        <x:v>161006</x:v>
      </x:c>
      <x:c r="G743" s="12" t="n">
        <x:v>3875098109</x:v>
      </x:c>
      <x:c r="H743" s="12" t="n">
        <x:v>151415</x:v>
      </x:c>
      <x:c r="I743" s="12" t="n">
        <x:v>25592.56420433907</x:v>
      </x:c>
      <x:c r="J743" s="12" t="n">
        <x:v>24068.03540861831</x:v>
      </x:c>
      <x:c r="K743" s="12" t="n">
        <x:v>1228</x:v>
      </x:c>
      <x:c r="L743" s="12" t="n">
        <x:v>76.27044954846403</x:v>
      </x:c>
      <x:c r="M743" s="12" t="n">
        <x:v>14</x:v>
      </x:c>
      <x:c r="N743" s="14" t="n">
        <x:v>0.8131383960787353</x:v>
      </x:c>
      <x:c r="O743" s="14" t="n">
        <x:v>0.18686160392126475</x:v>
      </x:c>
      <x:c r="P743" s="14" t="n">
        <x:v>0.3962207030149801</x:v>
      </x:c>
      <x:c r="Q743" s="14" t="n">
        <x:v>0.3351385220373526</x:v>
      </x:c>
      <x:c r="R743" s="14" t="n">
        <x:v>0.23898726792209843</x:v>
      </x:c>
      <x:c r="S743" s="14" t="n">
        <x:v>0.39100122613179494</x:v>
      </x:c>
      <x:c r="T743" t="str">
        <x:v>평일집중·2030소비</x:v>
      </x:c>
      <x:c r="U743" s="16" t="n">
        <x:v>52.864367489897205</x:v>
      </x:c>
      <x:c r="V743" t="str">
        <x:v>커피-음료</x:v>
      </x:c>
      <x:c r="W743" t="str">
        <x:v>커피-음료 / 한식음식점 / 제과점</x:v>
      </x:c>
      <x:c r="X743" s="16" t="n">
        <x:v>50.09305035524039</x:v>
      </x:c>
    </x:row>
    <x:row r="744">
      <x:c r="A744" t="str">
        <x:v>3110936</x:v>
      </x:c>
      <x:c r="B744" t="str">
        <x:v>더케이호텔(양재리본타워2단지아파트)</x:v>
      </x:c>
      <x:c r="C744" t="str">
        <x:v>골목상권</x:v>
      </x:c>
      <x:c r="D744" t="str">
        <x:v>서초구</x:v>
      </x:c>
      <x:c r="E744" t="str">
        <x:v>양재2동</x:v>
      </x:c>
      <x:c r="F744" s="12" t="n">
        <x:v>43233</x:v>
      </x:c>
      <x:c r="G744" s="12" t="n">
        <x:v>3871966477</x:v>
      </x:c>
      <x:c r="H744" s="12" t="n">
        <x:v>52790</x:v>
      </x:c>
      <x:c r="I744" s="12" t="n">
        <x:v>73346.58982761887</x:v>
      </x:c>
      <x:c r="J744" s="12" t="n">
        <x:v>89560.43940971018</x:v>
      </x:c>
      <x:c r="K744" s="12" t="n">
        <x:v>1292</x:v>
      </x:c>
      <x:c r="L744" s="12" t="n">
        <x:v>298.84578909629215</x:v>
      </x:c>
      <x:c r="M744" s="12" t="n">
        <x:v>4</x:v>
      </x:c>
      <x:c r="N744" s="14" t="n">
        <x:v>0.9526444859248713</x:v>
      </x:c>
      <x:c r="O744" s="14" t="n">
        <x:v>0.0473555140751287</x:v>
      </x:c>
      <x:c r="P744" s="14" t="n">
        <x:v>0.07274111634825499</x:v>
      </x:c>
      <x:c r="Q744" s="14" t="n">
        <x:v>0.3682343962607608</x:v>
      </x:c>
      <x:c r="R744" s="14" t="n">
        <x:v>0.06782276772278986</x:v>
      </x:c>
      <x:c r="S744" s="14" t="n">
        <x:v>0.11350578074749174</x:v>
      </x:c>
      <x:c r="T744" t="str">
        <x:v>평일집중·직장밀집</x:v>
      </x:c>
      <x:c r="U744" s="16" t="n">
        <x:v>59.86611822732121</x:v>
      </x:c>
      <x:c r="V744" t="str">
        <x:v>커피-음료</x:v>
      </x:c>
      <x:c r="W744" t="str">
        <x:v>커피-음료 / 자동차수리 / 의약품</x:v>
      </x:c>
      <x:c r="X744" s="16" t="n">
        <x:v>54.52561659990461</x:v>
      </x:c>
    </x:row>
    <x:row r="745">
      <x:c r="A745" t="str">
        <x:v>3110604</x:v>
      </x:c>
      <x:c r="B745" t="str">
        <x:v>신월4동주민센터</x:v>
      </x:c>
      <x:c r="C745" t="str">
        <x:v>골목상권</x:v>
      </x:c>
      <x:c r="D745" t="str">
        <x:v>양천구</x:v>
      </x:c>
      <x:c r="E745" t="str">
        <x:v>신월4동</x:v>
      </x:c>
      <x:c r="F745" s="12" t="n">
        <x:v>150486</x:v>
      </x:c>
      <x:c r="G745" s="12" t="n">
        <x:v>3869922744</x:v>
      </x:c>
      <x:c r="H745" s="12" t="n">
        <x:v>156602</x:v>
      </x:c>
      <x:c r="I745" s="12" t="n">
        <x:v>24711.834740297058</x:v>
      </x:c>
      <x:c r="J745" s="12" t="n">
        <x:v>25716.164586738967</x:v>
      </x:c>
      <x:c r="K745" s="12" t="n">
        <x:v>541</x:v>
      </x:c>
      <x:c r="L745" s="12" t="n">
        <x:v>35.95018805736082</x:v>
      </x:c>
      <x:c r="M745" s="12" t="n">
        <x:v>18</x:v>
      </x:c>
      <x:c r="N745" s="14" t="n">
        <x:v>0.8053260499403913</x:v>
      </x:c>
      <x:c r="O745" s="14" t="n">
        <x:v>0.19467395005960875</x:v>
      </x:c>
      <x:c r="P745" s="14" t="n">
        <x:v>0.3131691005664169</x:v>
      </x:c>
      <x:c r="Q745" s="14" t="n">
        <x:v>0.22973029665214423</x:v>
      </x:c>
      <x:c r="R745" s="14" t="n">
        <x:v>0.16027062425512853</x:v>
      </x:c>
      <x:c r="S745" s="14" t="n">
        <x:v>0.5286777244253948</x:v>
      </x:c>
      <x:c r="T745" t="str">
        <x:v>여성소비·평일집중</x:v>
      </x:c>
      <x:c r="U745" s="16" t="n">
        <x:v>70.03147981000046</x:v>
      </x:c>
      <x:c r="V745" t="str">
        <x:v>미용실</x:v>
      </x:c>
      <x:c r="W745" t="str">
        <x:v>미용실 / 일반의류 / 편의점</x:v>
      </x:c>
      <x:c r="X745" s="16" t="n">
        <x:v>66.34581881800128</x:v>
      </x:c>
    </x:row>
    <x:row r="746">
      <x:c r="A746" t="str">
        <x:v>3110260</x:v>
      </x:c>
      <x:c r="B746" t="str">
        <x:v>면목역 3번</x:v>
      </x:c>
      <x:c r="C746" t="str">
        <x:v>골목상권</x:v>
      </x:c>
      <x:c r="D746" t="str">
        <x:v>중랑구</x:v>
      </x:c>
      <x:c r="E746" t="str">
        <x:v>면목본동</x:v>
      </x:c>
      <x:c r="F746" s="12" t="n">
        <x:v>65941</x:v>
      </x:c>
      <x:c r="G746" s="12" t="n">
        <x:v>3853956979</x:v>
      </x:c>
      <x:c r="H746" s="12" t="n">
        <x:v>210841</x:v>
      </x:c>
      <x:c r="I746" s="12" t="n">
        <x:v>18278.973155126376</x:v>
      </x:c>
      <x:c r="J746" s="12" t="n">
        <x:v>58445.534326140034</x:v>
      </x:c>
      <x:c r="K746" s="12" t="n">
        <x:v>102</x:v>
      </x:c>
      <x:c r="L746" s="12" t="n">
        <x:v>15.468373242747305</x:v>
      </x:c>
      <x:c r="M746" s="12" t="n">
        <x:v>15</x:v>
      </x:c>
      <x:c r="N746" s="14" t="n">
        <x:v>0.7740298613229538</x:v>
      </x:c>
      <x:c r="O746" s="14" t="n">
        <x:v>0.22597013867704618</x:v>
      </x:c>
      <x:c r="P746" s="14" t="n">
        <x:v>0.31915111992743395</x:v>
      </x:c>
      <x:c r="Q746" s="14" t="n">
        <x:v>0.25298345033757574</x:v>
      </x:c>
      <x:c r="R746" s="14" t="n">
        <x:v>0.16289546313588987</x:v>
      </x:c>
      <x:c r="S746" s="14" t="n">
        <x:v>0.5384169429775049</x:v>
      </x:c>
      <x:c r="T746" t="str">
        <x:v>여성소비·평일집중</x:v>
      </x:c>
      <x:c r="U746" s="16" t="n">
        <x:v>60.82817606994468</x:v>
      </x:c>
      <x:c r="V746" t="str">
        <x:v>예술학원</x:v>
      </x:c>
      <x:c r="W746" t="str">
        <x:v>예술학원 / 네일숍 / 일반의원</x:v>
      </x:c>
      <x:c r="X746" s="16" t="n">
        <x:v>52.08356754501307</x:v>
      </x:c>
    </x:row>
    <x:row r="747">
      <x:c r="A747" t="str">
        <x:v>3110352</x:v>
      </x:c>
      <x:c r="B747" t="str">
        <x:v>수유1동주민센터</x:v>
      </x:c>
      <x:c r="C747" t="str">
        <x:v>골목상권</x:v>
      </x:c>
      <x:c r="D747" t="str">
        <x:v>강북구</x:v>
      </x:c>
      <x:c r="E747" t="str">
        <x:v>수유1동</x:v>
      </x:c>
      <x:c r="F747" s="12" t="n">
        <x:v>134108</x:v>
      </x:c>
      <x:c r="G747" s="12" t="n">
        <x:v>3848547427</x:v>
      </x:c>
      <x:c r="H747" s="12" t="n">
        <x:v>210642</x:v>
      </x:c>
      <x:c r="I747" s="12" t="n">
        <x:v>18270.560605197443</x:v>
      </x:c>
      <x:c r="J747" s="12" t="n">
        <x:v>28697.3739597936</x:v>
      </x:c>
      <x:c r="K747" s="12" t="n">
        <x:v>233</x:v>
      </x:c>
      <x:c r="L747" s="12" t="n">
        <x:v>17.374056730396397</x:v>
      </x:c>
      <x:c r="M747" s="12" t="n">
        <x:v>16</x:v>
      </x:c>
      <x:c r="N747" s="14" t="n">
        <x:v>0.7467427507422529</x:v>
      </x:c>
      <x:c r="O747" s="14" t="n">
        <x:v>0.253257249257747</x:v>
      </x:c>
      <x:c r="P747" s="14" t="n">
        <x:v>0.3590733190151225</x:v>
      </x:c>
      <x:c r="Q747" s="14" t="n">
        <x:v>0.26634893305681484</x:v>
      </x:c>
      <x:c r="R747" s="14" t="n">
        <x:v>0.14249515522470396</x:v>
      </x:c>
      <x:c r="S747" s="14" t="n">
        <x:v>0.4546118506232975</x:v>
      </x:c>
      <x:c r="T747" t="str">
        <x:v>균형형</x:v>
      </x:c>
      <x:c r="U747" s="16" t="n">
        <x:v>56.2672145218159</x:v>
      </x:c>
      <x:c r="V747" t="str">
        <x:v>제과점</x:v>
      </x:c>
      <x:c r="W747" t="str">
        <x:v>제과점 / 일반의원 / 스포츠 강습</x:v>
      </x:c>
      <x:c r="X747" s="16" t="n">
        <x:v>53.7516580465206</x:v>
      </x:c>
    </x:row>
    <x:row r="748">
      <x:c r="A748" t="str">
        <x:v>3110464</x:v>
      </x:c>
      <x:c r="B748" t="str">
        <x:v>연신내역 5번</x:v>
      </x:c>
      <x:c r="C748" t="str">
        <x:v>골목상권</x:v>
      </x:c>
      <x:c r="D748" t="str">
        <x:v>은평구</x:v>
      </x:c>
      <x:c r="E748" t="str">
        <x:v>갈현2동</x:v>
      </x:c>
      <x:c r="F748" s="12" t="n">
        <x:v>99182</x:v>
      </x:c>
      <x:c r="G748" s="12" t="n">
        <x:v>3833317576</x:v>
      </x:c>
      <x:c r="H748" s="12" t="n">
        <x:v>48798</x:v>
      </x:c>
      <x:c r="I748" s="12" t="n">
        <x:v>78554.80913152179</x:v>
      </x:c>
      <x:c r="J748" s="12" t="n">
        <x:v>38649.32725696195</x:v>
      </x:c>
      <x:c r="K748" s="12" t="n">
        <x:v>535</x:v>
      </x:c>
      <x:c r="L748" s="12" t="n">
        <x:v>53.94123933778306</x:v>
      </x:c>
      <x:c r="M748" s="12" t="n">
        <x:v>15</x:v>
      </x:c>
      <x:c r="N748" s="14" t="n">
        <x:v>0.703433930672067</x:v>
      </x:c>
      <x:c r="O748" s="14" t="n">
        <x:v>0.296566069327933</x:v>
      </x:c>
      <x:c r="P748" s="14" t="n">
        <x:v>0.5298833156212257</x:v>
      </x:c>
      <x:c r="Q748" s="14" t="n">
        <x:v>0.17314850565879647</x:v>
      </x:c>
      <x:c r="R748" s="14" t="n">
        <x:v>0.2032391041320809</x:v>
      </x:c>
      <x:c r="S748" s="14" t="n">
        <x:v>0.49131234489714504</x:v>
      </x:c>
      <x:c r="T748" t="str">
        <x:v>야간활성·여성소비</x:v>
      </x:c>
      <x:c r="U748" s="16" t="n">
        <x:v>67.04860186340409</x:v>
      </x:c>
      <x:c r="V748" t="str">
        <x:v>예술학원</x:v>
      </x:c>
      <x:c r="W748" t="str">
        <x:v>예술학원 / 일반의류 / 피부관리실</x:v>
      </x:c>
      <x:c r="X748" s="16" t="n">
        <x:v>55.356905512642854</x:v>
      </x:c>
    </x:row>
    <x:row r="749">
      <x:c r="A749" t="str">
        <x:v>3110294</x:v>
      </x:c>
      <x:c r="B749" t="str">
        <x:v>서경대학교</x:v>
      </x:c>
      <x:c r="C749" t="str">
        <x:v>골목상권</x:v>
      </x:c>
      <x:c r="D749" t="str">
        <x:v>성북구</x:v>
      </x:c>
      <x:c r="E749" t="str">
        <x:v>정릉4동</x:v>
      </x:c>
      <x:c r="F749" s="12" t="n">
        <x:v>193247</x:v>
      </x:c>
      <x:c r="G749" s="12" t="n">
        <x:v>3827927693</x:v>
      </x:c>
      <x:c r="H749" s="12" t="n">
        <x:v>145230</x:v>
      </x:c>
      <x:c r="I749" s="12" t="n">
        <x:v>26357.692577291193</x:v>
      </x:c>
      <x:c r="J749" s="12" t="n">
        <x:v>19808.471505379126</x:v>
      </x:c>
      <x:c r="K749" s="12" t="n">
        <x:v>468</x:v>
      </x:c>
      <x:c r="L749" s="12" t="n">
        <x:v>24.21771101233137</x:v>
      </x:c>
      <x:c r="M749" s="12" t="n">
        <x:v>15</x:v>
      </x:c>
      <x:c r="N749" s="14" t="n">
        <x:v>0.7437104604159512</x:v>
      </x:c>
      <x:c r="O749" s="14" t="n">
        <x:v>0.25628953958404876</x:v>
      </x:c>
      <x:c r="P749" s="14" t="n">
        <x:v>0.38068998002883647</x:v>
      </x:c>
      <x:c r="Q749" s="14" t="n">
        <x:v>0.2380110566524225</x:v>
      </x:c>
      <x:c r="R749" s="14" t="n">
        <x:v>0.18714397200083163</x:v>
      </x:c>
      <x:c r="S749" s="14" t="n">
        <x:v>0.4818326987661833</x:v>
      </x:c>
      <x:c r="T749" t="str">
        <x:v>여성소비</x:v>
      </x:c>
      <x:c r="U749" s="16" t="n">
        <x:v>65.67852250206248</x:v>
      </x:c>
      <x:c r="V749" t="str">
        <x:v>예술학원</x:v>
      </x:c>
      <x:c r="W749" t="str">
        <x:v>예술학원 / 미용실 / 피부관리실</x:v>
      </x:c>
      <x:c r="X749" s="16" t="n">
        <x:v>59.589200556960066</x:v>
      </x:c>
    </x:row>
    <x:row r="750">
      <x:c r="A750" t="str">
        <x:v>3130258</x:v>
      </x:c>
      <x:c r="B750" t="str">
        <x:v>영진시장A동</x:v>
      </x:c>
      <x:c r="C750" t="str">
        <x:v>전통시장</x:v>
      </x:c>
      <x:c r="D750" t="str">
        <x:v>영등포구</x:v>
      </x:c>
      <x:c r="E750" t="str">
        <x:v>신길6동</x:v>
      </x:c>
      <x:c r="F750" s="12" t="n">
        <x:v>6326</x:v>
      </x:c>
      <x:c r="G750" s="12" t="n">
        <x:v>3797518306</x:v>
      </x:c>
      <x:c r="H750" s="12" t="n">
        <x:v>202018</x:v>
      </x:c>
      <x:c r="I750" s="12" t="n">
        <x:v>18797.920512033583</x:v>
      </x:c>
      <x:c r="J750" s="12" t="n">
        <x:v>600303.2415428391</x:v>
      </x:c>
      <x:c r="K750" s="12" t="n">
        <x:v>22</x:v>
      </x:c>
      <x:c r="L750" s="12" t="n">
        <x:v>34.777110338286434</x:v>
      </x:c>
      <x:c r="M750" s="12" t="n">
        <x:v>3</x:v>
      </x:c>
      <x:c r="N750" s="14" t="n">
        <x:v>0.6832620327071045</x:v>
      </x:c>
      <x:c r="O750" s="14" t="n">
        <x:v>0.3167379672928955</x:v>
      </x:c>
      <x:c r="P750" s="14" t="n">
        <x:v>0.39771387556281607</x:v>
      </x:c>
      <x:c r="Q750" s="14" t="n">
        <x:v>0.22130002393199788</x:v>
      </x:c>
      <x:c r="R750" s="14" t="n">
        <x:v>0.14126411244744108</x:v>
      </x:c>
      <x:c r="S750" s="14" t="n">
        <x:v>0.48682982806930014</x:v>
      </x:c>
      <x:c r="T750" t="str">
        <x:v>고매출밀도·여성소비</x:v>
      </x:c>
      <x:c r="U750" s="16" t="n">
        <x:v>63.70192091602585</x:v>
      </x:c>
      <x:c r="V750" t="str">
        <x:v>슈퍼마켓</x:v>
      </x:c>
      <x:c r="W750" t="str">
        <x:v>슈퍼마켓 / 한식음식점 / 커피-음료</x:v>
      </x:c>
      <x:c r="X750" s="16" t="n">
        <x:v>38.02350102077209</x:v>
      </x:c>
    </x:row>
    <x:row r="751">
      <x:c r="A751" t="str">
        <x:v>3110750</x:v>
      </x:c>
      <x:c r="B751" t="str">
        <x:v>시흥4동주민센터(서울신흥초등학교)</x:v>
      </x:c>
      <x:c r="C751" t="str">
        <x:v>골목상권</x:v>
      </x:c>
      <x:c r="D751" t="str">
        <x:v>금천구</x:v>
      </x:c>
      <x:c r="E751" t="str">
        <x:v>시흥4동</x:v>
      </x:c>
      <x:c r="F751" s="12" t="n">
        <x:v>113692</x:v>
      </x:c>
      <x:c r="G751" s="12" t="n">
        <x:v>3796593390</x:v>
      </x:c>
      <x:c r="H751" s="12" t="n">
        <x:v>178067</x:v>
      </x:c>
      <x:c r="I751" s="12" t="n">
        <x:v>21321.150971263625</x:v>
      </x:c>
      <x:c r="J751" s="12" t="n">
        <x:v>33393.672290046794</x:v>
      </x:c>
      <x:c r="K751" s="12" t="n">
        <x:v>431</x:v>
      </x:c>
      <x:c r="L751" s="12" t="n">
        <x:v>37.909439538402</x:v>
      </x:c>
      <x:c r="M751" s="12" t="n">
        <x:v>13</x:v>
      </x:c>
      <x:c r="N751" s="14" t="n">
        <x:v>0.7718019413714462</x:v>
      </x:c>
      <x:c r="O751" s="14" t="n">
        <x:v>0.22819805862855386</x:v>
      </x:c>
      <x:c r="P751" s="14" t="n">
        <x:v>0.36241152940531246</x:v>
      </x:c>
      <x:c r="Q751" s="14" t="n">
        <x:v>0.20704474334029224</x:v>
      </x:c>
      <x:c r="R751" s="14" t="n">
        <x:v>0.17611956306967072</x:v>
      </x:c>
      <x:c r="S751" s="14" t="n">
        <x:v>0.46466172375651743</x:v>
      </x:c>
      <x:c r="T751" t="str">
        <x:v>여성소비·평일집중</x:v>
      </x:c>
      <x:c r="U751" s="16" t="n">
        <x:v>67.5565653255221</x:v>
      </x:c>
      <x:c r="V751" t="str">
        <x:v>육류판매</x:v>
      </x:c>
      <x:c r="W751" t="str">
        <x:v>육류판매 / 일반교습학원 / 일반의원</x:v>
      </x:c>
      <x:c r="X751" s="16" t="n">
        <x:v>61.429491355116326</x:v>
      </x:c>
    </x:row>
    <x:row r="752">
      <x:c r="A752" t="str">
        <x:v>3110966</x:v>
      </x:c>
      <x:c r="B752" t="str">
        <x:v>논현2동주민센터</x:v>
      </x:c>
      <x:c r="C752" t="str">
        <x:v>골목상권</x:v>
      </x:c>
      <x:c r="D752" t="str">
        <x:v>강남구</x:v>
      </x:c>
      <x:c r="E752" t="str">
        <x:v>논현2동</x:v>
      </x:c>
      <x:c r="F752" s="12" t="n">
        <x:v>93545</x:v>
      </x:c>
      <x:c r="G752" s="12" t="n">
        <x:v>3768648517</x:v>
      </x:c>
      <x:c r="H752" s="12" t="n">
        <x:v>100460</x:v>
      </x:c>
      <x:c r="I752" s="12" t="n">
        <x:v>37513.92113278917</x:v>
      </x:c>
      <x:c r="J752" s="12" t="n">
        <x:v>40287.01178042653</x:v>
      </x:c>
      <x:c r="K752" s="12" t="n">
        <x:v>2153</x:v>
      </x:c>
      <x:c r="L752" s="12" t="n">
        <x:v>230.156609118606</x:v>
      </x:c>
      <x:c r="M752" s="12" t="n">
        <x:v>17</x:v>
      </x:c>
      <x:c r="N752" s="14" t="n">
        <x:v>0.8344763611713594</x:v>
      </x:c>
      <x:c r="O752" s="14" t="n">
        <x:v>0.1655236388286406</x:v>
      </x:c>
      <x:c r="P752" s="14" t="n">
        <x:v>0.4804097179222299</x:v>
      </x:c>
      <x:c r="Q752" s="14" t="n">
        <x:v>0.30045341158568967</x:v>
      </x:c>
      <x:c r="R752" s="14" t="n">
        <x:v>0.34993633156583387</x:v>
      </x:c>
      <x:c r="S752" s="14" t="n">
        <x:v>0.343758178868661</x:v>
      </x:c>
      <x:c r="T752" t="str">
        <x:v>평일집중·2030소비</x:v>
      </x:c>
      <x:c r="U752" s="16" t="n">
        <x:v>68.57767770564826</x:v>
      </x:c>
      <x:c r="V752" t="str">
        <x:v>세탁소</x:v>
      </x:c>
      <x:c r="W752" t="str">
        <x:v>세탁소 / 스포츠클럽 / 피부관리실</x:v>
      </x:c>
      <x:c r="X752" s="16" t="n">
        <x:v>60.13040420244448</x:v>
      </x:c>
    </x:row>
    <x:row r="753">
      <x:c r="A753" t="str">
        <x:v>3110060</x:v>
      </x:c>
      <x:c r="B753" t="str">
        <x:v>효창공원앞역 6번</x:v>
      </x:c>
      <x:c r="C753" t="str">
        <x:v>골목상권</x:v>
      </x:c>
      <x:c r="D753" t="str">
        <x:v>용산구</x:v>
      </x:c>
      <x:c r="E753" t="str">
        <x:v>용문동</x:v>
      </x:c>
      <x:c r="F753" s="12" t="n">
        <x:v>94719</x:v>
      </x:c>
      <x:c r="G753" s="12" t="n">
        <x:v>3756059049</x:v>
      </x:c>
      <x:c r="H753" s="12" t="n">
        <x:v>173253</x:v>
      </x:c>
      <x:c r="I753" s="12" t="n">
        <x:v>21679.619106162663</x:v>
      </x:c>
      <x:c r="J753" s="12" t="n">
        <x:v>39654.758274475025</x:v>
      </x:c>
      <x:c r="K753" s="12" t="n">
        <x:v>1246</x:v>
      </x:c>
      <x:c r="L753" s="12" t="n">
        <x:v>131.54699690663963</x:v>
      </x:c>
      <x:c r="M753" s="12" t="n">
        <x:v>14</x:v>
      </x:c>
      <x:c r="N753" s="14" t="n">
        <x:v>0.7106663034785532</x:v>
      </x:c>
      <x:c r="O753" s="14" t="n">
        <x:v>0.2893336965214468</x:v>
      </x:c>
      <x:c r="P753" s="14" t="n">
        <x:v>0.3825825036969487</x:v>
      </x:c>
      <x:c r="Q753" s="14" t="n">
        <x:v>0.18964576001265096</x:v>
      </x:c>
      <x:c r="R753" s="14" t="n">
        <x:v>0.2564539211002164</x:v>
      </x:c>
      <x:c r="S753" s="14" t="n">
        <x:v>0.44067977856756</x:v>
      </x:c>
      <x:c r="T753" t="str">
        <x:v>직장밀집·2030소비</x:v>
      </x:c>
      <x:c r="U753" s="16" t="n">
        <x:v>67.21606630162607</x:v>
      </x:c>
      <x:c r="V753" t="str">
        <x:v>예술학원</x:v>
      </x:c>
      <x:c r="W753" t="str">
        <x:v>예술학원 / 커피-음료 / 슈퍼마켓</x:v>
      </x:c>
      <x:c r="X753" s="16" t="n">
        <x:v>61.334674850672386</x:v>
      </x:c>
    </x:row>
    <x:row r="754">
      <x:c r="A754" t="str">
        <x:v>3110748</x:v>
      </x:c>
      <x:c r="B754" t="str">
        <x:v>백산초등학교</x:v>
      </x:c>
      <x:c r="C754" t="str">
        <x:v>골목상권</x:v>
      </x:c>
      <x:c r="D754" t="str">
        <x:v>금천구</x:v>
      </x:c>
      <x:c r="E754" t="str">
        <x:v>시흥5동</x:v>
      </x:c>
      <x:c r="F754" s="12" t="n">
        <x:v>70150</x:v>
      </x:c>
      <x:c r="G754" s="12" t="n">
        <x:v>3743315234</x:v>
      </x:c>
      <x:c r="H754" s="12" t="n">
        <x:v>87566</x:v>
      </x:c>
      <x:c r="I754" s="12" t="n">
        <x:v>42748.500947856475</x:v>
      </x:c>
      <x:c r="J754" s="12" t="n">
        <x:v>53361.5856593015</x:v>
      </x:c>
      <x:c r="K754" s="12" t="n">
        <x:v>187</x:v>
      </x:c>
      <x:c r="L754" s="12" t="n">
        <x:v>26.657163221667854</x:v>
      </x:c>
      <x:c r="M754" s="12" t="n">
        <x:v>11</x:v>
      </x:c>
      <x:c r="N754" s="14" t="n">
        <x:v>0.797046971064687</x:v>
      </x:c>
      <x:c r="O754" s="14" t="n">
        <x:v>0.202953028935313</x:v>
      </x:c>
      <x:c r="P754" s="14" t="n">
        <x:v>0.52023502170269</x:v>
      </x:c>
      <x:c r="Q754" s="14" t="n">
        <x:v>0.14515136424120886</x:v>
      </x:c>
      <x:c r="R754" s="14" t="n">
        <x:v>0.0959212357374228</x:v>
      </x:c>
      <x:c r="S754" s="14" t="n">
        <x:v>0.4713845825681268</x:v>
      </x:c>
      <x:c r="T754" t="str">
        <x:v>야간활성·평일집중</x:v>
      </x:c>
      <x:c r="U754" s="16" t="n">
        <x:v>77.6460492229509</x:v>
      </x:c>
      <x:c r="V754" t="str">
        <x:v>예술학원</x:v>
      </x:c>
      <x:c r="W754" t="str">
        <x:v>예술학원 / 일반의류 / 일반교습학원</x:v>
      </x:c>
      <x:c r="X754" s="16" t="n">
        <x:v>61.104338910209435</x:v>
      </x:c>
    </x:row>
    <x:row r="755">
      <x:c r="A755" t="str">
        <x:v>3110961</x:v>
      </x:c>
      <x:c r="B755" t="str">
        <x:v>언주역 3번</x:v>
      </x:c>
      <x:c r="C755" t="str">
        <x:v>골목상권</x:v>
      </x:c>
      <x:c r="D755" t="str">
        <x:v>강남구</x:v>
      </x:c>
      <x:c r="E755" t="str">
        <x:v>논현2동</x:v>
      </x:c>
      <x:c r="F755" s="12" t="n">
        <x:v>63031</x:v>
      </x:c>
      <x:c r="G755" s="12" t="n">
        <x:v>3734879599</x:v>
      </x:c>
      <x:c r="H755" s="12" t="n">
        <x:v>119785</x:v>
      </x:c>
      <x:c r="I755" s="12" t="n">
        <x:v>31179.860575197228</x:v>
      </x:c>
      <x:c r="J755" s="12" t="n">
        <x:v>59254.64611064397</x:v>
      </x:c>
      <x:c r="K755" s="12" t="n">
        <x:v>1286</x:v>
      </x:c>
      <x:c r="L755" s="12" t="n">
        <x:v>204.02659009059036</x:v>
      </x:c>
      <x:c r="M755" s="12" t="n">
        <x:v>8</x:v>
      </x:c>
      <x:c r="N755" s="14" t="n">
        <x:v>0.8518461783485193</x:v>
      </x:c>
      <x:c r="O755" s="14" t="n">
        <x:v>0.14815382165148078</x:v>
      </x:c>
      <x:c r="P755" s="14" t="n">
        <x:v>0.39917111743017664</x:v>
      </x:c>
      <x:c r="Q755" s="14" t="n">
        <x:v>0.3946764461683521</x:v>
      </x:c>
      <x:c r="R755" s="14" t="n">
        <x:v>0.27659619583897593</x:v>
      </x:c>
      <x:c r="S755" s="14" t="n">
        <x:v>0.24008082167898553</x:v>
      </x:c>
      <x:c r="T755" t="str">
        <x:v>평일집중·직장밀집</x:v>
      </x:c>
      <x:c r="U755" s="16" t="n">
        <x:v>56.45993525086716</x:v>
      </x:c>
      <x:c r="V755" t="str">
        <x:v>한식음식점</x:v>
      </x:c>
      <x:c r="W755" t="str">
        <x:v>한식음식점 / 커피-음료 / 문구</x:v>
      </x:c>
      <x:c r="X755" s="16" t="n">
        <x:v>43.76916896060921</x:v>
      </x:c>
    </x:row>
    <x:row r="756">
      <x:c r="A756" t="str">
        <x:v>3110067</x:v>
      </x:c>
      <x:c r="B756" t="str">
        <x:v>배문고등학교</x:v>
      </x:c>
      <x:c r="C756" t="str">
        <x:v>골목상권</x:v>
      </x:c>
      <x:c r="D756" t="str">
        <x:v>용산구</x:v>
      </x:c>
      <x:c r="E756" t="str">
        <x:v>청파동</x:v>
      </x:c>
      <x:c r="F756" s="12" t="n">
        <x:v>204936</x:v>
      </x:c>
      <x:c r="G756" s="12" t="n">
        <x:v>3731523530</x:v>
      </x:c>
      <x:c r="H756" s="12" t="n">
        <x:v>88167</x:v>
      </x:c>
      <x:c r="I756" s="12" t="n">
        <x:v>42323.358285980015</x:v>
      </x:c>
      <x:c r="J756" s="12" t="n">
        <x:v>18208.238328063395</x:v>
      </x:c>
      <x:c r="K756" s="12" t="n">
        <x:v>705</x:v>
      </x:c>
      <x:c r="L756" s="12" t="n">
        <x:v>34.400983721747274</x:v>
      </x:c>
      <x:c r="M756" s="12" t="n">
        <x:v>13</x:v>
      </x:c>
      <x:c r="N756" s="14" t="n">
        <x:v>0.8173133427889707</x:v>
      </x:c>
      <x:c r="O756" s="14" t="n">
        <x:v>0.1826866572110293</x:v>
      </x:c>
      <x:c r="P756" s="14" t="n">
        <x:v>0.3015956487885258</x:v>
      </x:c>
      <x:c r="Q756" s="14" t="n">
        <x:v>0.29153668340930977</x:v>
      </x:c>
      <x:c r="R756" s="14" t="n">
        <x:v>0.24727117746461055</x:v>
      </x:c>
      <x:c r="S756" s="14" t="n">
        <x:v>0.21795954533348474</x:v>
      </x:c>
      <x:c r="T756" t="str">
        <x:v>평일집중·2030소비</x:v>
      </x:c>
      <x:c r="U756" s="16" t="n">
        <x:v>77.41578399053478</x:v>
      </x:c>
      <x:c r="V756" t="str">
        <x:v>자동차수리</x:v>
      </x:c>
      <x:c r="W756" t="str">
        <x:v>자동차수리 / 커피-음료 / 일반의류</x:v>
      </x:c>
      <x:c r="X756" s="16" t="n">
        <x:v>54.69115499788755</x:v>
      </x:c>
    </x:row>
    <x:row r="757">
      <x:c r="A757" t="str">
        <x:v>3110333</x:v>
      </x:c>
      <x:c r="B757" t="str">
        <x:v>돌곶이역 5번</x:v>
      </x:c>
      <x:c r="C757" t="str">
        <x:v>골목상권</x:v>
      </x:c>
      <x:c r="D757" t="str">
        <x:v>성북구</x:v>
      </x:c>
      <x:c r="E757" t="str">
        <x:v>석관동</x:v>
      </x:c>
      <x:c r="F757" s="12" t="n">
        <x:v>67373</x:v>
      </x:c>
      <x:c r="G757" s="12" t="n">
        <x:v>3727937150</x:v>
      </x:c>
      <x:c r="H757" s="12" t="n">
        <x:v>115677</x:v>
      </x:c>
      <x:c r="I757" s="12" t="n">
        <x:v>32227.125098334156</x:v>
      </x:c>
      <x:c r="J757" s="12" t="n">
        <x:v>55332.80616864323</x:v>
      </x:c>
      <x:c r="K757" s="12" t="n">
        <x:v>232</x:v>
      </x:c>
      <x:c r="L757" s="12" t="n">
        <x:v>34.435159485253735</x:v>
      </x:c>
      <x:c r="M757" s="12" t="n">
        <x:v>17</x:v>
      </x:c>
      <x:c r="N757" s="14" t="n">
        <x:v>0.722028505228421</x:v>
      </x:c>
      <x:c r="O757" s="14" t="n">
        <x:v>0.27797149477157895</x:v>
      </x:c>
      <x:c r="P757" s="14" t="n">
        <x:v>0.4692122811136985</x:v>
      </x:c>
      <x:c r="Q757" s="14" t="n">
        <x:v>0.21461881110307882</x:v>
      </x:c>
      <x:c r="R757" s="14" t="n">
        <x:v>0.20427977923393906</x:v>
      </x:c>
      <x:c r="S757" s="14" t="n">
        <x:v>0.5217167682132194</x:v>
      </x:c>
      <x:c r="T757" t="str">
        <x:v>여성소비·야간활성</x:v>
      </x:c>
      <x:c r="U757" s="16" t="n">
        <x:v>74.01954100064081</x:v>
      </x:c>
      <x:c r="V757" t="str">
        <x:v>일반의류</x:v>
      </x:c>
      <x:c r="W757" t="str">
        <x:v>일반의류 / 인테리어 / 스포츠 강습</x:v>
      </x:c>
      <x:c r="X757" s="16" t="n">
        <x:v>62.181188389778185</x:v>
      </x:c>
    </x:row>
    <x:row r="758">
      <x:c r="A758" t="str">
        <x:v>3130275</x:v>
      </x:c>
      <x:c r="B758" t="str">
        <x:v>강남골목시장</x:v>
      </x:c>
      <x:c r="C758" t="str">
        <x:v>전통시장</x:v>
      </x:c>
      <x:c r="D758" t="str">
        <x:v>관악구</x:v>
      </x:c>
      <x:c r="E758" t="str">
        <x:v>조원동</x:v>
      </x:c>
      <x:c r="F758" s="12" t="n">
        <x:v>14823</x:v>
      </x:c>
      <x:c r="G758" s="12" t="n">
        <x:v>3722738038</x:v>
      </x:c>
      <x:c r="H758" s="12" t="n">
        <x:v>203764</x:v>
      </x:c>
      <x:c r="I758" s="12" t="n">
        <x:v>18269.851583204098</x:v>
      </x:c>
      <x:c r="J758" s="12" t="n">
        <x:v>251146.05936719963</x:v>
      </x:c>
      <x:c r="K758" s="12" t="n">
        <x:v>88</x:v>
      </x:c>
      <x:c r="L758" s="12" t="n">
        <x:v>59.36719962220873</x:v>
      </x:c>
      <x:c r="M758" s="12" t="n">
        <x:v>5</x:v>
      </x:c>
      <x:c r="N758" s="14" t="n">
        <x:v>0.7269015900065328</x:v>
      </x:c>
      <x:c r="O758" s="14" t="n">
        <x:v>0.2730984099934673</x:v>
      </x:c>
      <x:c r="P758" s="14" t="n">
        <x:v>0.34527288863186995</x:v>
      </x:c>
      <x:c r="Q758" s="14" t="n">
        <x:v>0.2626779332894871</x:v>
      </x:c>
      <x:c r="R758" s="14" t="n">
        <x:v>0.12867202234228226</x:v>
      </x:c>
      <x:c r="S758" s="14" t="n">
        <x:v>0.6189877438268462</x:v>
      </x:c>
      <x:c r="T758" t="str">
        <x:v>여성소비·고매출밀도</x:v>
      </x:c>
      <x:c r="U758" s="16" t="n">
        <x:v>61.36956632496737</x:v>
      </x:c>
      <x:c r="V758" t="str">
        <x:v>청과상</x:v>
      </x:c>
      <x:c r="W758" t="str">
        <x:v>청과상 / 슈퍼마켓 / 호프-간이주점</x:v>
      </x:c>
      <x:c r="X758" s="16" t="n">
        <x:v>47.62983154986117</x:v>
      </x:c>
    </x:row>
    <x:row r="759">
      <x:c r="A759" t="str">
        <x:v>3130054</x:v>
      </x:c>
      <x:c r="B759" t="str">
        <x:v>황학동주방가구거리상점가</x:v>
      </x:c>
      <x:c r="C759" t="str">
        <x:v>전통시장</x:v>
      </x:c>
      <x:c r="D759" t="str">
        <x:v>중구</x:v>
      </x:c>
      <x:c r="E759" t="str">
        <x:v>황학동</x:v>
      </x:c>
      <x:c r="F759" s="12" t="n">
        <x:v>72884</x:v>
      </x:c>
      <x:c r="G759" s="12" t="n">
        <x:v>3706649567</x:v>
      </x:c>
      <x:c r="H759" s="12" t="n">
        <x:v>68602</x:v>
      </x:c>
      <x:c r="I759" s="12" t="n">
        <x:v>54031.217267718144</x:v>
      </x:c>
      <x:c r="J759" s="12" t="n">
        <x:v>50856.8350666813</x:v>
      </x:c>
      <x:c r="K759" s="12" t="n">
        <x:v>220</x:v>
      </x:c>
      <x:c r="L759" s="12" t="n">
        <x:v>30.184951429669066</x:v>
      </x:c>
      <x:c r="M759" s="12" t="n">
        <x:v>7</x:v>
      </x:c>
      <x:c r="N759" s="14" t="n">
        <x:v>0.7971952642373975</x:v>
      </x:c>
      <x:c r="O759" s="14" t="n">
        <x:v>0.2028047357626025</x:v>
      </x:c>
      <x:c r="P759" s="14" t="n">
        <x:v>0.212917491587626</x:v>
      </x:c>
      <x:c r="Q759" s="14" t="n">
        <x:v>0.13747314327650872</x:v>
      </x:c>
      <x:c r="R759" s="14" t="n">
        <x:v>0.2350237472556844</x:v>
      </x:c>
      <x:c r="S759" s="14" t="n">
        <x:v>0.44613007410311795</x:v>
      </x:c>
      <x:c r="T759" t="str">
        <x:v>평일집중·2030소비</x:v>
      </x:c>
      <x:c r="U759" s="16" t="n">
        <x:v>71.86137516743909</x:v>
      </x:c>
      <x:c r="V759" t="str">
        <x:v>철물점</x:v>
      </x:c>
      <x:c r="W759" t="str">
        <x:v>철물점 / 가전제품 / 세탁소</x:v>
      </x:c>
      <x:c r="X759" s="16" t="n">
        <x:v>61.14627142798529</x:v>
      </x:c>
    </x:row>
    <x:row r="760">
      <x:c r="A760" t="str">
        <x:v>3130232</x:v>
      </x:c>
      <x:c r="B760" t="str">
        <x:v>독산동 맛나는거리상점가(독산동 맛나는거리)</x:v>
      </x:c>
      <x:c r="C760" t="str">
        <x:v>전통시장</x:v>
      </x:c>
      <x:c r="D760" t="str">
        <x:v>금천구</x:v>
      </x:c>
      <x:c r="E760" t="str">
        <x:v>독산4동</x:v>
      </x:c>
      <x:c r="F760" s="12" t="n">
        <x:v>29410</x:v>
      </x:c>
      <x:c r="G760" s="12" t="n">
        <x:v>3689723140</x:v>
      </x:c>
      <x:c r="H760" s="12" t="n">
        <x:v>186903</x:v>
      </x:c>
      <x:c r="I760" s="12" t="n">
        <x:v>19741.379967148736</x:v>
      </x:c>
      <x:c r="J760" s="12" t="n">
        <x:v>125458.1142468548</x:v>
      </x:c>
      <x:c r="K760" s="12" t="n">
        <x:v>96</x:v>
      </x:c>
      <x:c r="L760" s="12" t="n">
        <x:v>32.64195851751105</x:v>
      </x:c>
      <x:c r="M760" s="12" t="n">
        <x:v>8</x:v>
      </x:c>
      <x:c r="N760" s="14" t="n">
        <x:v>0.6791866115461443</x:v>
      </x:c>
      <x:c r="O760" s="14" t="n">
        <x:v>0.32081338845385565</x:v>
      </x:c>
      <x:c r="P760" s="14" t="n">
        <x:v>0.6999508483446809</x:v>
      </x:c>
      <x:c r="Q760" s="14" t="n">
        <x:v>0.057504681774036844</x:v>
      </x:c>
      <x:c r="R760" s="14" t="n">
        <x:v>0.36100684264348354</x:v>
      </x:c>
      <x:c r="S760" s="14" t="n">
        <x:v>0.3297804260186308</x:v>
      </x:c>
      <x:c r="T760" t="str">
        <x:v>야간활성·2030소비</x:v>
      </x:c>
      <x:c r="U760" s="16" t="n">
        <x:v>63.84619226643876</x:v>
      </x:c>
      <x:c r="V760" t="str">
        <x:v>슈퍼마켓</x:v>
      </x:c>
      <x:c r="W760" t="str">
        <x:v>슈퍼마켓 / 한식음식점 / 치킨전문점</x:v>
      </x:c>
      <x:c r="X760" s="16" t="n">
        <x:v>57.02908851053702</x:v>
      </x:c>
    </x:row>
    <x:row r="761">
      <x:c r="A761" t="str">
        <x:v>3130325</x:v>
      </x:c>
      <x:c r="B761" t="str">
        <x:v>명일전통시장</x:v>
      </x:c>
      <x:c r="C761" t="str">
        <x:v>전통시장</x:v>
      </x:c>
      <x:c r="D761" t="str">
        <x:v>강동구</x:v>
      </x:c>
      <x:c r="E761" t="str">
        <x:v>명일1동</x:v>
      </x:c>
      <x:c r="F761" s="12" t="n">
        <x:v>27547</x:v>
      </x:c>
      <x:c r="G761" s="12" t="n">
        <x:v>3680810022</x:v>
      </x:c>
      <x:c r="H761" s="12" t="n">
        <x:v>129473</x:v>
      </x:c>
      <x:c r="I761" s="12" t="n">
        <x:v>28429.170730577032</x:v>
      </x:c>
      <x:c r="J761" s="12" t="n">
        <x:v>133619.26968453915</x:v>
      </x:c>
      <x:c r="K761" s="12" t="n">
        <x:v>377</x:v>
      </x:c>
      <x:c r="L761" s="12" t="n">
        <x:v>136.8570080226522</x:v>
      </x:c>
      <x:c r="M761" s="12" t="n">
        <x:v>9</x:v>
      </x:c>
      <x:c r="N761" s="14" t="n">
        <x:v>0.7128541813669296</x:v>
      </x:c>
      <x:c r="O761" s="14" t="n">
        <x:v>0.2871458186330704</x:v>
      </x:c>
      <x:c r="P761" s="14" t="n">
        <x:v>0.24268179168742765</x:v>
      </x:c>
      <x:c r="Q761" s="14" t="n">
        <x:v>0.2953561320747784</x:v>
      </x:c>
      <x:c r="R761" s="14" t="n">
        <x:v>0.05402174108729375</x:v>
      </x:c>
      <x:c r="S761" s="14" t="n">
        <x:v>0.615039804409661</x:v>
      </x:c>
      <x:c r="T761" t="str">
        <x:v>여성소비·고매출밀도</x:v>
      </x:c>
      <x:c r="U761" s="16" t="n">
        <x:v>69.57429388409223</x:v>
      </x:c>
      <x:c r="V761" t="str">
        <x:v>육류판매</x:v>
      </x:c>
      <x:c r="W761" t="str">
        <x:v>육류판매 / 청과상 / 반찬가게</x:v>
      </x:c>
      <x:c r="X761" s="16" t="n">
        <x:v>58.7018384895404</x:v>
      </x:c>
    </x:row>
    <x:row r="762">
      <x:c r="A762" t="str">
        <x:v>3130031</x:v>
      </x:c>
      <x:c r="B762" t="str">
        <x:v>청계천공구상가</x:v>
      </x:c>
      <x:c r="C762" t="str">
        <x:v>전통시장</x:v>
      </x:c>
      <x:c r="D762" t="str">
        <x:v>중구</x:v>
      </x:c>
      <x:c r="E762" t="str">
        <x:v>을지로동</x:v>
      </x:c>
      <x:c r="F762" s="12" t="n">
        <x:v>29341</x:v>
      </x:c>
      <x:c r="G762" s="12" t="n">
        <x:v>3676872226</x:v>
      </x:c>
      <x:c r="H762" s="12" t="n">
        <x:v>67346</x:v>
      </x:c>
      <x:c r="I762" s="12" t="n">
        <x:v>54596.742583078434</x:v>
      </x:c>
      <x:c r="J762" s="12" t="n">
        <x:v>125315.16396850823</x:v>
      </x:c>
      <x:c r="K762" s="12" t="n">
        <x:v>710</x:v>
      </x:c>
      <x:c r="L762" s="12" t="n">
        <x:v>241.98220919532395</x:v>
      </x:c>
      <x:c r="M762" s="12" t="n">
        <x:v>5</x:v>
      </x:c>
      <x:c r="N762" s="14" t="n">
        <x:v>0.7678496108828341</x:v>
      </x:c>
      <x:c r="O762" s="14" t="n">
        <x:v>0.2321503891171659</x:v>
      </x:c>
      <x:c r="P762" s="14" t="n">
        <x:v>0.46228869009385043</x:v>
      </x:c>
      <x:c r="Q762" s="14" t="n">
        <x:v>0.15126028341894304</x:v>
      </x:c>
      <x:c r="R762" s="14" t="n">
        <x:v>0.21858815960932987</x:v>
      </x:c>
      <x:c r="S762" s="14" t="n">
        <x:v>0.2073721326534886</x:v>
      </x:c>
      <x:c r="T762" t="str">
        <x:v>직장밀집·야간활성</x:v>
      </x:c>
      <x:c r="U762" s="16" t="n">
        <x:v>61.09539189205343</x:v>
      </x:c>
      <x:c r="V762" t="str">
        <x:v>조명용품</x:v>
      </x:c>
      <x:c r="W762" t="str">
        <x:v>조명용품 / 호프-간이주점 / 한식음식점</x:v>
      </x:c>
      <x:c r="X762" s="16" t="n">
        <x:v>46.36416182422401</x:v>
      </x:c>
    </x:row>
    <x:row r="763">
      <x:c r="A763" t="str">
        <x:v>3110529</x:v>
      </x:c>
      <x:c r="B763" t="str">
        <x:v>홍제3동주민센터</x:v>
      </x:c>
      <x:c r="C763" t="str">
        <x:v>골목상권</x:v>
      </x:c>
      <x:c r="D763" t="str">
        <x:v>서대문구</x:v>
      </x:c>
      <x:c r="E763" t="str">
        <x:v>홍제3동</x:v>
      </x:c>
      <x:c r="F763" s="12" t="n">
        <x:v>113498</x:v>
      </x:c>
      <x:c r="G763" s="12" t="n">
        <x:v>3673840447</x:v>
      </x:c>
      <x:c r="H763" s="12" t="n">
        <x:v>224101</x:v>
      </x:c>
      <x:c r="I763" s="12" t="n">
        <x:v>16393.68163015783</x:v>
      </x:c>
      <x:c r="J763" s="12" t="n">
        <x:v>32369.208682091314</x:v>
      </x:c>
      <x:c r="K763" s="12" t="n">
        <x:v>273</x:v>
      </x:c>
      <x:c r="L763" s="12" t="n">
        <x:v>24.053287282595285</x:v>
      </x:c>
      <x:c r="M763" s="12" t="n">
        <x:v>19</x:v>
      </x:c>
      <x:c r="N763" s="14" t="n">
        <x:v>0.6955984427921456</x:v>
      </x:c>
      <x:c r="O763" s="14" t="n">
        <x:v>0.30440155720785445</x:v>
      </x:c>
      <x:c r="P763" s="14" t="n">
        <x:v>0.4798866781053761</x:v>
      </x:c>
      <x:c r="Q763" s="14" t="n">
        <x:v>0.16373242814374186</x:v>
      </x:c>
      <x:c r="R763" s="14" t="n">
        <x:v>0.2681535829364775</x:v>
      </x:c>
      <x:c r="S763" s="14" t="n">
        <x:v>0.37261251726863576</x:v>
      </x:c>
      <x:c r="T763" t="str">
        <x:v>야간활성·2030소비</x:v>
      </x:c>
      <x:c r="U763" s="16" t="n">
        <x:v>71.69492263845723</x:v>
      </x:c>
      <x:c r="V763" t="str">
        <x:v>피부관리실</x:v>
      </x:c>
      <x:c r="W763" t="str">
        <x:v>피부관리실 / 편의점 / 노래방</x:v>
      </x:c>
      <x:c r="X763" s="16" t="n">
        <x:v>61.321842582360375</x:v>
      </x:c>
    </x:row>
    <x:row r="764">
      <x:c r="A764" t="str">
        <x:v>3110300</x:v>
      </x:c>
      <x:c r="B764" t="str">
        <x:v>삼선동주민센터</x:v>
      </x:c>
      <x:c r="C764" t="str">
        <x:v>골목상권</x:v>
      </x:c>
      <x:c r="D764" t="str">
        <x:v>성북구</x:v>
      </x:c>
      <x:c r="E764" t="str">
        <x:v>안암동</x:v>
      </x:c>
      <x:c r="F764" s="12" t="n">
        <x:v>155662</x:v>
      </x:c>
      <x:c r="G764" s="12" t="n">
        <x:v>3660808016</x:v>
      </x:c>
      <x:c r="H764" s="12" t="n">
        <x:v>287365</x:v>
      </x:c>
      <x:c r="I764" s="12" t="n">
        <x:v>12739.227171019435</x:v>
      </x:c>
      <x:c r="J764" s="12" t="n">
        <x:v>23517.673009469236</x:v>
      </x:c>
      <x:c r="K764" s="12" t="n">
        <x:v>551</x:v>
      </x:c>
      <x:c r="L764" s="12" t="n">
        <x:v>35.39720676851126</x:v>
      </x:c>
      <x:c r="M764" s="12" t="n">
        <x:v>14</x:v>
      </x:c>
      <x:c r="N764" s="14" t="n">
        <x:v>0.6978926987795363</x:v>
      </x:c>
      <x:c r="O764" s="14" t="n">
        <x:v>0.3021073012204637</x:v>
      </x:c>
      <x:c r="P764" s="14" t="n">
        <x:v>0.533081710778247</x:v>
      </x:c>
      <x:c r="Q764" s="14" t="n">
        <x:v>0.20237917797435243</x:v>
      </x:c>
      <x:c r="R764" s="14" t="n">
        <x:v>0.4372082851667357</x:v>
      </x:c>
      <x:c r="S764" s="14" t="n">
        <x:v>0.43015876552866467</x:v>
      </x:c>
      <x:c r="T764" t="str">
        <x:v>2030소비·야간활성</x:v>
      </x:c>
      <x:c r="U764" s="16" t="n">
        <x:v>65.20699575736498</x:v>
      </x:c>
      <x:c r="V764" t="str">
        <x:v>화초</x:v>
      </x:c>
      <x:c r="W764" t="str">
        <x:v>화초 / 세탁소 / 미용실</x:v>
      </x:c>
      <x:c r="X764" s="16" t="n">
        <x:v>60.067448754646215</x:v>
      </x:c>
    </x:row>
    <x:row r="765">
      <x:c r="A765" t="str">
        <x:v>3110927</x:v>
      </x:c>
      <x:c r="B765" t="str">
        <x:v>잠원역</x:v>
      </x:c>
      <x:c r="C765" t="str">
        <x:v>골목상권</x:v>
      </x:c>
      <x:c r="D765" t="str">
        <x:v>서초구</x:v>
      </x:c>
      <x:c r="E765" t="str">
        <x:v>잠원동</x:v>
      </x:c>
      <x:c r="F765" s="12" t="n">
        <x:v>60236</x:v>
      </x:c>
      <x:c r="G765" s="12" t="n">
        <x:v>3659848163</x:v>
      </x:c>
      <x:c r="H765" s="12" t="n">
        <x:v>40388</x:v>
      </x:c>
      <x:c r="I765" s="12" t="n">
        <x:v>90617.21706942657</x:v>
      </x:c>
      <x:c r="J765" s="12" t="n">
        <x:v>60758.48600504681</x:v>
      </x:c>
      <x:c r="K765" s="12" t="n">
        <x:v>152</x:v>
      </x:c>
      <x:c r="L765" s="12" t="n">
        <x:v>25.23407928813334</x:v>
      </x:c>
      <x:c r="M765" s="12" t="n">
        <x:v>4</x:v>
      </x:c>
      <x:c r="N765" s="14" t="n">
        <x:v>0.8524967711891386</x:v>
      </x:c>
      <x:c r="O765" s="14" t="n">
        <x:v>0.14750322881086148</x:v>
      </x:c>
      <x:c r="P765" s="14" t="n">
        <x:v>0.4212026729918741</x:v>
      </x:c>
      <x:c r="Q765" s="14" t="n">
        <x:v>0.15307737344512343</x:v>
      </x:c>
      <x:c r="R765" s="14" t="n">
        <x:v>0.05428913718571663</x:v>
      </x:c>
      <x:c r="S765" s="14" t="n">
        <x:v>0.5207874308199818</x:v>
      </x:c>
      <x:c r="T765" t="str">
        <x:v>평일집중·여성소비</x:v>
      </x:c>
      <x:c r="U765" s="16" t="n">
        <x:v>67.86286236493545</x:v>
      </x:c>
      <x:c r="V765" t="str">
        <x:v>일반교습학원</x:v>
      </x:c>
      <x:c r="W765" t="str">
        <x:v>일반교습학원 / 커피-음료 / 한식음식점</x:v>
      </x:c>
      <x:c r="X765" s="16" t="n">
        <x:v>51.50893525330386</x:v>
      </x:c>
    </x:row>
    <x:row r="766">
      <x:c r="A766" t="str">
        <x:v>3110139</x:v>
      </x:c>
      <x:c r="B766" t="str">
        <x:v>자양4동주민센터</x:v>
      </x:c>
      <x:c r="C766" t="str">
        <x:v>골목상권</x:v>
      </x:c>
      <x:c r="D766" t="str">
        <x:v>광진구</x:v>
      </x:c>
      <x:c r="E766" t="str">
        <x:v>자양4동</x:v>
      </x:c>
      <x:c r="F766" s="12" t="n">
        <x:v>155861</x:v>
      </x:c>
      <x:c r="G766" s="12" t="n">
        <x:v>3643847815</x:v>
      </x:c>
      <x:c r="H766" s="12" t="n">
        <x:v>180743</x:v>
      </x:c>
      <x:c r="I766" s="12" t="n">
        <x:v>20160.38139789646</x:v>
      </x:c>
      <x:c r="J766" s="12" t="n">
        <x:v>23378.829951046126</x:v>
      </x:c>
      <x:c r="K766" s="12" t="n">
        <x:v>104</x:v>
      </x:c>
      <x:c r="L766" s="12" t="n">
        <x:v>6.672612135171723</x:v>
      </x:c>
      <x:c r="M766" s="12" t="n">
        <x:v>20</x:v>
      </x:c>
      <x:c r="N766" s="14" t="n">
        <x:v>0.7063096997095637</x:v>
      </x:c>
      <x:c r="O766" s="14" t="n">
        <x:v>0.29369030029043625</x:v>
      </x:c>
      <x:c r="P766" s="14" t="n">
        <x:v>0.3952346489530875</x:v>
      </x:c>
      <x:c r="Q766" s="14" t="n">
        <x:v>0.20709839414629888</x:v>
      </x:c>
      <x:c r="R766" s="14" t="n">
        <x:v>0.19408332836754325</x:v>
      </x:c>
      <x:c r="S766" s="14" t="n">
        <x:v>0.4173366782059201</x:v>
      </x:c>
      <x:c r="T766" t="str">
        <x:v>균형형</x:v>
      </x:c>
      <x:c r="U766" s="16" t="n">
        <x:v>65.95859893778749</x:v>
      </x:c>
      <x:c r="V766" t="str">
        <x:v>당구장</x:v>
      </x:c>
      <x:c r="W766" t="str">
        <x:v>당구장 / 일반의류 / 세탁소</x:v>
      </x:c>
      <x:c r="X766" s="16" t="n">
        <x:v>56.023095692528884</x:v>
      </x:c>
    </x:row>
    <x:row r="767">
      <x:c r="A767" t="str">
        <x:v>3110370</x:v>
      </x:c>
      <x:c r="B767" t="str">
        <x:v>도봉세무서</x:v>
      </x:c>
      <x:c r="C767" t="str">
        <x:v>골목상권</x:v>
      </x:c>
      <x:c r="D767" t="str">
        <x:v>강북구</x:v>
      </x:c>
      <x:c r="E767" t="str">
        <x:v>송천동</x:v>
      </x:c>
      <x:c r="F767" s="12" t="n">
        <x:v>108984</x:v>
      </x:c>
      <x:c r="G767" s="12" t="n">
        <x:v>3640154754</x:v>
      </x:c>
      <x:c r="H767" s="12" t="n">
        <x:v>129673</x:v>
      </x:c>
      <x:c r="I767" s="12" t="n">
        <x:v>28071.80179374272</x:v>
      </x:c>
      <x:c r="J767" s="12" t="n">
        <x:v>33400.81804668575</x:v>
      </x:c>
      <x:c r="K767" s="12" t="n">
        <x:v>123</x:v>
      </x:c>
      <x:c r="L767" s="12" t="n">
        <x:v>11.28606033913235</x:v>
      </x:c>
      <x:c r="M767" s="12" t="n">
        <x:v>10</x:v>
      </x:c>
      <x:c r="N767" s="14" t="n">
        <x:v>0.7788022269890562</x:v>
      </x:c>
      <x:c r="O767" s="14" t="n">
        <x:v>0.22119777301094382</x:v>
      </x:c>
      <x:c r="P767" s="14" t="n">
        <x:v>0.30844368711693515</x:v>
      </x:c>
      <x:c r="Q767" s="14" t="n">
        <x:v>0.25277579091627816</x:v>
      </x:c>
      <x:c r="R767" s="14" t="n">
        <x:v>0.16074493793348216</x:v>
      </x:c>
      <x:c r="S767" s="14" t="n">
        <x:v>0.2845669876704368</x:v>
      </x:c>
      <x:c r="T767" t="str">
        <x:v>평일집중</x:v>
      </x:c>
      <x:c r="U767" s="16" t="n">
        <x:v>61.290901568687296</x:v>
      </x:c>
      <x:c r="V767" t="str">
        <x:v>자동차수리</x:v>
      </x:c>
      <x:c r="W767" t="str">
        <x:v>자동차수리 / 슈퍼마켓 / 일반의류</x:v>
      </x:c>
      <x:c r="X767" s="16" t="n">
        <x:v>52.148364417769315</x:v>
      </x:c>
    </x:row>
    <x:row r="768">
      <x:c r="A768" t="str">
        <x:v>3110612</x:v>
      </x:c>
      <x:c r="B768" t="str">
        <x:v>신정역 5번</x:v>
      </x:c>
      <x:c r="C768" t="str">
        <x:v>골목상권</x:v>
      </x:c>
      <x:c r="D768" t="str">
        <x:v>양천구</x:v>
      </x:c>
      <x:c r="E768" t="str">
        <x:v>신정4동</x:v>
      </x:c>
      <x:c r="F768" s="12" t="n">
        <x:v>167833</x:v>
      </x:c>
      <x:c r="G768" s="12" t="n">
        <x:v>3573781114</x:v>
      </x:c>
      <x:c r="H768" s="12" t="n">
        <x:v>257809</x:v>
      </x:c>
      <x:c r="I768" s="12" t="n">
        <x:v>13862.127055300629</x:v>
      </x:c>
      <x:c r="J768" s="12" t="n">
        <x:v>21293.673556451948</x:v>
      </x:c>
      <x:c r="K768" s="12" t="n">
        <x:v>677</x:v>
      </x:c>
      <x:c r="L768" s="12" t="n">
        <x:v>40.33771665882157</x:v>
      </x:c>
      <x:c r="M768" s="12" t="n">
        <x:v>17</x:v>
      </x:c>
      <x:c r="N768" s="14" t="n">
        <x:v>0.7079253237108019</x:v>
      </x:c>
      <x:c r="O768" s="14" t="n">
        <x:v>0.29207467628919814</x:v>
      </x:c>
      <x:c r="P768" s="14" t="n">
        <x:v>0.4765982027627896</x:v>
      </x:c>
      <x:c r="Q768" s="14" t="n">
        <x:v>0.14924780673067264</x:v>
      </x:c>
      <x:c r="R768" s="14" t="n">
        <x:v>0.24527644588140268</x:v>
      </x:c>
      <x:c r="S768" s="14" t="n">
        <x:v>0.45382329562559776</x:v>
      </x:c>
      <x:c r="T768" t="str">
        <x:v>야간활성·2030소비</x:v>
      </x:c>
      <x:c r="U768" s="16" t="n">
        <x:v>59.54157667819377</x:v>
      </x:c>
      <x:c r="V768" t="str">
        <x:v>일반교습학원</x:v>
      </x:c>
      <x:c r="W768" t="str">
        <x:v>일반교습학원 / 편의점 / 일반의류</x:v>
      </x:c>
      <x:c r="X768" s="16" t="n">
        <x:v>53.386980165297835</x:v>
      </x:c>
    </x:row>
    <x:row r="769">
      <x:c r="A769" t="str">
        <x:v>3130084</x:v>
      </x:c>
      <x:c r="B769" t="str">
        <x:v>신성시장(신성골목시장)</x:v>
      </x:c>
      <x:c r="C769" t="str">
        <x:v>전통시장</x:v>
      </x:c>
      <x:c r="D769" t="str">
        <x:v>광진구</x:v>
      </x:c>
      <x:c r="E769" t="str">
        <x:v>중곡4동</x:v>
      </x:c>
      <x:c r="F769" s="12" t="n">
        <x:v>16181</x:v>
      </x:c>
      <x:c r="G769" s="12" t="n">
        <x:v>3569814821</x:v>
      </x:c>
      <x:c r="H769" s="12" t="n">
        <x:v>124194</x:v>
      </x:c>
      <x:c r="I769" s="12" t="n">
        <x:v>28743.858970642705</x:v>
      </x:c>
      <x:c r="J769" s="12" t="n">
        <x:v>220617.68870897967</x:v>
      </x:c>
      <x:c r="K769" s="12" t="n">
        <x:v>315</x:v>
      </x:c>
      <x:c r="L769" s="12" t="n">
        <x:v>194.67276435325383</x:v>
      </x:c>
      <x:c r="M769" s="12" t="n">
        <x:v>9</x:v>
      </x:c>
      <x:c r="N769" s="14" t="n">
        <x:v>0.7241831432801932</x:v>
      </x:c>
      <x:c r="O769" s="14" t="n">
        <x:v>0.2758168567198069</x:v>
      </x:c>
      <x:c r="P769" s="14" t="n">
        <x:v>0.3354906761422738</x:v>
      </x:c>
      <x:c r="Q769" s="14" t="n">
        <x:v>0.2857304653450538</x:v>
      </x:c>
      <x:c r="R769" s="14" t="n">
        <x:v>0.1135089847283706</x:v>
      </x:c>
      <x:c r="S769" s="14" t="n">
        <x:v>0.4941138993046945</x:v>
      </x:c>
      <x:c r="T769" t="str">
        <x:v>고매출밀도·직장밀집</x:v>
      </x:c>
      <x:c r="U769" s="16" t="n">
        <x:v>66.68254382058414</x:v>
      </x:c>
      <x:c r="V769" t="str">
        <x:v>육류판매</x:v>
      </x:c>
      <x:c r="W769" t="str">
        <x:v>육류판매 / 화장품 / 일반의류</x:v>
      </x:c>
      <x:c r="X769" s="16" t="n">
        <x:v>57.92862082404217</x:v>
      </x:c>
    </x:row>
    <x:row r="770">
      <x:c r="A770" t="str">
        <x:v>3110393</x:v>
      </x:c>
      <x:c r="B770" t="str">
        <x:v>국민은행방학지점</x:v>
      </x:c>
      <x:c r="C770" t="str">
        <x:v>골목상권</x:v>
      </x:c>
      <x:c r="D770" t="str">
        <x:v>도봉구</x:v>
      </x:c>
      <x:c r="E770" t="str">
        <x:v>방학3동</x:v>
      </x:c>
      <x:c r="F770" s="12" t="n">
        <x:v>21358</x:v>
      </x:c>
      <x:c r="G770" s="12" t="n">
        <x:v>3557737084</x:v>
      </x:c>
      <x:c r="H770" s="12" t="n">
        <x:v>216320</x:v>
      </x:c>
      <x:c r="I770" s="12" t="n">
        <x:v>16446.63962647929</x:v>
      </x:c>
      <x:c r="J770" s="12" t="n">
        <x:v>166576.32194025657</x:v>
      </x:c>
      <x:c r="K770" s="12" t="n">
        <x:v>429</x:v>
      </x:c>
      <x:c r="L770" s="12" t="n">
        <x:v>200.86150388613166</x:v>
      </x:c>
      <x:c r="M770" s="12" t="n">
        <x:v>7</x:v>
      </x:c>
      <x:c r="N770" s="14" t="n">
        <x:v>0.8648104841240146</x:v>
      </x:c>
      <x:c r="O770" s="14" t="n">
        <x:v>0.1351895158759854</x:v>
      </x:c>
      <x:c r="P770" s="14" t="n">
        <x:v>0.20084709160031905</x:v>
      </x:c>
      <x:c r="Q770" s="14" t="n">
        <x:v>0.2716294364038509</x:v>
      </x:c>
      <x:c r="R770" s="14" t="n">
        <x:v>0.16356575549583247</x:v>
      </x:c>
      <x:c r="S770" s="14" t="n">
        <x:v>0.5387645842690943</x:v>
      </x:c>
      <x:c r="T770" t="str">
        <x:v>평일집중·여성소비</x:v>
      </x:c>
      <x:c r="U770" s="16" t="n">
        <x:v>75.61454186441367</x:v>
      </x:c>
      <x:c r="V770" t="str">
        <x:v>스포츠클럽</x:v>
      </x:c>
      <x:c r="W770" t="str">
        <x:v>스포츠클럽 / 의약품 / 일반의원</x:v>
      </x:c>
      <x:c r="X770" s="16" t="n">
        <x:v>59.26424312255807</x:v>
      </x:c>
    </x:row>
    <x:row r="771">
      <x:c r="A771" t="str">
        <x:v>3120126</x:v>
      </x:c>
      <x:c r="B771" t="str">
        <x:v>디지털단지오거리</x:v>
      </x:c>
      <x:c r="C771" t="str">
        <x:v>발달상권</x:v>
      </x:c>
      <x:c r="D771" t="str">
        <x:v>구로구</x:v>
      </x:c>
      <x:c r="E771" t="str">
        <x:v>가리봉동</x:v>
      </x:c>
      <x:c r="F771" s="12" t="n">
        <x:v>51996</x:v>
      </x:c>
      <x:c r="G771" s="12" t="n">
        <x:v>3556783440</x:v>
      </x:c>
      <x:c r="H771" s="12" t="n">
        <x:v>244596</x:v>
      </x:c>
      <x:c r="I771" s="12" t="n">
        <x:v>14541.462002649267</x:v>
      </x:c>
      <x:c r="J771" s="12" t="n">
        <x:v>68404.94345718902</x:v>
      </x:c>
      <x:c r="K771" s="12" t="n">
        <x:v>71</x:v>
      </x:c>
      <x:c r="L771" s="12" t="n">
        <x:v>13.654896530502347</x:v>
      </x:c>
      <x:c r="M771" s="12" t="n">
        <x:v>13</x:v>
      </x:c>
      <x:c r="N771" s="14" t="n">
        <x:v>0.69998719601551</x:v>
      </x:c>
      <x:c r="O771" s="14" t="n">
        <x:v>0.30001280398449</x:v>
      </x:c>
      <x:c r="P771" s="14" t="n">
        <x:v>0.49172112851492583</x:v>
      </x:c>
      <x:c r="Q771" s="14" t="n">
        <x:v>0.1565716016716497</x:v>
      </x:c>
      <x:c r="R771" s="14" t="n">
        <x:v>0.22967572268049022</x:v>
      </x:c>
      <x:c r="S771" s="14" t="n">
        <x:v>0.2871189981698745</x:v>
      </x:c>
      <x:c r="T771" t="str">
        <x:v>야간활성·고매출밀도</x:v>
      </x:c>
      <x:c r="U771" s="16" t="n">
        <x:v>64.09292375004023</x:v>
      </x:c>
      <x:c r="V771" t="str">
        <x:v>핸드폰</x:v>
      </x:c>
      <x:c r="W771" t="str">
        <x:v>핸드폰 / 일반의류 / 분식전문점</x:v>
      </x:c>
      <x:c r="X771" s="16" t="n">
        <x:v>57.87100567558012</x:v>
      </x:c>
    </x:row>
    <x:row r="772">
      <x:c r="A772" t="str">
        <x:v>3110179</x:v>
      </x:c>
      <x:c r="B772" t="str">
        <x:v>광나루역 1번</x:v>
      </x:c>
      <x:c r="C772" t="str">
        <x:v>골목상권</x:v>
      </x:c>
      <x:c r="D772" t="str">
        <x:v>광진구</x:v>
      </x:c>
      <x:c r="E772" t="str">
        <x:v>광장동</x:v>
      </x:c>
      <x:c r="F772" s="12" t="n">
        <x:v>42085</x:v>
      </x:c>
      <x:c r="G772" s="12" t="n">
        <x:v>3545614347</x:v>
      </x:c>
      <x:c r="H772" s="12" t="n">
        <x:v>275473</x:v>
      </x:c>
      <x:c r="I772" s="12" t="n">
        <x:v>12871.004951483448</x:v>
      </x:c>
      <x:c r="J772" s="12" t="n">
        <x:v>84248.88551740524</x:v>
      </x:c>
      <x:c r="K772" s="12" t="n">
        <x:v>1004</x:v>
      </x:c>
      <x:c r="L772" s="12" t="n">
        <x:v>238.56480931448257</x:v>
      </x:c>
      <x:c r="M772" s="12" t="n">
        <x:v>8</x:v>
      </x:c>
      <x:c r="N772" s="14" t="n">
        <x:v>0.7357035271495646</x:v>
      </x:c>
      <x:c r="O772" s="14" t="n">
        <x:v>0.26429647285043545</x:v>
      </x:c>
      <x:c r="P772" s="14" t="n">
        <x:v>0.3020585617006474</x:v>
      </x:c>
      <x:c r="Q772" s="14" t="n">
        <x:v>0.37079993657866367</x:v>
      </x:c>
      <x:c r="R772" s="14" t="n">
        <x:v>0.21606051533725926</x:v>
      </x:c>
      <x:c r="S772" s="14" t="n">
        <x:v>0.4222572678460566</x:v>
      </x:c>
      <x:c r="T772" t="str">
        <x:v>직장밀집·고매출밀도</x:v>
      </x:c>
      <x:c r="U772" s="16" t="n">
        <x:v>65.9423623102053</x:v>
      </x:c>
      <x:c r="V772" t="str">
        <x:v>커피-음료</x:v>
      </x:c>
      <x:c r="W772" t="str">
        <x:v>커피-음료 / 미용실 / 일반의류</x:v>
      </x:c>
      <x:c r="X772" s="16" t="n">
        <x:v>59.44302157877297</x:v>
      </x:c>
    </x:row>
    <x:row r="773">
      <x:c r="A773" t="str">
        <x:v>3130203</x:v>
      </x:c>
      <x:c r="B773" t="str">
        <x:v>서서울 골목형상점가</x:v>
      </x:c>
      <x:c r="C773" t="str">
        <x:v>전통시장</x:v>
      </x:c>
      <x:c r="D773" t="str">
        <x:v>양천구</x:v>
      </x:c>
      <x:c r="E773" t="str">
        <x:v>신월1동</x:v>
      </x:c>
      <x:c r="F773" s="12" t="n">
        <x:v>20663</x:v>
      </x:c>
      <x:c r="G773" s="12" t="n">
        <x:v>3537985415</x:v>
      </x:c>
      <x:c r="H773" s="12" t="n">
        <x:v>205990</x:v>
      </x:c>
      <x:c r="I773" s="12" t="n">
        <x:v>17175.52024370115</x:v>
      </x:c>
      <x:c r="J773" s="12" t="n">
        <x:v>171223.22097468906</x:v>
      </x:c>
      <x:c r="K773" s="12" t="n">
        <x:v>112</x:v>
      </x:c>
      <x:c r="L773" s="12" t="n">
        <x:v>54.203165077675074</x:v>
      </x:c>
      <x:c r="M773" s="12" t="n">
        <x:v>10</x:v>
      </x:c>
      <x:c r="N773" s="14" t="n">
        <x:v>0.6983310579871341</x:v>
      </x:c>
      <x:c r="O773" s="14" t="n">
        <x:v>0.3016689420128658</x:v>
      </x:c>
      <x:c r="P773" s="14" t="n">
        <x:v>0.24864673954570274</x:v>
      </x:c>
      <x:c r="Q773" s="14" t="n">
        <x:v>0.3229466769862306</x:v>
      </x:c>
      <x:c r="R773" s="14" t="n">
        <x:v>0.106133133395068</x:v>
      </x:c>
      <x:c r="S773" s="14" t="n">
        <x:v>0.5611343510866339</x:v>
      </x:c>
      <x:c r="T773" t="str">
        <x:v>여성소비·고매출밀도</x:v>
      </x:c>
      <x:c r="U773" s="16" t="n">
        <x:v>57.18440869266329</x:v>
      </x:c>
      <x:c r="V773" t="str">
        <x:v>반찬가게</x:v>
      </x:c>
      <x:c r="W773" t="str">
        <x:v>반찬가게 / 청과상 / 한식음식점</x:v>
      </x:c>
      <x:c r="X773" s="16" t="n">
        <x:v>52.84624324857958</x:v>
      </x:c>
    </x:row>
    <x:row r="774">
      <x:c r="A774" t="str">
        <x:v>3110420</x:v>
      </x:c>
      <x:c r="B774" t="str">
        <x:v>광운대역 1번</x:v>
      </x:c>
      <x:c r="C774" t="str">
        <x:v>골목상권</x:v>
      </x:c>
      <x:c r="D774" t="str">
        <x:v>노원구</x:v>
      </x:c>
      <x:c r="E774" t="str">
        <x:v>월계1동</x:v>
      </x:c>
      <x:c r="F774" s="12" t="n">
        <x:v>50431</x:v>
      </x:c>
      <x:c r="G774" s="12" t="n">
        <x:v>3529685804</x:v>
      </x:c>
      <x:c r="H774" s="12" t="n">
        <x:v>267557</x:v>
      </x:c>
      <x:c r="I774" s="12" t="n">
        <x:v>13192.276053326954</x:v>
      </x:c>
      <x:c r="J774" s="12" t="n">
        <x:v>69990.39884198211</x:v>
      </x:c>
      <x:c r="K774" s="12" t="n">
        <x:v>398</x:v>
      </x:c>
      <x:c r="L774" s="12" t="n">
        <x:v>78.91971208185443</x:v>
      </x:c>
      <x:c r="M774" s="12" t="n">
        <x:v>15</x:v>
      </x:c>
      <x:c r="N774" s="14" t="n">
        <x:v>0.7840981182697926</x:v>
      </x:c>
      <x:c r="O774" s="14" t="n">
        <x:v>0.21590188173020738</x:v>
      </x:c>
      <x:c r="P774" s="14" t="n">
        <x:v>0.35837927176591267</x:v>
      </x:c>
      <x:c r="Q774" s="14" t="n">
        <x:v>0.30721621589409887</x:v>
      </x:c>
      <x:c r="R774" s="14" t="n">
        <x:v>0.31287796629050896</x:v>
      </x:c>
      <x:c r="S774" s="14" t="n">
        <x:v>0.41938825668914975</x:v>
      </x:c>
      <x:c r="T774" t="str">
        <x:v>2030소비·평일집중</x:v>
      </x:c>
      <x:c r="U774" s="16" t="n">
        <x:v>68.58058545419225</x:v>
      </x:c>
      <x:c r="V774" t="str">
        <x:v>미용실</x:v>
      </x:c>
      <x:c r="W774" t="str">
        <x:v>미용실 / 커피-음료 / 분식전문점</x:v>
      </x:c>
      <x:c r="X774" s="16" t="n">
        <x:v>58.895818693818754</x:v>
      </x:c>
    </x:row>
    <x:row r="775">
      <x:c r="A775" t="str">
        <x:v>3110189</x:v>
      </x:c>
      <x:c r="B775" t="str">
        <x:v>제기동역 1번</x:v>
      </x:c>
      <x:c r="C775" t="str">
        <x:v>골목상권</x:v>
      </x:c>
      <x:c r="D775" t="str">
        <x:v>동대문구</x:v>
      </x:c>
      <x:c r="E775" t="str">
        <x:v>제기동</x:v>
      </x:c>
      <x:c r="F775" s="12" t="n">
        <x:v>88499</x:v>
      </x:c>
      <x:c r="G775" s="12" t="n">
        <x:v>3528704128</x:v>
      </x:c>
      <x:c r="H775" s="12" t="n">
        <x:v>63692</x:v>
      </x:c>
      <x:c r="I775" s="12" t="n">
        <x:v>55402.627143126294</x:v>
      </x:c>
      <x:c r="J775" s="12" t="n">
        <x:v>39872.813568514895</x:v>
      </x:c>
      <x:c r="K775" s="12" t="n">
        <x:v>669</x:v>
      </x:c>
      <x:c r="L775" s="12" t="n">
        <x:v>75.59407450931648</x:v>
      </x:c>
      <x:c r="M775" s="12" t="n">
        <x:v>4</x:v>
      </x:c>
      <x:c r="N775" s="14" t="n">
        <x:v>0.8903849614563094</x:v>
      </x:c>
      <x:c r="O775" s="14" t="n">
        <x:v>0.10961503854369056</x:v>
      </x:c>
      <x:c r="P775" s="14" t="n">
        <x:v>0.08276181040021727</x:v>
      </x:c>
      <x:c r="Q775" s="14" t="n">
        <x:v>0.556640482667296</x:v>
      </x:c>
      <x:c r="R775" s="14" t="n">
        <x:v>0.13679453263586286</x:v>
      </x:c>
      <x:c r="S775" s="14" t="n">
        <x:v>0.32675713241322796</x:v>
      </x:c>
      <x:c r="T775" t="str">
        <x:v>평일집중</x:v>
      </x:c>
      <x:c r="U775" s="16" t="n">
        <x:v>81.76340274053369</x:v>
      </x:c>
      <x:c r="V775" t="str">
        <x:v>서적</x:v>
      </x:c>
      <x:c r="W775" t="str">
        <x:v>서적 / 전자상거래업 / 편의점</x:v>
      </x:c>
      <x:c r="X775" s="16" t="n">
        <x:v>52.36539087054022</x:v>
      </x:c>
    </x:row>
    <x:row r="776">
      <x:c r="A776" t="str">
        <x:v>3120019</x:v>
      </x:c>
      <x:c r="B776" t="str">
        <x:v>경찰청앞교차로</x:v>
      </x:c>
      <x:c r="C776" t="str">
        <x:v>발달상권</x:v>
      </x:c>
      <x:c r="D776" t="str">
        <x:v>중구</x:v>
      </x:c>
      <x:c r="E776" t="str">
        <x:v>소공동</x:v>
      </x:c>
      <x:c r="F776" s="12" t="n">
        <x:v>90827</x:v>
      </x:c>
      <x:c r="G776" s="12" t="n">
        <x:v>3521340442</x:v>
      </x:c>
      <x:c r="H776" s="12" t="n">
        <x:v>366964</x:v>
      </x:c>
      <x:c r="I776" s="12" t="n">
        <x:v>9595.874369147927</x:v>
      </x:c>
      <x:c r="J776" s="12" t="n">
        <x:v>38769.75394981669</x:v>
      </x:c>
      <x:c r="K776" s="12" t="n">
        <x:v>8770</x:v>
      </x:c>
      <x:c r="L776" s="12" t="n">
        <x:v>965.5719114360268</x:v>
      </x:c>
      <x:c r="M776" s="12" t="n">
        <x:v>7</x:v>
      </x:c>
      <x:c r="N776" s="14" t="n">
        <x:v>0.8179237561489944</x:v>
      </x:c>
      <x:c r="O776" s="14" t="n">
        <x:v>0.18207624385100565</x:v>
      </x:c>
      <x:c r="P776" s="14" t="n">
        <x:v>0.2462557708585224</x:v>
      </x:c>
      <x:c r="Q776" s="14" t="n">
        <x:v>0.33935374772264065</x:v>
      </x:c>
      <x:c r="R776" s="14" t="n">
        <x:v>0.3510654241933703</x:v>
      </x:c>
      <x:c r="S776" s="14" t="n">
        <x:v>0.35709945366310597</x:v>
      </x:c>
      <x:c r="T776" t="str">
        <x:v>직장밀집·2030소비</x:v>
      </x:c>
      <x:c r="U776" s="16" t="n">
        <x:v>64.59513722068046</x:v>
      </x:c>
      <x:c r="V776" t="str">
        <x:v>커피-음료</x:v>
      </x:c>
      <x:c r="W776" t="str">
        <x:v>커피-음료 / 패스트푸드점 / 편의점</x:v>
      </x:c>
      <x:c r="X776" s="16" t="n">
        <x:v>48.92376804356299</x:v>
      </x:c>
    </x:row>
    <x:row r="777">
      <x:c r="A777" t="str">
        <x:v>3110863</x:v>
      </x:c>
      <x:c r="B777" t="str">
        <x:v>난우초등학교</x:v>
      </x:c>
      <x:c r="C777" t="str">
        <x:v>골목상권</x:v>
      </x:c>
      <x:c r="D777" t="str">
        <x:v>관악구</x:v>
      </x:c>
      <x:c r="E777" t="str">
        <x:v>미성동</x:v>
      </x:c>
      <x:c r="F777" s="12" t="n">
        <x:v>109345</x:v>
      </x:c>
      <x:c r="G777" s="12" t="n">
        <x:v>3520379498</x:v>
      </x:c>
      <x:c r="H777" s="12" t="n">
        <x:v>108182</x:v>
      </x:c>
      <x:c r="I777" s="12" t="n">
        <x:v>32541.26839954891</x:v>
      </x:c>
      <x:c r="J777" s="12" t="n">
        <x:v>32195.15751063149</x:v>
      </x:c>
      <x:c r="K777" s="12" t="n">
        <x:v>581</x:v>
      </x:c>
      <x:c r="L777" s="12" t="n">
        <x:v>53.134574054597834</x:v>
      </x:c>
      <x:c r="M777" s="12" t="n">
        <x:v>19</x:v>
      </x:c>
      <x:c r="N777" s="14" t="n">
        <x:v>0.7642562103115623</x:v>
      </x:c>
      <x:c r="O777" s="14" t="n">
        <x:v>0.23574378968843773</x:v>
      </x:c>
      <x:c r="P777" s="14" t="n">
        <x:v>0.4559302751058119</x:v>
      </x:c>
      <x:c r="Q777" s="14" t="n">
        <x:v>0.19189967285737214</x:v>
      </x:c>
      <x:c r="R777" s="14" t="n">
        <x:v>0.1456077241931489</x:v>
      </x:c>
      <x:c r="S777" s="14" t="n">
        <x:v>0.5343455718534582</x:v>
      </x:c>
      <x:c r="T777" t="str">
        <x:v>여성소비·야간활성</x:v>
      </x:c>
      <x:c r="U777" s="16" t="n">
        <x:v>63.19270645158536</x:v>
      </x:c>
      <x:c r="V777" t="str">
        <x:v>예술학원</x:v>
      </x:c>
      <x:c r="W777" t="str">
        <x:v>예술학원 / 당구장 / 미용실</x:v>
      </x:c>
      <x:c r="X777" s="16" t="n">
        <x:v>59.97267705006442</x:v>
      </x:c>
    </x:row>
    <x:row r="778">
      <x:c r="A778" t="str">
        <x:v>3110820</x:v>
      </x:c>
      <x:c r="B778" t="str">
        <x:v>성남고등학교</x:v>
      </x:c>
      <x:c r="C778" t="str">
        <x:v>골목상권</x:v>
      </x:c>
      <x:c r="D778" t="str">
        <x:v>동작구</x:v>
      </x:c>
      <x:c r="E778" t="str">
        <x:v>대방동</x:v>
      </x:c>
      <x:c r="F778" s="12" t="n">
        <x:v>100016</x:v>
      </x:c>
      <x:c r="G778" s="12" t="n">
        <x:v>3517541983</x:v>
      </x:c>
      <x:c r="H778" s="12" t="n">
        <x:v>89633</x:v>
      </x:c>
      <x:c r="I778" s="12" t="n">
        <x:v>39243.827418473105</x:v>
      </x:c>
      <x:c r="J778" s="12" t="n">
        <x:v>35169.792663173896</x:v>
      </x:c>
      <x:c r="K778" s="12" t="n">
        <x:v>819</x:v>
      </x:c>
      <x:c r="L778" s="12" t="n">
        <x:v>81.88689809630459</x:v>
      </x:c>
      <x:c r="M778" s="12" t="n">
        <x:v>18</x:v>
      </x:c>
      <x:c r="N778" s="14" t="n">
        <x:v>0.7568665223803244</x:v>
      </x:c>
      <x:c r="O778" s="14" t="n">
        <x:v>0.24313347761967566</x:v>
      </x:c>
      <x:c r="P778" s="14" t="n">
        <x:v>0.460556356066099</x:v>
      </x:c>
      <x:c r="Q778" s="14" t="n">
        <x:v>0.154277744692948</x:v>
      </x:c>
      <x:c r="R778" s="14" t="n">
        <x:v>0.07716555319362624</x:v>
      </x:c>
      <x:c r="S778" s="14" t="n">
        <x:v>0.528434912499522</x:v>
      </x:c>
      <x:c r="T778" t="str">
        <x:v>여성소비·야간활성</x:v>
      </x:c>
      <x:c r="U778" s="16" t="n">
        <x:v>60.96975740378958</x:v>
      </x:c>
      <x:c r="V778" t="str">
        <x:v>피부관리실</x:v>
      </x:c>
      <x:c r="W778" t="str">
        <x:v>피부관리실 / 조명용품 / 일반교습학원</x:v>
      </x:c>
      <x:c r="X778" s="16" t="n">
        <x:v>56.648886595981274</x:v>
      </x:c>
    </x:row>
    <x:row r="779">
      <x:c r="A779" t="str">
        <x:v>3110296</x:v>
      </x:c>
      <x:c r="B779" t="str">
        <x:v>성신여대입구역 4번</x:v>
      </x:c>
      <x:c r="C779" t="str">
        <x:v>골목상권</x:v>
      </x:c>
      <x:c r="D779" t="str">
        <x:v>성북구</x:v>
      </x:c>
      <x:c r="E779" t="str">
        <x:v>동선동</x:v>
      </x:c>
      <x:c r="F779" s="12" t="n">
        <x:v>59460</x:v>
      </x:c>
      <x:c r="G779" s="12" t="n">
        <x:v>3508484340</x:v>
      </x:c>
      <x:c r="H779" s="12" t="n">
        <x:v>210181</x:v>
      </x:c>
      <x:c r="I779" s="12" t="n">
        <x:v>16692.680784657034</x:v>
      </x:c>
      <x:c r="J779" s="12" t="n">
        <x:v>59005.79112008073</x:v>
      </x:c>
      <x:c r="K779" s="12" t="n">
        <x:v>624</x:v>
      </x:c>
      <x:c r="L779" s="12" t="n">
        <x:v>104.94450050454085</x:v>
      </x:c>
      <x:c r="M779" s="12" t="n">
        <x:v>12</x:v>
      </x:c>
      <x:c r="N779" s="14" t="n">
        <x:v>0.8031695638122757</x:v>
      </x:c>
      <x:c r="O779" s="14" t="n">
        <x:v>0.1968304361877243</x:v>
      </x:c>
      <x:c r="P779" s="14" t="n">
        <x:v>0.3189437852813674</x:v>
      </x:c>
      <x:c r="Q779" s="14" t="n">
        <x:v>0.29465423037915</x:v>
      </x:c>
      <x:c r="R779" s="14" t="n">
        <x:v>0.2882016175680009</x:v>
      </x:c>
      <x:c r="S779" s="14" t="n">
        <x:v>0.6124773371512326</x:v>
      </x:c>
      <x:c r="T779" t="str">
        <x:v>여성소비·평일집중</x:v>
      </x:c>
      <x:c r="U779" s="16" t="n">
        <x:v>66.64176638774191</x:v>
      </x:c>
      <x:c r="V779" t="str">
        <x:v>일반교습학원</x:v>
      </x:c>
      <x:c r="W779" t="str">
        <x:v>일반교습학원 / 일반의류 / 피부관리실</x:v>
      </x:c>
      <x:c r="X779" s="16" t="n">
        <x:v>59.66939830728463</x:v>
      </x:c>
    </x:row>
    <x:row r="780">
      <x:c r="A780" t="str">
        <x:v>3110711</x:v>
      </x:c>
      <x:c r="B780" t="str">
        <x:v>구로초등학교</x:v>
      </x:c>
      <x:c r="C780" t="str">
        <x:v>골목상권</x:v>
      </x:c>
      <x:c r="D780" t="str">
        <x:v>구로구</x:v>
      </x:c>
      <x:c r="E780" t="str">
        <x:v>구로2동</x:v>
      </x:c>
      <x:c r="F780" s="12" t="n">
        <x:v>157006</x:v>
      </x:c>
      <x:c r="G780" s="12" t="n">
        <x:v>3461626474</x:v>
      </x:c>
      <x:c r="H780" s="12" t="n">
        <x:v>75924</x:v>
      </x:c>
      <x:c r="I780" s="12" t="n">
        <x:v>45593.31007323113</x:v>
      </x:c>
      <x:c r="J780" s="12" t="n">
        <x:v>22047.73367896768</x:v>
      </x:c>
      <x:c r="K780" s="12" t="n">
        <x:v>910</x:v>
      </x:c>
      <x:c r="L780" s="12" t="n">
        <x:v>57.959568424136656</x:v>
      </x:c>
      <x:c r="M780" s="12" t="n">
        <x:v>14</x:v>
      </x:c>
      <x:c r="N780" s="14" t="n">
        <x:v>0.8090719391695985</x:v>
      </x:c>
      <x:c r="O780" s="14" t="n">
        <x:v>0.19092806083040142</x:v>
      </x:c>
      <x:c r="P780" s="14" t="n">
        <x:v>0.2380363329749598</x:v>
      </x:c>
      <x:c r="Q780" s="14" t="n">
        <x:v>0.3654224086570237</x:v>
      </x:c>
      <x:c r="R780" s="14" t="n">
        <x:v>0.07627746927151563</x:v>
      </x:c>
      <x:c r="S780" s="14" t="n">
        <x:v>0.23800906891261545</x:v>
      </x:c>
      <x:c r="T780" t="str">
        <x:v>평일집중</x:v>
      </x:c>
      <x:c r="U780" s="16" t="n">
        <x:v>61.507071485417626</x:v>
      </x:c>
      <x:c r="V780" t="str">
        <x:v>한식음식점</x:v>
      </x:c>
      <x:c r="W780" t="str">
        <x:v>한식음식점 / 일반의원 / 미용실</x:v>
      </x:c>
      <x:c r="X780" s="16" t="n">
        <x:v>54.79017819944619</x:v>
      </x:c>
    </x:row>
    <x:row r="781">
      <x:c r="A781" t="str">
        <x:v>3120141</x:v>
      </x:c>
      <x:c r="B781" t="str">
        <x:v>영등포청과시장교차로</x:v>
      </x:c>
      <x:c r="C781" t="str">
        <x:v>발달상권</x:v>
      </x:c>
      <x:c r="D781" t="str">
        <x:v>영등포구</x:v>
      </x:c>
      <x:c r="E781" t="str">
        <x:v>당산1동</x:v>
      </x:c>
      <x:c r="F781" s="12" t="n">
        <x:v>80055</x:v>
      </x:c>
      <x:c r="G781" s="12" t="n">
        <x:v>3459607089</x:v>
      </x:c>
      <x:c r="H781" s="12" t="n">
        <x:v>103005</x:v>
      </x:c>
      <x:c r="I781" s="12" t="n">
        <x:v>33586.7879132081</x:v>
      </x:c>
      <x:c r="J781" s="12" t="n">
        <x:v>43215.378040097436</x:v>
      </x:c>
      <x:c r="K781" s="12" t="n">
        <x:v>2597</x:v>
      </x:c>
      <x:c r="L781" s="12" t="n">
        <x:v>324.40197364312036</x:v>
      </x:c>
      <x:c r="M781" s="12" t="n">
        <x:v>17</x:v>
      </x:c>
      <x:c r="N781" s="14" t="n">
        <x:v>0.8204650739169531</x:v>
      </x:c>
      <x:c r="O781" s="14" t="n">
        <x:v>0.1795349260830469</x:v>
      </x:c>
      <x:c r="P781" s="14" t="n">
        <x:v>0.37720956294409996</x:v>
      </x:c>
      <x:c r="Q781" s="14" t="n">
        <x:v>0.29435748910271703</x:v>
      </x:c>
      <x:c r="R781" s="14" t="n">
        <x:v>0.20873917396461897</x:v>
      </x:c>
      <x:c r="S781" s="14" t="n">
        <x:v>0.2085550449627952</x:v>
      </x:c>
      <x:c r="T781" t="str">
        <x:v>직장밀집·평일집중</x:v>
      </x:c>
      <x:c r="U781" s="16" t="n">
        <x:v>70.16384856313884</x:v>
      </x:c>
      <x:c r="V781" t="str">
        <x:v>운동/경기용품</x:v>
      </x:c>
      <x:c r="W781" t="str">
        <x:v>운동/경기용품 / 화초 / 의료기기</x:v>
      </x:c>
      <x:c r="X781" s="16" t="n">
        <x:v>57.067708289716805</x:v>
      </x:c>
    </x:row>
    <x:row r="782">
      <x:c r="A782" t="str">
        <x:v>3110233</x:v>
      </x:c>
      <x:c r="B782" t="str">
        <x:v>중랑역 1번</x:v>
      </x:c>
      <x:c r="C782" t="str">
        <x:v>골목상권</x:v>
      </x:c>
      <x:c r="D782" t="str">
        <x:v>중랑구</x:v>
      </x:c>
      <x:c r="E782" t="str">
        <x:v>중화2동</x:v>
      </x:c>
      <x:c r="F782" s="12" t="n">
        <x:v>124330</x:v>
      </x:c>
      <x:c r="G782" s="12" t="n">
        <x:v>3450803973</x:v>
      </x:c>
      <x:c r="H782" s="12" t="n">
        <x:v>246796</x:v>
      </x:c>
      <x:c r="I782" s="12" t="n">
        <x:v>13982.41451644273</x:v>
      </x:c>
      <x:c r="J782" s="12" t="n">
        <x:v>27755.199654146225</x:v>
      </x:c>
      <x:c r="K782" s="12" t="n">
        <x:v>38</x:v>
      </x:c>
      <x:c r="L782" s="12" t="n">
        <x:v>3.056382208638301</x:v>
      </x:c>
      <x:c r="M782" s="12" t="n">
        <x:v>11</x:v>
      </x:c>
      <x:c r="N782" s="14" t="n">
        <x:v>0.6766064535303582</x:v>
      </x:c>
      <x:c r="O782" s="14" t="n">
        <x:v>0.3233935464696418</x:v>
      </x:c>
      <x:c r="P782" s="14" t="n">
        <x:v>0.5630804546427941</x:v>
      </x:c>
      <x:c r="Q782" s="14" t="n">
        <x:v>0.16243545718208202</x:v>
      </x:c>
      <x:c r="R782" s="14" t="n">
        <x:v>0.23939567169380907</x:v>
      </x:c>
      <x:c r="S782" s="14" t="n">
        <x:v>0.418695631309336</x:v>
      </x:c>
      <x:c r="T782" t="str">
        <x:v>야간활성·2030소비</x:v>
      </x:c>
      <x:c r="U782" s="16" t="n">
        <x:v>56.756241612515275</x:v>
      </x:c>
      <x:c r="V782" t="str">
        <x:v>슈퍼마켓</x:v>
      </x:c>
      <x:c r="W782" t="str">
        <x:v>슈퍼마켓 / 한식음식점 / 미용실</x:v>
      </x:c>
      <x:c r="X782" s="16" t="n">
        <x:v>44.9237294392716</x:v>
      </x:c>
    </x:row>
    <x:row r="783">
      <x:c r="A783" t="str">
        <x:v>3110755</x:v>
      </x:c>
      <x:c r="B783" t="str">
        <x:v>동일여자고등학교</x:v>
      </x:c>
      <x:c r="C783" t="str">
        <x:v>골목상권</x:v>
      </x:c>
      <x:c r="D783" t="str">
        <x:v>금천구</x:v>
      </x:c>
      <x:c r="E783" t="str">
        <x:v>시흥2동</x:v>
      </x:c>
      <x:c r="F783" s="12" t="n">
        <x:v>59664</x:v>
      </x:c>
      <x:c r="G783" s="12" t="n">
        <x:v>3439395672</x:v>
      </x:c>
      <x:c r="H783" s="12" t="n">
        <x:v>214053</x:v>
      </x:c>
      <x:c r="I783" s="12" t="n">
        <x:v>16067.96294375692</x:v>
      </x:c>
      <x:c r="J783" s="12" t="n">
        <x:v>57646.07924376508</x:v>
      </x:c>
      <x:c r="K783" s="12" t="n">
        <x:v>1138</x:v>
      </x:c>
      <x:c r="L783" s="12" t="n">
        <x:v>190.73478144274603</x:v>
      </x:c>
      <x:c r="M783" s="12" t="n">
        <x:v>11</x:v>
      </x:c>
      <x:c r="N783" s="14" t="n">
        <x:v>0.7732063762392267</x:v>
      </x:c>
      <x:c r="O783" s="14" t="n">
        <x:v>0.22679362376077328</x:v>
      </x:c>
      <x:c r="P783" s="14" t="n">
        <x:v>0.3112426533866965</x:v>
      </x:c>
      <x:c r="Q783" s="14" t="n">
        <x:v>0.25568786695850676</x:v>
      </x:c>
      <x:c r="R783" s="14" t="n">
        <x:v>0.2425930324889936</x:v>
      </x:c>
      <x:c r="S783" s="14" t="n">
        <x:v>0.4103533226752284</x:v>
      </x:c>
      <x:c r="T783" t="str">
        <x:v>직장밀집·2030소비</x:v>
      </x:c>
      <x:c r="U783" s="16" t="n">
        <x:v>71.53442624902615</x:v>
      </x:c>
      <x:c r="V783" t="str">
        <x:v>슈퍼마켓</x:v>
      </x:c>
      <x:c r="W783" t="str">
        <x:v>슈퍼마켓 / 한식음식점 / 일반교습학원</x:v>
      </x:c>
      <x:c r="X783" s="16" t="n">
        <x:v>62.272142950976004</x:v>
      </x:c>
    </x:row>
    <x:row r="784">
      <x:c r="A784" t="str">
        <x:v>3110701</x:v>
      </x:c>
      <x:c r="B784" t="str">
        <x:v>고척동성당</x:v>
      </x:c>
      <x:c r="C784" t="str">
        <x:v>골목상권</x:v>
      </x:c>
      <x:c r="D784" t="str">
        <x:v>구로구</x:v>
      </x:c>
      <x:c r="E784" t="str">
        <x:v>고척2동</x:v>
      </x:c>
      <x:c r="F784" s="12" t="n">
        <x:v>44097</x:v>
      </x:c>
      <x:c r="G784" s="12" t="n">
        <x:v>3430399970</x:v>
      </x:c>
      <x:c r="H784" s="12" t="n">
        <x:v>156788</x:v>
      </x:c>
      <x:c r="I784" s="12" t="n">
        <x:v>21879.225259586194</x:v>
      </x:c>
      <x:c r="J784" s="12" t="n">
        <x:v>77792.13937456063</x:v>
      </x:c>
      <x:c r="K784" s="12" t="n">
        <x:v>455</x:v>
      </x:c>
      <x:c r="L784" s="12" t="n">
        <x:v>103.18162233258498</x:v>
      </x:c>
      <x:c r="M784" s="12" t="n">
        <x:v>8</x:v>
      </x:c>
      <x:c r="N784" s="14" t="n">
        <x:v>0.7193229228602168</x:v>
      </x:c>
      <x:c r="O784" s="14" t="n">
        <x:v>0.2806770771397832</x:v>
      </x:c>
      <x:c r="P784" s="14" t="n">
        <x:v>0.3693357299673717</x:v>
      </x:c>
      <x:c r="Q784" s="14" t="n">
        <x:v>0.2829545698719208</x:v>
      </x:c>
      <x:c r="R784" s="14" t="n">
        <x:v>0.11278515956843364</x:v>
      </x:c>
      <x:c r="S784" s="14" t="n">
        <x:v>0.48191872039924255</x:v>
      </x:c>
      <x:c r="T784" t="str">
        <x:v>여성소비·고매출밀도</x:v>
      </x:c>
      <x:c r="U784" s="16" t="n">
        <x:v>64.78282944960137</x:v>
      </x:c>
      <x:c r="V784" t="str">
        <x:v>한식음식점</x:v>
      </x:c>
      <x:c r="W784" t="str">
        <x:v>한식음식점 / 커피-음료 / 슈퍼마켓</x:v>
      </x:c>
      <x:c r="X784" s="16" t="n">
        <x:v>53.23553336757296</x:v>
      </x:c>
    </x:row>
    <x:row r="785">
      <x:c r="A785" t="str">
        <x:v>3110367</x:v>
      </x:c>
      <x:c r="B785" t="str">
        <x:v>강북구청</x:v>
      </x:c>
      <x:c r="C785" t="str">
        <x:v>골목상권</x:v>
      </x:c>
      <x:c r="D785" t="str">
        <x:v>강북구</x:v>
      </x:c>
      <x:c r="E785" t="str">
        <x:v>수유3동</x:v>
      </x:c>
      <x:c r="F785" s="12" t="n">
        <x:v>63938</x:v>
      </x:c>
      <x:c r="G785" s="12" t="n">
        <x:v>3417201153</x:v>
      </x:c>
      <x:c r="H785" s="12" t="n">
        <x:v>133112</x:v>
      </x:c>
      <x:c r="I785" s="12" t="n">
        <x:v>25671.623542580684</x:v>
      </x:c>
      <x:c r="J785" s="12" t="n">
        <x:v>53445.54338577997</x:v>
      </x:c>
      <x:c r="K785" s="12" t="n">
        <x:v>470</x:v>
      </x:c>
      <x:c r="L785" s="12" t="n">
        <x:v>73.50871156432794</x:v>
      </x:c>
      <x:c r="M785" s="12" t="n">
        <x:v>10</x:v>
      </x:c>
      <x:c r="N785" s="14" t="n">
        <x:v>0.6764311442335511</x:v>
      </x:c>
      <x:c r="O785" s="14" t="n">
        <x:v>0.32356885576644895</x:v>
      </x:c>
      <x:c r="P785" s="14" t="n">
        <x:v>0.5976851562299587</x:v>
      </x:c>
      <x:c r="Q785" s="14" t="n">
        <x:v>0.12843375626708387</x:v>
      </x:c>
      <x:c r="R785" s="14" t="n">
        <x:v>0.2839443145300847</x:v>
      </x:c>
      <x:c r="S785" s="14" t="n">
        <x:v>0.34046483069297967</x:v>
      </x:c>
      <x:c r="T785" t="str">
        <x:v>야간활성·2030소비</x:v>
      </x:c>
      <x:c r="U785" s="16" t="n">
        <x:v>48.63331557395913</x:v>
      </x:c>
      <x:c r="V785" t="str">
        <x:v>미용실</x:v>
      </x:c>
      <x:c r="W785" t="str">
        <x:v>미용실 / 의약품 / 노래방</x:v>
      </x:c>
      <x:c r="X785" s="16" t="n">
        <x:v>45.6329374192572</x:v>
      </x:c>
    </x:row>
    <x:row r="786">
      <x:c r="A786" t="str">
        <x:v>3110078</x:v>
      </x:c>
      <x:c r="B786" t="str">
        <x:v>이촌동점보아파트</x:v>
      </x:c>
      <x:c r="C786" t="str">
        <x:v>골목상권</x:v>
      </x:c>
      <x:c r="D786" t="str">
        <x:v>용산구</x:v>
      </x:c>
      <x:c r="E786" t="str">
        <x:v>이촌1동</x:v>
      </x:c>
      <x:c r="F786" s="12" t="n">
        <x:v>14864</x:v>
      </x:c>
      <x:c r="G786" s="12" t="n">
        <x:v>3412617665</x:v>
      </x:c>
      <x:c r="H786" s="12" t="n">
        <x:v>58531</x:v>
      </x:c>
      <x:c r="I786" s="12" t="n">
        <x:v>58304.448326527825</x:v>
      </x:c>
      <x:c r="J786" s="12" t="n">
        <x:v>229589.45539558664</x:v>
      </x:c>
      <x:c r="K786" s="12" t="n">
        <x:v>811</x:v>
      </x:c>
      <x:c r="L786" s="12" t="n">
        <x:v>545.6135629709364</x:v>
      </x:c>
      <x:c r="M786" s="12" t="n">
        <x:v>8</x:v>
      </x:c>
      <x:c r="N786" s="14" t="n">
        <x:v>0.7811673368337909</x:v>
      </x:c>
      <x:c r="O786" s="14" t="n">
        <x:v>0.21883266316620908</x:v>
      </x:c>
      <x:c r="P786" s="14" t="n">
        <x:v>0.3712376783351146</x:v>
      </x:c>
      <x:c r="Q786" s="14" t="n">
        <x:v>0.2158685901310893</x:v>
      </x:c>
      <x:c r="R786" s="14" t="n">
        <x:v>0.09780038426894798</x:v>
      </x:c>
      <x:c r="S786" s="14" t="n">
        <x:v>0.6078694511475548</x:v>
      </x:c>
      <x:c r="T786" t="str">
        <x:v>여성소비·직장밀집</x:v>
      </x:c>
      <x:c r="U786" s="16" t="n">
        <x:v>71.10645837655903</x:v>
      </x:c>
      <x:c r="V786" t="str">
        <x:v>일반교습학원</x:v>
      </x:c>
      <x:c r="W786" t="str">
        <x:v>일반교습학원 / 미용실 / 슈퍼마켓</x:v>
      </x:c>
      <x:c r="X786" s="16" t="n">
        <x:v>65.72236766050035</x:v>
      </x:c>
    </x:row>
    <x:row r="787">
      <x:c r="A787" t="str">
        <x:v>3110305</x:v>
      </x:c>
      <x:c r="B787" t="str">
        <x:v>보문역 5번</x:v>
      </x:c>
      <x:c r="C787" t="str">
        <x:v>골목상권</x:v>
      </x:c>
      <x:c r="D787" t="str">
        <x:v>성북구</x:v>
      </x:c>
      <x:c r="E787" t="str">
        <x:v>안암동</x:v>
      </x:c>
      <x:c r="F787" s="12" t="n">
        <x:v>147424</x:v>
      </x:c>
      <x:c r="G787" s="12" t="n">
        <x:v>3406179568</x:v>
      </x:c>
      <x:c r="H787" s="12" t="n">
        <x:v>149387</x:v>
      </x:c>
      <x:c r="I787" s="12" t="n">
        <x:v>22801.04405336475</x:v>
      </x:c>
      <x:c r="J787" s="12" t="n">
        <x:v>23104.647601476016</x:v>
      </x:c>
      <x:c r="K787" s="12" t="n">
        <x:v>1334</x:v>
      </x:c>
      <x:c r="L787" s="12" t="n">
        <x:v>90.48730193184284</x:v>
      </x:c>
      <x:c r="M787" s="12" t="n">
        <x:v>9</x:v>
      </x:c>
      <x:c r="N787" s="14" t="n">
        <x:v>0.692311531416009</x:v>
      </x:c>
      <x:c r="O787" s="14" t="n">
        <x:v>0.307688468583991</x:v>
      </x:c>
      <x:c r="P787" s="14" t="n">
        <x:v>0.48355449826361</x:v>
      </x:c>
      <x:c r="Q787" s="14" t="n">
        <x:v>0.2009921415863534</x:v>
      </x:c>
      <x:c r="R787" s="14" t="n">
        <x:v>0.290200533843376</x:v>
      </x:c>
      <x:c r="S787" s="14" t="n">
        <x:v>0.48289587297530284</x:v>
      </x:c>
      <x:c r="T787" t="str">
        <x:v>야간활성·2030소비</x:v>
      </x:c>
      <x:c r="U787" s="16" t="n">
        <x:v>65.74567391722643</x:v>
      </x:c>
      <x:c r="V787" t="str">
        <x:v>한식음식점</x:v>
      </x:c>
      <x:c r="W787" t="str">
        <x:v>한식음식점 / 일반교습학원 / 슈퍼마켓</x:v>
      </x:c>
      <x:c r="X787" s="16" t="n">
        <x:v>60.19717563855595</x:v>
      </x:c>
    </x:row>
    <x:row r="788">
      <x:c r="A788" t="str">
        <x:v>3120177</x:v>
      </x:c>
      <x:c r="B788" t="str">
        <x:v>신논현역 1번</x:v>
      </x:c>
      <x:c r="C788" t="str">
        <x:v>발달상권</x:v>
      </x:c>
      <x:c r="D788" t="str">
        <x:v>서초구</x:v>
      </x:c>
      <x:c r="E788" t="str">
        <x:v>반포1동</x:v>
      </x:c>
      <x:c r="F788" s="12" t="n">
        <x:v>140535</x:v>
      </x:c>
      <x:c r="G788" s="12" t="n">
        <x:v>3352317374</x:v>
      </x:c>
      <x:c r="H788" s="12" t="n">
        <x:v>178084</x:v>
      </x:c>
      <x:c r="I788" s="12" t="n">
        <x:v>18824.360268188047</x:v>
      </x:c>
      <x:c r="J788" s="12" t="n">
        <x:v>23853.967865656243</x:v>
      </x:c>
      <x:c r="K788" s="12" t="n">
        <x:v>1661</x:v>
      </x:c>
      <x:c r="L788" s="12" t="n">
        <x:v>118.19119792222578</x:v>
      </x:c>
      <x:c r="M788" s="12" t="n">
        <x:v>21</x:v>
      </x:c>
      <x:c r="N788" s="14" t="n">
        <x:v>0.8163854527098244</x:v>
      </x:c>
      <x:c r="O788" s="14" t="n">
        <x:v>0.1836145472901755</x:v>
      </x:c>
      <x:c r="P788" s="14" t="n">
        <x:v>0.423449950774261</x:v>
      </x:c>
      <x:c r="Q788" s="14" t="n">
        <x:v>0.24443634703424713</x:v>
      </x:c>
      <x:c r="R788" s="14" t="n">
        <x:v>0.37102009602268643</x:v>
      </x:c>
      <x:c r="S788" s="14" t="n">
        <x:v>0.2814342452529377</x:v>
      </x:c>
      <x:c r="T788" t="str">
        <x:v>2030소비·평일집중</x:v>
      </x:c>
      <x:c r="U788" s="16" t="n">
        <x:v>60.325221151362435</x:v>
      </x:c>
      <x:c r="V788" t="str">
        <x:v>세탁소</x:v>
      </x:c>
      <x:c r="W788" t="str">
        <x:v>세탁소 / 당구장 / 일반교습학원</x:v>
      </x:c>
      <x:c r="X788" s="16" t="n">
        <x:v>57.606728487311514</x:v>
      </x:c>
    </x:row>
    <x:row r="789">
      <x:c r="A789" t="str">
        <x:v>3110163</x:v>
      </x:c>
      <x:c r="B789" t="str">
        <x:v>성자초등학교</x:v>
      </x:c>
      <x:c r="C789" t="str">
        <x:v>골목상권</x:v>
      </x:c>
      <x:c r="D789" t="str">
        <x:v>광진구</x:v>
      </x:c>
      <x:c r="E789" t="str">
        <x:v>자양2동</x:v>
      </x:c>
      <x:c r="F789" s="12" t="n">
        <x:v>66483</x:v>
      </x:c>
      <x:c r="G789" s="12" t="n">
        <x:v>3349086913</x:v>
      </x:c>
      <x:c r="H789" s="12" t="n">
        <x:v>202548</x:v>
      </x:c>
      <x:c r="I789" s="12" t="n">
        <x:v>16534.781449335467</x:v>
      </x:c>
      <x:c r="J789" s="12" t="n">
        <x:v>50375.08705984989</x:v>
      </x:c>
      <x:c r="K789" s="12" t="n">
        <x:v>740</x:v>
      </x:c>
      <x:c r="L789" s="12" t="n">
        <x:v>111.3066498202548</x:v>
      </x:c>
      <x:c r="M789" s="12" t="n">
        <x:v>15</x:v>
      </x:c>
      <x:c r="N789" s="14" t="n">
        <x:v>0.7229049379406177</x:v>
      </x:c>
      <x:c r="O789" s="14" t="n">
        <x:v>0.2770950620593823</x:v>
      </x:c>
      <x:c r="P789" s="14" t="n">
        <x:v>0.4914393859446549</x:v>
      </x:c>
      <x:c r="Q789" s="14" t="n">
        <x:v>0.19795487045337243</x:v>
      </x:c>
      <x:c r="R789" s="14" t="n">
        <x:v>0.2046438028644854</x:v>
      </x:c>
      <x:c r="S789" s="14" t="n">
        <x:v>0.48849823265246506</x:v>
      </x:c>
      <x:c r="T789" t="str">
        <x:v>야간활성·여성소비</x:v>
      </x:c>
      <x:c r="U789" s="16" t="n">
        <x:v>66.73803279365836</x:v>
      </x:c>
      <x:c r="V789" t="str">
        <x:v>일반교습학원</x:v>
      </x:c>
      <x:c r="W789" t="str">
        <x:v>일반교습학원 / 커피-음료 / 예술학원</x:v>
      </x:c>
      <x:c r="X789" s="16" t="n">
        <x:v>58.725446161209504</x:v>
      </x:c>
    </x:row>
    <x:row r="790">
      <x:c r="A790" t="str">
        <x:v>3111031</x:v>
      </x:c>
      <x:c r="B790" t="str">
        <x:v>장지동주민센터(한림연예예술고교)</x:v>
      </x:c>
      <x:c r="C790" t="str">
        <x:v>골목상권</x:v>
      </x:c>
      <x:c r="D790" t="str">
        <x:v>송파구</x:v>
      </x:c>
      <x:c r="E790" t="str">
        <x:v>장지동</x:v>
      </x:c>
      <x:c r="F790" s="12" t="n">
        <x:v>83345</x:v>
      </x:c>
      <x:c r="G790" s="12" t="n">
        <x:v>3344324712</x:v>
      </x:c>
      <x:c r="H790" s="12" t="n">
        <x:v>179746</x:v>
      </x:c>
      <x:c r="I790" s="12" t="n">
        <x:v>18605.83663614211</x:v>
      </x:c>
      <x:c r="J790" s="12" t="n">
        <x:v>40126.278864958906</x:v>
      </x:c>
      <x:c r="K790" s="12" t="n">
        <x:v>1816</x:v>
      </x:c>
      <x:c r="L790" s="12" t="n">
        <x:v>217.8894954706341</x:v>
      </x:c>
      <x:c r="M790" s="12" t="n">
        <x:v>11</x:v>
      </x:c>
      <x:c r="N790" s="14" t="n">
        <x:v>0.7897763071638003</x:v>
      </x:c>
      <x:c r="O790" s="14" t="n">
        <x:v>0.21022369283619968</x:v>
      </x:c>
      <x:c r="P790" s="14" t="n">
        <x:v>0.307690757810601</x:v>
      </x:c>
      <x:c r="Q790" s="14" t="n">
        <x:v>0.2309197980175078</x:v>
      </x:c>
      <x:c r="R790" s="14" t="n">
        <x:v>0.2303105793633833</x:v>
      </x:c>
      <x:c r="S790" s="14" t="n">
        <x:v>0.4652907893233305</x:v>
      </x:c>
      <x:c r="T790" t="str">
        <x:v>직장밀집·평일집중</x:v>
      </x:c>
      <x:c r="U790" s="16" t="n">
        <x:v>64.12095859002531</x:v>
      </x:c>
      <x:c r="V790" t="str">
        <x:v>일반교습학원</x:v>
      </x:c>
      <x:c r="W790" t="str">
        <x:v>일반교습학원 / 자동차수리 / 제과점</x:v>
      </x:c>
      <x:c r="X790" s="16" t="n">
        <x:v>57.33563947740318</x:v>
      </x:c>
    </x:row>
    <x:row r="791">
      <x:c r="A791" t="str">
        <x:v>3110364</x:v>
      </x:c>
      <x:c r="B791" t="str">
        <x:v>미아역 8번</x:v>
      </x:c>
      <x:c r="C791" t="str">
        <x:v>골목상권</x:v>
      </x:c>
      <x:c r="D791" t="str">
        <x:v>강북구</x:v>
      </x:c>
      <x:c r="E791" t="str">
        <x:v>미아동</x:v>
      </x:c>
      <x:c r="F791" s="12" t="n">
        <x:v>127150</x:v>
      </x:c>
      <x:c r="G791" s="12" t="n">
        <x:v>3328058984</x:v>
      </x:c>
      <x:c r="H791" s="12" t="n">
        <x:v>181449</x:v>
      </x:c>
      <x:c r="I791" s="12" t="n">
        <x:v>18341.566963719833</x:v>
      </x:c>
      <x:c r="J791" s="12" t="n">
        <x:v>26174.274353126228</x:v>
      </x:c>
      <x:c r="K791" s="12" t="n">
        <x:v>92</x:v>
      </x:c>
      <x:c r="L791" s="12" t="n">
        <x:v>7.2355485646873765</x:v>
      </x:c>
      <x:c r="M791" s="12" t="n">
        <x:v>10</x:v>
      </x:c>
      <x:c r="N791" s="14" t="n">
        <x:v>0.7288873327252303</x:v>
      </x:c>
      <x:c r="O791" s="14" t="n">
        <x:v>0.2711126672747697</x:v>
      </x:c>
      <x:c r="P791" s="14" t="n">
        <x:v>0.5062473847669041</x:v>
      </x:c>
      <x:c r="Q791" s="14" t="n">
        <x:v>0.11454867922497133</x:v>
      </x:c>
      <x:c r="R791" s="14" t="n">
        <x:v>0.27262983209194225</x:v>
      </x:c>
      <x:c r="S791" s="14" t="n">
        <x:v>0.40129397959011653</x:v>
      </x:c>
      <x:c r="T791" t="str">
        <x:v>야간활성·2030소비</x:v>
      </x:c>
      <x:c r="U791" s="16" t="n">
        <x:v>59.43089245884508</x:v>
      </x:c>
      <x:c r="V791" t="str">
        <x:v>미용실</x:v>
      </x:c>
      <x:c r="W791" t="str">
        <x:v>미용실 / 호프-간이주점 / 일반의류</x:v>
      </x:c>
      <x:c r="X791" s="16" t="n">
        <x:v>53.0481595600974</x:v>
      </x:c>
    </x:row>
    <x:row r="792">
      <x:c r="A792" t="str">
        <x:v>3130129</x:v>
      </x:c>
      <x:c r="B792" t="str">
        <x:v>장미원골목시장</x:v>
      </x:c>
      <x:c r="C792" t="str">
        <x:v>전통시장</x:v>
      </x:c>
      <x:c r="D792" t="str">
        <x:v>강북구</x:v>
      </x:c>
      <x:c r="E792" t="str">
        <x:v>우이동</x:v>
      </x:c>
      <x:c r="F792" s="12" t="n">
        <x:v>43525</x:v>
      </x:c>
      <x:c r="G792" s="12" t="n">
        <x:v>3315129471</x:v>
      </x:c>
      <x:c r="H792" s="12" t="n">
        <x:v>214147</x:v>
      </x:c>
      <x:c r="I792" s="12" t="n">
        <x:v>15480.625322792288</x:v>
      </x:c>
      <x:c r="J792" s="12" t="n">
        <x:v>76166.09927627801</x:v>
      </x:c>
      <x:c r="K792" s="12" t="n">
        <x:v>210</x:v>
      </x:c>
      <x:c r="L792" s="12" t="n">
        <x:v>48.24813325674899</x:v>
      </x:c>
      <x:c r="M792" s="12" t="n">
        <x:v>10</x:v>
      </x:c>
      <x:c r="N792" s="14" t="n">
        <x:v>0.7315194254746499</x:v>
      </x:c>
      <x:c r="O792" s="14" t="n">
        <x:v>0.2684805745253501</x:v>
      </x:c>
      <x:c r="P792" s="14" t="n">
        <x:v>0.3303800489787869</x:v>
      </x:c>
      <x:c r="Q792" s="14" t="n">
        <x:v>0.23456814034036258</x:v>
      </x:c>
      <x:c r="R792" s="14" t="n">
        <x:v>0.08246416479098653</x:v>
      </x:c>
      <x:c r="S792" s="14" t="n">
        <x:v>0.5698392933142852</x:v>
      </x:c>
      <x:c r="T792" t="str">
        <x:v>여성소비·고매출밀도</x:v>
      </x:c>
      <x:c r="U792" s="16" t="n">
        <x:v>78.09318030330579</x:v>
      </x:c>
      <x:c r="V792" t="str">
        <x:v>청과상</x:v>
      </x:c>
      <x:c r="W792" t="str">
        <x:v>청과상 / 반찬가게 / 육류판매</x:v>
      </x:c>
      <x:c r="X792" s="16" t="n">
        <x:v>57.30930869912195</x:v>
      </x:c>
    </x:row>
    <x:row r="793">
      <x:c r="A793" t="str">
        <x:v>3110603</x:v>
      </x:c>
      <x:c r="B793" t="str">
        <x:v>지향초등학교</x:v>
      </x:c>
      <x:c r="C793" t="str">
        <x:v>골목상권</x:v>
      </x:c>
      <x:c r="D793" t="str">
        <x:v>양천구</x:v>
      </x:c>
      <x:c r="E793" t="str">
        <x:v>신정3동</x:v>
      </x:c>
      <x:c r="F793" s="12" t="n">
        <x:v>60198</x:v>
      </x:c>
      <x:c r="G793" s="12" t="n">
        <x:v>3309212972</x:v>
      </x:c>
      <x:c r="H793" s="12" t="n">
        <x:v>74457</x:v>
      </x:c>
      <x:c r="I793" s="12" t="n">
        <x:v>44444.61866580711</x:v>
      </x:c>
      <x:c r="J793" s="12" t="n">
        <x:v>54972.1414664939</x:v>
      </x:c>
      <x:c r="K793" s="12" t="n">
        <x:v>860</x:v>
      </x:c>
      <x:c r="L793" s="12" t="n">
        <x:v>142.86188909930564</x:v>
      </x:c>
      <x:c r="M793" s="12" t="n">
        <x:v>7</x:v>
      </x:c>
      <x:c r="N793" s="14" t="n">
        <x:v>0.7751191327676205</x:v>
      </x:c>
      <x:c r="O793" s="14" t="n">
        <x:v>0.22488086723237952</x:v>
      </x:c>
      <x:c r="P793" s="14" t="n">
        <x:v>0.33185492662211163</x:v>
      </x:c>
      <x:c r="Q793" s="14" t="n">
        <x:v>0.2406293728259929</x:v>
      </x:c>
      <x:c r="R793" s="14" t="n">
        <x:v>0.09808188797345256</x:v>
      </x:c>
      <x:c r="S793" s="14" t="n">
        <x:v>0.5054318552937185</x:v>
      </x:c>
      <x:c r="T793" t="str">
        <x:v>여성소비·직장밀집</x:v>
      </x:c>
      <x:c r="U793" s="16" t="n">
        <x:v>73.1845509899422</x:v>
      </x:c>
      <x:c r="V793" t="str">
        <x:v>육류판매</x:v>
      </x:c>
      <x:c r="W793" t="str">
        <x:v>육류판매 / 예술학원 / 스포츠 강습</x:v>
      </x:c>
      <x:c r="X793" s="16" t="n">
        <x:v>60.91024427845851</x:v>
      </x:c>
    </x:row>
    <x:row r="794">
      <x:c r="A794" t="str">
        <x:v>3110315</x:v>
      </x:c>
      <x:c r="B794" t="str">
        <x:v>종암아이파크2차</x:v>
      </x:c>
      <x:c r="C794" t="str">
        <x:v>골목상권</x:v>
      </x:c>
      <x:c r="D794" t="str">
        <x:v>성북구</x:v>
      </x:c>
      <x:c r="E794" t="str">
        <x:v>종암동</x:v>
      </x:c>
      <x:c r="F794" s="12" t="n">
        <x:v>92801</x:v>
      </x:c>
      <x:c r="G794" s="12" t="n">
        <x:v>3304532540</x:v>
      </x:c>
      <x:c r="H794" s="12" t="n">
        <x:v>147000</x:v>
      </x:c>
      <x:c r="I794" s="12" t="n">
        <x:v>22479.813197278912</x:v>
      </x:c>
      <x:c r="J794" s="12" t="n">
        <x:v>35608.80313789722</x:v>
      </x:c>
      <x:c r="K794" s="12" t="n">
        <x:v>4612</x:v>
      </x:c>
      <x:c r="L794" s="12" t="n">
        <x:v>496.97740326074074</x:v>
      </x:c>
      <x:c r="M794" s="12" t="n">
        <x:v>18</x:v>
      </x:c>
      <x:c r="N794" s="14" t="n">
        <x:v>0.7520349801124973</x:v>
      </x:c>
      <x:c r="O794" s="14" t="n">
        <x:v>0.24796501988750275</x:v>
      </x:c>
      <x:c r="P794" s="14" t="n">
        <x:v>0.31316844378842157</x:v>
      </x:c>
      <x:c r="Q794" s="14" t="n">
        <x:v>0.26659341687099863</x:v>
      </x:c>
      <x:c r="R794" s="14" t="n">
        <x:v>0.15750256373629173</x:v>
      </x:c>
      <x:c r="S794" s="14" t="n">
        <x:v>0.49516417229772536</x:v>
      </x:c>
      <x:c r="T794" t="str">
        <x:v>직장밀집·여성소비</x:v>
      </x:c>
      <x:c r="U794" s="16" t="n">
        <x:v>69.6233090288412</x:v>
      </x:c>
      <x:c r="V794" t="str">
        <x:v>당구장</x:v>
      </x:c>
      <x:c r="W794" t="str">
        <x:v>당구장 / 패스트푸드점 / 세탁소</x:v>
      </x:c>
      <x:c r="X794" s="16" t="n">
        <x:v>59.17798019169695</x:v>
      </x:c>
    </x:row>
    <x:row r="795">
      <x:c r="A795" t="str">
        <x:v>3110214</x:v>
      </x:c>
      <x:c r="B795" t="str">
        <x:v>경희대후문</x:v>
      </x:c>
      <x:c r="C795" t="str">
        <x:v>골목상권</x:v>
      </x:c>
      <x:c r="D795" t="str">
        <x:v>동대문구</x:v>
      </x:c>
      <x:c r="E795" t="str">
        <x:v>이문1동</x:v>
      </x:c>
      <x:c r="F795" s="12" t="n">
        <x:v>79862</x:v>
      </x:c>
      <x:c r="G795" s="12" t="n">
        <x:v>3304368925</x:v>
      </x:c>
      <x:c r="H795" s="12" t="n">
        <x:v>419323</x:v>
      </x:c>
      <x:c r="I795" s="12" t="n">
        <x:v>7880.247267619472</x:v>
      </x:c>
      <x:c r="J795" s="12" t="n">
        <x:v>41375.98513686108</x:v>
      </x:c>
      <x:c r="K795" s="12" t="n">
        <x:v>440</x:v>
      </x:c>
      <x:c r="L795" s="12" t="n">
        <x:v>55.09503894217525</x:v>
      </x:c>
      <x:c r="M795" s="12" t="n">
        <x:v>7</x:v>
      </x:c>
      <x:c r="N795" s="14" t="n">
        <x:v>0.7706431962647754</x:v>
      </x:c>
      <x:c r="O795" s="14" t="n">
        <x:v>0.22935680373522457</x:v>
      </x:c>
      <x:c r="P795" s="14" t="n">
        <x:v>0.3748556484200686</x:v>
      </x:c>
      <x:c r="Q795" s="14" t="n">
        <x:v>0.2748965368629352</x:v>
      </x:c>
      <x:c r="R795" s="14" t="n">
        <x:v>0.4928102148884601</x:v>
      </x:c>
      <x:c r="S795" s="14" t="n">
        <x:v>0.44228459084664706</x:v>
      </x:c>
      <x:c r="T795" t="str">
        <x:v>2030소비·평일집중</x:v>
      </x:c>
      <x:c r="U795" s="16" t="n">
        <x:v>72.38782718560155</x:v>
      </x:c>
      <x:c r="V795" t="str">
        <x:v>세탁소</x:v>
      </x:c>
      <x:c r="W795" t="str">
        <x:v>세탁소 / 커피-음료 / 제과점</x:v>
      </x:c>
      <x:c r="X795" s="16" t="n">
        <x:v>64.76011358578894</x:v>
      </x:c>
    </x:row>
    <x:row r="796">
      <x:c r="A796" t="str">
        <x:v>3130308</x:v>
      </x:c>
      <x:c r="B796" t="str">
        <x:v>청담삼익시장</x:v>
      </x:c>
      <x:c r="C796" t="str">
        <x:v>전통시장</x:v>
      </x:c>
      <x:c r="D796" t="str">
        <x:v>강남구</x:v>
      </x:c>
      <x:c r="E796" t="str">
        <x:v>청담동</x:v>
      </x:c>
      <x:c r="F796" s="12" t="n">
        <x:v>7529</x:v>
      </x:c>
      <x:c r="G796" s="12" t="n">
        <x:v>3294320905</x:v>
      </x:c>
      <x:c r="H796" s="12" t="n">
        <x:v>43906</x:v>
      </x:c>
      <x:c r="I796" s="12" t="n">
        <x:v>75031.22363686057</x:v>
      </x:c>
      <x:c r="J796" s="12" t="n">
        <x:v>437550.9237614557</x:v>
      </x:c>
      <x:c r="K796" s="12"/>
      <x:c r="L796" s="12"/>
      <x:c r="M796" s="12" t="n">
        <x:v>10</x:v>
      </x:c>
      <x:c r="N796" s="14" t="n">
        <x:v>0.9420629657814105</x:v>
      </x:c>
      <x:c r="O796" s="14" t="n">
        <x:v>0.05793703421858958</x:v>
      </x:c>
      <x:c r="P796" s="14" t="n">
        <x:v>0.2860794473815841</x:v>
      </x:c>
      <x:c r="Q796" s="14" t="n">
        <x:v>0.28152741907819695</x:v>
      </x:c>
      <x:c r="R796" s="14" t="n">
        <x:v>0.09696972554044488</x:v>
      </x:c>
      <x:c r="S796" s="14" t="n">
        <x:v>0.5670932820067813</x:v>
      </x:c>
      <x:c r="T796" t="str">
        <x:v>평일집중·고매출밀도</x:v>
      </x:c>
      <x:c r="U796" s="16" t="n">
        <x:v>71.59814822056703</x:v>
      </x:c>
      <x:c r="V796" t="str">
        <x:v>일반의류</x:v>
      </x:c>
      <x:c r="W796" t="str">
        <x:v>일반의류 / 화장품 / 한식음식점</x:v>
      </x:c>
      <x:c r="X796" s="16" t="n">
        <x:v>56.55628551619069</x:v>
      </x:c>
    </x:row>
    <x:row r="797">
      <x:c r="A797" t="str">
        <x:v>3110528</x:v>
      </x:c>
      <x:c r="B797" t="str">
        <x:v>서울여자간호대학교</x:v>
      </x:c>
      <x:c r="C797" t="str">
        <x:v>골목상권</x:v>
      </x:c>
      <x:c r="D797" t="str">
        <x:v>서대문구</x:v>
      </x:c>
      <x:c r="E797" t="str">
        <x:v>홍제3동</x:v>
      </x:c>
      <x:c r="F797" s="12" t="n">
        <x:v>59337</x:v>
      </x:c>
      <x:c r="G797" s="12" t="n">
        <x:v>3286765968</x:v>
      </x:c>
      <x:c r="H797" s="12" t="n">
        <x:v>219114</x:v>
      </x:c>
      <x:c r="I797" s="12" t="n">
        <x:v>15000.25542868096</x:v>
      </x:c>
      <x:c r="J797" s="12" t="n">
        <x:v>55391.50897416452</x:v>
      </x:c>
      <x:c r="K797" s="12" t="n">
        <x:v>170</x:v>
      </x:c>
      <x:c r="L797" s="12" t="n">
        <x:v>28.64991489289988</x:v>
      </x:c>
      <x:c r="M797" s="12" t="n">
        <x:v>10</x:v>
      </x:c>
      <x:c r="N797" s="14" t="n">
        <x:v>0.6940597858837267</x:v>
      </x:c>
      <x:c r="O797" s="14" t="n">
        <x:v>0.3059402141162732</x:v>
      </x:c>
      <x:c r="P797" s="14" t="n">
        <x:v>0.45269597607078543</x:v>
      </x:c>
      <x:c r="Q797" s="14" t="n">
        <x:v>0.20093362546341176</x:v>
      </x:c>
      <x:c r="R797" s="14" t="n">
        <x:v>0.22104700610676398</x:v>
      </x:c>
      <x:c r="S797" s="14" t="n">
        <x:v>0.5125582853789606</x:v>
      </x:c>
      <x:c r="T797" t="str">
        <x:v>여성소비·야간활성</x:v>
      </x:c>
      <x:c r="U797" s="16" t="n">
        <x:v>69.31912680790101</x:v>
      </x:c>
      <x:c r="V797" t="str">
        <x:v>분식전문점</x:v>
      </x:c>
      <x:c r="W797" t="str">
        <x:v>분식전문점 / 슈퍼마켓 / 미용실</x:v>
      </x:c>
      <x:c r="X797" s="16" t="n">
        <x:v>59.753391431728666</x:v>
      </x:c>
    </x:row>
    <x:row r="798">
      <x:c r="A798" t="str">
        <x:v>3111030</x:v>
      </x:c>
      <x:c r="B798" t="str">
        <x:v>방이역 2번</x:v>
      </x:c>
      <x:c r="C798" t="str">
        <x:v>골목상권</x:v>
      </x:c>
      <x:c r="D798" t="str">
        <x:v>송파구</x:v>
      </x:c>
      <x:c r="E798" t="str">
        <x:v>오금동</x:v>
      </x:c>
      <x:c r="F798" s="12" t="n">
        <x:v>50911</x:v>
      </x:c>
      <x:c r="G798" s="12" t="n">
        <x:v>3283488439</x:v>
      </x:c>
      <x:c r="H798" s="12" t="n">
        <x:v>113588</x:v>
      </x:c>
      <x:c r="I798" s="12" t="n">
        <x:v>28907.001082860865</x:v>
      </x:c>
      <x:c r="J798" s="12" t="n">
        <x:v>64494.67578715798</x:v>
      </x:c>
      <x:c r="K798" s="12" t="n">
        <x:v>4814</x:v>
      </x:c>
      <x:c r="L798" s="12" t="n">
        <x:v>945.571683918996</x:v>
      </x:c>
      <x:c r="M798" s="12" t="n">
        <x:v>12</x:v>
      </x:c>
      <x:c r="N798" s="14" t="n">
        <x:v>0.7265812102955298</x:v>
      </x:c>
      <x:c r="O798" s="14" t="n">
        <x:v>0.27341878970447014</x:v>
      </x:c>
      <x:c r="P798" s="14" t="n">
        <x:v>0.36964811314202406</x:v>
      </x:c>
      <x:c r="Q798" s="14" t="n">
        <x:v>0.30380199337744646</x:v>
      </x:c>
      <x:c r="R798" s="14" t="n">
        <x:v>0.16004876391769748</x:v>
      </x:c>
      <x:c r="S798" s="14" t="n">
        <x:v>0.4855614117787366</x:v>
      </x:c>
      <x:c r="T798" t="str">
        <x:v>직장밀집·여성소비</x:v>
      </x:c>
      <x:c r="U798" s="16" t="n">
        <x:v>68.22534187905865</x:v>
      </x:c>
      <x:c r="V798" t="str">
        <x:v>일반교습학원</x:v>
      </x:c>
      <x:c r="W798" t="str">
        <x:v>일반교습학원 / 일반의류 / 예술학원</x:v>
      </x:c>
      <x:c r="X798" s="16" t="n">
        <x:v>62.68802248038115</x:v>
      </x:c>
    </x:row>
    <x:row r="799">
      <x:c r="A799" t="str">
        <x:v>3110191</x:v>
      </x:c>
      <x:c r="B799" t="str">
        <x:v>고려대역 6번</x:v>
      </x:c>
      <x:c r="C799" t="str">
        <x:v>골목상권</x:v>
      </x:c>
      <x:c r="D799" t="str">
        <x:v>동대문구</x:v>
      </x:c>
      <x:c r="E799" t="str">
        <x:v>제기동</x:v>
      </x:c>
      <x:c r="F799" s="12" t="n">
        <x:v>79173</x:v>
      </x:c>
      <x:c r="G799" s="12" t="n">
        <x:v>3278269107</x:v>
      </x:c>
      <x:c r="H799" s="12" t="n">
        <x:v>191778</x:v>
      </x:c>
      <x:c r="I799" s="12" t="n">
        <x:v>17094.08329943998</x:v>
      </x:c>
      <x:c r="J799" s="12" t="n">
        <x:v>41406.40252358759</x:v>
      </x:c>
      <x:c r="K799" s="12" t="n">
        <x:v>115</x:v>
      </x:c>
      <x:c r="L799" s="12" t="n">
        <x:v>14.52515377717151</x:v>
      </x:c>
      <x:c r="M799" s="12" t="n">
        <x:v>11</x:v>
      </x:c>
      <x:c r="N799" s="14" t="n">
        <x:v>0.7506020401881547</x:v>
      </x:c>
      <x:c r="O799" s="14" t="n">
        <x:v>0.24939795981184532</x:v>
      </x:c>
      <x:c r="P799" s="14" t="n">
        <x:v>0.5229527845469826</x:v>
      </x:c>
      <x:c r="Q799" s="14" t="n">
        <x:v>0.271285013515518</x:v>
      </x:c>
      <x:c r="R799" s="14" t="n">
        <x:v>0.4616933615267113</x:v>
      </x:c>
      <x:c r="S799" s="14" t="n">
        <x:v>0.40729804705443906</x:v>
      </x:c>
      <x:c r="T799" t="str">
        <x:v>2030소비·야간활성</x:v>
      </x:c>
      <x:c r="U799" s="16" t="n">
        <x:v>54.17052628437841</x:v>
      </x:c>
      <x:c r="V799" t="str">
        <x:v>호프-간이주점</x:v>
      </x:c>
      <x:c r="W799" t="str">
        <x:v>호프-간이주점 / 양식음식점 / 패스트푸드점</x:v>
      </x:c>
      <x:c r="X799" s="16" t="n">
        <x:v>46.848806456391046</x:v>
      </x:c>
    </x:row>
    <x:row r="800">
      <x:c r="A800" t="str">
        <x:v>3110019</x:v>
      </x:c>
      <x:c r="B800" t="str">
        <x:v>창덕궁</x:v>
      </x:c>
      <x:c r="C800" t="str">
        <x:v>골목상권</x:v>
      </x:c>
      <x:c r="D800" t="str">
        <x:v>종로구</x:v>
      </x:c>
      <x:c r="E800" t="str">
        <x:v>종로1·2·3·4가동</x:v>
      </x:c>
      <x:c r="F800" s="12" t="n">
        <x:v>40999</x:v>
      </x:c>
      <x:c r="G800" s="12" t="n">
        <x:v>3248674610</x:v>
      </x:c>
      <x:c r="H800" s="12" t="n">
        <x:v>65283</x:v>
      </x:c>
      <x:c r="I800" s="12" t="n">
        <x:v>49762.9491598119</x:v>
      </x:c>
      <x:c r="J800" s="12" t="n">
        <x:v>79237.89872923729</x:v>
      </x:c>
      <x:c r="K800" s="12" t="n">
        <x:v>1013</x:v>
      </x:c>
      <x:c r="L800" s="12" t="n">
        <x:v>247.07919705358665</x:v>
      </x:c>
      <x:c r="M800" s="12" t="n">
        <x:v>5</x:v>
      </x:c>
      <x:c r="N800" s="14" t="n">
        <x:v>0.5818090039494599</x:v>
      </x:c>
      <x:c r="O800" s="14" t="n">
        <x:v>0.4181909960505401</x:v>
      </x:c>
      <x:c r="P800" s="14" t="n">
        <x:v>0.20628676166493634</x:v>
      </x:c>
      <x:c r="Q800" s="14" t="n">
        <x:v>0.40997694687557523</x:v>
      </x:c>
      <x:c r="R800" s="14" t="n">
        <x:v>0.7118962283514138</x:v>
      </x:c>
      <x:c r="S800" s="14" t="n">
        <x:v>0.40396715724016447</x:v>
      </x:c>
      <x:c r="T800" t="str">
        <x:v>2030소비·직장밀집</x:v>
      </x:c>
      <x:c r="U800" s="16" t="n">
        <x:v>64.54819444273829</x:v>
      </x:c>
      <x:c r="V800" t="str">
        <x:v>커피-음료</x:v>
      </x:c>
      <x:c r="W800" t="str">
        <x:v>커피-음료 / 시계및귀금속 / 호프-간이주점</x:v>
      </x:c>
      <x:c r="X800" s="16" t="n">
        <x:v>49.203552946039494</x:v>
      </x:c>
    </x:row>
    <x:row r="801">
      <x:c r="A801" t="str">
        <x:v>3110472</x:v>
      </x:c>
      <x:c r="B801" t="str">
        <x:v>연신내역 4번</x:v>
      </x:c>
      <x:c r="C801" t="str">
        <x:v>골목상권</x:v>
      </x:c>
      <x:c r="D801" t="str">
        <x:v>은평구</x:v>
      </x:c>
      <x:c r="E801" t="str">
        <x:v>대조동</x:v>
      </x:c>
      <x:c r="F801" s="12" t="n">
        <x:v>134157</x:v>
      </x:c>
      <x:c r="G801" s="12" t="n">
        <x:v>3241476319</x:v>
      </x:c>
      <x:c r="H801" s="12" t="n">
        <x:v>125456</x:v>
      </x:c>
      <x:c r="I801" s="12" t="n">
        <x:v>25837.555150809847</x:v>
      </x:c>
      <x:c r="J801" s="12" t="n">
        <x:v>24161.81279396528</x:v>
      </x:c>
      <x:c r="K801" s="12" t="n">
        <x:v>254</x:v>
      </x:c>
      <x:c r="L801" s="12" t="n">
        <x:v>18.933041138367734</x:v>
      </x:c>
      <x:c r="M801" s="12" t="n">
        <x:v>20</x:v>
      </x:c>
      <x:c r="N801" s="14" t="n">
        <x:v>0.7406391269705894</x:v>
      </x:c>
      <x:c r="O801" s="14" t="n">
        <x:v>0.2593608730294105</x:v>
      </x:c>
      <x:c r="P801" s="14" t="n">
        <x:v>0.4472855113892319</x:v>
      </x:c>
      <x:c r="Q801" s="14" t="n">
        <x:v>0.2716239309968564</x:v>
      </x:c>
      <x:c r="R801" s="14" t="n">
        <x:v>0.17962723052674567</x:v>
      </x:c>
      <x:c r="S801" s="14" t="n">
        <x:v>0.4357480959280147</x:v>
      </x:c>
      <x:c r="T801" t="str">
        <x:v>야간활성</x:v>
      </x:c>
      <x:c r="U801" s="16" t="n">
        <x:v>56.84408618686519</x:v>
      </x:c>
      <x:c r="V801" t="str">
        <x:v>피부관리실</x:v>
      </x:c>
      <x:c r="W801" t="str">
        <x:v>피부관리실 / 조명용품 / 예술학원</x:v>
      </x:c>
      <x:c r="X801" s="16" t="n">
        <x:v>54.66428249563114</x:v>
      </x:c>
    </x:row>
    <x:row r="802">
      <x:c r="A802" t="str">
        <x:v>3110766</x:v>
      </x:c>
      <x:c r="B802" t="str">
        <x:v>대림역 5번</x:v>
      </x:c>
      <x:c r="C802" t="str">
        <x:v>골목상권</x:v>
      </x:c>
      <x:c r="D802" t="str">
        <x:v>영등포구</x:v>
      </x:c>
      <x:c r="E802" t="str">
        <x:v>대림3동</x:v>
      </x:c>
      <x:c r="F802" s="12" t="n">
        <x:v>94929</x:v>
      </x:c>
      <x:c r="G802" s="12" t="n">
        <x:v>3237046774</x:v>
      </x:c>
      <x:c r="H802" s="12" t="n">
        <x:v>182708</x:v>
      </x:c>
      <x:c r="I802" s="12" t="n">
        <x:v>17717.050014230357</x:v>
      </x:c>
      <x:c r="J802" s="12" t="n">
        <x:v>34099.66157865352</x:v>
      </x:c>
      <x:c r="K802" s="12" t="n">
        <x:v>474</x:v>
      </x:c>
      <x:c r="L802" s="12" t="n">
        <x:v>49.93205448282401</x:v>
      </x:c>
      <x:c r="M802" s="12" t="n">
        <x:v>13</x:v>
      </x:c>
      <x:c r="N802" s="14" t="n">
        <x:v>0.7098944428165992</x:v>
      </x:c>
      <x:c r="O802" s="14" t="n">
        <x:v>0.29010555718340075</x:v>
      </x:c>
      <x:c r="P802" s="14" t="n">
        <x:v>0.4995748096656944</x:v>
      </x:c>
      <x:c r="Q802" s="14" t="n">
        <x:v>0.17893607953160828</x:v>
      </x:c>
      <x:c r="R802" s="14" t="n">
        <x:v>0.21846144105176282</x:v>
      </x:c>
      <x:c r="S802" s="14" t="n">
        <x:v>0.4074358766123903</x:v>
      </x:c>
      <x:c r="T802" t="str">
        <x:v>야간활성</x:v>
      </x:c>
      <x:c r="U802" s="16" t="n">
        <x:v>62.89479225573656</x:v>
      </x:c>
      <x:c r="V802" t="str">
        <x:v>일반의류</x:v>
      </x:c>
      <x:c r="W802" t="str">
        <x:v>일반의류 / 중식음식점 / 의약품</x:v>
      </x:c>
      <x:c r="X802" s="16" t="n">
        <x:v>54.28815523098653</x:v>
      </x:c>
    </x:row>
    <x:row r="803">
      <x:c r="A803" t="str">
        <x:v>3110562</x:v>
      </x:c>
      <x:c r="B803" t="str">
        <x:v>연트럴파크(연남동주민센터)</x:v>
      </x:c>
      <x:c r="C803" t="str">
        <x:v>골목상권</x:v>
      </x:c>
      <x:c r="D803" t="str">
        <x:v>마포구</x:v>
      </x:c>
      <x:c r="E803" t="str">
        <x:v>연남동</x:v>
      </x:c>
      <x:c r="F803" s="12" t="n">
        <x:v>96104</x:v>
      </x:c>
      <x:c r="G803" s="12" t="n">
        <x:v>3213537853</x:v>
      </x:c>
      <x:c r="H803" s="12" t="n">
        <x:v>200933</x:v>
      </x:c>
      <x:c r="I803" s="12" t="n">
        <x:v>15993.081539617684</x:v>
      </x:c>
      <x:c r="J803" s="12" t="n">
        <x:v>33438.127996753516</x:v>
      </x:c>
      <x:c r="K803" s="12" t="n">
        <x:v>486</x:v>
      </x:c>
      <x:c r="L803" s="12" t="n">
        <x:v>50.57021559976692</x:v>
      </x:c>
      <x:c r="M803" s="12" t="n">
        <x:v>11</x:v>
      </x:c>
      <x:c r="N803" s="14" t="n">
        <x:v>0.587163358053651</x:v>
      </x:c>
      <x:c r="O803" s="14" t="n">
        <x:v>0.41283664194634895</x:v>
      </x:c>
      <x:c r="P803" s="14" t="n">
        <x:v>0.4395243540328697</x:v>
      </x:c>
      <x:c r="Q803" s="14" t="n">
        <x:v>0.21017526940579653</x:v>
      </x:c>
      <x:c r="R803" s="14" t="n">
        <x:v>0.6695481364849509</x:v>
      </x:c>
      <x:c r="S803" s="14" t="n">
        <x:v>0.5929174290638113</x:v>
      </x:c>
      <x:c r="T803" t="str">
        <x:v>2030소비·여성소비</x:v>
      </x:c>
      <x:c r="U803" s="16" t="n">
        <x:v>58.185401286684865</x:v>
      </x:c>
      <x:c r="V803" t="str">
        <x:v>커피-음료</x:v>
      </x:c>
      <x:c r="W803" t="str">
        <x:v>커피-음료 / 미용실 / 전자상거래업</x:v>
      </x:c>
      <x:c r="X803" s="16" t="n">
        <x:v>50.40106194577185</x:v>
      </x:c>
    </x:row>
    <x:row r="804">
      <x:c r="A804" t="str">
        <x:v>3130181</x:v>
      </x:c>
      <x:c r="B804" t="str">
        <x:v>아현가구거리상점가</x:v>
      </x:c>
      <x:c r="C804" t="str">
        <x:v>전통시장</x:v>
      </x:c>
      <x:c r="D804" t="str">
        <x:v>서대문구</x:v>
      </x:c>
      <x:c r="E804" t="str">
        <x:v>북아현동</x:v>
      </x:c>
      <x:c r="F804" s="12" t="n">
        <x:v>45816</x:v>
      </x:c>
      <x:c r="G804" s="12" t="n">
        <x:v>3213241098</x:v>
      </x:c>
      <x:c r="H804" s="12" t="n">
        <x:v>12986</x:v>
      </x:c>
      <x:c r="I804" s="12" t="n">
        <x:v>247438.86477745263</x:v>
      </x:c>
      <x:c r="J804" s="12" t="n">
        <x:v>70133.60175484547</x:v>
      </x:c>
      <x:c r="K804" s="12" t="n">
        <x:v>271</x:v>
      </x:c>
      <x:c r="L804" s="12" t="n">
        <x:v>59.14964204644666</x:v>
      </x:c>
      <x:c r="M804" s="12" t="n">
        <x:v>5</x:v>
      </x:c>
      <x:c r="N804" s="14" t="n">
        <x:v>0.556295090994756</x:v>
      </x:c>
      <x:c r="O804" s="14" t="n">
        <x:v>0.4437049090052439</x:v>
      </x:c>
      <x:c r="P804" s="14" t="n">
        <x:v>0.25971169717685466</x:v>
      </x:c>
      <x:c r="Q804" s="14" t="n">
        <x:v>0.2196282928907067</x:v>
      </x:c>
      <x:c r="R804" s="14" t="n">
        <x:v>0.21460521634346405</x:v>
      </x:c>
      <x:c r="S804" s="14" t="n">
        <x:v>0.462984890839959</x:v>
      </x:c>
      <x:c r="T804" t="str">
        <x:v>여성소비·고매출밀도</x:v>
      </x:c>
      <x:c r="U804" s="16" t="n">
        <x:v>62.63331062178289</x:v>
      </x:c>
      <x:c r="V804" t="str">
        <x:v>한식음식점</x:v>
      </x:c>
      <x:c r="W804" t="str">
        <x:v>한식음식점 / 섬유제품 / 가구</x:v>
      </x:c>
      <x:c r="X804" s="16" t="n">
        <x:v>48.135566831920414</x:v>
      </x:c>
    </x:row>
    <x:row r="805">
      <x:c r="A805" t="str">
        <x:v>3111007</x:v>
      </x:c>
      <x:c r="B805" t="str">
        <x:v>석촌고분역 4번</x:v>
      </x:c>
      <x:c r="C805" t="str">
        <x:v>골목상권</x:v>
      </x:c>
      <x:c r="D805" t="str">
        <x:v>송파구</x:v>
      </x:c>
      <x:c r="E805" t="str">
        <x:v>삼전동</x:v>
      </x:c>
      <x:c r="F805" s="12" t="n">
        <x:v>163064</x:v>
      </x:c>
      <x:c r="G805" s="12" t="n">
        <x:v>3212777037</x:v>
      </x:c>
      <x:c r="H805" s="12" t="n">
        <x:v>169144</x:v>
      </x:c>
      <x:c r="I805" s="12" t="n">
        <x:v>18994.330493543963</x:v>
      </x:c>
      <x:c r="J805" s="12" t="n">
        <x:v>19702.552598979542</x:v>
      </x:c>
      <x:c r="K805" s="12" t="n">
        <x:v>875</x:v>
      </x:c>
      <x:c r="L805" s="12" t="n">
        <x:v>53.65991267232498</x:v>
      </x:c>
      <x:c r="M805" s="12" t="n">
        <x:v>15</x:v>
      </x:c>
      <x:c r="N805" s="14" t="n">
        <x:v>0.7532788700020828</x:v>
      </x:c>
      <x:c r="O805" s="14" t="n">
        <x:v>0.24672112999791712</x:v>
      </x:c>
      <x:c r="P805" s="14" t="n">
        <x:v>0.5552362440518775</x:v>
      </x:c>
      <x:c r="Q805" s="14" t="n">
        <x:v>0.18224405747954803</x:v>
      </x:c>
      <x:c r="R805" s="14" t="n">
        <x:v>0.29099564963057223</x:v>
      </x:c>
      <x:c r="S805" s="14" t="n">
        <x:v>0.4322288543548252</x:v>
      </x:c>
      <x:c r="T805" t="str">
        <x:v>야간활성·2030소비</x:v>
      </x:c>
      <x:c r="U805" s="16" t="n">
        <x:v>59.33943759772752</x:v>
      </x:c>
      <x:c r="V805" t="str">
        <x:v>예술학원</x:v>
      </x:c>
      <x:c r="W805" t="str">
        <x:v>예술학원 / 일반교습학원 / 미용실</x:v>
      </x:c>
      <x:c r="X805" s="16" t="n">
        <x:v>52.399830129864554</x:v>
      </x:c>
    </x:row>
    <x:row r="806">
      <x:c r="A806" t="str">
        <x:v>3120034</x:v>
      </x:c>
      <x:c r="B806" t="str">
        <x:v>중구청(퇴계로4가)</x:v>
      </x:c>
      <x:c r="C806" t="str">
        <x:v>발달상권</x:v>
      </x:c>
      <x:c r="D806" t="str">
        <x:v>중구</x:v>
      </x:c>
      <x:c r="E806" t="str">
        <x:v>광희동</x:v>
      </x:c>
      <x:c r="F806" s="12" t="n">
        <x:v>95213</x:v>
      </x:c>
      <x:c r="G806" s="12" t="n">
        <x:v>3192161840</x:v>
      </x:c>
      <x:c r="H806" s="12" t="n">
        <x:v>75630</x:v>
      </x:c>
      <x:c r="I806" s="12" t="n">
        <x:v>42207.61390982415</x:v>
      </x:c>
      <x:c r="J806" s="12" t="n">
        <x:v>33526.53356159348</x:v>
      </x:c>
      <x:c r="K806" s="12" t="n">
        <x:v>5288</x:v>
      </x:c>
      <x:c r="L806" s="12" t="n">
        <x:v>555.3863443017235</x:v>
      </x:c>
      <x:c r="M806" s="12" t="n">
        <x:v>7</x:v>
      </x:c>
      <x:c r="N806" s="14" t="n">
        <x:v>0.8989306983257466</x:v>
      </x:c>
      <x:c r="O806" s="14" t="n">
        <x:v>0.10106930167425346</x:v>
      </x:c>
      <x:c r="P806" s="14" t="n">
        <x:v>0.1479374811397407</x:v>
      </x:c>
      <x:c r="Q806" s="14" t="n">
        <x:v>0.2627860923241912</x:v>
      </x:c>
      <x:c r="R806" s="14" t="n">
        <x:v>0.14412324814959884</x:v>
      </x:c>
      <x:c r="S806" s="14" t="n">
        <x:v>0.14395677726665637</x:v>
      </x:c>
      <x:c r="T806" t="str">
        <x:v>평일집중·직장밀집</x:v>
      </x:c>
      <x:c r="U806" s="16" t="n">
        <x:v>58.33958204186177</x:v>
      </x:c>
      <x:c r="V806" t="str">
        <x:v>가구</x:v>
      </x:c>
      <x:c r="W806" t="str">
        <x:v>가구 / 커피-음료 / 한식음식점</x:v>
      </x:c>
      <x:c r="X806" s="16" t="n">
        <x:v>43.07341214896851</x:v>
      </x:c>
    </x:row>
    <x:row r="807">
      <x:c r="A807" t="str">
        <x:v>3130047</x:v>
      </x:c>
      <x:c r="B807" t="str">
        <x:v>테크노상가(엘리시움)</x:v>
      </x:c>
      <x:c r="C807" t="str">
        <x:v>전통시장</x:v>
      </x:c>
      <x:c r="D807" t="str">
        <x:v>중구</x:v>
      </x:c>
      <x:c r="E807" t="str">
        <x:v>신당동</x:v>
      </x:c>
      <x:c r="F807" s="12" t="n">
        <x:v>10175</x:v>
      </x:c>
      <x:c r="G807" s="12" t="n">
        <x:v>3173664470</x:v>
      </x:c>
      <x:c r="H807" s="12" t="n">
        <x:v>42854</x:v>
      </x:c>
      <x:c r="I807" s="12" t="n">
        <x:v>74057.60185746955</x:v>
      </x:c>
      <x:c r="J807" s="12" t="n">
        <x:v>311908.056019656</x:v>
      </x:c>
      <x:c r="K807" s="12" t="n">
        <x:v>328</x:v>
      </x:c>
      <x:c r="L807" s="12" t="n">
        <x:v>322.3587223587224</x:v>
      </x:c>
      <x:c r="M807" s="12" t="n">
        <x:v>2</x:v>
      </x:c>
      <x:c r="N807" s="14" t="n">
        <x:v>0.8770787376272325</x:v>
      </x:c>
      <x:c r="O807" s="14" t="n">
        <x:v>0.12292126237276746</x:v>
      </x:c>
      <x:c r="P807" s="14" t="n">
        <x:v>0.29505416588666666</x:v>
      </x:c>
      <x:c r="Q807" s="14" t="n">
        <x:v>0.2193478212900055</x:v>
      </x:c>
      <x:c r="R807" s="14" t="n">
        <x:v>0.16005249193844365</x:v>
      </x:c>
      <x:c r="S807" s="14" t="n">
        <x:v>0.6999001680855065</x:v>
      </x:c>
      <x:c r="T807" t="str">
        <x:v>여성소비·평일집중</x:v>
      </x:c>
      <x:c r="U807" s="16" t="n">
        <x:v>58.692531022101925</x:v>
      </x:c>
      <x:c r="V807" t="str">
        <x:v>일반의류</x:v>
      </x:c>
      <x:c r="W807" t="str">
        <x:v>일반의류 / 슈퍼마켓</x:v>
      </x:c>
      <x:c r="X807" s="16" t="n">
        <x:v>44.199589864986855</x:v>
      </x:c>
    </x:row>
    <x:row r="808">
      <x:c r="A808" t="str">
        <x:v>3130222</x:v>
      </x:c>
      <x:c r="B808" t="str">
        <x:v>오류시장</x:v>
      </x:c>
      <x:c r="C808" t="str">
        <x:v>전통시장</x:v>
      </x:c>
      <x:c r="D808" t="str">
        <x:v>구로구</x:v>
      </x:c>
      <x:c r="E808" t="str">
        <x:v>오류1동</x:v>
      </x:c>
      <x:c r="F808" s="12" t="n">
        <x:v>20163</x:v>
      </x:c>
      <x:c r="G808" s="12" t="n">
        <x:v>3163437692</x:v>
      </x:c>
      <x:c r="H808" s="12" t="n">
        <x:v>140149</x:v>
      </x:c>
      <x:c r="I808" s="12" t="n">
        <x:v>22571.960499183013</x:v>
      </x:c>
      <x:c r="J808" s="12" t="n">
        <x:v>156893.20497941776</x:v>
      </x:c>
      <x:c r="K808" s="12" t="n">
        <x:v>281</x:v>
      </x:c>
      <x:c r="L808" s="12" t="n">
        <x:v>139.3641819173734</x:v>
      </x:c>
      <x:c r="M808" s="12" t="n">
        <x:v>13</x:v>
      </x:c>
      <x:c r="N808" s="14" t="n">
        <x:v>0.7683465137141067</x:v>
      </x:c>
      <x:c r="O808" s="14" t="n">
        <x:v>0.23165348628589333</x:v>
      </x:c>
      <x:c r="P808" s="14" t="n">
        <x:v>0.3385336103531512</x:v>
      </x:c>
      <x:c r="Q808" s="14" t="n">
        <x:v>0.23994542169095456</x:v>
      </x:c>
      <x:c r="R808" s="14" t="n">
        <x:v>0.20261944264650938</x:v>
      </x:c>
      <x:c r="S808" s="14" t="n">
        <x:v>0.5465252969490129</x:v>
      </x:c>
      <x:c r="T808" t="str">
        <x:v>여성소비·고매출밀도</x:v>
      </x:c>
      <x:c r="U808" s="16" t="n">
        <x:v>72.31841938549255</x:v>
      </x:c>
      <x:c r="V808" t="str">
        <x:v>육류판매</x:v>
      </x:c>
      <x:c r="W808" t="str">
        <x:v>육류판매 / 미용실 / 제과점</x:v>
      </x:c>
      <x:c r="X808" s="16" t="n">
        <x:v>66.05767808677446</x:v>
      </x:c>
    </x:row>
    <x:row r="809">
      <x:c r="A809" t="str">
        <x:v>3130175</x:v>
      </x:c>
      <x:c r="B809" t="str">
        <x:v>신촌 상인회(신촌상점가)</x:v>
      </x:c>
      <x:c r="C809" t="str">
        <x:v>전통시장</x:v>
      </x:c>
      <x:c r="D809" t="str">
        <x:v>서대문구</x:v>
      </x:c>
      <x:c r="E809" t="str">
        <x:v>신촌동</x:v>
      </x:c>
      <x:c r="F809" s="12" t="n">
        <x:v>6147</x:v>
      </x:c>
      <x:c r="G809" s="12" t="n">
        <x:v>3149655888</x:v>
      </x:c>
      <x:c r="H809" s="12" t="n">
        <x:v>184412</x:v>
      </x:c>
      <x:c r="I809" s="12" t="n">
        <x:v>17079.45192286836</x:v>
      </x:c>
      <x:c r="J809" s="12" t="n">
        <x:v>512389.11469009274</x:v>
      </x:c>
      <x:c r="K809" s="12" t="n">
        <x:v>55</x:v>
      </x:c>
      <x:c r="L809" s="12" t="n">
        <x:v>89.47454042622418</x:v>
      </x:c>
      <x:c r="M809" s="12" t="n">
        <x:v>6</x:v>
      </x:c>
      <x:c r="N809" s="14" t="n">
        <x:v>0.6913978026287804</x:v>
      </x:c>
      <x:c r="O809" s="14" t="n">
        <x:v>0.30860219737121963</x:v>
      </x:c>
      <x:c r="P809" s="14" t="n">
        <x:v>0.33212868078241314</x:v>
      </x:c>
      <x:c r="Q809" s="14" t="n">
        <x:v>0.29691771458685773</x:v>
      </x:c>
      <x:c r="R809" s="14" t="n">
        <x:v>0.6297774469767727</x:v>
      </x:c>
      <x:c r="S809" s="14" t="n">
        <x:v>0.5452249649057536</x:v>
      </x:c>
      <x:c r="T809" t="str">
        <x:v>2030소비·고매출밀도</x:v>
      </x:c>
      <x:c r="U809" s="16" t="n">
        <x:v>63.654278053071884</x:v>
      </x:c>
      <x:c r="V809" t="str">
        <x:v>일반의원</x:v>
      </x:c>
      <x:c r="W809" t="str">
        <x:v>일반의원 / 일반의류 / PC방</x:v>
      </x:c>
      <x:c r="X809" s="16" t="n">
        <x:v>48.051142453167834</x:v>
      </x:c>
    </x:row>
    <x:row r="810">
      <x:c r="A810" t="str">
        <x:v>3130004</x:v>
      </x:c>
      <x:c r="B810" t="str">
        <x:v>낙원시장(낙원지하시장(대일상가))</x:v>
      </x:c>
      <x:c r="C810" t="str">
        <x:v>전통시장</x:v>
      </x:c>
      <x:c r="D810" t="str">
        <x:v>종로구</x:v>
      </x:c>
      <x:c r="E810" t="str">
        <x:v>종로1·2·3·4가동</x:v>
      </x:c>
      <x:c r="F810" s="12" t="n">
        <x:v>8689</x:v>
      </x:c>
      <x:c r="G810" s="12" t="n">
        <x:v>3141052362</x:v>
      </x:c>
      <x:c r="H810" s="12" t="n">
        <x:v>59219</x:v>
      </x:c>
      <x:c r="I810" s="12" t="n">
        <x:v>53041.29353754707</x:v>
      </x:c>
      <x:c r="J810" s="12" t="n">
        <x:v>361497.56726896076</x:v>
      </x:c>
      <x:c r="K810" s="12" t="n">
        <x:v>409</x:v>
      </x:c>
      <x:c r="L810" s="12" t="n">
        <x:v>470.7100932213143</x:v>
      </x:c>
      <x:c r="M810" s="12" t="n">
        <x:v>6</x:v>
      </x:c>
      <x:c r="N810" s="14" t="n">
        <x:v>0.8159855254269078</x:v>
      </x:c>
      <x:c r="O810" s="14" t="n">
        <x:v>0.18401447457309214</x:v>
      </x:c>
      <x:c r="P810" s="14" t="n">
        <x:v>0.41269367766114307</x:v>
      </x:c>
      <x:c r="Q810" s="14" t="n">
        <x:v>0.1805095470102195</x:v>
      </x:c>
      <x:c r="R810" s="14" t="n">
        <x:v>0.19049275339651278</x:v>
      </x:c>
      <x:c r="S810" s="14" t="n">
        <x:v>0.2490768035149361</x:v>
      </x:c>
      <x:c r="T810" t="str">
        <x:v>고매출밀도·직장밀집</x:v>
      </x:c>
      <x:c r="U810" s="16" t="n">
        <x:v>61.060688647261934</x:v>
      </x:c>
      <x:c r="V810" t="str">
        <x:v>육류판매</x:v>
      </x:c>
      <x:c r="W810" t="str">
        <x:v>육류판매 / 가전제품 / 청과상</x:v>
      </x:c>
      <x:c r="X810" s="16" t="n">
        <x:v>50.99194550142942</x:v>
      </x:c>
    </x:row>
    <x:row r="811">
      <x:c r="A811" t="str">
        <x:v>3110743</x:v>
      </x:c>
      <x:c r="B811" t="str">
        <x:v>시흥초등학교(시흥1동우체국)</x:v>
      </x:c>
      <x:c r="C811" t="str">
        <x:v>골목상권</x:v>
      </x:c>
      <x:c r="D811" t="str">
        <x:v>금천구</x:v>
      </x:c>
      <x:c r="E811" t="str">
        <x:v>시흥1동</x:v>
      </x:c>
      <x:c r="F811" s="12" t="n">
        <x:v>121078</x:v>
      </x:c>
      <x:c r="G811" s="12" t="n">
        <x:v>3123448417</x:v>
      </x:c>
      <x:c r="H811" s="12" t="n">
        <x:v>162719</x:v>
      </x:c>
      <x:c r="I811" s="12" t="n">
        <x:v>19195.351599997543</x:v>
      </x:c>
      <x:c r="J811" s="12" t="n">
        <x:v>25796.993813905086</x:v>
      </x:c>
      <x:c r="K811" s="12" t="n">
        <x:v>381</x:v>
      </x:c>
      <x:c r="L811" s="12" t="n">
        <x:v>31.467318588017644</x:v>
      </x:c>
      <x:c r="M811" s="12" t="n">
        <x:v>17</x:v>
      </x:c>
      <x:c r="N811" s="14" t="n">
        <x:v>0.7187592683718074</x:v>
      </x:c>
      <x:c r="O811" s="14" t="n">
        <x:v>0.2812407316281926</x:v>
      </x:c>
      <x:c r="P811" s="14" t="n">
        <x:v>0.4683627890372169</x:v>
      </x:c>
      <x:c r="Q811" s="14" t="n">
        <x:v>0.18211521852067133</x:v>
      </x:c>
      <x:c r="R811" s="14" t="n">
        <x:v>0.17068750970828023</x:v>
      </x:c>
      <x:c r="S811" s="14" t="n">
        <x:v>0.4088939426848873</x:v>
      </x:c>
      <x:c r="T811" t="str">
        <x:v>야간활성</x:v>
      </x:c>
      <x:c r="U811" s="16" t="n">
        <x:v>66.03568131449268</x:v>
      </x:c>
      <x:c r="V811" t="str">
        <x:v>화초</x:v>
      </x:c>
      <x:c r="W811" t="str">
        <x:v>화초 / 예술학원 / 한식음식점</x:v>
      </x:c>
      <x:c r="X811" s="16" t="n">
        <x:v>56.47922974411038</x:v>
      </x:c>
    </x:row>
    <x:row r="812">
      <x:c r="A812" t="str">
        <x:v>3110436</x:v>
      </x:c>
      <x:c r="B812" t="str">
        <x:v>상계제일중학교</x:v>
      </x:c>
      <x:c r="C812" t="str">
        <x:v>골목상권</x:v>
      </x:c>
      <x:c r="D812" t="str">
        <x:v>노원구</x:v>
      </x:c>
      <x:c r="E812" t="str">
        <x:v>중계4동</x:v>
      </x:c>
      <x:c r="F812" s="12" t="n">
        <x:v>41545</x:v>
      </x:c>
      <x:c r="G812" s="12" t="n">
        <x:v>3110730499</x:v>
      </x:c>
      <x:c r="H812" s="12" t="n">
        <x:v>103275</x:v>
      </x:c>
      <x:c r="I812" s="12" t="n">
        <x:v>30120.847242798354</x:v>
      </x:c>
      <x:c r="J812" s="12" t="n">
        <x:v>74876.17039354917</x:v>
      </x:c>
      <x:c r="K812" s="12" t="n">
        <x:v>355</x:v>
      </x:c>
      <x:c r="L812" s="12" t="n">
        <x:v>85.44951257672403</x:v>
      </x:c>
      <x:c r="M812" s="12" t="n">
        <x:v>7</x:v>
      </x:c>
      <x:c r="N812" s="14" t="n">
        <x:v>0.7290958225822185</x:v>
      </x:c>
      <x:c r="O812" s="14" t="n">
        <x:v>0.2709041774177815</x:v>
      </x:c>
      <x:c r="P812" s="14" t="n">
        <x:v>0.47226004421542145</x:v>
      </x:c>
      <x:c r="Q812" s="14" t="n">
        <x:v>0.21859680522584543</x:v>
      </x:c>
      <x:c r="R812" s="14" t="n">
        <x:v>0.1321827915122132</x:v>
      </x:c>
      <x:c r="S812" s="14" t="n">
        <x:v>0.36050753363575133</x:v>
      </x:c>
      <x:c r="T812" t="str">
        <x:v>야간활성·고매출밀도</x:v>
      </x:c>
      <x:c r="U812" s="16" t="n">
        <x:v>67.92874655465151</x:v>
      </x:c>
      <x:c r="V812" t="str">
        <x:v>자동차수리</x:v>
      </x:c>
      <x:c r="W812" t="str">
        <x:v>자동차수리 / 한식음식점 / 슈퍼마켓</x:v>
      </x:c>
      <x:c r="X812" s="16" t="n">
        <x:v>60.12899001003973</x:v>
      </x:c>
    </x:row>
    <x:row r="813">
      <x:c r="A813" t="str">
        <x:v>3110904</x:v>
      </x:c>
      <x:c r="B813" t="str">
        <x:v>이수역 5번</x:v>
      </x:c>
      <x:c r="C813" t="str">
        <x:v>골목상권</x:v>
      </x:c>
      <x:c r="D813" t="str">
        <x:v>서초구</x:v>
      </x:c>
      <x:c r="E813" t="str">
        <x:v>방배2동</x:v>
      </x:c>
      <x:c r="F813" s="12" t="n">
        <x:v>47127</x:v>
      </x:c>
      <x:c r="G813" s="12" t="n">
        <x:v>3104247671</x:v>
      </x:c>
      <x:c r="H813" s="12" t="n">
        <x:v>90308</x:v>
      </x:c>
      <x:c r="I813" s="12" t="n">
        <x:v>34374.00530407052</x:v>
      </x:c>
      <x:c r="J813" s="12" t="n">
        <x:v>65869.83408661702</x:v>
      </x:c>
      <x:c r="K813" s="12" t="n">
        <x:v>1244</x:v>
      </x:c>
      <x:c r="L813" s="12" t="n">
        <x:v>263.96757697286057</x:v>
      </x:c>
      <x:c r="M813" s="12" t="n">
        <x:v>8</x:v>
      </x:c>
      <x:c r="N813" s="14" t="n">
        <x:v>0.8397558205013469</x:v>
      </x:c>
      <x:c r="O813" s="14" t="n">
        <x:v>0.16024417949865316</x:v>
      </x:c>
      <x:c r="P813" s="14" t="n">
        <x:v>0.34298673071308555</x:v>
      </x:c>
      <x:c r="Q813" s="14" t="n">
        <x:v>0.2876099385821203</x:v>
      </x:c>
      <x:c r="R813" s="14" t="n">
        <x:v>0.14305273066596108</x:v>
      </x:c>
      <x:c r="S813" s="14" t="n">
        <x:v>0.3164165282867341</x:v>
      </x:c>
      <x:c r="T813" t="str">
        <x:v>평일집중·직장밀집</x:v>
      </x:c>
      <x:c r="U813" s="16" t="n">
        <x:v>66.87258493731694</x:v>
      </x:c>
      <x:c r="V813" t="str">
        <x:v>화장품</x:v>
      </x:c>
      <x:c r="W813" t="str">
        <x:v>화장품 / 조명용품 / 한식음식점</x:v>
      </x:c>
      <x:c r="X813" s="16" t="n">
        <x:v>59.369891143845656</x:v>
      </x:c>
    </x:row>
    <x:row r="814">
      <x:c r="A814" t="str">
        <x:v>3110212</x:v>
      </x:c>
      <x:c r="B814" t="str">
        <x:v>답십리초등학교</x:v>
      </x:c>
      <x:c r="C814" t="str">
        <x:v>골목상권</x:v>
      </x:c>
      <x:c r="D814" t="str">
        <x:v>동대문구</x:v>
      </x:c>
      <x:c r="E814" t="str">
        <x:v>답십리1동</x:v>
      </x:c>
      <x:c r="F814" s="12" t="n">
        <x:v>80982</x:v>
      </x:c>
      <x:c r="G814" s="12" t="n">
        <x:v>3096880880</x:v>
      </x:c>
      <x:c r="H814" s="12" t="n">
        <x:v>143931</x:v>
      </x:c>
      <x:c r="I814" s="12" t="n">
        <x:v>21516.42717691116</x:v>
      </x:c>
      <x:c r="J814" s="12" t="n">
        <x:v>38241.59541626534</x:v>
      </x:c>
      <x:c r="K814" s="12" t="n">
        <x:v>491</x:v>
      </x:c>
      <x:c r="L814" s="12" t="n">
        <x:v>60.63075745227334</x:v>
      </x:c>
      <x:c r="M814" s="12" t="n">
        <x:v>17</x:v>
      </x:c>
      <x:c r="N814" s="14" t="n">
        <x:v>0.72038233675943</x:v>
      </x:c>
      <x:c r="O814" s="14" t="n">
        <x:v>0.27961766324056997</x:v>
      </x:c>
      <x:c r="P814" s="14" t="n">
        <x:v>0.5218804034206185</x:v>
      </x:c>
      <x:c r="Q814" s="14" t="n">
        <x:v>0.20220285289113218</x:v>
      </x:c>
      <x:c r="R814" s="14" t="n">
        <x:v>0.24354790940489773</x:v>
      </x:c>
      <x:c r="S814" s="14" t="n">
        <x:v>0.48009439743126314</x:v>
      </x:c>
      <x:c r="T814" t="str">
        <x:v>야간활성·여성소비</x:v>
      </x:c>
      <x:c r="U814" s="16" t="n">
        <x:v>73.39281583499043</x:v>
      </x:c>
      <x:c r="V814" t="str">
        <x:v>예술학원</x:v>
      </x:c>
      <x:c r="W814" t="str">
        <x:v>예술학원 / 미용실 / 일반교습학원</x:v>
      </x:c>
      <x:c r="X814" s="16" t="n">
        <x:v>59.19344570659943</x:v>
      </x:c>
    </x:row>
    <x:row r="815">
      <x:c r="A815" t="str">
        <x:v>3110971</x:v>
      </x:c>
      <x:c r="B815" t="str">
        <x:v>선정릉역 4번</x:v>
      </x:c>
      <x:c r="C815" t="str">
        <x:v>골목상권</x:v>
      </x:c>
      <x:c r="D815" t="str">
        <x:v>강남구</x:v>
      </x:c>
      <x:c r="E815" t="str">
        <x:v>역삼1동</x:v>
      </x:c>
      <x:c r="F815" s="12" t="n">
        <x:v>133222</x:v>
      </x:c>
      <x:c r="G815" s="12" t="n">
        <x:v>3064765492</x:v>
      </x:c>
      <x:c r="H815" s="12" t="n">
        <x:v>168922</x:v>
      </x:c>
      <x:c r="I815" s="12" t="n">
        <x:v>18143.080782846522</x:v>
      </x:c>
      <x:c r="J815" s="12" t="n">
        <x:v>23004.95032352014</x:v>
      </x:c>
      <x:c r="K815" s="12" t="n">
        <x:v>2179</x:v>
      </x:c>
      <x:c r="L815" s="12" t="n">
        <x:v>163.56157391421834</x:v>
      </x:c>
      <x:c r="M815" s="12" t="n">
        <x:v>9</x:v>
      </x:c>
      <x:c r="N815" s="14" t="n">
        <x:v>0.7836524929131511</x:v>
      </x:c>
      <x:c r="O815" s="14" t="n">
        <x:v>0.2163475070868489</x:v>
      </x:c>
      <x:c r="P815" s="14" t="n">
        <x:v>0.5606128261639929</x:v>
      </x:c>
      <x:c r="Q815" s="14" t="n">
        <x:v>0.1311764994905522</x:v>
      </x:c>
      <x:c r="R815" s="14" t="n">
        <x:v>0.4416398212304069</x:v>
      </x:c>
      <x:c r="S815" s="14" t="n">
        <x:v>0.3110496230424145</x:v>
      </x:c>
      <x:c r="T815" t="str">
        <x:v>2030소비·야간활성</x:v>
      </x:c>
      <x:c r="U815" s="16" t="n">
        <x:v>57.51817410930148</x:v>
      </x:c>
      <x:c r="V815" t="str">
        <x:v>커피-음료</x:v>
      </x:c>
      <x:c r="W815" t="str">
        <x:v>커피-음료 / 한식음식점 / 네일숍</x:v>
      </x:c>
      <x:c r="X815" s="16" t="n">
        <x:v>48.61988823460776</x:v>
      </x:c>
    </x:row>
    <x:row r="816">
      <x:c r="A816" t="str">
        <x:v>3130145</x:v>
      </x:c>
      <x:c r="B816" t="str">
        <x:v>쌍문역둘리상점가</x:v>
      </x:c>
      <x:c r="C816" t="str">
        <x:v>전통시장</x:v>
      </x:c>
      <x:c r="D816" t="str">
        <x:v>도봉구</x:v>
      </x:c>
      <x:c r="E816" t="str">
        <x:v>쌍문3동</x:v>
      </x:c>
      <x:c r="F816" s="12" t="n">
        <x:v>32420</x:v>
      </x:c>
      <x:c r="G816" s="12" t="n">
        <x:v>3057224019</x:v>
      </x:c>
      <x:c r="H816" s="12" t="n">
        <x:v>131327</x:v>
      </x:c>
      <x:c r="I816" s="12" t="n">
        <x:v>23279.478089044904</x:v>
      </x:c>
      <x:c r="J816" s="12" t="n">
        <x:v>94300.55579888957</x:v>
      </x:c>
      <x:c r="K816" s="12" t="n">
        <x:v>172</x:v>
      </x:c>
      <x:c r="L816" s="12" t="n">
        <x:v>53.05367057371993</x:v>
      </x:c>
      <x:c r="M816" s="12" t="n">
        <x:v>7</x:v>
      </x:c>
      <x:c r="N816" s="14" t="n">
        <x:v>0.6752674466018579</x:v>
      </x:c>
      <x:c r="O816" s="14" t="n">
        <x:v>0.32473255339814205</x:v>
      </x:c>
      <x:c r="P816" s="14" t="n">
        <x:v>0.5793185422438617</x:v>
      </x:c>
      <x:c r="Q816" s="14" t="n">
        <x:v>0.14454419376979258</x:v>
      </x:c>
      <x:c r="R816" s="14" t="n">
        <x:v>0.3254233922070988</x:v>
      </x:c>
      <x:c r="S816" s="14" t="n">
        <x:v>0.4023607276912474</x:v>
      </x:c>
      <x:c r="T816" t="str">
        <x:v>야간활성·2030소비</x:v>
      </x:c>
      <x:c r="U816" s="16" t="n">
        <x:v>61.80642694380761</x:v>
      </x:c>
      <x:c r="V816" t="str">
        <x:v>편의점</x:v>
      </x:c>
      <x:c r="W816" t="str">
        <x:v>편의점 / 미용실 / 호프-간이주점</x:v>
      </x:c>
      <x:c r="X816" s="16" t="n">
        <x:v>54.25889420944721</x:v>
      </x:c>
    </x:row>
    <x:row r="817">
      <x:c r="A817" t="str">
        <x:v>3110441</x:v>
      </x:c>
      <x:c r="B817" t="str">
        <x:v>영신여고</x:v>
      </x:c>
      <x:c r="C817" t="str">
        <x:v>골목상권</x:v>
      </x:c>
      <x:c r="D817" t="str">
        <x:v>노원구</x:v>
      </x:c>
      <x:c r="E817" t="str">
        <x:v>중계본동</x:v>
      </x:c>
      <x:c r="F817" s="12" t="n">
        <x:v>54737</x:v>
      </x:c>
      <x:c r="G817" s="12" t="n">
        <x:v>3047190309</x:v>
      </x:c>
      <x:c r="H817" s="12" t="n">
        <x:v>200403</x:v>
      </x:c>
      <x:c r="I817" s="12" t="n">
        <x:v>15205.31283962815</x:v>
      </x:c>
      <x:c r="J817" s="12" t="n">
        <x:v>55669.662367320096</x:v>
      </x:c>
      <x:c r="K817" s="12" t="n">
        <x:v>194</x:v>
      </x:c>
      <x:c r="L817" s="12" t="n">
        <x:v>35.44220545517658</x:v>
      </x:c>
      <x:c r="M817" s="12" t="n">
        <x:v>15</x:v>
      </x:c>
      <x:c r="N817" s="14" t="n">
        <x:v>0.7515033823901545</x:v>
      </x:c>
      <x:c r="O817" s="14" t="n">
        <x:v>0.2484966176098455</x:v>
      </x:c>
      <x:c r="P817" s="14" t="n">
        <x:v>0.45350742975206804</x:v>
      </x:c>
      <x:c r="Q817" s="14" t="n">
        <x:v>0.15749531513753576</x:v>
      </x:c>
      <x:c r="R817" s="14" t="n">
        <x:v>0.15558898031399587</x:v>
      </x:c>
      <x:c r="S817" s="14" t="n">
        <x:v>0.5150709134786763</x:v>
      </x:c>
      <x:c r="T817" t="str">
        <x:v>여성소비·야간활성</x:v>
      </x:c>
      <x:c r="U817" s="16" t="n">
        <x:v>71.32896090009886</x:v>
      </x:c>
      <x:c r="V817" t="str">
        <x:v>예술학원</x:v>
      </x:c>
      <x:c r="W817" t="str">
        <x:v>예술학원 / 슈퍼마켓 / 미용실</x:v>
      </x:c>
      <x:c r="X817" s="16" t="n">
        <x:v>61.09407795733951</x:v>
      </x:c>
    </x:row>
    <x:row r="818">
      <x:c r="A818" t="str">
        <x:v>3110210</x:v>
      </x:c>
      <x:c r="B818" t="str">
        <x:v>서울시립대</x:v>
      </x:c>
      <x:c r="C818" t="str">
        <x:v>골목상권</x:v>
      </x:c>
      <x:c r="D818" t="str">
        <x:v>동대문구</x:v>
      </x:c>
      <x:c r="E818" t="str">
        <x:v>전농1동</x:v>
      </x:c>
      <x:c r="F818" s="12" t="n">
        <x:v>110970</x:v>
      </x:c>
      <x:c r="G818" s="12" t="n">
        <x:v>3044826123</x:v>
      </x:c>
      <x:c r="H818" s="12" t="n">
        <x:v>394243</x:v>
      </x:c>
      <x:c r="I818" s="12" t="n">
        <x:v>7723.221776924384</x:v>
      </x:c>
      <x:c r="J818" s="12" t="n">
        <x:v>27438.281724790482</x:v>
      </x:c>
      <x:c r="K818" s="12" t="n">
        <x:v>291</x:v>
      </x:c>
      <x:c r="L818" s="12" t="n">
        <x:v>26.22330359556637</x:v>
      </x:c>
      <x:c r="M818" s="12" t="n">
        <x:v>9</x:v>
      </x:c>
      <x:c r="N818" s="14" t="n">
        <x:v>0.7693284231586974</x:v>
      </x:c>
      <x:c r="O818" s="14" t="n">
        <x:v>0.2306715768413026</x:v>
      </x:c>
      <x:c r="P818" s="14" t="n">
        <x:v>0.41713309059126197</x:v>
      </x:c>
      <x:c r="Q818" s="14" t="n">
        <x:v>0.27387524223497345</x:v>
      </x:c>
      <x:c r="R818" s="14" t="n">
        <x:v>0.49962358458128614</x:v>
      </x:c>
      <x:c r="S818" s="14" t="n">
        <x:v>0.4176718287437</x:v>
      </x:c>
      <x:c r="T818" t="str">
        <x:v>2030소비·야간활성</x:v>
      </x:c>
      <x:c r="U818" s="16" t="n">
        <x:v>59.212099946574924</x:v>
      </x:c>
      <x:c r="V818" t="str">
        <x:v>편의점</x:v>
      </x:c>
      <x:c r="W818" t="str">
        <x:v>편의점 / 분식전문점 / 양식음식점</x:v>
      </x:c>
      <x:c r="X818" s="16" t="n">
        <x:v>50.39464878560333</x:v>
      </x:c>
    </x:row>
    <x:row r="819">
      <x:c r="A819" t="str">
        <x:v>3110224</x:v>
      </x:c>
      <x:c r="B819" t="str">
        <x:v>외대앞역 2번</x:v>
      </x:c>
      <x:c r="C819" t="str">
        <x:v>골목상권</x:v>
      </x:c>
      <x:c r="D819" t="str">
        <x:v>동대문구</x:v>
      </x:c>
      <x:c r="E819" t="str">
        <x:v>휘경1동</x:v>
      </x:c>
      <x:c r="F819" s="12" t="n">
        <x:v>45770</x:v>
      </x:c>
      <x:c r="G819" s="12" t="n">
        <x:v>3044602490</x:v>
      </x:c>
      <x:c r="H819" s="12" t="n">
        <x:v>179160</x:v>
      </x:c>
      <x:c r="I819" s="12" t="n">
        <x:v>16993.7625027908</x:v>
      </x:c>
      <x:c r="J819" s="12" t="n">
        <x:v>66519.60869565218</x:v>
      </x:c>
      <x:c r="K819" s="12" t="n">
        <x:v>61</x:v>
      </x:c>
      <x:c r="L819" s="12" t="n">
        <x:v>13.327507100720997</x:v>
      </x:c>
      <x:c r="M819" s="12" t="n">
        <x:v>8</x:v>
      </x:c>
      <x:c r="N819" s="14" t="n">
        <x:v>0.7125157806725698</x:v>
      </x:c>
      <x:c r="O819" s="14" t="n">
        <x:v>0.2874842193274302</x:v>
      </x:c>
      <x:c r="P819" s="14" t="n">
        <x:v>0.47366308335378127</x:v>
      </x:c>
      <x:c r="Q819" s="14" t="n">
        <x:v>0.17128549513864452</x:v>
      </x:c>
      <x:c r="R819" s="14" t="n">
        <x:v>0.2438130683523155</x:v>
      </x:c>
      <x:c r="S819" s="14" t="n">
        <x:v>0.4703600643117125</x:v>
      </x:c>
      <x:c r="T819" t="str">
        <x:v>야간활성·여성소비</x:v>
      </x:c>
      <x:c r="U819" s="16" t="n">
        <x:v>74.5057231768473</x:v>
      </x:c>
      <x:c r="V819" t="str">
        <x:v>육류판매</x:v>
      </x:c>
      <x:c r="W819" t="str">
        <x:v>육류판매 / 미용실 / 청과상</x:v>
      </x:c>
      <x:c r="X819" s="16" t="n">
        <x:v>61.3128404789809</x:v>
      </x:c>
    </x:row>
    <x:row r="820">
      <x:c r="A820" t="str">
        <x:v>3110484</x:v>
      </x:c>
      <x:c r="B820" t="str">
        <x:v>역촌역 3번</x:v>
      </x:c>
      <x:c r="C820" t="str">
        <x:v>골목상권</x:v>
      </x:c>
      <x:c r="D820" t="str">
        <x:v>은평구</x:v>
      </x:c>
      <x:c r="E820" t="str">
        <x:v>녹번동</x:v>
      </x:c>
      <x:c r="F820" s="12" t="n">
        <x:v>191591</x:v>
      </x:c>
      <x:c r="G820" s="12" t="n">
        <x:v>3034559553</x:v>
      </x:c>
      <x:c r="H820" s="12" t="n">
        <x:v>265288</x:v>
      </x:c>
      <x:c r="I820" s="12" t="n">
        <x:v>11438.73659193028</x:v>
      </x:c>
      <x:c r="J820" s="12" t="n">
        <x:v>15838.737482449593</x:v>
      </x:c>
      <x:c r="K820" s="12" t="n">
        <x:v>417</x:v>
      </x:c>
      <x:c r="L820" s="12" t="n">
        <x:v>21.76511422770381</x:v>
      </x:c>
      <x:c r="M820" s="12" t="n">
        <x:v>10</x:v>
      </x:c>
      <x:c r="N820" s="14" t="n">
        <x:v>0.6807869283559254</x:v>
      </x:c>
      <x:c r="O820" s="14" t="n">
        <x:v>0.3192130716440746</x:v>
      </x:c>
      <x:c r="P820" s="14" t="n">
        <x:v>0.5427745157848942</x:v>
      </x:c>
      <x:c r="Q820" s="14" t="n">
        <x:v>0.1214004528715868</x:v>
      </x:c>
      <x:c r="R820" s="14" t="n">
        <x:v>0.35013609502228804</x:v>
      </x:c>
      <x:c r="S820" s="14" t="n">
        <x:v>0.3706534023654404</x:v>
      </x:c>
      <x:c r="T820" t="str">
        <x:v>야간활성·2030소비</x:v>
      </x:c>
      <x:c r="U820" s="16" t="n">
        <x:v>59.543416065955775</x:v>
      </x:c>
      <x:c r="V820" t="str">
        <x:v>편의점</x:v>
      </x:c>
      <x:c r="W820" t="str">
        <x:v>편의점 / 일반의류 / 슈퍼마켓</x:v>
      </x:c>
      <x:c r="X820" s="16" t="n">
        <x:v>56.331097714271394</x:v>
      </x:c>
    </x:row>
    <x:row r="821">
      <x:c r="A821" t="str">
        <x:v>3110265</x:v>
      </x:c>
      <x:c r="B821" t="str">
        <x:v>망우역 1번</x:v>
      </x:c>
      <x:c r="C821" t="str">
        <x:v>골목상권</x:v>
      </x:c>
      <x:c r="D821" t="str">
        <x:v>중랑구</x:v>
      </x:c>
      <x:c r="E821" t="str">
        <x:v>상봉1동</x:v>
      </x:c>
      <x:c r="F821" s="12" t="n">
        <x:v>164846</x:v>
      </x:c>
      <x:c r="G821" s="12" t="n">
        <x:v>3029577461</x:v>
      </x:c>
      <x:c r="H821" s="12" t="n">
        <x:v>87226</x:v>
      </x:c>
      <x:c r="I821" s="12" t="n">
        <x:v>34732.504769220184</x:v>
      </x:c>
      <x:c r="J821" s="12" t="n">
        <x:v>18378.228534511</x:v>
      </x:c>
      <x:c r="K821" s="12" t="n">
        <x:v>505</x:v>
      </x:c>
      <x:c r="L821" s="12" t="n">
        <x:v>30.634652948812832</x:v>
      </x:c>
      <x:c r="M821" s="12" t="n">
        <x:v>14</x:v>
      </x:c>
      <x:c r="N821" s="14" t="n">
        <x:v>0.7597918890115481</x:v>
      </x:c>
      <x:c r="O821" s="14" t="n">
        <x:v>0.2402081109884518</x:v>
      </x:c>
      <x:c r="P821" s="14" t="n">
        <x:v>0.3149116559261331</x:v>
      </x:c>
      <x:c r="Q821" s="14" t="n">
        <x:v>0.3300878788786315</x:v>
      </x:c>
      <x:c r="R821" s="14" t="n">
        <x:v>0.144786438256381</x:v>
      </x:c>
      <x:c r="S821" s="14" t="n">
        <x:v>0.47470990542862374</x:v>
      </x:c>
      <x:c r="T821" t="str">
        <x:v>여성소비</x:v>
      </x:c>
      <x:c r="U821" s="16" t="n">
        <x:v>68.54007817427706</x:v>
      </x:c>
      <x:c r="V821" t="str">
        <x:v>호프-간이주점</x:v>
      </x:c>
      <x:c r="W821" t="str">
        <x:v>호프-간이주점 / 미용실 / 화장품</x:v>
      </x:c>
      <x:c r="X821" s="16" t="n">
        <x:v>54.09849105598566</x:v>
      </x:c>
    </x:row>
    <x:row r="822">
      <x:c r="A822" t="str">
        <x:v>3110216</x:v>
      </x:c>
      <x:c r="B822" t="str">
        <x:v>전농중학교</x:v>
      </x:c>
      <x:c r="C822" t="str">
        <x:v>골목상권</x:v>
      </x:c>
      <x:c r="D822" t="str">
        <x:v>동대문구</x:v>
      </x:c>
      <x:c r="E822" t="str">
        <x:v>전농2동</x:v>
      </x:c>
      <x:c r="F822" s="12" t="n">
        <x:v>65069</x:v>
      </x:c>
      <x:c r="G822" s="12" t="n">
        <x:v>3029532720</x:v>
      </x:c>
      <x:c r="H822" s="12" t="n">
        <x:v>165054</x:v>
      </x:c>
      <x:c r="I822" s="12" t="n">
        <x:v>18354.797339052675</x:v>
      </x:c>
      <x:c r="J822" s="12" t="n">
        <x:v>46558.771765356774</x:v>
      </x:c>
      <x:c r="K822" s="12" t="n">
        <x:v>397</x:v>
      </x:c>
      <x:c r="L822" s="12" t="n">
        <x:v>61.01215632636125</x:v>
      </x:c>
      <x:c r="M822" s="12" t="n">
        <x:v>14</x:v>
      </x:c>
      <x:c r="N822" s="14" t="n">
        <x:v>0.7866665292197274</x:v>
      </x:c>
      <x:c r="O822" s="14" t="n">
        <x:v>0.21333347078027268</x:v>
      </x:c>
      <x:c r="P822" s="14" t="n">
        <x:v>0.31832185294899207</x:v>
      </x:c>
      <x:c r="Q822" s="14" t="n">
        <x:v>0.31527025659587526</x:v>
      </x:c>
      <x:c r="R822" s="14" t="n">
        <x:v>0.13483838755172778</x:v>
      </x:c>
      <x:c r="S822" s="14" t="n">
        <x:v>0.42702166227140137</x:v>
      </x:c>
      <x:c r="T822" t="str">
        <x:v>평일집중</x:v>
      </x:c>
      <x:c r="U822" s="16" t="n">
        <x:v>65.99315023791281</x:v>
      </x:c>
      <x:c r="V822" t="str">
        <x:v>노래방</x:v>
      </x:c>
      <x:c r="W822" t="str">
        <x:v>노래방 / 피부관리실 / 의약품</x:v>
      </x:c>
      <x:c r="X822" s="16" t="n">
        <x:v>57.97103300598671</x:v>
      </x:c>
    </x:row>
    <x:row r="823">
      <x:c r="A823" t="str">
        <x:v>3110498</x:v>
      </x:c>
      <x:c r="B823" t="str">
        <x:v>증산역 1번</x:v>
      </x:c>
      <x:c r="C823" t="str">
        <x:v>골목상권</x:v>
      </x:c>
      <x:c r="D823" t="str">
        <x:v>서대문구</x:v>
      </x:c>
      <x:c r="E823" t="str">
        <x:v>북가좌2동</x:v>
      </x:c>
      <x:c r="F823" s="12" t="n">
        <x:v>115165</x:v>
      </x:c>
      <x:c r="G823" s="12" t="n">
        <x:v>3026348112</x:v>
      </x:c>
      <x:c r="H823" s="12" t="n">
        <x:v>188365</x:v>
      </x:c>
      <x:c r="I823" s="12" t="n">
        <x:v>16066.403588777108</x:v>
      </x:c>
      <x:c r="J823" s="12" t="n">
        <x:v>26278.366795467373</x:v>
      </x:c>
      <x:c r="K823" s="12" t="n">
        <x:v>162</x:v>
      </x:c>
      <x:c r="L823" s="12" t="n">
        <x:v>14.066773759388704</x:v>
      </x:c>
      <x:c r="M823" s="12" t="n">
        <x:v>11</x:v>
      </x:c>
      <x:c r="N823" s="14" t="n">
        <x:v>0.6698255266676341</x:v>
      </x:c>
      <x:c r="O823" s="14" t="n">
        <x:v>0.33017447333236594</x:v>
      </x:c>
      <x:c r="P823" s="14" t="n">
        <x:v>0.6699931739379491</x:v>
      </x:c>
      <x:c r="Q823" s="14" t="n">
        <x:v>0.09350578668657798</x:v>
      </x:c>
      <x:c r="R823" s="14" t="n">
        <x:v>0.33963444850392016</x:v>
      </x:c>
      <x:c r="S823" s="14" t="n">
        <x:v>0.3345268364817907</x:v>
      </x:c>
      <x:c r="T823" t="str">
        <x:v>야간활성·2030소비</x:v>
      </x:c>
      <x:c r="U823" s="16" t="n">
        <x:v>60.25722778982586</x:v>
      </x:c>
      <x:c r="V823" t="str">
        <x:v>편의점</x:v>
      </x:c>
      <x:c r="W823" t="str">
        <x:v>편의점 / 피부관리실 / 한식음식점</x:v>
      </x:c>
      <x:c r="X823" s="16" t="n">
        <x:v>51.33253733312165</x:v>
      </x:c>
    </x:row>
    <x:row r="824">
      <x:c r="A824" t="str">
        <x:v>3130169</x:v>
      </x:c>
      <x:c r="B824" t="str">
        <x:v>대조시장</x:v>
      </x:c>
      <x:c r="C824" t="str">
        <x:v>전통시장</x:v>
      </x:c>
      <x:c r="D824" t="str">
        <x:v>은평구</x:v>
      </x:c>
      <x:c r="E824" t="str">
        <x:v>대조동</x:v>
      </x:c>
      <x:c r="F824" s="12" t="n">
        <x:v>54016</x:v>
      </x:c>
      <x:c r="G824" s="12" t="n">
        <x:v>2999193213</x:v>
      </x:c>
      <x:c r="H824" s="12" t="n">
        <x:v>174029</x:v>
      </x:c>
      <x:c r="I824" s="12" t="n">
        <x:v>17233.870291732987</x:v>
      </x:c>
      <x:c r="J824" s="12" t="n">
        <x:v>55524.163451569904</x:v>
      </x:c>
      <x:c r="K824" s="12" t="n">
        <x:v>191</x:v>
      </x:c>
      <x:c r="L824" s="12" t="n">
        <x:v>35.35989336492891</x:v>
      </x:c>
      <x:c r="M824" s="12" t="n">
        <x:v>13</x:v>
      </x:c>
      <x:c r="N824" s="14" t="n">
        <x:v>0.7420700394869826</x:v>
      </x:c>
      <x:c r="O824" s="14" t="n">
        <x:v>0.2579299605130175</x:v>
      </x:c>
      <x:c r="P824" s="14" t="n">
        <x:v>0.27732666651643295</x:v>
      </x:c>
      <x:c r="Q824" s="14" t="n">
        <x:v>0.27078751928344</x:v>
      </x:c>
      <x:c r="R824" s="14" t="n">
        <x:v>0.17763724480660859</x:v>
      </x:c>
      <x:c r="S824" s="14" t="n">
        <x:v>0.4393461815959371</x:v>
      </x:c>
      <x:c r="T824" t="str">
        <x:v>균형형</x:v>
      </x:c>
      <x:c r="U824" s="16" t="n">
        <x:v>54.42300898208288</x:v>
      </x:c>
      <x:c r="V824" t="str">
        <x:v>육류판매</x:v>
      </x:c>
      <x:c r="W824" t="str">
        <x:v>육류판매 / 호프-간이주점 / 커피-음료</x:v>
      </x:c>
      <x:c r="X824" s="16" t="n">
        <x:v>46.468259414987934</x:v>
      </x:c>
    </x:row>
    <x:row r="825">
      <x:c r="A825" t="str">
        <x:v>3130063</x:v>
      </x:c>
      <x:c r="B825" t="str">
        <x:v>신금호역 골목형상점가</x:v>
      </x:c>
      <x:c r="C825" t="str">
        <x:v>전통시장</x:v>
      </x:c>
      <x:c r="D825" t="str">
        <x:v>성동구</x:v>
      </x:c>
      <x:c r="E825" t="str">
        <x:v>금호2·3가동</x:v>
      </x:c>
      <x:c r="F825" s="12" t="n">
        <x:v>15024</x:v>
      </x:c>
      <x:c r="G825" s="12" t="n">
        <x:v>2995324228</x:v>
      </x:c>
      <x:c r="H825" s="12" t="n">
        <x:v>144298</x:v>
      </x:c>
      <x:c r="I825" s="12" t="n">
        <x:v>20757.905362513688</x:v>
      </x:c>
      <x:c r="J825" s="12" t="n">
        <x:v>199369.29100106496</x:v>
      </x:c>
      <x:c r="K825" s="12" t="n">
        <x:v>48</x:v>
      </x:c>
      <x:c r="L825" s="12" t="n">
        <x:v>31.948881789137378</x:v>
      </x:c>
      <x:c r="M825" s="12" t="n">
        <x:v>15</x:v>
      </x:c>
      <x:c r="N825" s="14" t="n">
        <x:v>0.689902715600109</x:v>
      </x:c>
      <x:c r="O825" s="14" t="n">
        <x:v>0.31009728439989104</x:v>
      </x:c>
      <x:c r="P825" s="14" t="n">
        <x:v>0.5281697274075533</x:v>
      </x:c>
      <x:c r="Q825" s="14" t="n">
        <x:v>0.22103524012893605</x:v>
      </x:c>
      <x:c r="R825" s="14" t="n">
        <x:v>0.2523609617729837</x:v>
      </x:c>
      <x:c r="S825" s="14" t="n">
        <x:v>0.4395566929591169</x:v>
      </x:c>
      <x:c r="T825" t="str">
        <x:v>야간활성·고매출밀도</x:v>
      </x:c>
      <x:c r="U825" s="16" t="n">
        <x:v>61.05591612561325</x:v>
      </x:c>
      <x:c r="V825" t="str">
        <x:v>일식음식점</x:v>
      </x:c>
      <x:c r="W825" t="str">
        <x:v>일식음식점 / 일반의류 / 일반교습학원</x:v>
      </x:c>
      <x:c r="X825" s="16" t="n">
        <x:v>57.147134213524986</x:v>
      </x:c>
    </x:row>
    <x:row r="826">
      <x:c r="A826" t="str">
        <x:v>3110057</x:v>
      </x:c>
      <x:c r="B826" t="str">
        <x:v>황학코아루아파트</x:v>
      </x:c>
      <x:c r="C826" t="str">
        <x:v>골목상권</x:v>
      </x:c>
      <x:c r="D826" t="str">
        <x:v>중구</x:v>
      </x:c>
      <x:c r="E826" t="str">
        <x:v>황학동</x:v>
      </x:c>
      <x:c r="F826" s="12" t="n">
        <x:v>30230</x:v>
      </x:c>
      <x:c r="G826" s="12" t="n">
        <x:v>2980264644</x:v>
      </x:c>
      <x:c r="H826" s="12" t="n">
        <x:v>69391</x:v>
      </x:c>
      <x:c r="I826" s="12" t="n">
        <x:v>42948.86431958035</x:v>
      </x:c>
      <x:c r="J826" s="12" t="n">
        <x:v>98586.32629837909</x:v>
      </x:c>
      <x:c r="K826" s="12" t="n">
        <x:v>135</x:v>
      </x:c>
      <x:c r="L826" s="12" t="n">
        <x:v>44.657624875951036</x:v>
      </x:c>
      <x:c r="M826" s="12" t="n">
        <x:v>9</x:v>
      </x:c>
      <x:c r="N826" s="14" t="n">
        <x:v>0.7113989038753298</x:v>
      </x:c>
      <x:c r="O826" s="14" t="n">
        <x:v>0.2886010961246702</x:v>
      </x:c>
      <x:c r="P826" s="14" t="n">
        <x:v>0.5485975540097036</x:v>
      </x:c>
      <x:c r="Q826" s="14" t="n">
        <x:v>0.1407380414502545</x:v>
      </x:c>
      <x:c r="R826" s="14" t="n">
        <x:v>0.37013222876726515</x:v>
      </x:c>
      <x:c r="S826" s="14" t="n">
        <x:v>0.42856031546438733</x:v>
      </x:c>
      <x:c r="T826" t="str">
        <x:v>야간활성·2030소비</x:v>
      </x:c>
      <x:c r="U826" s="16" t="n">
        <x:v>65.38318432585461</x:v>
      </x:c>
      <x:c r="V826" t="str">
        <x:v>커피-음료</x:v>
      </x:c>
      <x:c r="W826" t="str">
        <x:v>커피-음료 / 한식음식점 / 스포츠 강습</x:v>
      </x:c>
      <x:c r="X826" s="16" t="n">
        <x:v>54.43880156079179</x:v>
      </x:c>
    </x:row>
    <x:row r="827">
      <x:c r="A827" t="str">
        <x:v>3110402</x:v>
      </x:c>
      <x:c r="B827" t="str">
        <x:v>도봉구 정병원</x:v>
      </x:c>
      <x:c r="C827" t="str">
        <x:v>골목상권</x:v>
      </x:c>
      <x:c r="D827" t="str">
        <x:v>도봉구</x:v>
      </x:c>
      <x:c r="E827" t="str">
        <x:v>방학1동</x:v>
      </x:c>
      <x:c r="F827" s="12" t="n">
        <x:v>118386</x:v>
      </x:c>
      <x:c r="G827" s="12" t="n">
        <x:v>2971576591</x:v>
      </x:c>
      <x:c r="H827" s="12" t="n">
        <x:v>91804</x:v>
      </x:c>
      <x:c r="I827" s="12" t="n">
        <x:v>32368.704969282386</x:v>
      </x:c>
      <x:c r="J827" s="12" t="n">
        <x:v>25100.743255114627</x:v>
      </x:c>
      <x:c r="K827" s="12" t="n">
        <x:v>389</x:v>
      </x:c>
      <x:c r="L827" s="12" t="n">
        <x:v>32.858615038940414</x:v>
      </x:c>
      <x:c r="M827" s="12" t="n">
        <x:v>11</x:v>
      </x:c>
      <x:c r="N827" s="14" t="n">
        <x:v>0.7638642102898434</x:v>
      </x:c>
      <x:c r="O827" s="14" t="n">
        <x:v>0.23613578971015659</x:v>
      </x:c>
      <x:c r="P827" s="14" t="n">
        <x:v>0.45200738021293696</x:v>
      </x:c>
      <x:c r="Q827" s="14" t="n">
        <x:v>0.1566834761756272</x:v>
      </x:c>
      <x:c r="R827" s="14" t="n">
        <x:v>0.26977122932921904</x:v>
      </x:c>
      <x:c r="S827" s="14" t="n">
        <x:v>0.3289542894369907</x:v>
      </x:c>
      <x:c r="T827" t="str">
        <x:v>야간활성·2030소비</x:v>
      </x:c>
      <x:c r="U827" s="16" t="n">
        <x:v>63.91057067184369</x:v>
      </x:c>
      <x:c r="V827" t="str">
        <x:v>자동차수리</x:v>
      </x:c>
      <x:c r="W827" t="str">
        <x:v>자동차수리 / 인테리어 / 육류판매</x:v>
      </x:c>
      <x:c r="X827" s="16" t="n">
        <x:v>49.11636047343311</x:v>
      </x:c>
    </x:row>
    <x:row r="828">
      <x:c r="A828" t="str">
        <x:v>3110325</x:v>
      </x:c>
      <x:c r="B828" t="str">
        <x:v>장곡초등학교</x:v>
      </x:c>
      <x:c r="C828" t="str">
        <x:v>골목상권</x:v>
      </x:c>
      <x:c r="D828" t="str">
        <x:v>성북구</x:v>
      </x:c>
      <x:c r="E828" t="str">
        <x:v>장위1동</x:v>
      </x:c>
      <x:c r="F828" s="12" t="n">
        <x:v>104685</x:v>
      </x:c>
      <x:c r="G828" s="12" t="n">
        <x:v>2967804020</x:v>
      </x:c>
      <x:c r="H828" s="12" t="n">
        <x:v>210412</x:v>
      </x:c>
      <x:c r="I828" s="12" t="n">
        <x:v>14104.72796228352</x:v>
      </x:c>
      <x:c r="J828" s="12" t="n">
        <x:v>28349.849739695277</x:v>
      </x:c>
      <x:c r="K828" s="12" t="n">
        <x:v>166</x:v>
      </x:c>
      <x:c r="L828" s="12" t="n">
        <x:v>15.857095094808235</x:v>
      </x:c>
      <x:c r="M828" s="12" t="n">
        <x:v>15</x:v>
      </x:c>
      <x:c r="N828" s="14" t="n">
        <x:v>0.727629274860272</x:v>
      </x:c>
      <x:c r="O828" s="14" t="n">
        <x:v>0.27237072513972804</x:v>
      </x:c>
      <x:c r="P828" s="14" t="n">
        <x:v>0.5342973765498168</x:v>
      </x:c>
      <x:c r="Q828" s="14" t="n">
        <x:v>0.15839286618393353</x:v>
      </x:c>
      <x:c r="R828" s="14" t="n">
        <x:v>0.2921388542360691</x:v>
      </x:c>
      <x:c r="S828" s="14" t="n">
        <x:v>0.34399720841405157</x:v>
      </x:c>
      <x:c r="T828" t="str">
        <x:v>야간활성·2030소비</x:v>
      </x:c>
      <x:c r="U828" s="16" t="n">
        <x:v>66.8271972678107</x:v>
      </x:c>
      <x:c r="V828" t="str">
        <x:v>예술학원</x:v>
      </x:c>
      <x:c r="W828" t="str">
        <x:v>예술학원 / 스포츠 강습 / 슈퍼마켓</x:v>
      </x:c>
      <x:c r="X828" s="16" t="n">
        <x:v>61.00647815957463</x:v>
      </x:c>
    </x:row>
    <x:row r="829">
      <x:c r="A829" t="str">
        <x:v>3130287</x:v>
      </x:c>
      <x:c r="B829" t="str">
        <x:v>삼성동 시장(삼성동시장)</x:v>
      </x:c>
      <x:c r="C829" t="str">
        <x:v>전통시장</x:v>
      </x:c>
      <x:c r="D829" t="str">
        <x:v>관악구</x:v>
      </x:c>
      <x:c r="E829" t="str">
        <x:v>삼성동</x:v>
      </x:c>
      <x:c r="F829" s="12" t="n">
        <x:v>13340</x:v>
      </x:c>
      <x:c r="G829" s="12" t="n">
        <x:v>2949684399</x:v>
      </x:c>
      <x:c r="H829" s="12" t="n">
        <x:v>239464</x:v>
      </x:c>
      <x:c r="I829" s="12" t="n">
        <x:v>12317.861553302375</x:v>
      </x:c>
      <x:c r="J829" s="12" t="n">
        <x:v>221115.7720389805</x:v>
      </x:c>
      <x:c r="K829" s="12" t="n">
        <x:v>30</x:v>
      </x:c>
      <x:c r="L829" s="12" t="n">
        <x:v>22.488755622188904</x:v>
      </x:c>
      <x:c r="M829" s="12" t="n">
        <x:v>5</x:v>
      </x:c>
      <x:c r="N829" s="14" t="n">
        <x:v>0.7121164310704279</x:v>
      </x:c>
      <x:c r="O829" s="14" t="n">
        <x:v>0.2878835689295721</x:v>
      </x:c>
      <x:c r="P829" s="14" t="n">
        <x:v>0.2262408463855458</x:v>
      </x:c>
      <x:c r="Q829" s="14" t="n">
        <x:v>0.268046666710529</x:v>
      </x:c>
      <x:c r="R829" s="14" t="n">
        <x:v>0.0867731470142274</x:v>
      </x:c>
      <x:c r="S829" s="14" t="n">
        <x:v>0.6034722242160796</x:v>
      </x:c>
      <x:c r="T829" t="str">
        <x:v>여성소비·고매출밀도</x:v>
      </x:c>
      <x:c r="U829" s="16" t="n">
        <x:v>72.40803084716397</x:v>
      </x:c>
      <x:c r="V829" t="str">
        <x:v>청과상</x:v>
      </x:c>
      <x:c r="W829" t="str">
        <x:v>청과상 / 일반의류 / 수산물판매</x:v>
      </x:c>
      <x:c r="X829" s="16" t="n">
        <x:v>54.023195062935166</x:v>
      </x:c>
    </x:row>
    <x:row r="830">
      <x:c r="A830" t="str">
        <x:v>3110141</x:v>
      </x:c>
      <x:c r="B830" t="str">
        <x:v>건대입구역 1번</x:v>
      </x:c>
      <x:c r="C830" t="str">
        <x:v>골목상권</x:v>
      </x:c>
      <x:c r="D830" t="str">
        <x:v>광진구</x:v>
      </x:c>
      <x:c r="E830" t="str">
        <x:v>화양동</x:v>
      </x:c>
      <x:c r="F830" s="12" t="n">
        <x:v>67458</x:v>
      </x:c>
      <x:c r="G830" s="12" t="n">
        <x:v>2939342857</x:v>
      </x:c>
      <x:c r="H830" s="12" t="n">
        <x:v>128060</x:v>
      </x:c>
      <x:c r="I830" s="12" t="n">
        <x:v>22952.856918631893</x:v>
      </x:c>
      <x:c r="J830" s="12" t="n">
        <x:v>43572.93215037505</x:v>
      </x:c>
      <x:c r="K830" s="12" t="n">
        <x:v>74</x:v>
      </x:c>
      <x:c r="L830" s="12" t="n">
        <x:v>10.969788609208694</x:v>
      </x:c>
      <x:c r="M830" s="12" t="n">
        <x:v>12</x:v>
      </x:c>
      <x:c r="N830" s="14" t="n">
        <x:v>0.6942692851023198</x:v>
      </x:c>
      <x:c r="O830" s="14" t="n">
        <x:v>0.3057307148976803</x:v>
      </x:c>
      <x:c r="P830" s="14" t="n">
        <x:v>0.5954567844413939</x:v>
      </x:c>
      <x:c r="Q830" s="14" t="n">
        <x:v>0.13220444191277955</x:v>
      </x:c>
      <x:c r="R830" s="14" t="n">
        <x:v>0.5762384837026857</x:v>
      </x:c>
      <x:c r="S830" s="14" t="n">
        <x:v>0.3681368052804872</x:v>
      </x:c>
      <x:c r="T830" t="str">
        <x:v>2030소비·야간활성</x:v>
      </x:c>
      <x:c r="U830" s="16" t="n">
        <x:v>60.883719048412374</x:v>
      </x:c>
      <x:c r="V830" t="str">
        <x:v>예술학원</x:v>
      </x:c>
      <x:c r="W830" t="str">
        <x:v>예술학원 / 세탁소 / 호프-간이주점</x:v>
      </x:c>
      <x:c r="X830" s="16" t="n">
        <x:v>45.05980412968434</x:v>
      </x:c>
    </x:row>
    <x:row r="831">
      <x:c r="A831" t="str">
        <x:v>3110387</x:v>
      </x:c>
      <x:c r="B831" t="str">
        <x:v>쌍문초등학교</x:v>
      </x:c>
      <x:c r="C831" t="str">
        <x:v>골목상권</x:v>
      </x:c>
      <x:c r="D831" t="str">
        <x:v>도봉구</x:v>
      </x:c>
      <x:c r="E831" t="str">
        <x:v>쌍문1동</x:v>
      </x:c>
      <x:c r="F831" s="12" t="n">
        <x:v>143845</x:v>
      </x:c>
      <x:c r="G831" s="12" t="n">
        <x:v>2938977712</x:v>
      </x:c>
      <x:c r="H831" s="12" t="n">
        <x:v>204497</x:v>
      </x:c>
      <x:c r="I831" s="12" t="n">
        <x:v>14371.739986405668</x:v>
      </x:c>
      <x:c r="J831" s="12" t="n">
        <x:v>20431.559748340227</x:v>
      </x:c>
      <x:c r="K831" s="12" t="n">
        <x:v>319</x:v>
      </x:c>
      <x:c r="L831" s="12" t="n">
        <x:v>22.17664847578991</x:v>
      </x:c>
      <x:c r="M831" s="12" t="n">
        <x:v>16</x:v>
      </x:c>
      <x:c r="N831" s="14" t="n">
        <x:v>0.739309879802178</x:v>
      </x:c>
      <x:c r="O831" s="14" t="n">
        <x:v>0.26069012019782206</x:v>
      </x:c>
      <x:c r="P831" s="14" t="n">
        <x:v>0.44600039110470124</x:v>
      </x:c>
      <x:c r="Q831" s="14" t="n">
        <x:v>0.15663952847288554</x:v>
      </x:c>
      <x:c r="R831" s="14" t="n">
        <x:v>0.2002949847480844</x:v>
      </x:c>
      <x:c r="S831" s="14" t="n">
        <x:v>0.486667441253464</x:v>
      </x:c>
      <x:c r="T831" t="str">
        <x:v>여성소비·야간활성</x:v>
      </x:c>
      <x:c r="U831" s="16" t="n">
        <x:v>69.48484457148817</x:v>
      </x:c>
      <x:c r="V831" t="str">
        <x:v>일반교습학원</x:v>
      </x:c>
      <x:c r="W831" t="str">
        <x:v>일반교습학원 / 예술학원 / 슈퍼마켓</x:v>
      </x:c>
      <x:c r="X831" s="16" t="n">
        <x:v>64.57533763591262</x:v>
      </x:c>
    </x:row>
    <x:row r="832">
      <x:c r="A832" t="str">
        <x:v>3110885</x:v>
      </x:c>
      <x:c r="B832" t="str">
        <x:v>영락고등학교</x:v>
      </x:c>
      <x:c r="C832" t="str">
        <x:v>골목상권</x:v>
      </x:c>
      <x:c r="D832" t="str">
        <x:v>관악구</x:v>
      </x:c>
      <x:c r="E832" t="str">
        <x:v>서림동</x:v>
      </x:c>
      <x:c r="F832" s="12" t="n">
        <x:v>138911</x:v>
      </x:c>
      <x:c r="G832" s="12" t="n">
        <x:v>2916226464</x:v>
      </x:c>
      <x:c r="H832" s="12" t="n">
        <x:v>210706</x:v>
      </x:c>
      <x:c r="I832" s="12" t="n">
        <x:v>13840.26303949579</x:v>
      </x:c>
      <x:c r="J832" s="12" t="n">
        <x:v>20993.48837745031</x:v>
      </x:c>
      <x:c r="K832" s="12" t="n">
        <x:v>367</x:v>
      </x:c>
      <x:c r="L832" s="12" t="n">
        <x:v>26.419793968800168</x:v>
      </x:c>
      <x:c r="M832" s="12" t="n">
        <x:v>18</x:v>
      </x:c>
      <x:c r="N832" s="14" t="n">
        <x:v>0.7090103057922185</x:v>
      </x:c>
      <x:c r="O832" s="14" t="n">
        <x:v>0.29098969420778154</x:v>
      </x:c>
      <x:c r="P832" s="14" t="n">
        <x:v>0.5526995080447908</x:v>
      </x:c>
      <x:c r="Q832" s="14" t="n">
        <x:v>0.1376962512881167</x:v>
      </x:c>
      <x:c r="R832" s="14" t="n">
        <x:v>0.39121475752440055</x:v>
      </x:c>
      <x:c r="S832" s="14" t="n">
        <x:v>0.33036576476249957</x:v>
      </x:c>
      <x:c r="T832" t="str">
        <x:v>야간활성·2030소비</x:v>
      </x:c>
      <x:c r="U832" s="16" t="n">
        <x:v>65.09940144074399</x:v>
      </x:c>
      <x:c r="V832" t="str">
        <x:v>슈퍼마켓</x:v>
      </x:c>
      <x:c r="W832" t="str">
        <x:v>슈퍼마켓 / 미용실 / 스포츠클럽</x:v>
      </x:c>
      <x:c r="X832" s="16" t="n">
        <x:v>60.08559868369387</x:v>
      </x:c>
    </x:row>
    <x:row r="833">
      <x:c r="A833" t="str">
        <x:v>3110288</x:v>
      </x:c>
      <x:c r="B833" t="str">
        <x:v>동구여중</x:v>
      </x:c>
      <x:c r="C833" t="str">
        <x:v>골목상권</x:v>
      </x:c>
      <x:c r="D833" t="str">
        <x:v>성북구</x:v>
      </x:c>
      <x:c r="E833" t="str">
        <x:v>성북동</x:v>
      </x:c>
      <x:c r="F833" s="12" t="n">
        <x:v>82760</x:v>
      </x:c>
      <x:c r="G833" s="12" t="n">
        <x:v>2909452782</x:v>
      </x:c>
      <x:c r="H833" s="12" t="n">
        <x:v>53698</x:v>
      </x:c>
      <x:c r="I833" s="12" t="n">
        <x:v>54181.77179783232</x:v>
      </x:c>
      <x:c r="J833" s="12" t="n">
        <x:v>35155.30186080232</x:v>
      </x:c>
      <x:c r="K833" s="12" t="n">
        <x:v>1888</x:v>
      </x:c>
      <x:c r="L833" s="12" t="n">
        <x:v>228.1295311744804</x:v>
      </x:c>
      <x:c r="M833" s="12" t="n">
        <x:v>5</x:v>
      </x:c>
      <x:c r="N833" s="14" t="n">
        <x:v>0.6542012246342755</x:v>
      </x:c>
      <x:c r="O833" s="14" t="n">
        <x:v>0.34579877536572445</x:v>
      </x:c>
      <x:c r="P833" s="14" t="n">
        <x:v>0.5738198647968297</x:v>
      </x:c>
      <x:c r="Q833" s="14" t="n">
        <x:v>0.2538859525646703</x:v>
      </x:c>
      <x:c r="R833" s="14" t="n">
        <x:v>0.1955544996364887</x:v>
      </x:c>
      <x:c r="S833" s="14" t="n">
        <x:v>0.4216012566310829</x:v>
      </x:c>
      <x:c r="T833" t="str">
        <x:v>야간활성·직장밀집</x:v>
      </x:c>
      <x:c r="U833" s="16" t="n">
        <x:v>74.67422229353573</x:v>
      </x:c>
      <x:c r="V833" t="str">
        <x:v>한식음식점</x:v>
      </x:c>
      <x:c r="W833" t="str">
        <x:v>한식음식점 / 미용실 / 육류판매</x:v>
      </x:c>
      <x:c r="X833" s="16" t="n">
        <x:v>52.64805880535555</x:v>
      </x:c>
    </x:row>
    <x:row r="834">
      <x:c r="A834" t="str">
        <x:v>3111088</x:v>
      </x:c>
      <x:c r="B834" t="str">
        <x:v>고덕동성당</x:v>
      </x:c>
      <x:c r="C834" t="str">
        <x:v>골목상권</x:v>
      </x:c>
      <x:c r="D834" t="str">
        <x:v>강동구</x:v>
      </x:c>
      <x:c r="E834" t="str">
        <x:v>고덕2동</x:v>
      </x:c>
      <x:c r="F834" s="12" t="n">
        <x:v>71669</x:v>
      </x:c>
      <x:c r="G834" s="12" t="n">
        <x:v>2907189643</x:v>
      </x:c>
      <x:c r="H834" s="12" t="n">
        <x:v>140928</x:v>
      </x:c>
      <x:c r="I834" s="12" t="n">
        <x:v>20628.900168880562</x:v>
      </x:c>
      <x:c r="J834" s="12" t="n">
        <x:v>40564.11618691484</x:v>
      </x:c>
      <x:c r="K834" s="12" t="n">
        <x:v>550</x:v>
      </x:c>
      <x:c r="L834" s="12" t="n">
        <x:v>76.74168747994251</x:v>
      </x:c>
      <x:c r="M834" s="12" t="n">
        <x:v>9</x:v>
      </x:c>
      <x:c r="N834" s="14" t="n">
        <x:v>0.6884470116420266</x:v>
      </x:c>
      <x:c r="O834" s="14" t="n">
        <x:v>0.31155298835797346</x:v>
      </x:c>
      <x:c r="P834" s="14" t="n">
        <x:v>0.6198796694736298</x:v>
      </x:c>
      <x:c r="Q834" s="14" t="n">
        <x:v>0.154967483488658</x:v>
      </x:c>
      <x:c r="R834" s="14" t="n">
        <x:v>0.24165425660881112</x:v>
      </x:c>
      <x:c r="S834" s="14" t="n">
        <x:v>0.3498459054602514</x:v>
      </x:c>
      <x:c r="T834" t="str">
        <x:v>야간활성·2030소비</x:v>
      </x:c>
      <x:c r="U834" s="16" t="n">
        <x:v>69.39943294333001</x:v>
      </x:c>
      <x:c r="V834" t="str">
        <x:v>철물점</x:v>
      </x:c>
      <x:c r="W834" t="str">
        <x:v>철물점 / 치킨전문점 / 예술학원</x:v>
      </x:c>
      <x:c r="X834" s="16" t="n">
        <x:v>59.423749530824</x:v>
      </x:c>
    </x:row>
    <x:row r="835">
      <x:c r="A835" t="str">
        <x:v>3130265</x:v>
      </x:c>
      <x:c r="B835" t="str">
        <x:v>노량진중앙시장</x:v>
      </x:c>
      <x:c r="C835" t="str">
        <x:v>전통시장</x:v>
      </x:c>
      <x:c r="D835" t="str">
        <x:v>동작구</x:v>
      </x:c>
      <x:c r="E835" t="str">
        <x:v>노량진1동</x:v>
      </x:c>
      <x:c r="F835" s="12" t="n">
        <x:v>10864</x:v>
      </x:c>
      <x:c r="G835" s="12" t="n">
        <x:v>2905719073</x:v>
      </x:c>
      <x:c r="H835" s="12" t="n">
        <x:v>238029</x:v>
      </x:c>
      <x:c r="I835" s="12" t="n">
        <x:v>12207.416209789564</x:v>
      </x:c>
      <x:c r="J835" s="12" t="n">
        <x:v>267463.09582106036</x:v>
      </x:c>
      <x:c r="K835" s="12" t="n">
        <x:v>107</x:v>
      </x:c>
      <x:c r="L835" s="12" t="n">
        <x:v>98.49042709867452</x:v>
      </x:c>
      <x:c r="M835" s="12" t="n">
        <x:v>8</x:v>
      </x:c>
      <x:c r="N835" s="14" t="n">
        <x:v>0.6710173523371439</x:v>
      </x:c>
      <x:c r="O835" s="14" t="n">
        <x:v>0.3289826476628562</x:v>
      </x:c>
      <x:c r="P835" s="14" t="n">
        <x:v>0.5818128447821906</x:v>
      </x:c>
      <x:c r="Q835" s="14" t="n">
        <x:v>0.13847039300485053</x:v>
      </x:c>
      <x:c r="R835" s="14" t="n">
        <x:v>0.5823377420491606</x:v>
      </x:c>
      <x:c r="S835" s="14" t="n">
        <x:v>0.33403586465703733</x:v>
      </x:c>
      <x:c r="T835" t="str">
        <x:v>2030소비·야간활성</x:v>
      </x:c>
      <x:c r="U835" s="16" t="n">
        <x:v>61.97744534159986</x:v>
      </x:c>
      <x:c r="V835" t="str">
        <x:v>호프-간이주점</x:v>
      </x:c>
      <x:c r="W835" t="str">
        <x:v>호프-간이주점 / 한식음식점 / 미용실</x:v>
      </x:c>
      <x:c r="X835" s="16" t="n">
        <x:v>53.021139024558195</x:v>
      </x:c>
    </x:row>
    <x:row r="836">
      <x:c r="A836" t="str">
        <x:v>3110318</x:v>
      </x:c>
      <x:c r="B836" t="str">
        <x:v>KT월곡지사</x:v>
      </x:c>
      <x:c r="C836" t="str">
        <x:v>골목상권</x:v>
      </x:c>
      <x:c r="D836" t="str">
        <x:v>성북구</x:v>
      </x:c>
      <x:c r="E836" t="str">
        <x:v>월곡1동</x:v>
      </x:c>
      <x:c r="F836" s="12" t="n">
        <x:v>76869</x:v>
      </x:c>
      <x:c r="G836" s="12" t="n">
        <x:v>2901365804</x:v>
      </x:c>
      <x:c r="H836" s="12" t="n">
        <x:v>235558</x:v>
      </x:c>
      <x:c r="I836" s="12" t="n">
        <x:v>12316.991161412476</x:v>
      </x:c>
      <x:c r="J836" s="12" t="n">
        <x:v>37744.28968765042</x:v>
      </x:c>
      <x:c r="K836" s="12" t="n">
        <x:v>337</x:v>
      </x:c>
      <x:c r="L836" s="12" t="n">
        <x:v>43.84082009652786</x:v>
      </x:c>
      <x:c r="M836" s="12" t="n">
        <x:v>4</x:v>
      </x:c>
      <x:c r="N836" s="14" t="n">
        <x:v>0.7010267602919608</x:v>
      </x:c>
      <x:c r="O836" s="14" t="n">
        <x:v>0.29897323970803924</x:v>
      </x:c>
      <x:c r="P836" s="14" t="n">
        <x:v>0.49546589162184806</x:v>
      </x:c>
      <x:c r="Q836" s="14" t="n">
        <x:v>0.174343538240723</x:v>
      </x:c>
      <x:c r="R836" s="14" t="n">
        <x:v>0.28960660453141535</x:v>
      </x:c>
      <x:c r="S836" s="14" t="n">
        <x:v>0.2978195454736255</x:v>
      </x:c>
      <x:c r="T836" t="str">
        <x:v>야간활성·2030소비</x:v>
      </x:c>
      <x:c r="U836" s="16" t="n">
        <x:v>69.55103538575793</x:v>
      </x:c>
      <x:c r="V836" t="str">
        <x:v>슈퍼마켓</x:v>
      </x:c>
      <x:c r="W836" t="str">
        <x:v>슈퍼마켓 / 한식음식점 / 인테리어</x:v>
      </x:c>
      <x:c r="X836" s="16" t="n">
        <x:v>55.31454114647348</x:v>
      </x:c>
    </x:row>
    <x:row r="837">
      <x:c r="A837" t="str">
        <x:v>3110360</x:v>
      </x:c>
      <x:c r="B837" t="str">
        <x:v>수유초등학교</x:v>
      </x:c>
      <x:c r="C837" t="str">
        <x:v>골목상권</x:v>
      </x:c>
      <x:c r="D837" t="str">
        <x:v>강북구</x:v>
      </x:c>
      <x:c r="E837" t="str">
        <x:v>수유1동</x:v>
      </x:c>
      <x:c r="F837" s="12" t="n">
        <x:v>106526</x:v>
      </x:c>
      <x:c r="G837" s="12" t="n">
        <x:v>2897754984</x:v>
      </x:c>
      <x:c r="H837" s="12" t="n">
        <x:v>159500</x:v>
      </x:c>
      <x:c r="I837" s="12" t="n">
        <x:v>18167.742846394984</x:v>
      </x:c>
      <x:c r="J837" s="12" t="n">
        <x:v>27202.326042468507</x:v>
      </x:c>
      <x:c r="K837" s="12" t="n">
        <x:v>302</x:v>
      </x:c>
      <x:c r="L837" s="12" t="n">
        <x:v>28.349886412706756</x:v>
      </x:c>
      <x:c r="M837" s="12" t="n">
        <x:v>13</x:v>
      </x:c>
      <x:c r="N837" s="14" t="n">
        <x:v>0.676910943413289</x:v>
      </x:c>
      <x:c r="O837" s="14" t="n">
        <x:v>0.32308905658671105</x:v>
      </x:c>
      <x:c r="P837" s="14" t="n">
        <x:v>0.5182985187818764</x:v>
      </x:c>
      <x:c r="Q837" s="14" t="n">
        <x:v>0.18753013591572862</x:v>
      </x:c>
      <x:c r="R837" s="14" t="n">
        <x:v>0.24736662759890538</x:v>
      </x:c>
      <x:c r="S837" s="14" t="n">
        <x:v>0.36511039333614</x:v>
      </x:c>
      <x:c r="T837" t="str">
        <x:v>야간활성·2030소비</x:v>
      </x:c>
      <x:c r="U837" s="16" t="n">
        <x:v>52.358193032310886</x:v>
      </x:c>
      <x:c r="V837" t="str">
        <x:v>일식음식점</x:v>
      </x:c>
      <x:c r="W837" t="str">
        <x:v>일식음식점 / 미용실 / 일반교습학원</x:v>
      </x:c>
      <x:c r="X837" s="16" t="n">
        <x:v>49.75821168062606</x:v>
      </x:c>
    </x:row>
    <x:row r="838">
      <x:c r="A838" t="str">
        <x:v>3130078</x:v>
      </x:c>
      <x:c r="B838" t="str">
        <x:v>화양제일골목시장</x:v>
      </x:c>
      <x:c r="C838" t="str">
        <x:v>전통시장</x:v>
      </x:c>
      <x:c r="D838" t="str">
        <x:v>광진구</x:v>
      </x:c>
      <x:c r="E838" t="str">
        <x:v>화양동</x:v>
      </x:c>
      <x:c r="F838" s="12" t="n">
        <x:v>18616</x:v>
      </x:c>
      <x:c r="G838" s="12" t="n">
        <x:v>2888332616</x:v>
      </x:c>
      <x:c r="H838" s="12" t="n">
        <x:v>142166</x:v>
      </x:c>
      <x:c r="I838" s="12" t="n">
        <x:v>20316.620120141244</x:v>
      </x:c>
      <x:c r="J838" s="12" t="n">
        <x:v>155153.23463687152</x:v>
      </x:c>
      <x:c r="K838" s="12" t="n">
        <x:v>30</x:v>
      </x:c>
      <x:c r="L838" s="12" t="n">
        <x:v>16.11516974645466</x:v>
      </x:c>
      <x:c r="M838" s="12" t="n">
        <x:v>8</x:v>
      </x:c>
      <x:c r="N838" s="14" t="n">
        <x:v>0.7254195221122691</x:v>
      </x:c>
      <x:c r="O838" s="14" t="n">
        <x:v>0.27458047788773093</x:v>
      </x:c>
      <x:c r="P838" s="14" t="n">
        <x:v>0.49463375515889685</x:v>
      </x:c>
      <x:c r="Q838" s="14" t="n">
        <x:v>0.17741049149306148</x:v>
      </x:c>
      <x:c r="R838" s="14" t="n">
        <x:v>0.41554881018592493</x:v>
      </x:c>
      <x:c r="S838" s="14" t="n">
        <x:v>0.4150515350479981</x:v>
      </x:c>
      <x:c r="T838" t="str">
        <x:v>2030소비·야간활성</x:v>
      </x:c>
      <x:c r="U838" s="16" t="n">
        <x:v>71.21122203683782</x:v>
      </x:c>
      <x:c r="V838" t="str">
        <x:v>육류판매</x:v>
      </x:c>
      <x:c r="W838" t="str">
        <x:v>육류판매 / 청과상 / 분식전문점</x:v>
      </x:c>
      <x:c r="X838" s="16" t="n">
        <x:v>48.46398995477578</x:v>
      </x:c>
    </x:row>
    <x:row r="839">
      <x:c r="A839" t="str">
        <x:v>3111029</x:v>
      </x:c>
      <x:c r="B839" t="str">
        <x:v>오금역 4번</x:v>
      </x:c>
      <x:c r="C839" t="str">
        <x:v>골목상권</x:v>
      </x:c>
      <x:c r="D839" t="str">
        <x:v>송파구</x:v>
      </x:c>
      <x:c r="E839" t="str">
        <x:v>가락2동</x:v>
      </x:c>
      <x:c r="F839" s="12" t="n">
        <x:v>43089</x:v>
      </x:c>
      <x:c r="G839" s="12" t="n">
        <x:v>2876135647</x:v>
      </x:c>
      <x:c r="H839" s="12" t="n">
        <x:v>8031</x:v>
      </x:c>
      <x:c r="I839" s="12" t="n">
        <x:v>358129.20520483126</x:v>
      </x:c>
      <x:c r="J839" s="12" t="n">
        <x:v>66748.72118174013</x:v>
      </x:c>
      <x:c r="K839" s="12" t="n">
        <x:v>738</x:v>
      </x:c>
      <x:c r="L839" s="12" t="n">
        <x:v>171.273410847316</x:v>
      </x:c>
      <x:c r="M839" s="12" t="n">
        <x:v>6</x:v>
      </x:c>
      <x:c r="N839" s="14" t="n">
        <x:v>0.9541862164472523</x:v>
      </x:c>
      <x:c r="O839" s="14" t="n">
        <x:v>0.04581378355274771</x:v>
      </x:c>
      <x:c r="P839" s="14" t="n">
        <x:v>0.3071236535458162</x:v>
      </x:c>
      <x:c r="Q839" s="14" t="n">
        <x:v>0.1635087835619041</x:v>
      </x:c>
      <x:c r="R839" s="14" t="n">
        <x:v>0.0466223288668137</x:v>
      </x:c>
      <x:c r="S839" s="14" t="n">
        <x:v>0.21738094642794153</x:v>
      </x:c>
      <x:c r="T839" t="str">
        <x:v>평일집중·직장밀집</x:v>
      </x:c>
      <x:c r="U839" s="16" t="n">
        <x:v>70.79304432073324</x:v>
      </x:c>
      <x:c r="V839" t="str">
        <x:v>자동차미용</x:v>
      </x:c>
      <x:c r="W839" t="str">
        <x:v>자동차미용 / 일반교습학원 / 의약품</x:v>
      </x:c>
      <x:c r="X839" s="16" t="n">
        <x:v>56.28695515614114</x:v>
      </x:c>
    </x:row>
    <x:row r="840">
      <x:c r="A840" t="str">
        <x:v>3110582</x:v>
      </x:c>
      <x:c r="B840" t="str">
        <x:v>이대역 5번</x:v>
      </x:c>
      <x:c r="C840" t="str">
        <x:v>골목상권</x:v>
      </x:c>
      <x:c r="D840" t="str">
        <x:v>마포구</x:v>
      </x:c>
      <x:c r="E840" t="str">
        <x:v>염리동</x:v>
      </x:c>
      <x:c r="F840" s="12" t="n">
        <x:v>53599</x:v>
      </x:c>
      <x:c r="G840" s="12" t="n">
        <x:v>2875051565</x:v>
      </x:c>
      <x:c r="H840" s="12" t="n">
        <x:v>261195</x:v>
      </x:c>
      <x:c r="I840" s="12" t="n">
        <x:v>11007.299393173682</x:v>
      </x:c>
      <x:c r="J840" s="12" t="n">
        <x:v>53640.02248176272</x:v>
      </x:c>
      <x:c r="K840" s="12" t="n">
        <x:v>317</x:v>
      </x:c>
      <x:c r="L840" s="12" t="n">
        <x:v>59.14289445698614</x:v>
      </x:c>
      <x:c r="M840" s="12" t="n">
        <x:v>13</x:v>
      </x:c>
      <x:c r="N840" s="14" t="n">
        <x:v>0.7712646795606255</x:v>
      </x:c>
      <x:c r="O840" s="14" t="n">
        <x:v>0.22873532043937445</x:v>
      </x:c>
      <x:c r="P840" s="14" t="n">
        <x:v>0.3910154950559991</x:v>
      </x:c>
      <x:c r="Q840" s="14" t="n">
        <x:v>0.23709690055593838</x:v>
      </x:c>
      <x:c r="R840" s="14" t="n">
        <x:v>0.3626979257326816</x:v>
      </x:c>
      <x:c r="S840" s="14" t="n">
        <x:v>0.46658903698654186</x:v>
      </x:c>
      <x:c r="T840" t="str">
        <x:v>2030소비·여성소비</x:v>
      </x:c>
      <x:c r="U840" s="16" t="n">
        <x:v>70.16766797464152</x:v>
      </x:c>
      <x:c r="V840" t="str">
        <x:v>화초</x:v>
      </x:c>
      <x:c r="W840" t="str">
        <x:v>화초 / 피부관리실 / 세탁소</x:v>
      </x:c>
      <x:c r="X840" s="16" t="n">
        <x:v>62.523653638818324</x:v>
      </x:c>
    </x:row>
    <x:row r="841">
      <x:c r="A841" t="str">
        <x:v>3130180</x:v>
      </x:c>
      <x:c r="B841" t="str">
        <x:v>포방터시장</x:v>
      </x:c>
      <x:c r="C841" t="str">
        <x:v>전통시장</x:v>
      </x:c>
      <x:c r="D841" t="str">
        <x:v>서대문구</x:v>
      </x:c>
      <x:c r="E841" t="str">
        <x:v>홍은1동</x:v>
      </x:c>
      <x:c r="F841" s="12" t="n">
        <x:v>28614</x:v>
      </x:c>
      <x:c r="G841" s="12" t="n">
        <x:v>2870710882</x:v>
      </x:c>
      <x:c r="H841" s="12" t="n">
        <x:v>106028</x:v>
      </x:c>
      <x:c r="I841" s="12" t="n">
        <x:v>27075.026238352133</x:v>
      </x:c>
      <x:c r="J841" s="12" t="n">
        <x:v>100325.39602991543</x:v>
      </x:c>
      <x:c r="K841" s="12" t="n">
        <x:v>979</x:v>
      </x:c>
      <x:c r="L841" s="12" t="n">
        <x:v>342.14021108548263</x:v>
      </x:c>
      <x:c r="M841" s="12" t="n">
        <x:v>13</x:v>
      </x:c>
      <x:c r="N841" s="14" t="n">
        <x:v>0.7102659779446225</x:v>
      </x:c>
      <x:c r="O841" s="14" t="n">
        <x:v>0.2897340220553774</x:v>
      </x:c>
      <x:c r="P841" s="14" t="n">
        <x:v>0.34516132056798327</x:v>
      </x:c>
      <x:c r="Q841" s="14" t="n">
        <x:v>0.3252848010070002</x:v>
      </x:c>
      <x:c r="R841" s="14" t="n">
        <x:v>0.09934484896692568</x:v>
      </x:c>
      <x:c r="S841" s="14" t="n">
        <x:v>0.48368042100869424</x:v>
      </x:c>
      <x:c r="T841" t="str">
        <x:v>직장밀집·여성소비</x:v>
      </x:c>
      <x:c r="U841" s="16" t="n">
        <x:v>74.71721226869434</x:v>
      </x:c>
      <x:c r="V841" t="str">
        <x:v>일반의류</x:v>
      </x:c>
      <x:c r="W841" t="str">
        <x:v>일반의류 / 반찬가게 / 의약품</x:v>
      </x:c>
      <x:c r="X841" s="16" t="n">
        <x:v>63.65452289518555</x:v>
      </x:c>
    </x:row>
    <x:row r="842">
      <x:c r="A842" t="str">
        <x:v>3110814</x:v>
      </x:c>
      <x:c r="B842" t="str">
        <x:v>서울지방병무청</x:v>
      </x:c>
      <x:c r="C842" t="str">
        <x:v>골목상권</x:v>
      </x:c>
      <x:c r="D842" t="str">
        <x:v>영등포구</x:v>
      </x:c>
      <x:c r="E842" t="str">
        <x:v>신길7동</x:v>
      </x:c>
      <x:c r="F842" s="12" t="n">
        <x:v>141531</x:v>
      </x:c>
      <x:c r="G842" s="12" t="n">
        <x:v>2864658937</x:v>
      </x:c>
      <x:c r="H842" s="12" t="n">
        <x:v>167674</x:v>
      </x:c>
      <x:c r="I842" s="12" t="n">
        <x:v>17084.69373307728</x:v>
      </x:c>
      <x:c r="J842" s="12" t="n">
        <x:v>20240.50516847899</x:v>
      </x:c>
      <x:c r="K842" s="12" t="n">
        <x:v>1161</x:v>
      </x:c>
      <x:c r="L842" s="12" t="n">
        <x:v>82.0314983996439</x:v>
      </x:c>
      <x:c r="M842" s="12" t="n">
        <x:v>12</x:v>
      </x:c>
      <x:c r="N842" s="14" t="n">
        <x:v>0.7830779441231611</x:v>
      </x:c>
      <x:c r="O842" s="14" t="n">
        <x:v>0.21692205587683894</x:v>
      </x:c>
      <x:c r="P842" s="14" t="n">
        <x:v>0.48240275592710113</x:v>
      </x:c>
      <x:c r="Q842" s="14" t="n">
        <x:v>0.19951883123599926</x:v>
      </x:c>
      <x:c r="R842" s="14" t="n">
        <x:v>0.2497740232731936</x:v>
      </x:c>
      <x:c r="S842" s="14" t="n">
        <x:v>0.44814297975186845</x:v>
      </x:c>
      <x:c r="T842" t="str">
        <x:v>야간활성·평일집중</x:v>
      </x:c>
      <x:c r="U842" s="16" t="n">
        <x:v>69.22296432328574</x:v>
      </x:c>
      <x:c r="V842" t="str">
        <x:v>커피-음료</x:v>
      </x:c>
      <x:c r="W842" t="str">
        <x:v>커피-음료 / 스포츠 강습 / 일반교습학원</x:v>
      </x:c>
      <x:c r="X842" s="16" t="n">
        <x:v>64.66874517127471</x:v>
      </x:c>
    </x:row>
    <x:row r="843">
      <x:c r="A843" t="str">
        <x:v>3111083</x:v>
      </x:c>
      <x:c r="B843" t="str">
        <x:v>GS강동자이아파트</x:v>
      </x:c>
      <x:c r="C843" t="str">
        <x:v>골목상권</x:v>
      </x:c>
      <x:c r="D843" t="str">
        <x:v>강동구</x:v>
      </x:c>
      <x:c r="E843" t="str">
        <x:v>길동</x:v>
      </x:c>
      <x:c r="F843" s="12" t="n">
        <x:v>81524</x:v>
      </x:c>
      <x:c r="G843" s="12" t="n">
        <x:v>2862766640</x:v>
      </x:c>
      <x:c r="H843" s="12" t="n">
        <x:v>177610</x:v>
      </x:c>
      <x:c r="I843" s="12" t="n">
        <x:v>16118.273971060187</x:v>
      </x:c>
      <x:c r="J843" s="12" t="n">
        <x:v>35115.63024385457</x:v>
      </x:c>
      <x:c r="K843" s="12" t="n">
        <x:v>405</x:v>
      </x:c>
      <x:c r="L843" s="12" t="n">
        <x:v>49.678622246209706</x:v>
      </x:c>
      <x:c r="M843" s="12" t="n">
        <x:v>16</x:v>
      </x:c>
      <x:c r="N843" s="14" t="n">
        <x:v>0.6972573583573686</x:v>
      </x:c>
      <x:c r="O843" s="14" t="n">
        <x:v>0.3027426416426314</x:v>
      </x:c>
      <x:c r="P843" s="14" t="n">
        <x:v>0.46514478106395707</x:v>
      </x:c>
      <x:c r="Q843" s="14" t="n">
        <x:v>0.18077419995365043</x:v>
      </x:c>
      <x:c r="R843" s="14" t="n">
        <x:v>0.2478391183152812</x:v>
      </x:c>
      <x:c r="S843" s="14" t="n">
        <x:v>0.4759751933535176</x:v>
      </x:c>
      <x:c r="T843" t="str">
        <x:v>야간활성·여성소비</x:v>
      </x:c>
      <x:c r="U843" s="16" t="n">
        <x:v>52.957191156058315</x:v>
      </x:c>
      <x:c r="V843" t="str">
        <x:v>일반의류</x:v>
      </x:c>
      <x:c r="W843" t="str">
        <x:v>일반의류 / 당구장 / 미용실</x:v>
      </x:c>
      <x:c r="X843" s="16" t="n">
        <x:v>52.3300752036824</x:v>
      </x:c>
    </x:row>
    <x:row r="844">
      <x:c r="A844" t="str">
        <x:v>3110647</x:v>
      </x:c>
      <x:c r="B844" t="str">
        <x:v>화곡역 5번</x:v>
      </x:c>
      <x:c r="C844" t="str">
        <x:v>골목상권</x:v>
      </x:c>
      <x:c r="D844" t="str">
        <x:v>강서구</x:v>
      </x:c>
      <x:c r="E844" t="str">
        <x:v>화곡1동</x:v>
      </x:c>
      <x:c r="F844" s="12" t="n">
        <x:v>210252</x:v>
      </x:c>
      <x:c r="G844" s="12" t="n">
        <x:v>2861569174</x:v>
      </x:c>
      <x:c r="H844" s="12" t="n">
        <x:v>164721</x:v>
      </x:c>
      <x:c r="I844" s="12" t="n">
        <x:v>17372.218320675565</x:v>
      </x:c>
      <x:c r="J844" s="12" t="n">
        <x:v>13610.187651009264</x:v>
      </x:c>
      <x:c r="K844" s="12" t="n">
        <x:v>780</x:v>
      </x:c>
      <x:c r="L844" s="12" t="n">
        <x:v>37.09833913589407</x:v>
      </x:c>
      <x:c r="M844" s="12" t="n">
        <x:v>17</x:v>
      </x:c>
      <x:c r="N844" s="14" t="n">
        <x:v>0.7195821665641132</x:v>
      </x:c>
      <x:c r="O844" s="14" t="n">
        <x:v>0.2804178334358867</x:v>
      </x:c>
      <x:c r="P844" s="14" t="n">
        <x:v>0.4300472709802821</x:v>
      </x:c>
      <x:c r="Q844" s="14" t="n">
        <x:v>0.2037893818183827</x:v>
      </x:c>
      <x:c r="R844" s="14" t="n">
        <x:v>0.25935189152271737</x:v>
      </x:c>
      <x:c r="S844" s="14" t="n">
        <x:v>0.3969501217446369</x:v>
      </x:c>
      <x:c r="T844" t="str">
        <x:v>2030소비·야간활성</x:v>
      </x:c>
      <x:c r="U844" s="16" t="n">
        <x:v>61.439930408300796</x:v>
      </x:c>
      <x:c r="V844" t="str">
        <x:v>미용실</x:v>
      </x:c>
      <x:c r="W844" t="str">
        <x:v>미용실 / 일반교습학원 / 예술학원</x:v>
      </x:c>
      <x:c r="X844" s="16" t="n">
        <x:v>55.51305771556044</x:v>
      </x:c>
    </x:row>
    <x:row r="845">
      <x:c r="A845" t="str">
        <x:v>3110317</x:v>
      </x:c>
      <x:c r="B845" t="str">
        <x:v>종암중학교</x:v>
      </x:c>
      <x:c r="C845" t="str">
        <x:v>골목상권</x:v>
      </x:c>
      <x:c r="D845" t="str">
        <x:v>성북구</x:v>
      </x:c>
      <x:c r="E845" t="str">
        <x:v>종암동</x:v>
      </x:c>
      <x:c r="F845" s="12" t="n">
        <x:v>91409</x:v>
      </x:c>
      <x:c r="G845" s="12" t="n">
        <x:v>2854203117</x:v>
      </x:c>
      <x:c r="H845" s="12" t="n">
        <x:v>253399</x:v>
      </x:c>
      <x:c r="I845" s="12" t="n">
        <x:v>11263.671589074936</x:v>
      </x:c>
      <x:c r="J845" s="12" t="n">
        <x:v>31224.53059326762</x:v>
      </x:c>
      <x:c r="K845" s="12" t="n">
        <x:v>1818</x:v>
      </x:c>
      <x:c r="L845" s="12" t="n">
        <x:v>198.88632410375345</x:v>
      </x:c>
      <x:c r="M845" s="12" t="n">
        <x:v>8</x:v>
      </x:c>
      <x:c r="N845" s="14" t="n">
        <x:v>0.7152898260253704</x:v>
      </x:c>
      <x:c r="O845" s="14" t="n">
        <x:v>0.28471017397462955</x:v>
      </x:c>
      <x:c r="P845" s="14" t="n">
        <x:v>0.37994879044902957</x:v>
      </x:c>
      <x:c r="Q845" s="14" t="n">
        <x:v>0.32706463966768906</x:v>
      </x:c>
      <x:c r="R845" s="14" t="n">
        <x:v>0.33105671259765496</x:v>
      </x:c>
      <x:c r="S845" s="14" t="n">
        <x:v>0.35584743354479353</x:v>
      </x:c>
      <x:c r="T845" t="str">
        <x:v>2030소비·직장밀집</x:v>
      </x:c>
      <x:c r="U845" s="16" t="n">
        <x:v>62.40023519229425</x:v>
      </x:c>
      <x:c r="V845" t="str">
        <x:v>커피-음료</x:v>
      </x:c>
      <x:c r="W845" t="str">
        <x:v>커피-음료 / 편의점 / 한식음식점</x:v>
      </x:c>
      <x:c r="X845" s="16" t="n">
        <x:v>52.4377212248354</x:v>
      </x:c>
    </x:row>
    <x:row r="846">
      <x:c r="A846" t="str">
        <x:v>3110554</x:v>
      </x:c>
      <x:c r="B846" t="str">
        <x:v>망원역 1번</x:v>
      </x:c>
      <x:c r="C846" t="str">
        <x:v>골목상권</x:v>
      </x:c>
      <x:c r="D846" t="str">
        <x:v>마포구</x:v>
      </x:c>
      <x:c r="E846" t="str">
        <x:v>서교동</x:v>
      </x:c>
      <x:c r="F846" s="12" t="n">
        <x:v>126268</x:v>
      </x:c>
      <x:c r="G846" s="12" t="n">
        <x:v>2842901948</x:v>
      </x:c>
      <x:c r="H846" s="12" t="n">
        <x:v>133614</x:v>
      </x:c>
      <x:c r="I846" s="12" t="n">
        <x:v>21276.976574311077</x:v>
      </x:c>
      <x:c r="J846" s="12" t="n">
        <x:v>22514.825197199607</x:v>
      </x:c>
      <x:c r="K846" s="12" t="n">
        <x:v>1426</x:v>
      </x:c>
      <x:c r="L846" s="12" t="n">
        <x:v>112.93439351221213</x:v>
      </x:c>
      <x:c r="M846" s="12" t="n">
        <x:v>12</x:v>
      </x:c>
      <x:c r="N846" s="14" t="n">
        <x:v>0.7180386155899879</x:v>
      </x:c>
      <x:c r="O846" s="14" t="n">
        <x:v>0.281961384410012</x:v>
      </x:c>
      <x:c r="P846" s="14" t="n">
        <x:v>0.4183709156190708</x:v>
      </x:c>
      <x:c r="Q846" s="14" t="n">
        <x:v>0.2647249721466651</x:v>
      </x:c>
      <x:c r="R846" s="14" t="n">
        <x:v>0.4089300486841835</x:v>
      </x:c>
      <x:c r="S846" s="14" t="n">
        <x:v>0.41479366807905116</x:v>
      </x:c>
      <x:c r="T846" t="str">
        <x:v>2030소비·직장밀집</x:v>
      </x:c>
      <x:c r="U846" s="16" t="n">
        <x:v>55.871382551599524</x:v>
      </x:c>
      <x:c r="V846" t="str">
        <x:v>커피-음료</x:v>
      </x:c>
      <x:c r="W846" t="str">
        <x:v>커피-음료 / 미용실 / 한식음식점</x:v>
      </x:c>
      <x:c r="X846" s="16" t="n">
        <x:v>45.054440349121855</x:v>
      </x:c>
    </x:row>
    <x:row r="847">
      <x:c r="A847" t="str">
        <x:v>3110930</x:v>
      </x:c>
      <x:c r="B847" t="str">
        <x:v>서초동성당</x:v>
      </x:c>
      <x:c r="C847" t="str">
        <x:v>골목상권</x:v>
      </x:c>
      <x:c r="D847" t="str">
        <x:v>서초구</x:v>
      </x:c>
      <x:c r="E847" t="str">
        <x:v>서초1동</x:v>
      </x:c>
      <x:c r="F847" s="12" t="n">
        <x:v>98532</x:v>
      </x:c>
      <x:c r="G847" s="12" t="n">
        <x:v>2842565274</x:v>
      </x:c>
      <x:c r="H847" s="12" t="n">
        <x:v>30770</x:v>
      </x:c>
      <x:c r="I847" s="12" t="n">
        <x:v>92381.06187845304</x:v>
      </x:c>
      <x:c r="J847" s="12" t="n">
        <x:v>28849.158385093167</x:v>
      </x:c>
      <x:c r="K847" s="12" t="n">
        <x:v>4767</x:v>
      </x:c>
      <x:c r="L847" s="12" t="n">
        <x:v>483.8022165387894</x:v>
      </x:c>
      <x:c r="M847" s="12" t="n">
        <x:v>5</x:v>
      </x:c>
      <x:c r="N847" s="14" t="n">
        <x:v>0.9001220427207681</x:v>
      </x:c>
      <x:c r="O847" s="14" t="n">
        <x:v>0.09987795727923186</x:v>
      </x:c>
      <x:c r="P847" s="14" t="n">
        <x:v>0.09257740724795753</x:v>
      </x:c>
      <x:c r="Q847" s="14" t="n">
        <x:v>0.25297837048015664</x:v>
      </x:c>
      <x:c r="R847" s="14" t="n">
        <x:v>0.134918819809659</x:v>
      </x:c>
      <x:c r="S847" s="14" t="n">
        <x:v>0.23547660386988883</x:v>
      </x:c>
      <x:c r="T847" t="str">
        <x:v>평일집중·직장밀집</x:v>
      </x:c>
      <x:c r="U847" s="16" t="n">
        <x:v>67.65986169634711</x:v>
      </x:c>
      <x:c r="V847" t="str">
        <x:v>운동/경기용품</x:v>
      </x:c>
      <x:c r="W847" t="str">
        <x:v>운동/경기용품 / 일반의류 / 제과점</x:v>
      </x:c>
      <x:c r="X847" s="16" t="n">
        <x:v>47.57882459892377</x:v>
      </x:c>
    </x:row>
    <x:row r="848">
      <x:c r="A848" t="str">
        <x:v>3110666</x:v>
      </x:c>
      <x:c r="B848" t="str">
        <x:v>KC대학교</x:v>
      </x:c>
      <x:c r="C848" t="str">
        <x:v>골목상권</x:v>
      </x:c>
      <x:c r="D848" t="str">
        <x:v>강서구</x:v>
      </x:c>
      <x:c r="E848" t="str">
        <x:v>화곡6동</x:v>
      </x:c>
      <x:c r="F848" s="12" t="n">
        <x:v>48432</x:v>
      </x:c>
      <x:c r="G848" s="12" t="n">
        <x:v>2839372977</x:v>
      </x:c>
      <x:c r="H848" s="12" t="n">
        <x:v>211049</x:v>
      </x:c>
      <x:c r="I848" s="12" t="n">
        <x:v>13453.61966652294</x:v>
      </x:c>
      <x:c r="J848" s="12" t="n">
        <x:v>58625.96995787909</x:v>
      </x:c>
      <x:c r="K848" s="12" t="n">
        <x:v>335</x:v>
      </x:c>
      <x:c r="L848" s="12" t="n">
        <x:v>69.16914436736042</x:v>
      </x:c>
      <x:c r="M848" s="12" t="n">
        <x:v>2</x:v>
      </x:c>
      <x:c r="N848" s="14" t="n">
        <x:v>0.7109924083073359</x:v>
      </x:c>
      <x:c r="O848" s="14" t="n">
        <x:v>0.28900759169266405</x:v>
      </x:c>
      <x:c r="P848" s="14" t="n">
        <x:v>0.3588423226724257</x:v>
      </x:c>
      <x:c r="Q848" s="14" t="n">
        <x:v>0.19987119395621408</x:v>
      </x:c>
      <x:c r="R848" s="14" t="n">
        <x:v>0.1906182972030166</x:v>
      </x:c>
      <x:c r="S848" s="14" t="n">
        <x:v>0.5034402843793776</x:v>
      </x:c>
      <x:c r="T848" t="str">
        <x:v>여성소비·고매출밀도</x:v>
      </x:c>
      <x:c r="U848" s="16" t="n">
        <x:v>57.028871658659085</x:v>
      </x:c>
      <x:c r="V848" t="str">
        <x:v>슈퍼마켓</x:v>
      </x:c>
      <x:c r="W848" t="str">
        <x:v>슈퍼마켓 / 한식음식점</x:v>
      </x:c>
      <x:c r="X848" s="16" t="n">
        <x:v>37.02146820534227</x:v>
      </x:c>
    </x:row>
    <x:row r="849">
      <x:c r="A849" t="str">
        <x:v>3111080</x:v>
      </x:c>
      <x:c r="B849" t="str">
        <x:v>굽은다리역 3번</x:v>
      </x:c>
      <x:c r="C849" t="str">
        <x:v>골목상권</x:v>
      </x:c>
      <x:c r="D849" t="str">
        <x:v>강동구</x:v>
      </x:c>
      <x:c r="E849" t="str">
        <x:v>명일1동</x:v>
      </x:c>
      <x:c r="F849" s="12" t="n">
        <x:v>83549</x:v>
      </x:c>
      <x:c r="G849" s="12" t="n">
        <x:v>2836589641</x:v>
      </x:c>
      <x:c r="H849" s="12" t="n">
        <x:v>125748</x:v>
      </x:c>
      <x:c r="I849" s="12" t="n">
        <x:v>22557.731661736172</x:v>
      </x:c>
      <x:c r="J849" s="12" t="n">
        <x:v>33951.20996062191</x:v>
      </x:c>
      <x:c r="K849" s="12" t="n">
        <x:v>554</x:v>
      </x:c>
      <x:c r="L849" s="12" t="n">
        <x:v>66.30839387664723</x:v>
      </x:c>
      <x:c r="M849" s="12" t="n">
        <x:v>14</x:v>
      </x:c>
      <x:c r="N849" s="14" t="n">
        <x:v>0.5477282743133306</x:v>
      </x:c>
      <x:c r="O849" s="14" t="n">
        <x:v>0.4522717256866694</x:v>
      </x:c>
      <x:c r="P849" s="14" t="n">
        <x:v>0.2470231953441728</x:v>
      </x:c>
      <x:c r="Q849" s="14" t="n">
        <x:v>0.33625810487827273</x:v>
      </x:c>
      <x:c r="R849" s="14" t="n">
        <x:v>0.11788061486472869</x:v>
      </x:c>
      <x:c r="S849" s="14" t="n">
        <x:v>0.5211306142536957</x:v>
      </x:c>
      <x:c r="T849" t="str">
        <x:v>여성소비</x:v>
      </x:c>
      <x:c r="U849" s="16" t="n">
        <x:v>73.03691021194591</x:v>
      </x:c>
      <x:c r="V849" t="str">
        <x:v>서적</x:v>
      </x:c>
      <x:c r="W849" t="str">
        <x:v>서적 / 화초 / 커피-음료</x:v>
      </x:c>
      <x:c r="X849" s="16" t="n">
        <x:v>58.550281076361124</x:v>
      </x:c>
    </x:row>
    <x:row r="850">
      <x:c r="A850" t="str">
        <x:v>3110102</x:v>
      </x:c>
      <x:c r="B850" t="str">
        <x:v>옥수역 6번</x:v>
      </x:c>
      <x:c r="C850" t="str">
        <x:v>골목상권</x:v>
      </x:c>
      <x:c r="D850" t="str">
        <x:v>성동구</x:v>
      </x:c>
      <x:c r="E850" t="str">
        <x:v>옥수동</x:v>
      </x:c>
      <x:c r="F850" s="12" t="n">
        <x:v>34682</x:v>
      </x:c>
      <x:c r="G850" s="12" t="n">
        <x:v>2829592232</x:v>
      </x:c>
      <x:c r="H850" s="12" t="n">
        <x:v>122044</x:v>
      </x:c>
      <x:c r="I850" s="12" t="n">
        <x:v>23185.017141358854</x:v>
      </x:c>
      <x:c r="J850" s="12" t="n">
        <x:v>81586.76639178825</x:v>
      </x:c>
      <x:c r="K850" s="12" t="n">
        <x:v>1402</x:v>
      </x:c>
      <x:c r="L850" s="12" t="n">
        <x:v>404.24427656997864</x:v>
      </x:c>
      <x:c r="M850" s="12" t="n">
        <x:v>14</x:v>
      </x:c>
      <x:c r="N850" s="14" t="n">
        <x:v>0.7562416901630793</x:v>
      </x:c>
      <x:c r="O850" s="14" t="n">
        <x:v>0.2437583098369207</x:v>
      </x:c>
      <x:c r="P850" s="14" t="n">
        <x:v>0.5121712470123858</x:v>
      </x:c>
      <x:c r="Q850" s="14" t="n">
        <x:v>0.21221646363354874</x:v>
      </x:c>
      <x:c r="R850" s="14" t="n">
        <x:v>0.2625713933611053</x:v>
      </x:c>
      <x:c r="S850" s="14" t="n">
        <x:v>0.45785679906404264</x:v>
      </x:c>
      <x:c r="T850" t="str">
        <x:v>직장밀집·야간활성</x:v>
      </x:c>
      <x:c r="U850" s="16" t="n">
        <x:v>71.66500095343247</x:v>
      </x:c>
      <x:c r="V850" t="str">
        <x:v>미용실</x:v>
      </x:c>
      <x:c r="W850" t="str">
        <x:v>미용실 / 치킨전문점 / 분식전문점</x:v>
      </x:c>
      <x:c r="X850" s="16" t="n">
        <x:v>65.28992471272444</x:v>
      </x:c>
    </x:row>
    <x:row r="851">
      <x:c r="A851" t="str">
        <x:v>3110337</x:v>
      </x:c>
      <x:c r="B851" t="str">
        <x:v>아카데미하우스</x:v>
      </x:c>
      <x:c r="C851" t="str">
        <x:v>골목상권</x:v>
      </x:c>
      <x:c r="D851" t="str">
        <x:v>강북구</x:v>
      </x:c>
      <x:c r="E851" t="str">
        <x:v>인수동</x:v>
      </x:c>
      <x:c r="F851" s="12" t="n">
        <x:v>120638</x:v>
      </x:c>
      <x:c r="G851" s="12" t="n">
        <x:v>2816982986</x:v>
      </x:c>
      <x:c r="H851" s="12" t="n">
        <x:v>89580</x:v>
      </x:c>
      <x:c r="I851" s="12" t="n">
        <x:v>31446.561576244698</x:v>
      </x:c>
      <x:c r="J851" s="12" t="n">
        <x:v>23350.710273711433</x:v>
      </x:c>
      <x:c r="K851" s="12" t="n">
        <x:v>454</x:v>
      </x:c>
      <x:c r="L851" s="12" t="n">
        <x:v>37.633249888094966</x:v>
      </x:c>
      <x:c r="M851" s="12" t="n">
        <x:v>2</x:v>
      </x:c>
      <x:c r="N851" s="14" t="n">
        <x:v>0.6078351433110146</x:v>
      </x:c>
      <x:c r="O851" s="14" t="n">
        <x:v>0.3921648566889853</x:v>
      </x:c>
      <x:c r="P851" s="14" t="n">
        <x:v>0.27975391506322717</x:v>
      </x:c>
      <x:c r="Q851" s="14" t="n">
        <x:v>0.39937056368149465</x:v>
      </x:c>
      <x:c r="R851" s="14" t="n">
        <x:v>0.15498188422498338</x:v>
      </x:c>
      <x:c r="S851" s="14" t="n">
        <x:v>0.47954585977751446</x:v>
      </x:c>
      <x:c r="T851" t="str">
        <x:v>여성소비</x:v>
      </x:c>
      <x:c r="U851" s="16" t="n">
        <x:v>67.57000701496217</x:v>
      </x:c>
      <x:c r="V851" t="str">
        <x:v>한식음식점</x:v>
      </x:c>
      <x:c r="W851" t="str">
        <x:v>한식음식점 / 커피-음료</x:v>
      </x:c>
      <x:c r="X851" s="16" t="n">
        <x:v>66.5193293203266</x:v>
      </x:c>
    </x:row>
    <x:row r="852">
      <x:c r="A852" t="str">
        <x:v>3110199</x:v>
      </x:c>
      <x:c r="B852" t="str">
        <x:v>홍릉시장</x:v>
      </x:c>
      <x:c r="C852" t="str">
        <x:v>골목상권</x:v>
      </x:c>
      <x:c r="D852" t="str">
        <x:v>동대문구</x:v>
      </x:c>
      <x:c r="E852" t="str">
        <x:v>제기동</x:v>
      </x:c>
      <x:c r="F852" s="12" t="n">
        <x:v>69877</x:v>
      </x:c>
      <x:c r="G852" s="12" t="n">
        <x:v>2797428295</x:v>
      </x:c>
      <x:c r="H852" s="12" t="n">
        <x:v>128939</x:v>
      </x:c>
      <x:c r="I852" s="12" t="n">
        <x:v>21695.749889482624</x:v>
      </x:c>
      <x:c r="J852" s="12" t="n">
        <x:v>40033.606122186124</x:v>
      </x:c>
      <x:c r="K852" s="12" t="n">
        <x:v>286</x:v>
      </x:c>
      <x:c r="L852" s="12" t="n">
        <x:v>40.929061064441804</x:v>
      </x:c>
      <x:c r="M852" s="12" t="n">
        <x:v>13</x:v>
      </x:c>
      <x:c r="N852" s="14" t="n">
        <x:v>0.762176189041514</x:v>
      </x:c>
      <x:c r="O852" s="14" t="n">
        <x:v>0.23782381095848606</x:v>
      </x:c>
      <x:c r="P852" s="14" t="n">
        <x:v>0.289868712792154</x:v>
      </x:c>
      <x:c r="Q852" s="14" t="n">
        <x:v>0.24009959118541052</x:v>
      </x:c>
      <x:c r="R852" s="14" t="n">
        <x:v>0.10686456004406719</x:v>
      </x:c>
      <x:c r="S852" s="14" t="n">
        <x:v>0.3927316192388767</x:v>
      </x:c>
      <x:c r="T852" t="str">
        <x:v>균형형</x:v>
      </x:c>
      <x:c r="U852" s="16" t="n">
        <x:v>47.424389186657464</x:v>
      </x:c>
      <x:c r="V852" t="str">
        <x:v>네일숍</x:v>
      </x:c>
      <x:c r="W852" t="str">
        <x:v>네일숍 / 의약품 / 육류판매</x:v>
      </x:c>
      <x:c r="X852" s="16" t="n">
        <x:v>45.58412772089431</x:v>
      </x:c>
    </x:row>
    <x:row r="853">
      <x:c r="A853" t="str">
        <x:v>3110075</x:v>
      </x:c>
      <x:c r="B853" t="str">
        <x:v>숙대입구역 1번</x:v>
      </x:c>
      <x:c r="C853" t="str">
        <x:v>골목상권</x:v>
      </x:c>
      <x:c r="D853" t="str">
        <x:v>용산구</x:v>
      </x:c>
      <x:c r="E853" t="str">
        <x:v>남영동</x:v>
      </x:c>
      <x:c r="F853" s="12" t="n">
        <x:v>128905</x:v>
      </x:c>
      <x:c r="G853" s="12" t="n">
        <x:v>2795860824</x:v>
      </x:c>
      <x:c r="H853" s="12" t="n">
        <x:v>187435</x:v>
      </x:c>
      <x:c r="I853" s="12" t="n">
        <x:v>14916.428756635634</x:v>
      </x:c>
      <x:c r="J853" s="12" t="n">
        <x:v>21689.312470423956</x:v>
      </x:c>
      <x:c r="K853" s="12" t="n">
        <x:v>2139</x:v>
      </x:c>
      <x:c r="L853" s="12" t="n">
        <x:v>165.9361545324076</x:v>
      </x:c>
      <x:c r="M853" s="12" t="n">
        <x:v>11</x:v>
      </x:c>
      <x:c r="N853" s="14" t="n">
        <x:v>0.7935561512771495</x:v>
      </x:c>
      <x:c r="O853" s="14" t="n">
        <x:v>0.20644384872285046</x:v>
      </x:c>
      <x:c r="P853" s="14" t="n">
        <x:v>0.33270479990101254</x:v>
      </x:c>
      <x:c r="Q853" s="14" t="n">
        <x:v>0.3530983840560441</x:v>
      </x:c>
      <x:c r="R853" s="14" t="n">
        <x:v>0.31550175260082974</x:v>
      </x:c>
      <x:c r="S853" s="14" t="n">
        <x:v>0.37676080438544746</x:v>
      </x:c>
      <x:c r="T853" t="str">
        <x:v>2030소비·직장밀집</x:v>
      </x:c>
      <x:c r="U853" s="16" t="n">
        <x:v>58.88261638900033</x:v>
      </x:c>
      <x:c r="V853" t="str">
        <x:v>자동차수리</x:v>
      </x:c>
      <x:c r="W853" t="str">
        <x:v>자동차수리 / 커피-음료 / 슈퍼마켓</x:v>
      </x:c>
      <x:c r="X853" s="16" t="n">
        <x:v>56.884715246832386</x:v>
      </x:c>
    </x:row>
    <x:row r="854">
      <x:c r="A854" t="str">
        <x:v>3110686</x:v>
      </x:c>
      <x:c r="B854" t="str">
        <x:v>수궁동주민센터</x:v>
      </x:c>
      <x:c r="C854" t="str">
        <x:v>골목상권</x:v>
      </x:c>
      <x:c r="D854" t="str">
        <x:v>구로구</x:v>
      </x:c>
      <x:c r="E854" t="str">
        <x:v>수궁동</x:v>
      </x:c>
      <x:c r="F854" s="12" t="n">
        <x:v>191258</x:v>
      </x:c>
      <x:c r="G854" s="12" t="n">
        <x:v>2791301144</x:v>
      </x:c>
      <x:c r="H854" s="12" t="n">
        <x:v>151964</x:v>
      </x:c>
      <x:c r="I854" s="12" t="n">
        <x:v>18368.173672711957</x:v>
      </x:c>
      <x:c r="J854" s="12" t="n">
        <x:v>14594.428175553441</x:v>
      </x:c>
      <x:c r="K854" s="12" t="n">
        <x:v>487</x:v>
      </x:c>
      <x:c r="L854" s="12" t="n">
        <x:v>25.462987169164165</x:v>
      </x:c>
      <x:c r="M854" s="12" t="n">
        <x:v>14</x:v>
      </x:c>
      <x:c r="N854" s="14" t="n">
        <x:v>0.8017693152924814</x:v>
      </x:c>
      <x:c r="O854" s="14" t="n">
        <x:v>0.19823068470751862</x:v>
      </x:c>
      <x:c r="P854" s="14" t="n">
        <x:v>0.39016287523865967</x:v>
      </x:c>
      <x:c r="Q854" s="14" t="n">
        <x:v>0.24153976164457874</x:v>
      </x:c>
      <x:c r="R854" s="14" t="n">
        <x:v>0.16145068545137242</x:v>
      </x:c>
      <x:c r="S854" s="14" t="n">
        <x:v>0.4466929251543344</x:v>
      </x:c>
      <x:c r="T854" t="str">
        <x:v>평일집중·여성소비</x:v>
      </x:c>
      <x:c r="U854" s="16" t="n">
        <x:v>59.55501723265532</x:v>
      </x:c>
      <x:c r="V854" t="str">
        <x:v>미용실</x:v>
      </x:c>
      <x:c r="W854" t="str">
        <x:v>미용실 / 예술학원 / 피부관리실</x:v>
      </x:c>
      <x:c r="X854" s="16" t="n">
        <x:v>57.32965899529355</x:v>
      </x:c>
    </x:row>
    <x:row r="855">
      <x:c r="A855" t="str">
        <x:v>3130247</x:v>
      </x:c>
      <x:c r="B855" t="str">
        <x:v>우리시장</x:v>
      </x:c>
      <x:c r="C855" t="str">
        <x:v>전통시장</x:v>
      </x:c>
      <x:c r="D855" t="str">
        <x:v>영등포구</x:v>
      </x:c>
      <x:c r="E855" t="str">
        <x:v>대림1동</x:v>
      </x:c>
      <x:c r="F855" s="12" t="n">
        <x:v>16285</x:v>
      </x:c>
      <x:c r="G855" s="12" t="n">
        <x:v>2780442805</x:v>
      </x:c>
      <x:c r="H855" s="12" t="n">
        <x:v>175131</x:v>
      </x:c>
      <x:c r="I855" s="12" t="n">
        <x:v>15876.360010506422</x:v>
      </x:c>
      <x:c r="J855" s="12" t="n">
        <x:v>170736.43260669327</x:v>
      </x:c>
      <x:c r="K855" s="12" t="n">
        <x:v>78</x:v>
      </x:c>
      <x:c r="L855" s="12" t="n">
        <x:v>47.896837580595644</x:v>
      </x:c>
      <x:c r="M855" s="12" t="n">
        <x:v>8</x:v>
      </x:c>
      <x:c r="N855" s="14" t="n">
        <x:v>0.7103290401976098</x:v>
      </x:c>
      <x:c r="O855" s="14" t="n">
        <x:v>0.28967095980239016</x:v>
      </x:c>
      <x:c r="P855" s="14" t="n">
        <x:v>0.2774244172952876</x:v>
      </x:c>
      <x:c r="Q855" s="14" t="n">
        <x:v>0.3128100302714193</x:v>
      </x:c>
      <x:c r="R855" s="14" t="n">
        <x:v>0.1150633371866824</x:v>
      </x:c>
      <x:c r="S855" s="14" t="n">
        <x:v>0.621880667673004</x:v>
      </x:c>
      <x:c r="T855" t="str">
        <x:v>여성소비·고매출밀도</x:v>
      </x:c>
      <x:c r="U855" s="16" t="n">
        <x:v>63.278928328372906</x:v>
      </x:c>
      <x:c r="V855" t="str">
        <x:v>육류판매</x:v>
      </x:c>
      <x:c r="W855" t="str">
        <x:v>육류판매 / 분식전문점 / 슈퍼마켓</x:v>
      </x:c>
      <x:c r="X855" s="16" t="n">
        <x:v>55.573190561410385</x:v>
      </x:c>
    </x:row>
    <x:row r="856">
      <x:c r="A856" t="str">
        <x:v>3110691</x:v>
      </x:c>
      <x:c r="B856" t="str">
        <x:v>개봉중학교</x:v>
      </x:c>
      <x:c r="C856" t="str">
        <x:v>골목상권</x:v>
      </x:c>
      <x:c r="D856" t="str">
        <x:v>구로구</x:v>
      </x:c>
      <x:c r="E856" t="str">
        <x:v>개봉1동</x:v>
      </x:c>
      <x:c r="F856" s="12" t="n">
        <x:v>78095</x:v>
      </x:c>
      <x:c r="G856" s="12" t="n">
        <x:v>2777617960</x:v>
      </x:c>
      <x:c r="H856" s="12" t="n">
        <x:v>108882</x:v>
      </x:c>
      <x:c r="I856" s="12" t="n">
        <x:v>25510.350287467165</x:v>
      </x:c>
      <x:c r="J856" s="12" t="n">
        <x:v>35567.16768038927</x:v>
      </x:c>
      <x:c r="K856" s="12" t="n">
        <x:v>871</x:v>
      </x:c>
      <x:c r="L856" s="12" t="n">
        <x:v>111.53082783788975</x:v>
      </x:c>
      <x:c r="M856" s="12" t="n">
        <x:v>12</x:v>
      </x:c>
      <x:c r="N856" s="14" t="n">
        <x:v>0.7062357178882873</x:v>
      </x:c>
      <x:c r="O856" s="14" t="n">
        <x:v>0.29376428211171274</x:v>
      </x:c>
      <x:c r="P856" s="14" t="n">
        <x:v>0.45684766525631193</x:v>
      </x:c>
      <x:c r="Q856" s="14" t="n">
        <x:v>0.212944315783442</x:v>
      </x:c>
      <x:c r="R856" s="14" t="n">
        <x:v>0.13348666099494835</x:v>
      </x:c>
      <x:c r="S856" s="14" t="n">
        <x:v>0.34116320554033286</x:v>
      </x:c>
      <x:c r="T856" t="str">
        <x:v>야간활성·직장밀집</x:v>
      </x:c>
      <x:c r="U856" s="16" t="n">
        <x:v>60.082803568995836</x:v>
      </x:c>
      <x:c r="V856" t="str">
        <x:v>슈퍼마켓</x:v>
      </x:c>
      <x:c r="W856" t="str">
        <x:v>슈퍼마켓 / 철물점 / 미용실</x:v>
      </x:c>
      <x:c r="X856" s="16" t="n">
        <x:v>54.536339288874366</x:v>
      </x:c>
    </x:row>
    <x:row r="857">
      <x:c r="A857" t="str">
        <x:v>3110157</x:v>
      </x:c>
      <x:c r="B857" t="str">
        <x:v>자양동우체국</x:v>
      </x:c>
      <x:c r="C857" t="str">
        <x:v>골목상권</x:v>
      </x:c>
      <x:c r="D857" t="str">
        <x:v>광진구</x:v>
      </x:c>
      <x:c r="E857" t="str">
        <x:v>자양2동</x:v>
      </x:c>
      <x:c r="F857" s="12" t="n">
        <x:v>115158</x:v>
      </x:c>
      <x:c r="G857" s="12" t="n">
        <x:v>2774920673</x:v>
      </x:c>
      <x:c r="H857" s="12" t="n">
        <x:v>166559</x:v>
      </x:c>
      <x:c r="I857" s="12" t="n">
        <x:v>16660.286583132704</x:v>
      </x:c>
      <x:c r="J857" s="12" t="n">
        <x:v>24096.63829694854</x:v>
      </x:c>
      <x:c r="K857" s="12" t="n">
        <x:v>613</x:v>
      </x:c>
      <x:c r="L857" s="12" t="n">
        <x:v>53.23121276854408</x:v>
      </x:c>
      <x:c r="M857" s="12" t="n">
        <x:v>20</x:v>
      </x:c>
      <x:c r="N857" s="14" t="n">
        <x:v>0.7285969143810548</x:v>
      </x:c>
      <x:c r="O857" s="14" t="n">
        <x:v>0.27140308561894516</x:v>
      </x:c>
      <x:c r="P857" s="14" t="n">
        <x:v>0.4372274803403002</x:v>
      </x:c>
      <x:c r="Q857" s="14" t="n">
        <x:v>0.23796606527353512</x:v>
      </x:c>
      <x:c r="R857" s="14" t="n">
        <x:v>0.23180760958639482</x:v>
      </x:c>
      <x:c r="S857" s="14" t="n">
        <x:v>0.37432261545589773</x:v>
      </x:c>
      <x:c r="T857" t="str">
        <x:v>야간활성·2030소비</x:v>
      </x:c>
      <x:c r="U857" s="16" t="n">
        <x:v>63.50975702515086</x:v>
      </x:c>
      <x:c r="V857" t="str">
        <x:v>전자상거래업</x:v>
      </x:c>
      <x:c r="W857" t="str">
        <x:v>전자상거래업 / 한식음식점 / 예술학원</x:v>
      </x:c>
      <x:c r="X857" s="16" t="n">
        <x:v>58.0645523571754</x:v>
      </x:c>
    </x:row>
    <x:row r="858">
      <x:c r="A858" t="str">
        <x:v>3110694</x:v>
      </x:c>
      <x:c r="B858" t="str">
        <x:v>세곡초등학교</x:v>
      </x:c>
      <x:c r="C858" t="str">
        <x:v>골목상권</x:v>
      </x:c>
      <x:c r="D858" t="str">
        <x:v>구로구</x:v>
      </x:c>
      <x:c r="E858" t="str">
        <x:v>고척2동</x:v>
      </x:c>
      <x:c r="F858" s="12" t="n">
        <x:v>196285</x:v>
      </x:c>
      <x:c r="G858" s="12" t="n">
        <x:v>2765747646</x:v>
      </x:c>
      <x:c r="H858" s="12" t="n">
        <x:v>124151</x:v>
      </x:c>
      <x:c r="I858" s="12" t="n">
        <x:v>22277.288511570587</x:v>
      </x:c>
      <x:c r="J858" s="12" t="n">
        <x:v>14090.468685839469</x:v>
      </x:c>
      <x:c r="K858" s="12" t="n">
        <x:v>994</x:v>
      </x:c>
      <x:c r="L858" s="12" t="n">
        <x:v>50.64065007514583</x:v>
      </x:c>
      <x:c r="M858" s="12" t="n">
        <x:v>17</x:v>
      </x:c>
      <x:c r="N858" s="14" t="n">
        <x:v>0.7344549098461024</x:v>
      </x:c>
      <x:c r="O858" s="14" t="n">
        <x:v>0.2655450901538976</x:v>
      </x:c>
      <x:c r="P858" s="14" t="n">
        <x:v>0.45008203579250194</x:v>
      </x:c>
      <x:c r="Q858" s="14" t="n">
        <x:v>0.1818366555341181</x:v>
      </x:c>
      <x:c r="R858" s="14" t="n">
        <x:v>0.18138449136006243</x:v>
      </x:c>
      <x:c r="S858" s="14" t="n">
        <x:v>0.4248742699643972</x:v>
      </x:c>
      <x:c r="T858" t="str">
        <x:v>야간활성</x:v>
      </x:c>
      <x:c r="U858" s="16" t="n">
        <x:v>68.46898658716553</x:v>
      </x:c>
      <x:c r="V858" t="str">
        <x:v>예술학원</x:v>
      </x:c>
      <x:c r="W858" t="str">
        <x:v>예술학원 / 미용실 / 한식음식점</x:v>
      </x:c>
      <x:c r="X858" s="16" t="n">
        <x:v>58.05891480504224</x:v>
      </x:c>
    </x:row>
    <x:row r="859">
      <x:c r="A859" t="str">
        <x:v>3110790</x:v>
      </x:c>
      <x:c r="B859" t="str">
        <x:v>대림1동주민센터</x:v>
      </x:c>
      <x:c r="C859" t="str">
        <x:v>골목상권</x:v>
      </x:c>
      <x:c r="D859" t="str">
        <x:v>영등포구</x:v>
      </x:c>
      <x:c r="E859" t="str">
        <x:v>신길5동</x:v>
      </x:c>
      <x:c r="F859" s="12" t="n">
        <x:v>115306</x:v>
      </x:c>
      <x:c r="G859" s="12" t="n">
        <x:v>2739268534</x:v>
      </x:c>
      <x:c r="H859" s="12" t="n">
        <x:v>73399</x:v>
      </x:c>
      <x:c r="I859" s="12" t="n">
        <x:v>37320.24324582079</x:v>
      </x:c>
      <x:c r="J859" s="12" t="n">
        <x:v>23756.513399129275</x:v>
      </x:c>
      <x:c r="K859" s="12" t="n">
        <x:v>443</x:v>
      </x:c>
      <x:c r="L859" s="12" t="n">
        <x:v>38.41950982602813</x:v>
      </x:c>
      <x:c r="M859" s="12" t="n">
        <x:v>14</x:v>
      </x:c>
      <x:c r="N859" s="14" t="n">
        <x:v>0.7770596725293527</x:v>
      </x:c>
      <x:c r="O859" s="14" t="n">
        <x:v>0.22294032747064732</x:v>
      </x:c>
      <x:c r="P859" s="14" t="n">
        <x:v>0.37903392789456253</x:v>
      </x:c>
      <x:c r="Q859" s="14" t="n">
        <x:v>0.24292634794307463</x:v>
      </x:c>
      <x:c r="R859" s="14" t="n">
        <x:v>0.18741087397165715</x:v>
      </x:c>
      <x:c r="S859" s="14" t="n">
        <x:v>0.2919422696511725</x:v>
      </x:c>
      <x:c r="T859" t="str">
        <x:v>평일집중</x:v>
      </x:c>
      <x:c r="U859" s="16" t="n">
        <x:v>72.7915977559508</x:v>
      </x:c>
      <x:c r="V859" t="str">
        <x:v>자동차수리</x:v>
      </x:c>
      <x:c r="W859" t="str">
        <x:v>자동차수리 / 미용실 / 한식음식점</x:v>
      </x:c>
      <x:c r="X859" s="16" t="n">
        <x:v>59.515774092774656</x:v>
      </x:c>
    </x:row>
    <x:row r="860">
      <x:c r="A860" t="str">
        <x:v>3110304</x:v>
      </x:c>
      <x:c r="B860" t="str">
        <x:v>보문역 4번</x:v>
      </x:c>
      <x:c r="C860" t="str">
        <x:v>골목상권</x:v>
      </x:c>
      <x:c r="D860" t="str">
        <x:v>성북구</x:v>
      </x:c>
      <x:c r="E860" t="str">
        <x:v>안암동</x:v>
      </x:c>
      <x:c r="F860" s="12" t="n">
        <x:v>93288</x:v>
      </x:c>
      <x:c r="G860" s="12" t="n">
        <x:v>2731053002</x:v>
      </x:c>
      <x:c r="H860" s="12" t="n">
        <x:v>250445</x:v>
      </x:c>
      <x:c r="I860" s="12" t="n">
        <x:v>10904.80146139871</x:v>
      </x:c>
      <x:c r="J860" s="12" t="n">
        <x:v>29275.501693679787</x:v>
      </x:c>
      <x:c r="K860" s="12" t="n">
        <x:v>774</x:v>
      </x:c>
      <x:c r="L860" s="12" t="n">
        <x:v>82.96887059428866</x:v>
      </x:c>
      <x:c r="M860" s="12" t="n">
        <x:v>10</x:v>
      </x:c>
      <x:c r="N860" s="14" t="n">
        <x:v>0.761389901432605</x:v>
      </x:c>
      <x:c r="O860" s="14" t="n">
        <x:v>0.23861009856739498</x:v>
      </x:c>
      <x:c r="P860" s="14" t="n">
        <x:v>0.3405081198786636</x:v>
      </x:c>
      <x:c r="Q860" s="14" t="n">
        <x:v>0.21964474236153986</x:v>
      </x:c>
      <x:c r="R860" s="14" t="n">
        <x:v>0.41548522059770704</x:v>
      </x:c>
      <x:c r="S860" s="14" t="n">
        <x:v>0.420401542613489</x:v>
      </x:c>
      <x:c r="T860" t="str">
        <x:v>2030소비</x:v>
      </x:c>
      <x:c r="U860" s="16" t="n">
        <x:v>70.0233533548574</x:v>
      </x:c>
      <x:c r="V860" t="str">
        <x:v>미용실</x:v>
      </x:c>
      <x:c r="W860" t="str">
        <x:v>미용실 / 일반의류 / 예술학원</x:v>
      </x:c>
      <x:c r="X860" s="16" t="n">
        <x:v>60.625225585969986</x:v>
      </x:c>
    </x:row>
    <x:row r="861">
      <x:c r="A861" t="str">
        <x:v>3110297</x:v>
      </x:c>
      <x:c r="B861" t="str">
        <x:v>경동고등학교</x:v>
      </x:c>
      <x:c r="C861" t="str">
        <x:v>골목상권</x:v>
      </x:c>
      <x:c r="D861" t="str">
        <x:v>성북구</x:v>
      </x:c>
      <x:c r="E861" t="str">
        <x:v>삼선동</x:v>
      </x:c>
      <x:c r="F861" s="12" t="n">
        <x:v>167263</x:v>
      </x:c>
      <x:c r="G861" s="12" t="n">
        <x:v>2730780596</x:v>
      </x:c>
      <x:c r="H861" s="12" t="n">
        <x:v>150261</x:v>
      </x:c>
      <x:c r="I861" s="12" t="n">
        <x:v>18173.581940756416</x:v>
      </x:c>
      <x:c r="J861" s="12" t="n">
        <x:v>16326.268188421827</x:v>
      </x:c>
      <x:c r="K861" s="12" t="n">
        <x:v>1389</x:v>
      </x:c>
      <x:c r="L861" s="12" t="n">
        <x:v>83.04287260183065</x:v>
      </x:c>
      <x:c r="M861" s="12" t="n">
        <x:v>16</x:v>
      </x:c>
      <x:c r="N861" s="14" t="n">
        <x:v>0.7553648206016474</x:v>
      </x:c>
      <x:c r="O861" s="14" t="n">
        <x:v>0.24463517939835253</x:v>
      </x:c>
      <x:c r="P861" s="14" t="n">
        <x:v>0.6349534182789396</x:v>
      </x:c>
      <x:c r="Q861" s="14" t="n">
        <x:v>0.13638969111819482</x:v>
      </x:c>
      <x:c r="R861" s="14" t="n">
        <x:v>0.30009454080652914</x:v>
      </x:c>
      <x:c r="S861" s="14" t="n">
        <x:v>0.439927915761417</x:v>
      </x:c>
      <x:c r="T861" t="str">
        <x:v>야간활성·2030소비</x:v>
      </x:c>
      <x:c r="U861" s="16" t="n">
        <x:v>60.153631971529</x:v>
      </x:c>
      <x:c r="V861" t="str">
        <x:v>피부관리실</x:v>
      </x:c>
      <x:c r="W861" t="str">
        <x:v>피부관리실 / 조명용품 / 철물점</x:v>
      </x:c>
      <x:c r="X861" s="16" t="n">
        <x:v>54.7780476567918</x:v>
      </x:c>
    </x:row>
    <x:row r="862">
      <x:c r="A862" t="str">
        <x:v>3110211</x:v>
      </x:c>
      <x:c r="B862" t="str">
        <x:v>전곡마을마당공원</x:v>
      </x:c>
      <x:c r="C862" t="str">
        <x:v>골목상권</x:v>
      </x:c>
      <x:c r="D862" t="str">
        <x:v>동대문구</x:v>
      </x:c>
      <x:c r="E862" t="str">
        <x:v>전농1동</x:v>
      </x:c>
      <x:c r="F862" s="12" t="n">
        <x:v>126403</x:v>
      </x:c>
      <x:c r="G862" s="12" t="n">
        <x:v>2717089904</x:v>
      </x:c>
      <x:c r="H862" s="12" t="n">
        <x:v>109902</x:v>
      </x:c>
      <x:c r="I862" s="12" t="n">
        <x:v>24722.84311477498</x:v>
      </x:c>
      <x:c r="J862" s="12" t="n">
        <x:v>21495.454253459175</x:v>
      </x:c>
      <x:c r="K862" s="12" t="n">
        <x:v>12</x:v>
      </x:c>
      <x:c r="L862" s="12" t="n">
        <x:v>0.9493445566956481</x:v>
      </x:c>
      <x:c r="M862" s="12" t="n">
        <x:v>15</x:v>
      </x:c>
      <x:c r="N862" s="14" t="n">
        <x:v>0.7561688750067947</x:v>
      </x:c>
      <x:c r="O862" s="14" t="n">
        <x:v>0.24383112499320522</x:v>
      </x:c>
      <x:c r="P862" s="14" t="n">
        <x:v>0.4475448534882194</x:v>
      </x:c>
      <x:c r="Q862" s="14" t="n">
        <x:v>0.21980289283795448</x:v>
      </x:c>
      <x:c r="R862" s="14" t="n">
        <x:v>0.2244141193496555</x:v>
      </x:c>
      <x:c r="S862" s="14" t="n">
        <x:v>0.3232993382761471</x:v>
      </x:c>
      <x:c r="T862" t="str">
        <x:v>야간활성·2030소비</x:v>
      </x:c>
      <x:c r="U862" s="16" t="n">
        <x:v>55.29506778539125</x:v>
      </x:c>
      <x:c r="V862" t="str">
        <x:v>자동차수리</x:v>
      </x:c>
      <x:c r="W862" t="str">
        <x:v>자동차수리 / 일반의류 / 일반교습학원</x:v>
      </x:c>
      <x:c r="X862" s="16" t="n">
        <x:v>50.89773047089189</x:v>
      </x:c>
    </x:row>
    <x:row r="863">
      <x:c r="A863" t="str">
        <x:v>3110049</x:v>
      </x:c>
      <x:c r="B863" t="str">
        <x:v>장충단 고개</x:v>
      </x:c>
      <x:c r="C863" t="str">
        <x:v>골목상권</x:v>
      </x:c>
      <x:c r="D863" t="str">
        <x:v>중구</x:v>
      </x:c>
      <x:c r="E863" t="str">
        <x:v>다산동</x:v>
      </x:c>
      <x:c r="F863" s="12" t="n">
        <x:v>70693</x:v>
      </x:c>
      <x:c r="G863" s="12" t="n">
        <x:v>2715979218</x:v>
      </x:c>
      <x:c r="H863" s="12" t="n">
        <x:v>119730</x:v>
      </x:c>
      <x:c r="I863" s="12" t="n">
        <x:v>22684.19959909797</x:v>
      </x:c>
      <x:c r="J863" s="12" t="n">
        <x:v>38419.35153409814</x:v>
      </x:c>
      <x:c r="K863" s="12" t="n">
        <x:v>2337</x:v>
      </x:c>
      <x:c r="L863" s="12" t="n">
        <x:v>330.5843577157569</x:v>
      </x:c>
      <x:c r="M863" s="12" t="n">
        <x:v>7</x:v>
      </x:c>
      <x:c r="N863" s="14" t="n">
        <x:v>0.7316215145649174</x:v>
      </x:c>
      <x:c r="O863" s="14" t="n">
        <x:v>0.2683784854350826</x:v>
      </x:c>
      <x:c r="P863" s="14" t="n">
        <x:v>0.6283042877097597</x:v>
      </x:c>
      <x:c r="Q863" s="14" t="n">
        <x:v>0.1591725356861696</x:v>
      </x:c>
      <x:c r="R863" s="14" t="n">
        <x:v>0.40805010423316135</x:v>
      </x:c>
      <x:c r="S863" s="14" t="n">
        <x:v>0.3610217013081725</x:v>
      </x:c>
      <x:c r="T863" t="str">
        <x:v>야간활성·2030소비</x:v>
      </x:c>
      <x:c r="U863" s="16" t="n">
        <x:v>60.888583291070596</x:v>
      </x:c>
      <x:c r="V863" t="str">
        <x:v>호프-간이주점</x:v>
      </x:c>
      <x:c r="W863" t="str">
        <x:v>호프-간이주점 / 패스트푸드점 / 한식음식점</x:v>
      </x:c>
      <x:c r="X863" s="16" t="n">
        <x:v>54.26680074651491</x:v>
      </x:c>
    </x:row>
    <x:row r="864">
      <x:c r="A864" t="str">
        <x:v>3120097</x:v>
      </x:c>
      <x:c r="B864" t="str">
        <x:v>충정로역</x:v>
      </x:c>
      <x:c r="C864" t="str">
        <x:v>발달상권</x:v>
      </x:c>
      <x:c r="D864" t="str">
        <x:v>서대문구</x:v>
      </x:c>
      <x:c r="E864" t="str">
        <x:v>충현동</x:v>
      </x:c>
      <x:c r="F864" s="12" t="n">
        <x:v>59549</x:v>
      </x:c>
      <x:c r="G864" s="12" t="n">
        <x:v>2706762028</x:v>
      </x:c>
      <x:c r="H864" s="12" t="n">
        <x:v>190316</x:v>
      </x:c>
      <x:c r="I864" s="12" t="n">
        <x:v>14222.461737321088</x:v>
      </x:c>
      <x:c r="J864" s="12" t="n">
        <x:v>45454.36578280072</x:v>
      </x:c>
      <x:c r="K864" s="12" t="n">
        <x:v>3793</x:v>
      </x:c>
      <x:c r="L864" s="12" t="n">
        <x:v>636.9544408806194</x:v>
      </x:c>
      <x:c r="M864" s="12" t="n">
        <x:v>8</x:v>
      </x:c>
      <x:c r="N864" s="14" t="n">
        <x:v>0.9365935785175719</x:v>
      </x:c>
      <x:c r="O864" s="14" t="n">
        <x:v>0.06340642148242816</x:v>
      </x:c>
      <x:c r="P864" s="14" t="n">
        <x:v>0.3254819049057533</x:v>
      </x:c>
      <x:c r="Q864" s="14" t="n">
        <x:v>0.47590391607193033</x:v>
      </x:c>
      <x:c r="R864" s="14" t="n">
        <x:v>0.25942930362402733</x:v>
      </x:c>
      <x:c r="S864" s="14" t="n">
        <x:v>0.30588157674568944</x:v>
      </x:c>
      <x:c r="T864" t="str">
        <x:v>평일집중·직장밀집</x:v>
      </x:c>
      <x:c r="U864" s="16" t="n">
        <x:v>58.47311549928364</x:v>
      </x:c>
      <x:c r="V864" t="str">
        <x:v>중식음식점</x:v>
      </x:c>
      <x:c r="W864" t="str">
        <x:v>중식음식점 / 슈퍼마켓 / 양식음식점</x:v>
      </x:c>
      <x:c r="X864" s="16" t="n">
        <x:v>50.39214560258538</x:v>
      </x:c>
    </x:row>
    <x:row r="865">
      <x:c r="A865" t="str">
        <x:v>3130098</x:v>
      </x:c>
      <x:c r="B865" t="str">
        <x:v>회기시장</x:v>
      </x:c>
      <x:c r="C865" t="str">
        <x:v>전통시장</x:v>
      </x:c>
      <x:c r="D865" t="str">
        <x:v>동대문구</x:v>
      </x:c>
      <x:c r="E865" t="str">
        <x:v>회기동</x:v>
      </x:c>
      <x:c r="F865" s="12" t="n">
        <x:v>32212</x:v>
      </x:c>
      <x:c r="G865" s="12" t="n">
        <x:v>2683331287</x:v>
      </x:c>
      <x:c r="H865" s="12" t="n">
        <x:v>108598</x:v>
      </x:c>
      <x:c r="I865" s="12" t="n">
        <x:v>24708.84626788707</x:v>
      </x:c>
      <x:c r="J865" s="12" t="n">
        <x:v>83302.22547497827</x:v>
      </x:c>
      <x:c r="K865" s="12" t="n">
        <x:v>48</x:v>
      </x:c>
      <x:c r="L865" s="12" t="n">
        <x:v>14.90127902644977</x:v>
      </x:c>
      <x:c r="M865" s="12" t="n">
        <x:v>12</x:v>
      </x:c>
      <x:c r="N865" s="14" t="n">
        <x:v>0.7853314938074585</x:v>
      </x:c>
      <x:c r="O865" s="14" t="n">
        <x:v>0.21466850619254155</x:v>
      </x:c>
      <x:c r="P865" s="14" t="n">
        <x:v>0.4802915790695657</x:v>
      </x:c>
      <x:c r="Q865" s="14" t="n">
        <x:v>0.23772867259830074</x:v>
      </x:c>
      <x:c r="R865" s="14" t="n">
        <x:v>0.5004207969047543</x:v>
      </x:c>
      <x:c r="S865" s="14" t="n">
        <x:v>0.4641045408866803</x:v>
      </x:c>
      <x:c r="T865" t="str">
        <x:v>2030소비·야간활성</x:v>
      </x:c>
      <x:c r="U865" s="16" t="n">
        <x:v>66.37238789784291</x:v>
      </x:c>
      <x:c r="V865" t="str">
        <x:v>스포츠클럽</x:v>
      </x:c>
      <x:c r="W865" t="str">
        <x:v>스포츠클럽 / 일반교습학원 / 일반의원</x:v>
      </x:c>
      <x:c r="X865" s="16" t="n">
        <x:v>59.39967116494582</x:v>
      </x:c>
    </x:row>
    <x:row r="866">
      <x:c r="A866" t="str">
        <x:v>3110186</x:v>
      </x:c>
      <x:c r="B866" t="str">
        <x:v>종암초등학교</x:v>
      </x:c>
      <x:c r="C866" t="str">
        <x:v>골목상권</x:v>
      </x:c>
      <x:c r="D866" t="str">
        <x:v>동대문구</x:v>
      </x:c>
      <x:c r="E866" t="str">
        <x:v>제기동</x:v>
      </x:c>
      <x:c r="F866" s="12" t="n">
        <x:v>22890</x:v>
      </x:c>
      <x:c r="G866" s="12" t="n">
        <x:v>2672267535</x:v>
      </x:c>
      <x:c r="H866" s="12" t="n">
        <x:v>72918</x:v>
      </x:c>
      <x:c r="I866" s="12" t="n">
        <x:v>36647.57035299926</x:v>
      </x:c>
      <x:c r="J866" s="12" t="n">
        <x:v>116743.88532110091</x:v>
      </x:c>
      <x:c r="K866" s="12" t="n">
        <x:v>97</x:v>
      </x:c>
      <x:c r="L866" s="12" t="n">
        <x:v>42.37658366098733</x:v>
      </x:c>
      <x:c r="M866" s="12" t="n">
        <x:v>5</x:v>
      </x:c>
      <x:c r="N866" s="14" t="n">
        <x:v>0.8543967290310998</x:v>
      </x:c>
      <x:c r="O866" s="14" t="n">
        <x:v>0.1456032709689002</x:v>
      </x:c>
      <x:c r="P866" s="14" t="n">
        <x:v>0.2387104684112401</x:v>
      </x:c>
      <x:c r="Q866" s="14" t="n">
        <x:v>0.1453721507715731</x:v>
      </x:c>
      <x:c r="R866" s="14" t="n">
        <x:v>0.4720430115916519</x:v>
      </x:c>
      <x:c r="S866" s="14" t="n">
        <x:v>0.2542654435234158</x:v>
      </x:c>
      <x:c r="T866" t="str">
        <x:v>2030소비·평일집중</x:v>
      </x:c>
      <x:c r="U866" s="16" t="n">
        <x:v>77.67078205411272</x:v>
      </x:c>
      <x:c r="V866" t="str">
        <x:v>인테리어</x:v>
      </x:c>
      <x:c r="W866" t="str">
        <x:v>인테리어 / 일반교습학원 / 예술학원</x:v>
      </x:c>
      <x:c r="X866" s="16" t="n">
        <x:v>54.930631837194724</x:v>
      </x:c>
    </x:row>
    <x:row r="867">
      <x:c r="A867" t="str">
        <x:v>3110253</x:v>
      </x:c>
      <x:c r="B867" t="str">
        <x:v>중곡초등학교</x:v>
      </x:c>
      <x:c r="C867" t="str">
        <x:v>골목상권</x:v>
      </x:c>
      <x:c r="D867" t="str">
        <x:v>중랑구</x:v>
      </x:c>
      <x:c r="E867" t="str">
        <x:v>면목4동</x:v>
      </x:c>
      <x:c r="F867" s="12" t="n">
        <x:v>86503</x:v>
      </x:c>
      <x:c r="G867" s="12" t="n">
        <x:v>2668205750</x:v>
      </x:c>
      <x:c r="H867" s="12" t="n">
        <x:v>181557</x:v>
      </x:c>
      <x:c r="I867" s="12" t="n">
        <x:v>14696.242777750238</x:v>
      </x:c>
      <x:c r="J867" s="12" t="n">
        <x:v>30845.239471463417</x:v>
      </x:c>
      <x:c r="K867" s="12" t="n">
        <x:v>446</x:v>
      </x:c>
      <x:c r="L867" s="12" t="n">
        <x:v>51.55890547148653</x:v>
      </x:c>
      <x:c r="M867" s="12" t="n">
        <x:v>13</x:v>
      </x:c>
      <x:c r="N867" s="14" t="n">
        <x:v>0.7444348840039791</x:v>
      </x:c>
      <x:c r="O867" s="14" t="n">
        <x:v>0.25556511599602094</x:v>
      </x:c>
      <x:c r="P867" s="14" t="n">
        <x:v>0.4636343194298266</x:v>
      </x:c>
      <x:c r="Q867" s="14" t="n">
        <x:v>0.16559537921691383</x:v>
      </x:c>
      <x:c r="R867" s="14" t="n">
        <x:v>0.18960658300058006</x:v>
      </x:c>
      <x:c r="S867" s="14" t="n">
        <x:v>0.28292809615600295</x:v>
      </x:c>
      <x:c r="T867" t="str">
        <x:v>야간활성</x:v>
      </x:c>
      <x:c r="U867" s="16" t="n">
        <x:v>75.95277203000951</x:v>
      </x:c>
      <x:c r="V867" t="str">
        <x:v>철물점</x:v>
      </x:c>
      <x:c r="W867" t="str">
        <x:v>철물점 / 편의점 / 슈퍼마켓</x:v>
      </x:c>
      <x:c r="X867" s="16" t="n">
        <x:v>61.24194140149522</x:v>
      </x:c>
    </x:row>
    <x:row r="868">
      <x:c r="A868" t="str">
        <x:v>3110803</x:v>
      </x:c>
      <x:c r="B868" t="str">
        <x:v>신길2동우편취급국</x:v>
      </x:c>
      <x:c r="C868" t="str">
        <x:v>골목상권</x:v>
      </x:c>
      <x:c r="D868" t="str">
        <x:v>영등포구</x:v>
      </x:c>
      <x:c r="E868" t="str">
        <x:v>영등포본동</x:v>
      </x:c>
      <x:c r="F868" s="12" t="n">
        <x:v>97248</x:v>
      </x:c>
      <x:c r="G868" s="12" t="n">
        <x:v>2667594993</x:v>
      </x:c>
      <x:c r="H868" s="12" t="n">
        <x:v>37270</x:v>
      </x:c>
      <x:c r="I868" s="12" t="n">
        <x:v>71574.85894821573</x:v>
      </x:c>
      <x:c r="J868" s="12" t="n">
        <x:v>27430.846834896347</x:v>
      </x:c>
      <x:c r="K868" s="12" t="n">
        <x:v>528</x:v>
      </x:c>
      <x:c r="L868" s="12" t="n">
        <x:v>54.29417571569595</x:v>
      </x:c>
      <x:c r="M868" s="12" t="n">
        <x:v>10</x:v>
      </x:c>
      <x:c r="N868" s="14" t="n">
        <x:v>0.607880471081691</x:v>
      </x:c>
      <x:c r="O868" s="14" t="n">
        <x:v>0.3921195289183091</x:v>
      </x:c>
      <x:c r="P868" s="14" t="n">
        <x:v>0.557086052380366</x:v>
      </x:c>
      <x:c r="Q868" s="14" t="n">
        <x:v>0.2869923331723692</x:v>
      </x:c>
      <x:c r="R868" s="14" t="n">
        <x:v>0.12546390583212494</x:v>
      </x:c>
      <x:c r="S868" s="14" t="n">
        <x:v>0.2967213479096525</x:v>
      </x:c>
      <x:c r="T868" t="str">
        <x:v>야간활성</x:v>
      </x:c>
      <x:c r="U868" s="16" t="n">
        <x:v>71.34860842089158</x:v>
      </x:c>
      <x:c r="V868" t="str">
        <x:v>한식음식점</x:v>
      </x:c>
      <x:c r="W868" t="str">
        <x:v>한식음식점 / 중식음식점 / 미용실</x:v>
      </x:c>
      <x:c r="X868" s="16" t="n">
        <x:v>54.23528215782231</x:v>
      </x:c>
    </x:row>
    <x:row r="869">
      <x:c r="A869" t="str">
        <x:v>3111019</x:v>
      </x:c>
      <x:c r="B869" t="str">
        <x:v>한성백제역 3번</x:v>
      </x:c>
      <x:c r="C869" t="str">
        <x:v>골목상권</x:v>
      </x:c>
      <x:c r="D869" t="str">
        <x:v>송파구</x:v>
      </x:c>
      <x:c r="E869" t="str">
        <x:v>방이2동</x:v>
      </x:c>
      <x:c r="F869" s="12" t="n">
        <x:v>182798</x:v>
      </x:c>
      <x:c r="G869" s="12" t="n">
        <x:v>2649754822</x:v>
      </x:c>
      <x:c r="H869" s="12" t="n">
        <x:v>130043</x:v>
      </x:c>
      <x:c r="I869" s="12" t="n">
        <x:v>20375.98964957745</x:v>
      </x:c>
      <x:c r="J869" s="12" t="n">
        <x:v>14495.535082440727</x:v>
      </x:c>
      <x:c r="K869" s="12" t="n">
        <x:v>2218</x:v>
      </x:c>
      <x:c r="L869" s="12" t="n">
        <x:v>121.3361196511997</x:v>
      </x:c>
      <x:c r="M869" s="12" t="n">
        <x:v>17</x:v>
      </x:c>
      <x:c r="N869" s="14" t="n">
        <x:v>0.7436690748288409</x:v>
      </x:c>
      <x:c r="O869" s="14" t="n">
        <x:v>0.2563309251711591</x:v>
      </x:c>
      <x:c r="P869" s="14" t="n">
        <x:v>0.35888318915567957</x:v>
      </x:c>
      <x:c r="Q869" s="14" t="n">
        <x:v>0.29731466340171453</x:v>
      </x:c>
      <x:c r="R869" s="14" t="n">
        <x:v>0.2366791764253274</x:v>
      </x:c>
      <x:c r="S869" s="14" t="n">
        <x:v>0.46490718453346774</x:v>
      </x:c>
      <x:c r="T869" t="str">
        <x:v>직장밀집·여성소비</x:v>
      </x:c>
      <x:c r="U869" s="16" t="n">
        <x:v>60.01422177607831</x:v>
      </x:c>
      <x:c r="V869" t="str">
        <x:v>애완동물</x:v>
      </x:c>
      <x:c r="W869" t="str">
        <x:v>애완동물 / 미용실 / 예술학원</x:v>
      </x:c>
      <x:c r="X869" s="16" t="n">
        <x:v>54.530995078607454</x:v>
      </x:c>
    </x:row>
    <x:row r="870">
      <x:c r="A870" t="str">
        <x:v>3130076</x:v>
      </x:c>
      <x:c r="B870" t="str">
        <x:v>능동로골목시장</x:v>
      </x:c>
      <x:c r="C870" t="str">
        <x:v>전통시장</x:v>
      </x:c>
      <x:c r="D870" t="str">
        <x:v>광진구</x:v>
      </x:c>
      <x:c r="E870" t="str">
        <x:v>자양4동</x:v>
      </x:c>
      <x:c r="F870" s="12" t="n">
        <x:v>28990</x:v>
      </x:c>
      <x:c r="G870" s="12" t="n">
        <x:v>2644908034</x:v>
      </x:c>
      <x:c r="H870" s="12" t="n">
        <x:v>75294</x:v>
      </x:c>
      <x:c r="I870" s="12" t="n">
        <x:v>35127.7397136558</x:v>
      </x:c>
      <x:c r="J870" s="12" t="n">
        <x:v>91235.18571921352</x:v>
      </x:c>
      <x:c r="K870" s="12" t="n">
        <x:v>30</x:v>
      </x:c>
      <x:c r="L870" s="12" t="n">
        <x:v>10.348395998620214</x:v>
      </x:c>
      <x:c r="M870" s="12" t="n">
        <x:v>10</x:v>
      </x:c>
      <x:c r="N870" s="14" t="n">
        <x:v>0.6889914607896722</x:v>
      </x:c>
      <x:c r="O870" s="14" t="n">
        <x:v>0.3110085392103278</x:v>
      </x:c>
      <x:c r="P870" s="14" t="n">
        <x:v>0.5264296365323075</x:v>
      </x:c>
      <x:c r="Q870" s="14" t="n">
        <x:v>0.20006937526660332</x:v>
      </x:c>
      <x:c r="R870" s="14" t="n">
        <x:v>0.195742454688313</x:v>
      </x:c>
      <x:c r="S870" s="14" t="n">
        <x:v>0.4062669965030625</x:v>
      </x:c>
      <x:c r="T870" t="str">
        <x:v>야간활성·고매출밀도</x:v>
      </x:c>
      <x:c r="U870" s="16" t="n">
        <x:v>56.826376957766904</x:v>
      </x:c>
      <x:c r="V870" t="str">
        <x:v>미용실</x:v>
      </x:c>
      <x:c r="W870" t="str">
        <x:v>미용실 / 한식음식점 / 일반의류</x:v>
      </x:c>
      <x:c r="X870" s="16" t="n">
        <x:v>50.91526856595985</x:v>
      </x:c>
    </x:row>
    <x:row r="871">
      <x:c r="A871" t="str">
        <x:v>3110658</x:v>
      </x:c>
      <x:c r="B871" t="str">
        <x:v>화곡초등학교</x:v>
      </x:c>
      <x:c r="C871" t="str">
        <x:v>골목상권</x:v>
      </x:c>
      <x:c r="D871" t="str">
        <x:v>강서구</x:v>
      </x:c>
      <x:c r="E871" t="str">
        <x:v>화곡본동</x:v>
      </x:c>
      <x:c r="F871" s="12" t="n">
        <x:v>65816</x:v>
      </x:c>
      <x:c r="G871" s="12" t="n">
        <x:v>2642831596</x:v>
      </x:c>
      <x:c r="H871" s="12" t="n">
        <x:v>135610</x:v>
      </x:c>
      <x:c r="I871" s="12" t="n">
        <x:v>19488.471322173882</x:v>
      </x:c>
      <x:c r="J871" s="12" t="n">
        <x:v>40154.849823751065</x:v>
      </x:c>
      <x:c r="K871" s="12" t="n">
        <x:v>391</x:v>
      </x:c>
      <x:c r="L871" s="12" t="n">
        <x:v>59.40804667558041</x:v>
      </x:c>
      <x:c r="M871" s="12" t="n">
        <x:v>11</x:v>
      </x:c>
      <x:c r="N871" s="14" t="n">
        <x:v>0.6637416775457682</x:v>
      </x:c>
      <x:c r="O871" s="14" t="n">
        <x:v>0.33625832245423176</x:v>
      </x:c>
      <x:c r="P871" s="14" t="n">
        <x:v>0.5888862227754296</x:v>
      </x:c>
      <x:c r="Q871" s="14" t="n">
        <x:v>0.10868726990957316</x:v>
      </x:c>
      <x:c r="R871" s="14" t="n">
        <x:v>0.35943174791679006</x:v>
      </x:c>
      <x:c r="S871" s="14" t="n">
        <x:v>0.3450055196025438</x:v>
      </x:c>
      <x:c r="T871" t="str">
        <x:v>야간활성·2030소비</x:v>
      </x:c>
      <x:c r="U871" s="16" t="n">
        <x:v>59.35687785530603</x:v>
      </x:c>
      <x:c r="V871" t="str">
        <x:v>여관</x:v>
      </x:c>
      <x:c r="W871" t="str">
        <x:v>여관 / 미용실 / 호프-간이주점</x:v>
      </x:c>
      <x:c r="X871" s="16" t="n">
        <x:v>54.875859690137744</x:v>
      </x:c>
    </x:row>
    <x:row r="872">
      <x:c r="A872" t="str">
        <x:v>3120035</x:v>
      </x:c>
      <x:c r="B872" t="str">
        <x:v>퇴계로5가</x:v>
      </x:c>
      <x:c r="C872" t="str">
        <x:v>발달상권</x:v>
      </x:c>
      <x:c r="D872" t="str">
        <x:v>중구</x:v>
      </x:c>
      <x:c r="E872" t="str">
        <x:v>광희동</x:v>
      </x:c>
      <x:c r="F872" s="12" t="n">
        <x:v>48951</x:v>
      </x:c>
      <x:c r="G872" s="12" t="n">
        <x:v>2641773283</x:v>
      </x:c>
      <x:c r="H872" s="12" t="n">
        <x:v>228198</x:v>
      </x:c>
      <x:c r="I872" s="12" t="n">
        <x:v>11576.671500188433</x:v>
      </x:c>
      <x:c r="J872" s="12" t="n">
        <x:v>53967.70817756532</x:v>
      </x:c>
      <x:c r="K872" s="12" t="n">
        <x:v>1983</x:v>
      </x:c>
      <x:c r="L872" s="12" t="n">
        <x:v>405.09897652754796</x:v>
      </x:c>
      <x:c r="M872" s="12" t="n">
        <x:v>5</x:v>
      </x:c>
      <x:c r="N872" s="14" t="n">
        <x:v>0.750092756161771</x:v>
      </x:c>
      <x:c r="O872" s="14" t="n">
        <x:v>0.2499072438382291</x:v>
      </x:c>
      <x:c r="P872" s="14" t="n">
        <x:v>0.3124604962552345</x:v>
      </x:c>
      <x:c r="Q872" s="14" t="n">
        <x:v>0.37176078973920035</x:v>
      </x:c>
      <x:c r="R872" s="14" t="n">
        <x:v>0.27539105595534935</x:v>
      </x:c>
      <x:c r="S872" s="14" t="n">
        <x:v>0.23985543728432052</x:v>
      </x:c>
      <x:c r="T872" t="str">
        <x:v>직장밀집·2030소비</x:v>
      </x:c>
      <x:c r="U872" s="16" t="n">
        <x:v>58.38406552272707</x:v>
      </x:c>
      <x:c r="V872" t="str">
        <x:v>편의점</x:v>
      </x:c>
      <x:c r="W872" t="str">
        <x:v>편의점 / 일반의류 / 한식음식점</x:v>
      </x:c>
      <x:c r="X872" s="16" t="n">
        <x:v>48.478560803703836</x:v>
      </x:c>
    </x:row>
    <x:row r="873">
      <x:c r="A873" t="str">
        <x:v>3110699</x:v>
      </x:c>
      <x:c r="B873" t="str">
        <x:v>덕의초등학교</x:v>
      </x:c>
      <x:c r="C873" t="str">
        <x:v>골목상권</x:v>
      </x:c>
      <x:c r="D873" t="str">
        <x:v>구로구</x:v>
      </x:c>
      <x:c r="E873" t="str">
        <x:v>고척2동</x:v>
      </x:c>
      <x:c r="F873" s="12" t="n">
        <x:v>55364</x:v>
      </x:c>
      <x:c r="G873" s="12" t="n">
        <x:v>2632010304</x:v>
      </x:c>
      <x:c r="H873" s="12" t="n">
        <x:v>89683</x:v>
      </x:c>
      <x:c r="I873" s="12" t="n">
        <x:v>29347.92886054213</x:v>
      </x:c>
      <x:c r="J873" s="12" t="n">
        <x:v>47540.10374972907</x:v>
      </x:c>
      <x:c r="K873" s="12" t="n">
        <x:v>444</x:v>
      </x:c>
      <x:c r="L873" s="12" t="n">
        <x:v>80.19651759265949</x:v>
      </x:c>
      <x:c r="M873" s="12" t="n">
        <x:v>14</x:v>
      </x:c>
      <x:c r="N873" s="14" t="n">
        <x:v>0.7951977501072883</x:v>
      </x:c>
      <x:c r="O873" s="14" t="n">
        <x:v>0.20480224989271167</x:v>
      </x:c>
      <x:c r="P873" s="14" t="n">
        <x:v>0.3197280431315515</x:v>
      </x:c>
      <x:c r="Q873" s="14" t="n">
        <x:v>0.2406089288623089</x:v>
      </x:c>
      <x:c r="R873" s="14" t="n">
        <x:v>0.09395084381858104</x:v>
      </x:c>
      <x:c r="S873" s="14" t="n">
        <x:v>0.3040121950829566</x:v>
      </x:c>
      <x:c r="T873" t="str">
        <x:v>평일집중</x:v>
      </x:c>
      <x:c r="U873" s="16" t="n">
        <x:v>71.3327382740188</x:v>
      </x:c>
      <x:c r="V873" t="str">
        <x:v>예술학원</x:v>
      </x:c>
      <x:c r="W873" t="str">
        <x:v>예술학원 / 자동차수리 / 당구장</x:v>
      </x:c>
      <x:c r="X873" s="16" t="n">
        <x:v>63.0567940006177</x:v>
      </x:c>
    </x:row>
    <x:row r="874">
      <x:c r="A874" t="str">
        <x:v>3110275</x:v>
      </x:c>
      <x:c r="B874" t="str">
        <x:v>하나은행 망우동지점</x:v>
      </x:c>
      <x:c r="C874" t="str">
        <x:v>골목상권</x:v>
      </x:c>
      <x:c r="D874" t="str">
        <x:v>중랑구</x:v>
      </x:c>
      <x:c r="E874" t="str">
        <x:v>망우본동</x:v>
      </x:c>
      <x:c r="F874" s="12" t="n">
        <x:v>35477</x:v>
      </x:c>
      <x:c r="G874" s="12" t="n">
        <x:v>2614383937</x:v>
      </x:c>
      <x:c r="H874" s="12" t="n">
        <x:v>52193</x:v>
      </x:c>
      <x:c r="I874" s="12" t="n">
        <x:v>50090.700611193075</x:v>
      </x:c>
      <x:c r="J874" s="12" t="n">
        <x:v>73692.36229106181</x:v>
      </x:c>
      <x:c r="K874" s="12" t="n">
        <x:v>175</x:v>
      </x:c>
      <x:c r="L874" s="12" t="n">
        <x:v>49.327733461115656</x:v>
      </x:c>
      <x:c r="M874" s="12" t="n">
        <x:v>5</x:v>
      </x:c>
      <x:c r="N874" s="14" t="n">
        <x:v>0.6616379501569742</x:v>
      </x:c>
      <x:c r="O874" s="14" t="n">
        <x:v>0.3383620498430258</x:v>
      </x:c>
      <x:c r="P874" s="14" t="n">
        <x:v>0.6272543603070646</x:v>
      </x:c>
      <x:c r="Q874" s="14" t="n">
        <x:v>0.19170026364800144</x:v>
      </x:c>
      <x:c r="R874" s="14" t="n">
        <x:v>0.1295659968706425</x:v>
      </x:c>
      <x:c r="S874" s="14" t="n">
        <x:v>0.3238554682108269</x:v>
      </x:c>
      <x:c r="T874" t="str">
        <x:v>야간활성·고매출밀도</x:v>
      </x:c>
      <x:c r="U874" s="16" t="n">
        <x:v>48.737013425979406</x:v>
      </x:c>
      <x:c r="V874" t="str">
        <x:v>한식음식점</x:v>
      </x:c>
      <x:c r="W874" t="str">
        <x:v>한식음식점 / 호프-간이주점 / 미용실</x:v>
      </x:c>
      <x:c r="X874" s="16" t="n">
        <x:v>36.262551205617356</x:v>
      </x:c>
    </x:row>
    <x:row r="875">
      <x:c r="A875" t="str">
        <x:v>3110258</x:v>
      </x:c>
      <x:c r="B875" t="str">
        <x:v>면동초등학교</x:v>
      </x:c>
      <x:c r="C875" t="str">
        <x:v>골목상권</x:v>
      </x:c>
      <x:c r="D875" t="str">
        <x:v>중랑구</x:v>
      </x:c>
      <x:c r="E875" t="str">
        <x:v>면목본동</x:v>
      </x:c>
      <x:c r="F875" s="12" t="n">
        <x:v>111432</x:v>
      </x:c>
      <x:c r="G875" s="12" t="n">
        <x:v>2593202610</x:v>
      </x:c>
      <x:c r="H875" s="12" t="n">
        <x:v>148490</x:v>
      </x:c>
      <x:c r="I875" s="12" t="n">
        <x:v>17463.81985318877</x:v>
      </x:c>
      <x:c r="J875" s="12" t="n">
        <x:v>23271.615065690286</x:v>
      </x:c>
      <x:c r="K875" s="12" t="n">
        <x:v>183</x:v>
      </x:c>
      <x:c r="L875" s="12" t="n">
        <x:v>16.422571613181134</x:v>
      </x:c>
      <x:c r="M875" s="12" t="n">
        <x:v>13</x:v>
      </x:c>
      <x:c r="N875" s="14" t="n">
        <x:v>0.7553618785691412</x:v>
      </x:c>
      <x:c r="O875" s="14" t="n">
        <x:v>0.2446381214308588</x:v>
      </x:c>
      <x:c r="P875" s="14" t="n">
        <x:v>0.34481699445767566</x:v>
      </x:c>
      <x:c r="Q875" s="14" t="n">
        <x:v>0.21719604277276275</x:v>
      </x:c>
      <x:c r="R875" s="14" t="n">
        <x:v>0.23338342814640312</x:v>
      </x:c>
      <x:c r="S875" s="14" t="n">
        <x:v>0.5176146097585487</x:v>
      </x:c>
      <x:c r="T875" t="str">
        <x:v>여성소비·2030소비</x:v>
      </x:c>
      <x:c r="U875" s="16" t="n">
        <x:v>52.29795363353466</x:v>
      </x:c>
      <x:c r="V875" t="str">
        <x:v>일반의원</x:v>
      </x:c>
      <x:c r="W875" t="str">
        <x:v>일반의원 / 일반의류 / 호프-간이주점</x:v>
      </x:c>
      <x:c r="X875" s="16" t="n">
        <x:v>47.453058793163635</x:v>
      </x:c>
    </x:row>
    <x:row r="876">
      <x:c r="A876" t="str">
        <x:v>3110458</x:v>
      </x:c>
      <x:c r="B876" t="str">
        <x:v>선일여고</x:v>
      </x:c>
      <x:c r="C876" t="str">
        <x:v>골목상권</x:v>
      </x:c>
      <x:c r="D876" t="str">
        <x:v>은평구</x:v>
      </x:c>
      <x:c r="E876" t="str">
        <x:v>갈현2동</x:v>
      </x:c>
      <x:c r="F876" s="12" t="n">
        <x:v>118649</x:v>
      </x:c>
      <x:c r="G876" s="12" t="n">
        <x:v>2591808332</x:v>
      </x:c>
      <x:c r="H876" s="12" t="n">
        <x:v>176625</x:v>
      </x:c>
      <x:c r="I876" s="12" t="n">
        <x:v>14674.074066525123</x:v>
      </x:c>
      <x:c r="J876" s="12" t="n">
        <x:v>21844.333555276487</x:v>
      </x:c>
      <x:c r="K876" s="12" t="n">
        <x:v>381</x:v>
      </x:c>
      <x:c r="L876" s="12" t="n">
        <x:v>32.11152222100481</x:v>
      </x:c>
      <x:c r="M876" s="12" t="n">
        <x:v>21</x:v>
      </x:c>
      <x:c r="N876" s="14" t="n">
        <x:v>0.8069384214017566</x:v>
      </x:c>
      <x:c r="O876" s="14" t="n">
        <x:v>0.19306157859824336</x:v>
      </x:c>
      <x:c r="P876" s="14" t="n">
        <x:v>0.332588103972497</x:v>
      </x:c>
      <x:c r="Q876" s="14" t="n">
        <x:v>0.21692110641767934</x:v>
      </x:c>
      <x:c r="R876" s="14" t="n">
        <x:v>0.16635738518028656</x:v>
      </x:c>
      <x:c r="S876" s="14" t="n">
        <x:v>0.5487727994540609</x:v>
      </x:c>
      <x:c r="T876" t="str">
        <x:v>여성소비·평일집중</x:v>
      </x:c>
      <x:c r="U876" s="16" t="n">
        <x:v>76.92416551812666</x:v>
      </x:c>
      <x:c r="V876" t="str">
        <x:v>화초</x:v>
      </x:c>
      <x:c r="W876" t="str">
        <x:v>화초 / 인테리어 / 일반의원</x:v>
      </x:c>
      <x:c r="X876" s="16" t="n">
        <x:v>59.79047493774921</x:v>
      </x:c>
    </x:row>
    <x:row r="877">
      <x:c r="A877" t="str">
        <x:v>3110907</x:v>
      </x:c>
      <x:c r="B877" t="str">
        <x:v>방배초등학교</x:v>
      </x:c>
      <x:c r="C877" t="str">
        <x:v>골목상권</x:v>
      </x:c>
      <x:c r="D877" t="str">
        <x:v>서초구</x:v>
      </x:c>
      <x:c r="E877" t="str">
        <x:v>방배4동</x:v>
      </x:c>
      <x:c r="F877" s="12" t="n">
        <x:v>103888</x:v>
      </x:c>
      <x:c r="G877" s="12" t="n">
        <x:v>2591044268</x:v>
      </x:c>
      <x:c r="H877" s="12" t="n">
        <x:v>42794</x:v>
      </x:c>
      <x:c r="I877" s="12" t="n">
        <x:v>60546.90536056457</x:v>
      </x:c>
      <x:c r="J877" s="12" t="n">
        <x:v>24940.746457723704</x:v>
      </x:c>
      <x:c r="K877" s="12" t="n">
        <x:v>2680</x:v>
      </x:c>
      <x:c r="L877" s="12" t="n">
        <x:v>257.9701216694902</x:v>
      </x:c>
      <x:c r="M877" s="12" t="n">
        <x:v>15</x:v>
      </x:c>
      <x:c r="N877" s="14" t="n">
        <x:v>0.7887543513787623</x:v>
      </x:c>
      <x:c r="O877" s="14" t="n">
        <x:v>0.21124564862123768</x:v>
      </x:c>
      <x:c r="P877" s="14" t="n">
        <x:v>0.32805104393530954</x:v>
      </x:c>
      <x:c r="Q877" s="14" t="n">
        <x:v>0.28576675016499564</x:v>
      </x:c>
      <x:c r="R877" s="14" t="n">
        <x:v>0.15227579276542103</x:v>
      </x:c>
      <x:c r="S877" s="14" t="n">
        <x:v>0.4380683757580633</x:v>
      </x:c>
      <x:c r="T877" t="str">
        <x:v>직장밀집·평일집중</x:v>
      </x:c>
      <x:c r="U877" s="16" t="n">
        <x:v>74.86587614331171</x:v>
      </x:c>
      <x:c r="V877" t="str">
        <x:v>인테리어</x:v>
      </x:c>
      <x:c r="W877" t="str">
        <x:v>인테리어 / 자동차미용 / 일반의류</x:v>
      </x:c>
      <x:c r="X877" s="16" t="n">
        <x:v>70.14523041017256</x:v>
      </x:c>
    </x:row>
    <x:row r="878">
      <x:c r="A878" t="str">
        <x:v>3110900</x:v>
      </x:c>
      <x:c r="B878" t="str">
        <x:v>낙성대역 1번(관악구민 종합체육센터)</x:v>
      </x:c>
      <x:c r="C878" t="str">
        <x:v>골목상권</x:v>
      </x:c>
      <x:c r="D878" t="str">
        <x:v>관악구</x:v>
      </x:c>
      <x:c r="E878" t="str">
        <x:v>인헌동</x:v>
      </x:c>
      <x:c r="F878" s="12" t="n">
        <x:v>111817</x:v>
      </x:c>
      <x:c r="G878" s="12" t="n">
        <x:v>2583623576</x:v>
      </x:c>
      <x:c r="H878" s="12" t="n">
        <x:v>179531</x:v>
      </x:c>
      <x:c r="I878" s="12" t="n">
        <x:v>14390.960758866157</x:v>
      </x:c>
      <x:c r="J878" s="12" t="n">
        <x:v>23105.82090379817</x:v>
      </x:c>
      <x:c r="K878" s="12" t="n">
        <x:v>817</x:v>
      </x:c>
      <x:c r="L878" s="12" t="n">
        <x:v>73.06581289070535</x:v>
      </x:c>
      <x:c r="M878" s="12" t="n">
        <x:v>14</x:v>
      </x:c>
      <x:c r="N878" s="14" t="n">
        <x:v>0.7377017425080193</x:v>
      </x:c>
      <x:c r="O878" s="14" t="n">
        <x:v>0.2622982574919807</x:v>
      </x:c>
      <x:c r="P878" s="14" t="n">
        <x:v>0.5732584029493312</x:v>
      </x:c>
      <x:c r="Q878" s="14" t="n">
        <x:v>0.17140994845914814</x:v>
      </x:c>
      <x:c r="R878" s="14" t="n">
        <x:v>0.42418741421176753</x:v>
      </x:c>
      <x:c r="S878" s="14" t="n">
        <x:v>0.3803327911728268</x:v>
      </x:c>
      <x:c r="T878" t="str">
        <x:v>야간활성·2030소비</x:v>
      </x:c>
      <x:c r="U878" s="16" t="n">
        <x:v>64.14412023272175</x:v>
      </x:c>
      <x:c r="V878" t="str">
        <x:v>세탁소</x:v>
      </x:c>
      <x:c r="W878" t="str">
        <x:v>세탁소 / 네일숍 / 한식음식점</x:v>
      </x:c>
      <x:c r="X878" s="16" t="n">
        <x:v>56.3293857203274</x:v>
      </x:c>
    </x:row>
    <x:row r="879">
      <x:c r="A879" t="str">
        <x:v>3110227</x:v>
      </x:c>
      <x:c r="B879" t="str">
        <x:v>답십리공원</x:v>
      </x:c>
      <x:c r="C879" t="str">
        <x:v>골목상권</x:v>
      </x:c>
      <x:c r="D879" t="str">
        <x:v>동대문구</x:v>
      </x:c>
      <x:c r="E879" t="str">
        <x:v>답십리2동</x:v>
      </x:c>
      <x:c r="F879" s="12" t="n">
        <x:v>55458</x:v>
      </x:c>
      <x:c r="G879" s="12" t="n">
        <x:v>2565373777</x:v>
      </x:c>
      <x:c r="H879" s="12" t="n">
        <x:v>40533</x:v>
      </x:c>
      <x:c r="I879" s="12" t="n">
        <x:v>63290.9919571707</x:v>
      </x:c>
      <x:c r="J879" s="12" t="n">
        <x:v>46257.95695841898</x:v>
      </x:c>
      <x:c r="K879" s="12" t="n">
        <x:v>709</x:v>
      </x:c>
      <x:c r="L879" s="12" t="n">
        <x:v>127.84449493310254</x:v>
      </x:c>
      <x:c r="M879" s="12" t="n">
        <x:v>11</x:v>
      </x:c>
      <x:c r="N879" s="14" t="n">
        <x:v>0.7557456361260685</x:v>
      </x:c>
      <x:c r="O879" s="14" t="n">
        <x:v>0.24425436387393148</x:v>
      </x:c>
      <x:c r="P879" s="14" t="n">
        <x:v>0.2608217036436948</x:v>
      </x:c>
      <x:c r="Q879" s="14" t="n">
        <x:v>0.3068796181118834</x:v>
      </x:c>
      <x:c r="R879" s="14" t="n">
        <x:v>0.13973154290958514</x:v>
      </x:c>
      <x:c r="S879" s="14" t="n">
        <x:v>0.3836064517470898</x:v>
      </x:c>
      <x:c r="T879" t="str">
        <x:v>직장밀집</x:v>
      </x:c>
      <x:c r="U879" s="16" t="n">
        <x:v>62.737441521977644</x:v>
      </x:c>
      <x:c r="V879" t="str">
        <x:v>예술학원</x:v>
      </x:c>
      <x:c r="W879" t="str">
        <x:v>예술학원 / 일반교습학원 / 화장품</x:v>
      </x:c>
      <x:c r="X879" s="16" t="n">
        <x:v>59.26824220620584</x:v>
      </x:c>
    </x:row>
    <x:row r="880">
      <x:c r="A880" t="str">
        <x:v>3110481</x:v>
      </x:c>
      <x:c r="B880" t="str">
        <x:v>불광역 7번</x:v>
      </x:c>
      <x:c r="C880" t="str">
        <x:v>골목상권</x:v>
      </x:c>
      <x:c r="D880" t="str">
        <x:v>은평구</x:v>
      </x:c>
      <x:c r="E880" t="str">
        <x:v>대조동</x:v>
      </x:c>
      <x:c r="F880" s="12" t="n">
        <x:v>88375</x:v>
      </x:c>
      <x:c r="G880" s="12" t="n">
        <x:v>2551169517</x:v>
      </x:c>
      <x:c r="H880" s="12" t="n">
        <x:v>163781</x:v>
      </x:c>
      <x:c r="I880" s="12" t="n">
        <x:v>15576.71229874039</x:v>
      </x:c>
      <x:c r="J880" s="12" t="n">
        <x:v>28867.54757567185</x:v>
      </x:c>
      <x:c r="K880" s="12" t="n">
        <x:v>394</x:v>
      </x:c>
      <x:c r="L880" s="12" t="n">
        <x:v>44.582743988684584</x:v>
      </x:c>
      <x:c r="M880" s="12" t="n">
        <x:v>14</x:v>
      </x:c>
      <x:c r="N880" s="14" t="n">
        <x:v>0.7211812381497658</x:v>
      </x:c>
      <x:c r="O880" s="14" t="n">
        <x:v>0.2788187618502342</x:v>
      </x:c>
      <x:c r="P880" s="14" t="n">
        <x:v>0.4572936863763883</x:v>
      </x:c>
      <x:c r="Q880" s="14" t="n">
        <x:v>0.2353802681470343</x:v>
      </x:c>
      <x:c r="R880" s="14" t="n">
        <x:v>0.25245742108010616</x:v>
      </x:c>
      <x:c r="S880" s="14" t="n">
        <x:v>0.4678568178423402</x:v>
      </x:c>
      <x:c r="T880" t="str">
        <x:v>야간활성·2030소비</x:v>
      </x:c>
      <x:c r="U880" s="16" t="n">
        <x:v>56.03846753224176</x:v>
      </x:c>
      <x:c r="V880" t="str">
        <x:v>스포츠클럽</x:v>
      </x:c>
      <x:c r="W880" t="str">
        <x:v>스포츠클럽 / 슈퍼마켓 / 커피-음료</x:v>
      </x:c>
      <x:c r="X880" s="16" t="n">
        <x:v>41.197817010043345</x:v>
      </x:c>
    </x:row>
    <x:row r="881">
      <x:c r="A881" t="str">
        <x:v>3110302</x:v>
      </x:c>
      <x:c r="B881" t="str">
        <x:v>보문역 8번</x:v>
      </x:c>
      <x:c r="C881" t="str">
        <x:v>골목상권</x:v>
      </x:c>
      <x:c r="D881" t="str">
        <x:v>성북구</x:v>
      </x:c>
      <x:c r="E881" t="str">
        <x:v>보문동</x:v>
      </x:c>
      <x:c r="F881" s="12" t="n">
        <x:v>67532</x:v>
      </x:c>
      <x:c r="G881" s="12" t="n">
        <x:v>2543085856</x:v>
      </x:c>
      <x:c r="H881" s="12" t="n">
        <x:v>95723</x:v>
      </x:c>
      <x:c r="I881" s="12" t="n">
        <x:v>26567.13492055201</x:v>
      </x:c>
      <x:c r="J881" s="12" t="n">
        <x:v>37657.49357341705</x:v>
      </x:c>
      <x:c r="K881" s="12" t="n">
        <x:v>1606</x:v>
      </x:c>
      <x:c r="L881" s="12" t="n">
        <x:v>237.81318486051057</x:v>
      </x:c>
      <x:c r="M881" s="12" t="n">
        <x:v>16</x:v>
      </x:c>
      <x:c r="N881" s="14" t="n">
        <x:v>0.7932474168107677</x:v>
      </x:c>
      <x:c r="O881" s="14" t="n">
        <x:v>0.2067525831892323</x:v>
      </x:c>
      <x:c r="P881" s="14" t="n">
        <x:v>0.4584866827240928</x:v>
      </x:c>
      <x:c r="Q881" s="14" t="n">
        <x:v>0.19564157333742804</x:v>
      </x:c>
      <x:c r="R881" s="14" t="n">
        <x:v>0.304330011184648</x:v>
      </x:c>
      <x:c r="S881" s="14" t="n">
        <x:v>0.4384981727490682</x:v>
      </x:c>
      <x:c r="T881" t="str">
        <x:v>직장밀집·2030소비</x:v>
      </x:c>
      <x:c r="U881" s="16" t="n">
        <x:v>82.7242866994999</x:v>
      </x:c>
      <x:c r="V881" t="str">
        <x:v>예술학원</x:v>
      </x:c>
      <x:c r="W881" t="str">
        <x:v>예술학원 / 호프-간이주점 / 피부관리실</x:v>
      </x:c>
      <x:c r="X881" s="16" t="n">
        <x:v>66.84555233208096</x:v>
      </x:c>
    </x:row>
    <x:row r="882">
      <x:c r="A882" t="str">
        <x:v>3110156</x:v>
      </x:c>
      <x:c r="B882" t="str">
        <x:v>군자역 5번</x:v>
      </x:c>
      <x:c r="C882" t="str">
        <x:v>골목상권</x:v>
      </x:c>
      <x:c r="D882" t="str">
        <x:v>광진구</x:v>
      </x:c>
      <x:c r="E882" t="str">
        <x:v>능동</x:v>
      </x:c>
      <x:c r="F882" s="12" t="n">
        <x:v>153696</x:v>
      </x:c>
      <x:c r="G882" s="12" t="n">
        <x:v>2531004185</x:v>
      </x:c>
      <x:c r="H882" s="12" t="n">
        <x:v>154825</x:v>
      </x:c>
      <x:c r="I882" s="12" t="n">
        <x:v>16347.516131115775</x:v>
      </x:c>
      <x:c r="J882" s="12" t="n">
        <x:v>16467.599579689777</x:v>
      </x:c>
      <x:c r="K882" s="12" t="n">
        <x:v>332</x:v>
      </x:c>
      <x:c r="L882" s="12" t="n">
        <x:v>21.60108265667291</x:v>
      </x:c>
      <x:c r="M882" s="12" t="n">
        <x:v>9</x:v>
      </x:c>
      <x:c r="N882" s="14" t="n">
        <x:v>0.7190196653112211</x:v>
      </x:c>
      <x:c r="O882" s="14" t="n">
        <x:v>0.28098033468877887</x:v>
      </x:c>
      <x:c r="P882" s="14" t="n">
        <x:v>0.5089770007630391</x:v>
      </x:c>
      <x:c r="Q882" s="14" t="n">
        <x:v>0.2601860225687458</x:v>
      </x:c>
      <x:c r="R882" s="14" t="n">
        <x:v>0.3148106137959626</x:v>
      </x:c>
      <x:c r="S882" s="14" t="n">
        <x:v>0.3732694321878413</x:v>
      </x:c>
      <x:c r="T882" t="str">
        <x:v>야간활성·2030소비</x:v>
      </x:c>
      <x:c r="U882" s="16" t="n">
        <x:v>68.68697812026332</x:v>
      </x:c>
      <x:c r="V882" t="str">
        <x:v>미용실</x:v>
      </x:c>
      <x:c r="W882" t="str">
        <x:v>미용실 / 편의점 / 한식음식점</x:v>
      </x:c>
      <x:c r="X882" s="16" t="n">
        <x:v>55.546517244102404</x:v>
      </x:c>
    </x:row>
    <x:row r="883">
      <x:c r="A883" t="str">
        <x:v>3110722</x:v>
      </x:c>
      <x:c r="B883" t="str">
        <x:v>G타워</x:v>
      </x:c>
      <x:c r="C883" t="str">
        <x:v>골목상권</x:v>
      </x:c>
      <x:c r="D883" t="str">
        <x:v>구로구</x:v>
      </x:c>
      <x:c r="E883" t="str">
        <x:v>구로3동</x:v>
      </x:c>
      <x:c r="F883" s="12" t="n">
        <x:v>84987</x:v>
      </x:c>
      <x:c r="G883" s="12" t="n">
        <x:v>2527367380</x:v>
      </x:c>
      <x:c r="H883" s="12" t="n">
        <x:v>311070</x:v>
      </x:c>
      <x:c r="I883" s="12" t="n">
        <x:v>8124.754492557945</x:v>
      </x:c>
      <x:c r="J883" s="12" t="n">
        <x:v>29738.282090202032</x:v>
      </x:c>
      <x:c r="K883" s="12" t="n">
        <x:v>4010</x:v>
      </x:c>
      <x:c r="L883" s="12" t="n">
        <x:v>471.8368691682257</x:v>
      </x:c>
      <x:c r="M883" s="12" t="n">
        <x:v>8</x:v>
      </x:c>
      <x:c r="N883" s="14" t="n">
        <x:v>0.7371421728169967</x:v>
      </x:c>
      <x:c r="O883" s="14" t="n">
        <x:v>0.2628578271830034</x:v>
      </x:c>
      <x:c r="P883" s="14" t="n">
        <x:v>0.545119130642574</x:v>
      </x:c>
      <x:c r="Q883" s="14" t="n">
        <x:v>0.15813254264601612</x:v>
      </x:c>
      <x:c r="R883" s="14" t="n">
        <x:v>0.5988127828095969</x:v>
      </x:c>
      <x:c r="S883" s="14" t="n">
        <x:v>0.2885469484060525</x:v>
      </x:c>
      <x:c r="T883" t="str">
        <x:v>2030소비·직장밀집</x:v>
      </x:c>
      <x:c r="U883" s="16" t="n">
        <x:v>59.288084139676116</x:v>
      </x:c>
      <x:c r="V883" t="str">
        <x:v>세탁소</x:v>
      </x:c>
      <x:c r="W883" t="str">
        <x:v>세탁소 / 분식전문점 / 슈퍼마켓</x:v>
      </x:c>
      <x:c r="X883" s="16" t="n">
        <x:v>45.58166153429346</x:v>
      </x:c>
    </x:row>
    <x:row r="884">
      <x:c r="A884" t="str">
        <x:v>3130051</x:v>
      </x:c>
      <x:c r="B884" t="str">
        <x:v>동화동 골목형상점가</x:v>
      </x:c>
      <x:c r="C884" t="str">
        <x:v>전통시장</x:v>
      </x:c>
      <x:c r="D884" t="str">
        <x:v>중구</x:v>
      </x:c>
      <x:c r="E884" t="str">
        <x:v>동화동</x:v>
      </x:c>
      <x:c r="F884" s="12" t="n">
        <x:v>60206</x:v>
      </x:c>
      <x:c r="G884" s="12" t="n">
        <x:v>2511552904</x:v>
      </x:c>
      <x:c r="H884" s="12" t="n">
        <x:v>108857</x:v>
      </x:c>
      <x:c r="I884" s="12" t="n">
        <x:v>23072.0385827278</x:v>
      </x:c>
      <x:c r="J884" s="12" t="n">
        <x:v>41715.99016709298</x:v>
      </x:c>
      <x:c r="K884" s="12" t="n">
        <x:v>691</x:v>
      </x:c>
      <x:c r="L884" s="12" t="n">
        <x:v>114.77261402518022</x:v>
      </x:c>
      <x:c r="M884" s="12" t="n">
        <x:v>15</x:v>
      </x:c>
      <x:c r="N884" s="14" t="n">
        <x:v>0.6661691670262344</x:v>
      </x:c>
      <x:c r="O884" s="14" t="n">
        <x:v>0.33383083297376565</x:v>
      </x:c>
      <x:c r="P884" s="14" t="n">
        <x:v>0.448820628546075</x:v>
      </x:c>
      <x:c r="Q884" s="14" t="n">
        <x:v>0.2287735627965096</x:v>
      </x:c>
      <x:c r="R884" s="14" t="n">
        <x:v>0.20440757635738818</x:v>
      </x:c>
      <x:c r="S884" s="14" t="n">
        <x:v>0.48347462482916503</x:v>
      </x:c>
      <x:c r="T884" t="str">
        <x:v>야간활성·여성소비</x:v>
      </x:c>
      <x:c r="U884" s="16" t="n">
        <x:v>76.21095741707568</x:v>
      </x:c>
      <x:c r="V884" t="str">
        <x:v>미용실</x:v>
      </x:c>
      <x:c r="W884" t="str">
        <x:v>미용실 / 피부관리실 / 일반의류</x:v>
      </x:c>
      <x:c r="X884" s="16" t="n">
        <x:v>67.86606712447977</x:v>
      </x:c>
    </x:row>
    <x:row r="885">
      <x:c r="A885" t="str">
        <x:v>3110236</x:v>
      </x:c>
      <x:c r="B885" t="str">
        <x:v>신묵초등학교</x:v>
      </x:c>
      <x:c r="C885" t="str">
        <x:v>골목상권</x:v>
      </x:c>
      <x:c r="D885" t="str">
        <x:v>중랑구</x:v>
      </x:c>
      <x:c r="E885" t="str">
        <x:v>묵2동</x:v>
      </x:c>
      <x:c r="F885" s="12" t="n">
        <x:v>180650</x:v>
      </x:c>
      <x:c r="G885" s="12" t="n">
        <x:v>2510101656</x:v>
      </x:c>
      <x:c r="H885" s="12" t="n">
        <x:v>80032</x:v>
      </x:c>
      <x:c r="I885" s="12" t="n">
        <x:v>31363.725209916032</x:v>
      </x:c>
      <x:c r="J885" s="12" t="n">
        <x:v>13894.833412676446</x:v>
      </x:c>
      <x:c r="K885" s="12" t="n">
        <x:v>581</x:v>
      </x:c>
      <x:c r="L885" s="12" t="n">
        <x:v>32.16163852753944</x:v>
      </x:c>
      <x:c r="M885" s="12" t="n">
        <x:v>16</x:v>
      </x:c>
      <x:c r="N885" s="14" t="n">
        <x:v>0.7580383059195114</x:v>
      </x:c>
      <x:c r="O885" s="14" t="n">
        <x:v>0.24196169408048868</x:v>
      </x:c>
      <x:c r="P885" s="14" t="n">
        <x:v>0.4918238992628273</x:v>
      </x:c>
      <x:c r="Q885" s="14" t="n">
        <x:v>0.25175484844985097</x:v>
      </x:c>
      <x:c r="R885" s="14" t="n">
        <x:v>0.17490179967436348</x:v>
      </x:c>
      <x:c r="S885" s="14" t="n">
        <x:v>0.3801863652489459</x:v>
      </x:c>
      <x:c r="T885" t="str">
        <x:v>야간활성</x:v>
      </x:c>
      <x:c r="U885" s="16" t="n">
        <x:v>61.82013200814521</x:v>
      </x:c>
      <x:c r="V885" t="str">
        <x:v>한식음식점</x:v>
      </x:c>
      <x:c r="W885" t="str">
        <x:v>한식음식점 / 일반교습학원 / 미용실</x:v>
      </x:c>
      <x:c r="X885" s="16" t="n">
        <x:v>55.87691881505445</x:v>
      </x:c>
    </x:row>
    <x:row r="886">
      <x:c r="A886" t="str">
        <x:v>3110548</x:v>
      </x:c>
      <x:c r="B886" t="str">
        <x:v>마포구청역 4번</x:v>
      </x:c>
      <x:c r="C886" t="str">
        <x:v>골목상권</x:v>
      </x:c>
      <x:c r="D886" t="str">
        <x:v>마포구</x:v>
      </x:c>
      <x:c r="E886" t="str">
        <x:v>성산1동</x:v>
      </x:c>
      <x:c r="F886" s="12" t="n">
        <x:v>113289</x:v>
      </x:c>
      <x:c r="G886" s="12" t="n">
        <x:v>2505173366</x:v>
      </x:c>
      <x:c r="H886" s="12" t="n">
        <x:v>81225</x:v>
      </x:c>
      <x:c r="I886" s="12" t="n">
        <x:v>30842.39293321022</x:v>
      </x:c>
      <x:c r="J886" s="12" t="n">
        <x:v>22113.121009100618</x:v>
      </x:c>
      <x:c r="K886" s="12" t="n">
        <x:v>1019</x:v>
      </x:c>
      <x:c r="L886" s="12" t="n">
        <x:v>89.94694983625948</x:v>
      </x:c>
      <x:c r="M886" s="12" t="n">
        <x:v>7</x:v>
      </x:c>
      <x:c r="N886" s="14" t="n">
        <x:v>0.6442885797469395</x:v>
      </x:c>
      <x:c r="O886" s="14" t="n">
        <x:v>0.35571142025306046</x:v>
      </x:c>
      <x:c r="P886" s="14" t="n">
        <x:v>0.618861660450848</x:v>
      </x:c>
      <x:c r="Q886" s="14" t="n">
        <x:v>0.21417515621152425</x:v>
      </x:c>
      <x:c r="R886" s="14" t="n">
        <x:v>0.27383385489816836</x:v>
      </x:c>
      <x:c r="S886" s="14" t="n">
        <x:v>0.4254977274095768</x:v>
      </x:c>
      <x:c r="T886" t="str">
        <x:v>야간활성·2030소비</x:v>
      </x:c>
      <x:c r="U886" s="16" t="n">
        <x:v>66.7458346331797</x:v>
      </x:c>
      <x:c r="V886" t="str">
        <x:v>전자상거래업</x:v>
      </x:c>
      <x:c r="W886" t="str">
        <x:v>전자상거래업 / 한식음식점 / 피부관리실</x:v>
      </x:c>
      <x:c r="X886" s="16" t="n">
        <x:v>58.26535500135027</x:v>
      </x:c>
    </x:row>
    <x:row r="887">
      <x:c r="A887" t="str">
        <x:v>3110552</x:v>
      </x:c>
      <x:c r="B887" t="str">
        <x:v>성미산체육관</x:v>
      </x:c>
      <x:c r="C887" t="str">
        <x:v>골목상권</x:v>
      </x:c>
      <x:c r="D887" t="str">
        <x:v>마포구</x:v>
      </x:c>
      <x:c r="E887" t="str">
        <x:v>성산1동</x:v>
      </x:c>
      <x:c r="F887" s="12" t="n">
        <x:v>97940</x:v>
      </x:c>
      <x:c r="G887" s="12" t="n">
        <x:v>2499184720</x:v>
      </x:c>
      <x:c r="H887" s="12" t="n">
        <x:v>130951</x:v>
      </x:c>
      <x:c r="I887" s="12" t="n">
        <x:v>19084.88457514643</x:v>
      </x:c>
      <x:c r="J887" s="12" t="n">
        <x:v>25517.5078619563</x:v>
      </x:c>
      <x:c r="K887" s="12" t="n">
        <x:v>1429</x:v>
      </x:c>
      <x:c r="L887" s="12" t="n">
        <x:v>145.9056565244027</x:v>
      </x:c>
      <x:c r="M887" s="12" t="n">
        <x:v>9</x:v>
      </x:c>
      <x:c r="N887" s="14" t="n">
        <x:v>0.795931306750307</x:v>
      </x:c>
      <x:c r="O887" s="14" t="n">
        <x:v>0.20406869324969304</x:v>
      </x:c>
      <x:c r="P887" s="14" t="n">
        <x:v>0.2778387673561</x:v>
      </x:c>
      <x:c r="Q887" s="14" t="n">
        <x:v>0.37650688501328544</x:v>
      </x:c>
      <x:c r="R887" s="14" t="n">
        <x:v>0.23675288675740624</x:v>
      </x:c>
      <x:c r="S887" s="14" t="n">
        <x:v>0.3366325795237737</x:v>
      </x:c>
      <x:c r="T887" t="str">
        <x:v>평일집중·직장밀집</x:v>
      </x:c>
      <x:c r="U887" s="16" t="n">
        <x:v>68.63666915492811</x:v>
      </x:c>
      <x:c r="V887" t="str">
        <x:v>일반의원</x:v>
      </x:c>
      <x:c r="W887" t="str">
        <x:v>일반의원 / 한식음식점 / 자동차수리</x:v>
      </x:c>
      <x:c r="X887" s="16" t="n">
        <x:v>58.053879425242144</x:v>
      </x:c>
    </x:row>
    <x:row r="888">
      <x:c r="A888" t="str">
        <x:v>3110680</x:v>
      </x:c>
      <x:c r="B888" t="str">
        <x:v>온수역 5번(온수산업단지)</x:v>
      </x:c>
      <x:c r="C888" t="str">
        <x:v>골목상권</x:v>
      </x:c>
      <x:c r="D888" t="str">
        <x:v>구로구</x:v>
      </x:c>
      <x:c r="E888" t="str">
        <x:v>수궁동</x:v>
      </x:c>
      <x:c r="F888" s="12" t="n">
        <x:v>136117</x:v>
      </x:c>
      <x:c r="G888" s="12" t="n">
        <x:v>2486958234</x:v>
      </x:c>
      <x:c r="H888" s="12" t="n">
        <x:v>171379</x:v>
      </x:c>
      <x:c r="I888" s="12" t="n">
        <x:v>14511.452593374917</x:v>
      </x:c>
      <x:c r="J888" s="12" t="n">
        <x:v>18270.739393316046</x:v>
      </x:c>
      <x:c r="K888" s="12" t="n">
        <x:v>774</x:v>
      </x:c>
      <x:c r="L888" s="12" t="n">
        <x:v>56.862845934012654</x:v>
      </x:c>
      <x:c r="M888" s="12" t="n">
        <x:v>5</x:v>
      </x:c>
      <x:c r="N888" s="14" t="n">
        <x:v>0.71171270944633</x:v>
      </x:c>
      <x:c r="O888" s="14" t="n">
        <x:v>0.28828729055367</x:v>
      </x:c>
      <x:c r="P888" s="14" t="n">
        <x:v>0.5350588187642238</x:v>
      </x:c>
      <x:c r="Q888" s="14" t="n">
        <x:v>0.1810879016153192</x:v>
      </x:c>
      <x:c r="R888" s="14" t="n">
        <x:v>0.21955376834848767</x:v>
      </x:c>
      <x:c r="S888" s="14" t="n">
        <x:v>0.3181608738669312</x:v>
      </x:c>
      <x:c r="T888" t="str">
        <x:v>야간활성</x:v>
      </x:c>
      <x:c r="U888" s="16" t="n">
        <x:v>58.79516657766113</x:v>
      </x:c>
      <x:c r="V888" t="str">
        <x:v>슈퍼마켓</x:v>
      </x:c>
      <x:c r="W888" t="str">
        <x:v>슈퍼마켓 / 미용실 / 한식음식점</x:v>
      </x:c>
      <x:c r="X888" s="16" t="n">
        <x:v>44.77851793589819</x:v>
      </x:c>
    </x:row>
    <x:row r="889">
      <x:c r="A889" t="str">
        <x:v>3110277</x:v>
      </x:c>
      <x:c r="B889" t="str">
        <x:v>러스크서울병원</x:v>
      </x:c>
      <x:c r="C889" t="str">
        <x:v>골목상권</x:v>
      </x:c>
      <x:c r="D889" t="str">
        <x:v>중랑구</x:v>
      </x:c>
      <x:c r="E889" t="str">
        <x:v>망우본동</x:v>
      </x:c>
      <x:c r="F889" s="12" t="n">
        <x:v>118173</x:v>
      </x:c>
      <x:c r="G889" s="12" t="n">
        <x:v>2477274307</x:v>
      </x:c>
      <x:c r="H889" s="12" t="n">
        <x:v>157525</x:v>
      </x:c>
      <x:c r="I889" s="12" t="n">
        <x:v>15726.229531820345</x:v>
      </x:c>
      <x:c r="J889" s="12" t="n">
        <x:v>20963.11599942457</x:v>
      </x:c>
      <x:c r="K889" s="12" t="n">
        <x:v>357</x:v>
      </x:c>
      <x:c r="L889" s="12" t="n">
        <x:v>30.209946434464726</x:v>
      </x:c>
      <x:c r="M889" s="12" t="n">
        <x:v>11</x:v>
      </x:c>
      <x:c r="N889" s="14" t="n">
        <x:v>0.6873828381412265</x:v>
      </x:c>
      <x:c r="O889" s="14" t="n">
        <x:v>0.31261716185877353</x:v>
      </x:c>
      <x:c r="P889" s="14" t="n">
        <x:v>0.5009902272401036</x:v>
      </x:c>
      <x:c r="Q889" s="14" t="n">
        <x:v>0.18132824561684682</x:v>
      </x:c>
      <x:c r="R889" s="14" t="n">
        <x:v>0.2021266956933728</x:v>
      </x:c>
      <x:c r="S889" s="14" t="n">
        <x:v>0.4139247139901007</x:v>
      </x:c>
      <x:c r="T889" t="str">
        <x:v>야간활성</x:v>
      </x:c>
      <x:c r="U889" s="16" t="n">
        <x:v>50.801917945305576</x:v>
      </x:c>
      <x:c r="V889" t="str">
        <x:v>화장품</x:v>
      </x:c>
      <x:c r="W889" t="str">
        <x:v>화장품 / 예술학원 / 커피-음료</x:v>
      </x:c>
      <x:c r="X889" s="16" t="n">
        <x:v>45.93442056746231</x:v>
      </x:c>
    </x:row>
    <x:row r="890">
      <x:c r="A890" t="str">
        <x:v>3110267</x:v>
      </x:c>
      <x:c r="B890" t="str">
        <x:v>망우역 2번</x:v>
      </x:c>
      <x:c r="C890" t="str">
        <x:v>골목상권</x:v>
      </x:c>
      <x:c r="D890" t="str">
        <x:v>중랑구</x:v>
      </x:c>
      <x:c r="E890" t="str">
        <x:v>상봉1동</x:v>
      </x:c>
      <x:c r="F890" s="12" t="n">
        <x:v>125682</x:v>
      </x:c>
      <x:c r="G890" s="12" t="n">
        <x:v>2474884517</x:v>
      </x:c>
      <x:c r="H890" s="12" t="n">
        <x:v>148172</x:v>
      </x:c>
      <x:c r="I890" s="12" t="n">
        <x:v>16702.781341953945</x:v>
      </x:c>
      <x:c r="J890" s="12" t="n">
        <x:v>19691.638556038255</x:v>
      </x:c>
      <x:c r="K890" s="12" t="n">
        <x:v>369</x:v>
      </x:c>
      <x:c r="L890" s="12" t="n">
        <x:v>29.359812861030218</x:v>
      </x:c>
      <x:c r="M890" s="12" t="n">
        <x:v>17</x:v>
      </x:c>
      <x:c r="N890" s="14" t="n">
        <x:v>0.7151490567913235</x:v>
      </x:c>
      <x:c r="O890" s="14" t="n">
        <x:v>0.2848509432086766</x:v>
      </x:c>
      <x:c r="P890" s="14" t="n">
        <x:v>0.4207412409942359</x:v>
      </x:c>
      <x:c r="Q890" s="14" t="n">
        <x:v>0.17840472958116615</x:v>
      </x:c>
      <x:c r="R890" s="14" t="n">
        <x:v>0.18420272981165528</x:v>
      </x:c>
      <x:c r="S890" s="14" t="n">
        <x:v>0.4921019500644442</x:v>
      </x:c>
      <x:c r="T890" t="str">
        <x:v>여성소비·야간활성</x:v>
      </x:c>
      <x:c r="U890" s="16" t="n">
        <x:v>63.8383619448889</x:v>
      </x:c>
      <x:c r="V890" t="str">
        <x:v>일반교습학원</x:v>
      </x:c>
      <x:c r="W890" t="str">
        <x:v>일반교습학원 / 예술학원 / 화초</x:v>
      </x:c>
      <x:c r="X890" s="16" t="n">
        <x:v>57.680408702691864</x:v>
      </x:c>
    </x:row>
    <x:row r="891">
      <x:c r="A891" t="str">
        <x:v>3110809</x:v>
      </x:c>
      <x:c r="B891" t="str">
        <x:v>장훈고등학교</x:v>
      </x:c>
      <x:c r="C891" t="str">
        <x:v>골목상권</x:v>
      </x:c>
      <x:c r="D891" t="str">
        <x:v>영등포구</x:v>
      </x:c>
      <x:c r="E891" t="str">
        <x:v>영등포본동</x:v>
      </x:c>
      <x:c r="F891" s="12" t="n">
        <x:v>31824</x:v>
      </x:c>
      <x:c r="G891" s="12" t="n">
        <x:v>2466197843</x:v>
      </x:c>
      <x:c r="H891" s="12" t="n">
        <x:v>89813</x:v>
      </x:c>
      <x:c r="I891" s="12" t="n">
        <x:v>27459.25248015321</x:v>
      </x:c>
      <x:c r="J891" s="12" t="n">
        <x:v>77494.90456887883</x:v>
      </x:c>
      <x:c r="K891" s="12" t="n">
        <x:v>364</x:v>
      </x:c>
      <x:c r="L891" s="12" t="n">
        <x:v>114.37908496732025</x:v>
      </x:c>
      <x:c r="M891" s="12" t="n">
        <x:v>7</x:v>
      </x:c>
      <x:c r="N891" s="14" t="n">
        <x:v>0.7347169677173382</x:v>
      </x:c>
      <x:c r="O891" s="14" t="n">
        <x:v>0.26528303228266187</x:v>
      </x:c>
      <x:c r="P891" s="14" t="n">
        <x:v>0.5318642321105947</x:v>
      </x:c>
      <x:c r="Q891" s="14" t="n">
        <x:v>0.18279852416528125</x:v>
      </x:c>
      <x:c r="R891" s="14" t="n">
        <x:v>0.27993656792765265</x:v>
      </x:c>
      <x:c r="S891" s="14" t="n">
        <x:v>0.3282291995743993</x:v>
      </x:c>
      <x:c r="T891" t="str">
        <x:v>야간활성·2030소비</x:v>
      </x:c>
      <x:c r="U891" s="16" t="n">
        <x:v>54.38528809971283</x:v>
      </x:c>
      <x:c r="V891" t="str">
        <x:v>한식음식점</x:v>
      </x:c>
      <x:c r="W891" t="str">
        <x:v>한식음식점 / 일반의원 / 호프-간이주점</x:v>
      </x:c>
      <x:c r="X891" s="16" t="n">
        <x:v>50.25266577564484</x:v>
      </x:c>
    </x:row>
    <x:row r="892">
      <x:c r="A892" t="str">
        <x:v>3110020</x:v>
      </x:c>
      <x:c r="B892" t="str">
        <x:v>서울국제고등학교</x:v>
      </x:c>
      <x:c r="C892" t="str">
        <x:v>골목상권</x:v>
      </x:c>
      <x:c r="D892" t="str">
        <x:v>종로구</x:v>
      </x:c>
      <x:c r="E892" t="str">
        <x:v>혜화동</x:v>
      </x:c>
      <x:c r="F892" s="12" t="n">
        <x:v>133692</x:v>
      </x:c>
      <x:c r="G892" s="12" t="n">
        <x:v>2462344012</x:v>
      </x:c>
      <x:c r="H892" s="12" t="n">
        <x:v>228969</x:v>
      </x:c>
      <x:c r="I892" s="12" t="n">
        <x:v>10754.049727255655</x:v>
      </x:c>
      <x:c r="J892" s="12" t="n">
        <x:v>18418.03557430512</x:v>
      </x:c>
      <x:c r="K892" s="12" t="n">
        <x:v>494</x:v>
      </x:c>
      <x:c r="L892" s="12" t="n">
        <x:v>36.95060287825749</x:v>
      </x:c>
      <x:c r="M892" s="12" t="n">
        <x:v>8</x:v>
      </x:c>
      <x:c r="N892" s="14" t="n">
        <x:v>0.7989415777863292</x:v>
      </x:c>
      <x:c r="O892" s="14" t="n">
        <x:v>0.20105842221367076</x:v>
      </x:c>
      <x:c r="P892" s="14" t="n">
        <x:v>0.38648357636552694</x:v>
      </x:c>
      <x:c r="Q892" s="14" t="n">
        <x:v>0.31208270219555334</x:v>
      </x:c>
      <x:c r="R892" s="14" t="n">
        <x:v>0.40499676655253647</x:v>
      </x:c>
      <x:c r="S892" s="14" t="n">
        <x:v>0.40305425162501624</x:v>
      </x:c>
      <x:c r="T892" t="str">
        <x:v>2030소비·평일집중</x:v>
      </x:c>
      <x:c r="U892" s="16" t="n">
        <x:v>69.26435158420708</x:v>
      </x:c>
      <x:c r="V892" t="str">
        <x:v>인테리어</x:v>
      </x:c>
      <x:c r="W892" t="str">
        <x:v>인테리어 / 가전제품수리 / 세탁소</x:v>
      </x:c>
      <x:c r="X892" s="16" t="n">
        <x:v>60.410643198947014</x:v>
      </x:c>
    </x:row>
    <x:row r="893">
      <x:c r="A893" t="str">
        <x:v>3110018</x:v>
      </x:c>
      <x:c r="B893" t="str">
        <x:v>중앙고등학교</x:v>
      </x:c>
      <x:c r="C893" t="str">
        <x:v>골목상권</x:v>
      </x:c>
      <x:c r="D893" t="str">
        <x:v>종로구</x:v>
      </x:c>
      <x:c r="E893" t="str">
        <x:v>가회동</x:v>
      </x:c>
      <x:c r="F893" s="12" t="n">
        <x:v>166872</x:v>
      </x:c>
      <x:c r="G893" s="12" t="n">
        <x:v>2457016832</x:v>
      </x:c>
      <x:c r="H893" s="12" t="n">
        <x:v>38853</x:v>
      </x:c>
      <x:c r="I893" s="12" t="n">
        <x:v>63238.79319486269</x:v>
      </x:c>
      <x:c r="J893" s="12" t="n">
        <x:v>14723.961071959346</x:v>
      </x:c>
      <x:c r="K893" s="12" t="n">
        <x:v>1400</x:v>
      </x:c>
      <x:c r="L893" s="12" t="n">
        <x:v>83.89663934033271</x:v>
      </x:c>
      <x:c r="M893" s="12" t="n">
        <x:v>10</x:v>
      </x:c>
      <x:c r="N893" s="14" t="n">
        <x:v>0.635993286512414</x:v>
      </x:c>
      <x:c r="O893" s="14" t="n">
        <x:v>0.3640067134875859</x:v>
      </x:c>
      <x:c r="P893" s="14" t="n">
        <x:v>0.5077184408153049</x:v>
      </x:c>
      <x:c r="Q893" s="14" t="n">
        <x:v>0.2283264651237033</x:v>
      </x:c>
      <x:c r="R893" s="14" t="n">
        <x:v>0.5398057419575708</x:v>
      </x:c>
      <x:c r="S893" s="14" t="n">
        <x:v>0.384794350484938</x:v>
      </x:c>
      <x:c r="T893" t="str">
        <x:v>2030소비·야간활성</x:v>
      </x:c>
      <x:c r="U893" s="16" t="n">
        <x:v>68.7697439821064</x:v>
      </x:c>
      <x:c r="V893" t="str">
        <x:v>반찬가게</x:v>
      </x:c>
      <x:c r="W893" t="str">
        <x:v>반찬가게 / 시계및귀금속 / 한식음식점</x:v>
      </x:c>
      <x:c r="X893" s="16" t="n">
        <x:v>57.42496656445909</x:v>
      </x:c>
    </x:row>
    <x:row r="894">
      <x:c r="A894" t="str">
        <x:v>3110975</x:v>
      </x:c>
      <x:c r="B894" t="str">
        <x:v>매봉역 1번</x:v>
      </x:c>
      <x:c r="C894" t="str">
        <x:v>골목상권</x:v>
      </x:c>
      <x:c r="D894" t="str">
        <x:v>강남구</x:v>
      </x:c>
      <x:c r="E894" t="str">
        <x:v>도곡1동</x:v>
      </x:c>
      <x:c r="F894" s="12" t="n">
        <x:v>52363</x:v>
      </x:c>
      <x:c r="G894" s="12" t="n">
        <x:v>2451911573</x:v>
      </x:c>
      <x:c r="H894" s="12" t="n">
        <x:v>46751</x:v>
      </x:c>
      <x:c r="I894" s="12" t="n">
        <x:v>52446.18453081218</x:v>
      </x:c>
      <x:c r="J894" s="12" t="n">
        <x:v>46825.269235910855</x:v>
      </x:c>
      <x:c r="K894" s="12" t="n">
        <x:v>1446</x:v>
      </x:c>
      <x:c r="L894" s="12" t="n">
        <x:v>276.1491893130646</x:v>
      </x:c>
      <x:c r="M894" s="12" t="n">
        <x:v>2</x:v>
      </x:c>
      <x:c r="N894" s="14" t="n">
        <x:v>0.8712444953250359</x:v>
      </x:c>
      <x:c r="O894" s="14" t="n">
        <x:v>0.12875550467496408</x:v>
      </x:c>
      <x:c r="P894" s="14" t="n">
        <x:v>0.05608064765229606</x:v>
      </x:c>
      <x:c r="Q894" s="14" t="n">
        <x:v>0.47922893098559555</x:v>
      </x:c>
      <x:c r="R894" s="14" t="n">
        <x:v>0.07765437224436152</x:v>
      </x:c>
      <x:c r="S894" s="14" t="n">
        <x:v>0.418842546488523</x:v>
      </x:c>
      <x:c r="T894" t="str">
        <x:v>평일집중·직장밀집</x:v>
      </x:c>
      <x:c r="U894" s="16" t="n">
        <x:v>49.00723927860907</x:v>
      </x:c>
      <x:c r="V894" t="str">
        <x:v>의약품</x:v>
      </x:c>
      <x:c r="W894" t="str">
        <x:v>의약품 / 일반의원</x:v>
      </x:c>
      <x:c r="X894" s="16" t="n">
        <x:v>44.60359537704686</x:v>
      </x:c>
    </x:row>
    <x:row r="895">
      <x:c r="A895" t="str">
        <x:v>3110146</x:v>
      </x:c>
      <x:c r="B895" t="str">
        <x:v>신자초등학교</x:v>
      </x:c>
      <x:c r="C895" t="str">
        <x:v>골목상권</x:v>
      </x:c>
      <x:c r="D895" t="str">
        <x:v>광진구</x:v>
      </x:c>
      <x:c r="E895" t="str">
        <x:v>자양3동</x:v>
      </x:c>
      <x:c r="F895" s="12" t="n">
        <x:v>106885</x:v>
      </x:c>
      <x:c r="G895" s="12" t="n">
        <x:v>2445406114</x:v>
      </x:c>
      <x:c r="H895" s="12" t="n">
        <x:v>89868</x:v>
      </x:c>
      <x:c r="I895" s="12" t="n">
        <x:v>27211.088641118084</x:v>
      </x:c>
      <x:c r="J895" s="12" t="n">
        <x:v>22878.852168218178</x:v>
      </x:c>
      <x:c r="K895" s="12" t="n">
        <x:v>594</x:v>
      </x:c>
      <x:c r="L895" s="12" t="n">
        <x:v>55.57374748561538</x:v>
      </x:c>
      <x:c r="M895" s="12" t="n">
        <x:v>13</x:v>
      </x:c>
      <x:c r="N895" s="14" t="n">
        <x:v>0.689542501896272</x:v>
      </x:c>
      <x:c r="O895" s="14" t="n">
        <x:v>0.3104574981037281</x:v>
      </x:c>
      <x:c r="P895" s="14" t="n">
        <x:v>0.5373625948986238</x:v>
      </x:c>
      <x:c r="Q895" s="14" t="n">
        <x:v>0.22388404358099187</x:v>
      </x:c>
      <x:c r="R895" s="14" t="n">
        <x:v>0.23274820682811134</x:v>
      </x:c>
      <x:c r="S895" s="14" t="n">
        <x:v>0.34987104027498966</x:v>
      </x:c>
      <x:c r="T895" t="str">
        <x:v>야간활성·2030소비</x:v>
      </x:c>
      <x:c r="U895" s="16" t="n">
        <x:v>65.4429408467027</x:v>
      </x:c>
      <x:c r="V895" t="str">
        <x:v>한식음식점</x:v>
      </x:c>
      <x:c r="W895" t="str">
        <x:v>한식음식점 / 호프-간이주점 / 일반교습학원</x:v>
      </x:c>
      <x:c r="X895" s="16" t="n">
        <x:v>57.62936980297887</x:v>
      </x:c>
    </x:row>
    <x:row r="896">
      <x:c r="A896" t="str">
        <x:v>3110192</x:v>
      </x:c>
      <x:c r="B896" t="str">
        <x:v>동의보감타워</x:v>
      </x:c>
      <x:c r="C896" t="str">
        <x:v>골목상권</x:v>
      </x:c>
      <x:c r="D896" t="str">
        <x:v>동대문구</x:v>
      </x:c>
      <x:c r="E896" t="str">
        <x:v>용신동</x:v>
      </x:c>
      <x:c r="F896" s="12" t="n">
        <x:v>33231</x:v>
      </x:c>
      <x:c r="G896" s="12" t="n">
        <x:v>2444998382</x:v>
      </x:c>
      <x:c r="H896" s="12" t="n">
        <x:v>80630</x:v>
      </x:c>
      <x:c r="I896" s="12" t="n">
        <x:v>30323.680788788293</x:v>
      </x:c>
      <x:c r="J896" s="12" t="n">
        <x:v>73575.82925581535</x:v>
      </x:c>
      <x:c r="K896" s="12" t="n">
        <x:v>625</x:v>
      </x:c>
      <x:c r="L896" s="12" t="n">
        <x:v>188.07739761066475</x:v>
      </x:c>
      <x:c r="M896" s="12" t="n">
        <x:v>12</x:v>
      </x:c>
      <x:c r="N896" s="14" t="n">
        <x:v>0.7396405953940627</x:v>
      </x:c>
      <x:c r="O896" s="14" t="n">
        <x:v>0.26035940460593726</x:v>
      </x:c>
      <x:c r="P896" s="14" t="n">
        <x:v>0.46028269191713517</x:v>
      </x:c>
      <x:c r="Q896" s="14" t="n">
        <x:v>0.23561124998732208</x:v>
      </x:c>
      <x:c r="R896" s="14" t="n">
        <x:v>0.15390221145757796</x:v>
      </x:c>
      <x:c r="S896" s="14" t="n">
        <x:v>0.40930735511627836</x:v>
      </x:c>
      <x:c r="T896" t="str">
        <x:v>직장밀집·야간활성</x:v>
      </x:c>
      <x:c r="U896" s="16" t="n">
        <x:v>56.73898486582379</x:v>
      </x:c>
      <x:c r="V896" t="str">
        <x:v>핸드폰</x:v>
      </x:c>
      <x:c r="W896" t="str">
        <x:v>핸드폰 / 당구장 / 한식음식점</x:v>
      </x:c>
      <x:c r="X896" s="16" t="n">
        <x:v>51.24781872877064</x:v>
      </x:c>
    </x:row>
    <x:row r="897">
      <x:c r="A897" t="str">
        <x:v>3110689</x:v>
      </x:c>
      <x:c r="B897" t="str">
        <x:v>오류동역 3번</x:v>
      </x:c>
      <x:c r="C897" t="str">
        <x:v>골목상권</x:v>
      </x:c>
      <x:c r="D897" t="str">
        <x:v>구로구</x:v>
      </x:c>
      <x:c r="E897" t="str">
        <x:v>오류1동</x:v>
      </x:c>
      <x:c r="F897" s="12" t="n">
        <x:v>115792</x:v>
      </x:c>
      <x:c r="G897" s="12" t="n">
        <x:v>2442932129</x:v>
      </x:c>
      <x:c r="H897" s="12" t="n">
        <x:v>73287</x:v>
      </x:c>
      <x:c r="I897" s="12" t="n">
        <x:v>33333.771733049514</x:v>
      </x:c>
      <x:c r="J897" s="12" t="n">
        <x:v>21097.58989394777</x:v>
      </x:c>
      <x:c r="K897" s="12" t="n">
        <x:v>634</x:v>
      </x:c>
      <x:c r="L897" s="12" t="n">
        <x:v>54.753350835981756</x:v>
      </x:c>
      <x:c r="M897" s="12" t="n">
        <x:v>11</x:v>
      </x:c>
      <x:c r="N897" s="14" t="n">
        <x:v>0.7592410325207197</x:v>
      </x:c>
      <x:c r="O897" s="14" t="n">
        <x:v>0.2407589674792803</x:v>
      </x:c>
      <x:c r="P897" s="14" t="n">
        <x:v>0.39336582199414843</x:v>
      </x:c>
      <x:c r="Q897" s="14" t="n">
        <x:v>0.17684880020667984</x:v>
      </x:c>
      <x:c r="R897" s="14" t="n">
        <x:v>0.14618693894954296</x:v>
      </x:c>
      <x:c r="S897" s="14" t="n">
        <x:v>0.4028110504252163</x:v>
      </x:c>
      <x:c r="T897" t="str">
        <x:v>균형형</x:v>
      </x:c>
      <x:c r="U897" s="16" t="n">
        <x:v>79.66917112274449</x:v>
      </x:c>
      <x:c r="V897" t="str">
        <x:v>인테리어</x:v>
      </x:c>
      <x:c r="W897" t="str">
        <x:v>인테리어 / 서적 / 스포츠 강습</x:v>
      </x:c>
      <x:c r="X897" s="16" t="n">
        <x:v>66.03558663380358</x:v>
      </x:c>
    </x:row>
    <x:row r="898">
      <x:c r="A898" t="str">
        <x:v>3110828</x:v>
      </x:c>
      <x:c r="B898" t="str">
        <x:v>노량진역 6번</x:v>
      </x:c>
      <x:c r="C898" t="str">
        <x:v>골목상권</x:v>
      </x:c>
      <x:c r="D898" t="str">
        <x:v>동작구</x:v>
      </x:c>
      <x:c r="E898" t="str">
        <x:v>노량진2동</x:v>
      </x:c>
      <x:c r="F898" s="12" t="n">
        <x:v>236972</x:v>
      </x:c>
      <x:c r="G898" s="12" t="n">
        <x:v>2441016093</x:v>
      </x:c>
      <x:c r="H898" s="12" t="n">
        <x:v>163169</x:v>
      </x:c>
      <x:c r="I898" s="12" t="n">
        <x:v>14960.048128014512</x:v>
      </x:c>
      <x:c r="J898" s="12" t="n">
        <x:v>10300.862941613355</x:v>
      </x:c>
      <x:c r="K898" s="12" t="n">
        <x:v>1832</x:v>
      </x:c>
      <x:c r="L898" s="12" t="n">
        <x:v>77.30871157773915</x:v>
      </x:c>
      <x:c r="M898" s="12" t="n">
        <x:v>16</x:v>
      </x:c>
      <x:c r="N898" s="14" t="n">
        <x:v>0.7995339074562996</x:v>
      </x:c>
      <x:c r="O898" s="14" t="n">
        <x:v>0.2004660925437004</x:v>
      </x:c>
      <x:c r="P898" s="14" t="n">
        <x:v>0.4722556099919985</x:v>
      </x:c>
      <x:c r="Q898" s="14" t="n">
        <x:v>0.28761413413590303</x:v>
      </x:c>
      <x:c r="R898" s="14" t="n">
        <x:v>0.2826411677409617</x:v>
      </x:c>
      <x:c r="S898" s="14" t="n">
        <x:v>0.24419790336875916</x:v>
      </x:c>
      <x:c r="T898" t="str">
        <x:v>야간활성·평일집중</x:v>
      </x:c>
      <x:c r="U898" s="16" t="n">
        <x:v>63.68955430151395</x:v>
      </x:c>
      <x:c r="V898" t="str">
        <x:v>인테리어</x:v>
      </x:c>
      <x:c r="W898" t="str">
        <x:v>인테리어 / 분식전문점 / 슈퍼마켓</x:v>
      </x:c>
      <x:c r="X898" s="16" t="n">
        <x:v>57.643048082643716</x:v>
      </x:c>
    </x:row>
    <x:row r="899">
      <x:c r="A899" t="str">
        <x:v>3130109</x:v>
      </x:c>
      <x:c r="B899" t="str">
        <x:v>묵1동도깨비시장</x:v>
      </x:c>
      <x:c r="C899" t="str">
        <x:v>전통시장</x:v>
      </x:c>
      <x:c r="D899" t="str">
        <x:v>중랑구</x:v>
      </x:c>
      <x:c r="E899" t="str">
        <x:v>묵1동</x:v>
      </x:c>
      <x:c r="F899" s="12" t="n">
        <x:v>29000</x:v>
      </x:c>
      <x:c r="G899" s="12" t="n">
        <x:v>2440207531</x:v>
      </x:c>
      <x:c r="H899" s="12" t="n">
        <x:v>85575</x:v>
      </x:c>
      <x:c r="I899" s="12" t="n">
        <x:v>28515.425427987146</x:v>
      </x:c>
      <x:c r="J899" s="12" t="n">
        <x:v>84145.08727586207</x:v>
      </x:c>
      <x:c r="K899" s="12" t="n">
        <x:v>143</x:v>
      </x:c>
      <x:c r="L899" s="12" t="n">
        <x:v>49.310344827586206</x:v>
      </x:c>
      <x:c r="M899" s="12" t="n">
        <x:v>10</x:v>
      </x:c>
      <x:c r="N899" s="14" t="n">
        <x:v>0.708873760131019</x:v>
      </x:c>
      <x:c r="O899" s="14" t="n">
        <x:v>0.29112623986898106</x:v>
      </x:c>
      <x:c r="P899" s="14" t="n">
        <x:v>0.6744378451801443</x:v>
      </x:c>
      <x:c r="Q899" s="14" t="n">
        <x:v>0.12888575172584368</x:v>
      </x:c>
      <x:c r="R899" s="14" t="n">
        <x:v>0.21359000961135874</x:v>
      </x:c>
      <x:c r="S899" s="14" t="n">
        <x:v>0.32486341138171004</x:v>
      </x:c>
      <x:c r="T899" t="str">
        <x:v>야간활성·고매출밀도</x:v>
      </x:c>
      <x:c r="U899" s="16" t="n">
        <x:v>59.93396447703223</x:v>
      </x:c>
      <x:c r="V899" t="str">
        <x:v>분식전문점</x:v>
      </x:c>
      <x:c r="W899" t="str">
        <x:v>분식전문점 / 일반의류 / 일식음식점</x:v>
      </x:c>
      <x:c r="X899" s="16" t="n">
        <x:v>56.01244435318044</x:v>
      </x:c>
    </x:row>
    <x:row r="900">
      <x:c r="A900" t="str">
        <x:v>3110072</x:v>
      </x:c>
      <x:c r="B900" t="str">
        <x:v>열정도</x:v>
      </x:c>
      <x:c r="C900" t="str">
        <x:v>골목상권</x:v>
      </x:c>
      <x:c r="D900" t="str">
        <x:v>용산구</x:v>
      </x:c>
      <x:c r="E900" t="str">
        <x:v>원효로1동</x:v>
      </x:c>
      <x:c r="F900" s="12" t="n">
        <x:v>18090</x:v>
      </x:c>
      <x:c r="G900" s="12" t="n">
        <x:v>2437373146</x:v>
      </x:c>
      <x:c r="H900" s="12" t="n">
        <x:v>47555</x:v>
      </x:c>
      <x:c r="I900" s="12" t="n">
        <x:v>51253.77238986437</x:v>
      </x:c>
      <x:c r="J900" s="12" t="n">
        <x:v>134735.93952459923</x:v>
      </x:c>
      <x:c r="K900" s="12" t="n">
        <x:v>320</x:v>
      </x:c>
      <x:c r="L900" s="12" t="n">
        <x:v>176.89331122166942</x:v>
      </x:c>
      <x:c r="M900" s="12" t="n">
        <x:v>3</x:v>
      </x:c>
      <x:c r="N900" s="14" t="n">
        <x:v>0.7945125112164504</x:v>
      </x:c>
      <x:c r="O900" s="14" t="n">
        <x:v>0.2054874887835496</x:v>
      </x:c>
      <x:c r="P900" s="14" t="n">
        <x:v>0.6965310107671138</x:v>
      </x:c>
      <x:c r="Q900" s="14" t="n">
        <x:v>0.23520852764823233</x:v>
      </x:c>
      <x:c r="R900" s="14" t="n">
        <x:v>0.332384716853691</x:v>
      </x:c>
      <x:c r="S900" s="14" t="n">
        <x:v>0.31699854750102346</x:v>
      </x:c>
      <x:c r="T900" t="str">
        <x:v>야간활성·2030소비</x:v>
      </x:c>
      <x:c r="U900" s="16" t="n">
        <x:v>49.784095171350494</x:v>
      </x:c>
      <x:c r="V900" t="str">
        <x:v>한식음식점</x:v>
      </x:c>
      <x:c r="W900" t="str">
        <x:v>한식음식점 / 호프-간이주점 / 커피-음료</x:v>
      </x:c>
      <x:c r="X900" s="16" t="n">
        <x:v>44.945147106568946</x:v>
      </x:c>
    </x:row>
    <x:row r="901">
      <x:c r="A901" t="str">
        <x:v>3110383</x:v>
      </x:c>
      <x:c r="B901" t="str">
        <x:v>덕성여대시반거리</x:v>
      </x:c>
      <x:c r="C901" t="str">
        <x:v>골목상권</x:v>
      </x:c>
      <x:c r="D901" t="str">
        <x:v>도봉구</x:v>
      </x:c>
      <x:c r="E901" t="str">
        <x:v>쌍문1동</x:v>
      </x:c>
      <x:c r="F901" s="12" t="n">
        <x:v>43039</x:v>
      </x:c>
      <x:c r="G901" s="12" t="n">
        <x:v>2431519952</x:v>
      </x:c>
      <x:c r="H901" s="12" t="n">
        <x:v>252880</x:v>
      </x:c>
      <x:c r="I901" s="12" t="n">
        <x:v>9615.31142043657</x:v>
      </x:c>
      <x:c r="J901" s="12" t="n">
        <x:v>56495.73530983527</x:v>
      </x:c>
      <x:c r="K901" s="12" t="n">
        <x:v>259</x:v>
      </x:c>
      <x:c r="L901" s="12" t="n">
        <x:v>60.177978112874364</x:v>
      </x:c>
      <x:c r="M901" s="12" t="n">
        <x:v>12</x:v>
      </x:c>
      <x:c r="N901" s="14" t="n">
        <x:v>0.7292105970759478</x:v>
      </x:c>
      <x:c r="O901" s="14" t="n">
        <x:v>0.2707894029240522</x:v>
      </x:c>
      <x:c r="P901" s="14" t="n">
        <x:v>0.3796988131808675</x:v>
      </x:c>
      <x:c r="Q901" s="14" t="n">
        <x:v>0.259746883623351</x:v>
      </x:c>
      <x:c r="R901" s="14" t="n">
        <x:v>0.29721524324962645</x:v>
      </x:c>
      <x:c r="S901" s="14" t="n">
        <x:v>0.4907243738709819</x:v>
      </x:c>
      <x:c r="T901" t="str">
        <x:v>2030소비·여성소비</x:v>
      </x:c>
      <x:c r="U901" s="16" t="n">
        <x:v>67.693005147889</x:v>
      </x:c>
      <x:c r="V901" t="str">
        <x:v>미용실</x:v>
      </x:c>
      <x:c r="W901" t="str">
        <x:v>미용실 / 커피-음료 / 예술학원</x:v>
      </x:c>
      <x:c r="X901" s="16" t="n">
        <x:v>64.14035954973536</x:v>
      </x:c>
    </x:row>
    <x:row r="902">
      <x:c r="A902" t="str">
        <x:v>3110979</x:v>
      </x:c>
      <x:c r="B902" t="str">
        <x:v>청담초등학교</x:v>
      </x:c>
      <x:c r="C902" t="str">
        <x:v>골목상권</x:v>
      </x:c>
      <x:c r="D902" t="str">
        <x:v>강남구</x:v>
      </x:c>
      <x:c r="E902" t="str">
        <x:v>청담동</x:v>
      </x:c>
      <x:c r="F902" s="12" t="n">
        <x:v>63403</x:v>
      </x:c>
      <x:c r="G902" s="12" t="n">
        <x:v>2424235348</x:v>
      </x:c>
      <x:c r="H902" s="12" t="n">
        <x:v>3997</x:v>
      </x:c>
      <x:c r="I902" s="12" t="n">
        <x:v>606513.7222917188</x:v>
      </x:c>
      <x:c r="J902" s="12" t="n">
        <x:v>38235.34135608725</x:v>
      </x:c>
      <x:c r="K902" s="12" t="n">
        <x:v>759</x:v>
      </x:c>
      <x:c r="L902" s="12" t="n">
        <x:v>119.71042379698122</x:v>
      </x:c>
      <x:c r="M902" s="12" t="n">
        <x:v>2</x:v>
      </x:c>
      <x:c r="N902" s="14" t="n">
        <x:v>0.7410634600646867</x:v>
      </x:c>
      <x:c r="O902" s="14" t="n">
        <x:v>0.25893653993531324</x:v>
      </x:c>
      <x:c r="P902" s="14" t="n">
        <x:v>0.16460037691027019</x:v>
      </x:c>
      <x:c r="Q902" s="14" t="n">
        <x:v>0.3914344371650504</x:v>
      </x:c>
      <x:c r="R902" s="14" t="n">
        <x:v>0.6072151176305676</x:v>
      </x:c>
      <x:c r="S902" s="14" t="n">
        <x:v>0.4345433280102473</x:v>
      </x:c>
      <x:c r="T902" t="str">
        <x:v>2030소비·직장밀집</x:v>
      </x:c>
      <x:c r="U902" s="16" t="n">
        <x:v>67.17662041370917</x:v>
      </x:c>
      <x:c r="V902" t="str">
        <x:v>시계및귀금속</x:v>
      </x:c>
      <x:c r="W902" t="str">
        <x:v>시계및귀금속 / 미용실</x:v>
      </x:c>
      <x:c r="X902" s="16" t="n">
        <x:v>62.51045054012893</x:v>
      </x:c>
    </x:row>
    <x:row r="903">
      <x:c r="A903" t="str">
        <x:v>3110150</x:v>
      </x:c>
      <x:c r="B903" t="str">
        <x:v>중곡1동 마을마당</x:v>
      </x:c>
      <x:c r="C903" t="str">
        <x:v>골목상권</x:v>
      </x:c>
      <x:c r="D903" t="str">
        <x:v>광진구</x:v>
      </x:c>
      <x:c r="E903" t="str">
        <x:v>중곡1동</x:v>
      </x:c>
      <x:c r="F903" s="12" t="n">
        <x:v>159510</x:v>
      </x:c>
      <x:c r="G903" s="12" t="n">
        <x:v>2422219832</x:v>
      </x:c>
      <x:c r="H903" s="12" t="n">
        <x:v>143542</x:v>
      </x:c>
      <x:c r="I903" s="12" t="n">
        <x:v>16874.641791252736</x:v>
      </x:c>
      <x:c r="J903" s="12" t="n">
        <x:v>15185.379173719515</x:v>
      </x:c>
      <x:c r="K903" s="12" t="n">
        <x:v>1119</x:v>
      </x:c>
      <x:c r="L903" s="12" t="n">
        <x:v>70.15234154598458</x:v>
      </x:c>
      <x:c r="M903" s="12" t="n">
        <x:v>9</x:v>
      </x:c>
      <x:c r="N903" s="14" t="n">
        <x:v>0.762299604109591</x:v>
      </x:c>
      <x:c r="O903" s="14" t="n">
        <x:v>0.237700395890409</x:v>
      </x:c>
      <x:c r="P903" s="14" t="n">
        <x:v>0.4310069367807901</x:v>
      </x:c>
      <x:c r="Q903" s="14" t="n">
        <x:v>0.23600149641578858</x:v>
      </x:c>
      <x:c r="R903" s="14" t="n">
        <x:v>0.33894454010894254</x:v>
      </x:c>
      <x:c r="S903" s="14" t="n">
        <x:v>0.26505560870991995</x:v>
      </x:c>
      <x:c r="T903" t="str">
        <x:v>2030소비·야간활성</x:v>
      </x:c>
      <x:c r="U903" s="16" t="n">
        <x:v>58.435404166768144</x:v>
      </x:c>
      <x:c r="V903" t="str">
        <x:v>세탁소</x:v>
      </x:c>
      <x:c r="W903" t="str">
        <x:v>세탁소 / 슈퍼마켓 / 자동차수리</x:v>
      </x:c>
      <x:c r="X903" s="16" t="n">
        <x:v>51.733672673999095</x:v>
      </x:c>
    </x:row>
    <x:row r="904">
      <x:c r="A904" t="str">
        <x:v>3110561</x:v>
      </x:c>
      <x:c r="B904" t="str">
        <x:v>상수역 4번</x:v>
      </x:c>
      <x:c r="C904" t="str">
        <x:v>골목상권</x:v>
      </x:c>
      <x:c r="D904" t="str">
        <x:v>마포구</x:v>
      </x:c>
      <x:c r="E904" t="str">
        <x:v>서강동</x:v>
      </x:c>
      <x:c r="F904" s="12" t="n">
        <x:v>81410</x:v>
      </x:c>
      <x:c r="G904" s="12" t="n">
        <x:v>2409919844</x:v>
      </x:c>
      <x:c r="H904" s="12" t="n">
        <x:v>156676</x:v>
      </x:c>
      <x:c r="I904" s="12" t="n">
        <x:v>15381.550741657944</x:v>
      </x:c>
      <x:c r="J904" s="12" t="n">
        <x:v>29602.258248372436</x:v>
      </x:c>
      <x:c r="K904" s="12" t="n">
        <x:v>425</x:v>
      </x:c>
      <x:c r="L904" s="12" t="n">
        <x:v>52.20488883429554</x:v>
      </x:c>
      <x:c r="M904" s="12" t="n">
        <x:v>8</x:v>
      </x:c>
      <x:c r="N904" s="14" t="n">
        <x:v>0.7013624445676792</x:v>
      </x:c>
      <x:c r="O904" s="14" t="n">
        <x:v>0.29863755543232084</x:v>
      </x:c>
      <x:c r="P904" s="14" t="n">
        <x:v>0.5806530003410354</x:v>
      </x:c>
      <x:c r="Q904" s="14" t="n">
        <x:v>0.14469835080539717</x:v>
      </x:c>
      <x:c r="R904" s="14" t="n">
        <x:v>0.6489802903170749</x:v>
      </x:c>
      <x:c r="S904" s="14" t="n">
        <x:v>0.4181380586200111</x:v>
      </x:c>
      <x:c r="T904" t="str">
        <x:v>2030소비·야간활성</x:v>
      </x:c>
      <x:c r="U904" s="16" t="n">
        <x:v>54.453296981813494</x:v>
      </x:c>
      <x:c r="V904" t="str">
        <x:v>커피-음료</x:v>
      </x:c>
      <x:c r="W904" t="str">
        <x:v>커피-음료 / 일식음식점 / 한식음식점</x:v>
      </x:c>
      <x:c r="X904" s="16" t="n">
        <x:v>45.21890015509463</x:v>
      </x:c>
    </x:row>
    <x:row r="905">
      <x:c r="A905" t="str">
        <x:v>3110774</x:v>
      </x:c>
      <x:c r="B905" t="str">
        <x:v>당산반도유보라팰리스아파트</x:v>
      </x:c>
      <x:c r="C905" t="str">
        <x:v>골목상권</x:v>
      </x:c>
      <x:c r="D905" t="str">
        <x:v>영등포구</x:v>
      </x:c>
      <x:c r="E905" t="str">
        <x:v>당산2동</x:v>
      </x:c>
      <x:c r="F905" s="12" t="n">
        <x:v>35052</x:v>
      </x:c>
      <x:c r="G905" s="12" t="n">
        <x:v>2406028859</x:v>
      </x:c>
      <x:c r="H905" s="12" t="n">
        <x:v>129349</x:v>
      </x:c>
      <x:c r="I905" s="12" t="n">
        <x:v>18601.062698590635</x:v>
      </x:c>
      <x:c r="J905" s="12" t="n">
        <x:v>68641.699731827</x:v>
      </x:c>
      <x:c r="K905" s="12" t="n">
        <x:v>572</x:v>
      </x:c>
      <x:c r="L905" s="12" t="n">
        <x:v>163.18612347369623</x:v>
      </x:c>
      <x:c r="M905" s="12" t="n">
        <x:v>12</x:v>
      </x:c>
      <x:c r="N905" s="14" t="n">
        <x:v>0.7971021510511317</x:v>
      </x:c>
      <x:c r="O905" s="14" t="n">
        <x:v>0.2028978489488683</x:v>
      </x:c>
      <x:c r="P905" s="14" t="n">
        <x:v>0.3524811865109886</x:v>
      </x:c>
      <x:c r="Q905" s="14" t="n">
        <x:v>0.23535540684884196</x:v>
      </x:c>
      <x:c r="R905" s="14" t="n">
        <x:v>0.2605466977900451</x:v>
      </x:c>
      <x:c r="S905" s="14" t="n">
        <x:v>0.43238852605965356</x:v>
      </x:c>
      <x:c r="T905" t="str">
        <x:v>직장밀집·평일집중</x:v>
      </x:c>
      <x:c r="U905" s="16" t="n">
        <x:v>61.65832688238319</x:v>
      </x:c>
      <x:c r="V905" t="str">
        <x:v>화장품</x:v>
      </x:c>
      <x:c r="W905" t="str">
        <x:v>화장품 / 미용실 / 세탁소</x:v>
      </x:c>
      <x:c r="X905" s="16" t="n">
        <x:v>57.76036820638619</x:v>
      </x:c>
    </x:row>
    <x:row r="906">
      <x:c r="A906" t="str">
        <x:v>3130128</x:v>
      </x:c>
      <x:c r="B906" t="str">
        <x:v>돌곶이시장(석관황금시장)</x:v>
      </x:c>
      <x:c r="C906" t="str">
        <x:v>전통시장</x:v>
      </x:c>
      <x:c r="D906" t="str">
        <x:v>성북구</x:v>
      </x:c>
      <x:c r="E906" t="str">
        <x:v>석관동</x:v>
      </x:c>
      <x:c r="F906" s="12" t="n">
        <x:v>48175</x:v>
      </x:c>
      <x:c r="G906" s="12" t="n">
        <x:v>2396418689</x:v>
      </x:c>
      <x:c r="H906" s="12" t="n">
        <x:v>85362</x:v>
      </x:c>
      <x:c r="I906" s="12" t="n">
        <x:v>28073.600536538506</x:v>
      </x:c>
      <x:c r="J906" s="12" t="n">
        <x:v>49744.03090814738</x:v>
      </x:c>
      <x:c r="K906" s="12" t="n">
        <x:v>79</x:v>
      </x:c>
      <x:c r="L906" s="12" t="n">
        <x:v>16.398546964193045</x:v>
      </x:c>
      <x:c r="M906" s="12" t="n">
        <x:v>10</x:v>
      </x:c>
      <x:c r="N906" s="14" t="n">
        <x:v>0.7325274907334859</x:v>
      </x:c>
      <x:c r="O906" s="14" t="n">
        <x:v>0.26747250926651406</x:v>
      </x:c>
      <x:c r="P906" s="14" t="n">
        <x:v>0.24834522645470822</x:v>
      </x:c>
      <x:c r="Q906" s="14" t="n">
        <x:v>0.2340252630203052</x:v>
      </x:c>
      <x:c r="R906" s="14" t="n">
        <x:v>0.194346599005346</x:v>
      </x:c>
      <x:c r="S906" s="14" t="n">
        <x:v>0.6226468487535652</x:v>
      </x:c>
      <x:c r="T906" t="str">
        <x:v>여성소비</x:v>
      </x:c>
      <x:c r="U906" s="16" t="n">
        <x:v>66.61794935325786</x:v>
      </x:c>
      <x:c r="V906" t="str">
        <x:v>반찬가게</x:v>
      </x:c>
      <x:c r="W906" t="str">
        <x:v>반찬가게 / 육류판매 / 일반의류</x:v>
      </x:c>
      <x:c r="X906" s="16" t="n">
        <x:v>56.09675854504176</x:v>
      </x:c>
    </x:row>
    <x:row r="907">
      <x:c r="A907" t="str">
        <x:v>3110029</x:v>
      </x:c>
      <x:c r="B907" t="str">
        <x:v>동대문역 1번</x:v>
      </x:c>
      <x:c r="C907" t="str">
        <x:v>골목상권</x:v>
      </x:c>
      <x:c r="D907" t="str">
        <x:v>종로구</x:v>
      </x:c>
      <x:c r="E907" t="str">
        <x:v>창신2동</x:v>
      </x:c>
      <x:c r="F907" s="12" t="n">
        <x:v>153230</x:v>
      </x:c>
      <x:c r="G907" s="12" t="n">
        <x:v>2391985674</x:v>
      </x:c>
      <x:c r="H907" s="12" t="n">
        <x:v>149908</x:v>
      </x:c>
      <x:c r="I907" s="12" t="n">
        <x:v>15956.35772607199</x:v>
      </x:c>
      <x:c r="J907" s="12" t="n">
        <x:v>15610.426639691967</x:v>
      </x:c>
      <x:c r="K907" s="12" t="n">
        <x:v>45</x:v>
      </x:c>
      <x:c r="L907" s="12" t="n">
        <x:v>2.93676173073158</x:v>
      </x:c>
      <x:c r="M907" s="12" t="n">
        <x:v>8</x:v>
      </x:c>
      <x:c r="N907" s="14" t="n">
        <x:v>0.7315398453343747</x:v>
      </x:c>
      <x:c r="O907" s="14" t="n">
        <x:v>0.2684601546656253</x:v>
      </x:c>
      <x:c r="P907" s="14" t="n">
        <x:v>0.48744869531354895</x:v>
      </x:c>
      <x:c r="Q907" s="14" t="n">
        <x:v>0.15484833626975977</x:v>
      </x:c>
      <x:c r="R907" s="14" t="n">
        <x:v>0.20950341862289934</x:v>
      </x:c>
      <x:c r="S907" s="14" t="n">
        <x:v>0.39555449528164693</x:v>
      </x:c>
      <x:c r="T907" t="str">
        <x:v>야간활성</x:v>
      </x:c>
      <x:c r="U907" s="16" t="n">
        <x:v>61.91652655378642</x:v>
      </x:c>
      <x:c r="V907" t="str">
        <x:v>슈퍼마켓</x:v>
      </x:c>
      <x:c r="W907" t="str">
        <x:v>슈퍼마켓 / 일반의류 / 철물점</x:v>
      </x:c>
      <x:c r="X907" s="16" t="n">
        <x:v>49.299466500140724</x:v>
      </x:c>
    </x:row>
    <x:row r="908">
      <x:c r="A908" t="str">
        <x:v>3130049</x:v>
      </x:c>
      <x:c r="B908" t="str">
        <x:v>신당 미래유산 먹거리 골목형상점가</x:v>
      </x:c>
      <x:c r="C908" t="str">
        <x:v>전통시장</x:v>
      </x:c>
      <x:c r="D908" t="str">
        <x:v>중구</x:v>
      </x:c>
      <x:c r="E908" t="str">
        <x:v>신당동</x:v>
      </x:c>
      <x:c r="F908" s="12" t="n">
        <x:v>10196</x:v>
      </x:c>
      <x:c r="G908" s="12" t="n">
        <x:v>2374089645</x:v>
      </x:c>
      <x:c r="H908" s="12" t="n">
        <x:v>69466</x:v>
      </x:c>
      <x:c r="I908" s="12" t="n">
        <x:v>34176.2825698903</x:v>
      </x:c>
      <x:c r="J908" s="12" t="n">
        <x:v>232845.19860729697</x:v>
      </x:c>
      <x:c r="K908" s="12" t="n">
        <x:v>14</x:v>
      </x:c>
      <x:c r="L908" s="12" t="n">
        <x:v>13.730874852883485</x:v>
      </x:c>
      <x:c r="M908" s="12" t="n">
        <x:v>2</x:v>
      </x:c>
      <x:c r="N908" s="14" t="n">
        <x:v>0.5886376990621177</x:v>
      </x:c>
      <x:c r="O908" s="14" t="n">
        <x:v>0.41136230093788223</x:v>
      </x:c>
      <x:c r="P908" s="14" t="n">
        <x:v>0.5053138896951804</x:v>
      </x:c>
      <x:c r="Q908" s="14" t="n">
        <x:v>0.17129369560937535</x:v>
      </x:c>
      <x:c r="R908" s="14" t="n">
        <x:v>0.3140583177093972</x:v>
      </x:c>
      <x:c r="S908" s="14" t="n">
        <x:v>0.4637176091132818</x:v>
      </x:c>
      <x:c r="T908" t="str">
        <x:v>고매출밀도·야간활성</x:v>
      </x:c>
      <x:c r="U908" s="16" t="n">
        <x:v>51.93374447325029</x:v>
      </x:c>
      <x:c r="V908" t="str">
        <x:v>분식전문점</x:v>
      </x:c>
      <x:c r="W908" t="str">
        <x:v>분식전문점 / 일반의류</x:v>
      </x:c>
      <x:c r="X908" s="16" t="n">
        <x:v>48.04780688279024</x:v>
      </x:c>
    </x:row>
    <x:row r="909">
      <x:c r="A909" t="str">
        <x:v>3110853</x:v>
      </x:c>
      <x:c r="B909" t="str">
        <x:v>KT구로지사</x:v>
      </x:c>
      <x:c r="C909" t="str">
        <x:v>골목상권</x:v>
      </x:c>
      <x:c r="D909" t="str">
        <x:v>관악구</x:v>
      </x:c>
      <x:c r="E909" t="str">
        <x:v>조원동</x:v>
      </x:c>
      <x:c r="F909" s="12" t="n">
        <x:v>80033</x:v>
      </x:c>
      <x:c r="G909" s="12" t="n">
        <x:v>2368190290</x:v>
      </x:c>
      <x:c r="H909" s="12" t="n">
        <x:v>169847</x:v>
      </x:c>
      <x:c r="I909" s="12" t="n">
        <x:v>13943.079889547651</x:v>
      </x:c>
      <x:c r="J909" s="12" t="n">
        <x:v>29590.172678770006</x:v>
      </x:c>
      <x:c r="K909" s="12" t="n">
        <x:v>218</x:v>
      </x:c>
      <x:c r="L909" s="12" t="n">
        <x:v>27.238764009845937</x:v>
      </x:c>
      <x:c r="M909" s="12" t="n">
        <x:v>6</x:v>
      </x:c>
      <x:c r="N909" s="14" t="n">
        <x:v>0.7344309468476032</x:v>
      </x:c>
      <x:c r="O909" s="14" t="n">
        <x:v>0.2655690531523968</x:v>
      </x:c>
      <x:c r="P909" s="14" t="n">
        <x:v>0.4236779878866913</x:v>
      </x:c>
      <x:c r="Q909" s="14" t="n">
        <x:v>0.19614063234758047</x:v>
      </x:c>
      <x:c r="R909" s="14" t="n">
        <x:v>0.27864276312018826</x:v>
      </x:c>
      <x:c r="S909" s="14" t="n">
        <x:v>0.4792365536639372</x:v>
      </x:c>
      <x:c r="T909" t="str">
        <x:v>2030소비·여성소비</x:v>
      </x:c>
      <x:c r="U909" s="16" t="n">
        <x:v>57.596937134731775</x:v>
      </x:c>
      <x:c r="V909" t="str">
        <x:v>미용실</x:v>
      </x:c>
      <x:c r="W909" t="str">
        <x:v>미용실 / 슈퍼마켓 / 분식전문점</x:v>
      </x:c>
      <x:c r="X909" s="16" t="n">
        <x:v>45.476431807017455</x:v>
      </x:c>
    </x:row>
    <x:row r="910">
      <x:c r="A910" t="str">
        <x:v>3110614</x:v>
      </x:c>
      <x:c r="B910" t="str">
        <x:v>목동로데오거리</x:v>
      </x:c>
      <x:c r="C910" t="str">
        <x:v>골목상권</x:v>
      </x:c>
      <x:c r="D910" t="str">
        <x:v>양천구</x:v>
      </x:c>
      <x:c r="E910" t="str">
        <x:v>신정4동</x:v>
      </x:c>
      <x:c r="F910" s="12" t="n">
        <x:v>77332</x:v>
      </x:c>
      <x:c r="G910" s="12" t="n">
        <x:v>2362148229</x:v>
      </x:c>
      <x:c r="H910" s="12" t="n">
        <x:v>31001</x:v>
      </x:c>
      <x:c r="I910" s="12" t="n">
        <x:v>76195.87203638592</x:v>
      </x:c>
      <x:c r="J910" s="12" t="n">
        <x:v>30545.546849945687</x:v>
      </x:c>
      <x:c r="K910" s="12" t="n">
        <x:v>515</x:v>
      </x:c>
      <x:c r="L910" s="12" t="n">
        <x:v>66.59597579268608</x:v>
      </x:c>
      <x:c r="M910" s="12" t="n">
        <x:v>10</x:v>
      </x:c>
      <x:c r="N910" s="14" t="n">
        <x:v>0.7250854251958123</x:v>
      </x:c>
      <x:c r="O910" s="14" t="n">
        <x:v>0.2749145748041877</x:v>
      </x:c>
      <x:c r="P910" s="14" t="n">
        <x:v>0.4077159490569802</x:v>
      </x:c>
      <x:c r="Q910" s="14" t="n">
        <x:v>0.2096758086217459</x:v>
      </x:c>
      <x:c r="R910" s="14" t="n">
        <x:v>0.22384216303980303</x:v>
      </x:c>
      <x:c r="S910" s="14" t="n">
        <x:v>0.3057158615764413</x:v>
      </x:c>
      <x:c r="T910" t="str">
        <x:v>균형형</x:v>
      </x:c>
      <x:c r="U910" s="16" t="n">
        <x:v>65.75006742236658</x:v>
      </x:c>
      <x:c r="V910" t="str">
        <x:v>자동차수리</x:v>
      </x:c>
      <x:c r="W910" t="str">
        <x:v>자동차수리 / 일반의류 / 운동/경기용품</x:v>
      </x:c>
      <x:c r="X910" s="16" t="n">
        <x:v>50.99449792218603</x:v>
      </x:c>
    </x:row>
    <x:row r="911">
      <x:c r="A911" t="str">
        <x:v>3110590</x:v>
      </x:c>
      <x:c r="B911" t="str">
        <x:v>만리재</x:v>
      </x:c>
      <x:c r="C911" t="str">
        <x:v>골목상권</x:v>
      </x:c>
      <x:c r="D911" t="str">
        <x:v>마포구</x:v>
      </x:c>
      <x:c r="E911" t="str">
        <x:v>공덕동</x:v>
      </x:c>
      <x:c r="F911" s="12" t="n">
        <x:v>59702</x:v>
      </x:c>
      <x:c r="G911" s="12" t="n">
        <x:v>2348388679</x:v>
      </x:c>
      <x:c r="H911" s="12" t="n">
        <x:v>150195</x:v>
      </x:c>
      <x:c r="I911" s="12" t="n">
        <x:v>15635.59824894304</x:v>
      </x:c>
      <x:c r="J911" s="12" t="n">
        <x:v>39335.17602425379</x:v>
      </x:c>
      <x:c r="K911" s="12" t="n">
        <x:v>312</x:v>
      </x:c>
      <x:c r="L911" s="12" t="n">
        <x:v>52.25955579377575</x:v>
      </x:c>
      <x:c r="M911" s="12" t="n">
        <x:v>9</x:v>
      </x:c>
      <x:c r="N911" s="14" t="n">
        <x:v>0.8106873777004782</x:v>
      </x:c>
      <x:c r="O911" s="14" t="n">
        <x:v>0.18931262229952184</x:v>
      </x:c>
      <x:c r="P911" s="14" t="n">
        <x:v>0.3489935304700045</x:v>
      </x:c>
      <x:c r="Q911" s="14" t="n">
        <x:v>0.21116876581570337</x:v>
      </x:c>
      <x:c r="R911" s="14" t="n">
        <x:v>0.11676301050674584</x:v>
      </x:c>
      <x:c r="S911" s="14" t="n">
        <x:v>0.4484207956786867</x:v>
      </x:c>
      <x:c r="T911" t="str">
        <x:v>평일집중·여성소비</x:v>
      </x:c>
      <x:c r="U911" s="16" t="n">
        <x:v>71.35715139231664</x:v>
      </x:c>
      <x:c r="V911" t="str">
        <x:v>핸드폰</x:v>
      </x:c>
      <x:c r="W911" t="str">
        <x:v>핸드폰 / 분식전문점 / 미용실</x:v>
      </x:c>
      <x:c r="X911" s="16" t="n">
        <x:v>50.48957521883957</x:v>
      </x:c>
    </x:row>
    <x:row r="912">
      <x:c r="A912" t="str">
        <x:v>3110488</x:v>
      </x:c>
      <x:c r="B912" t="str">
        <x:v>우리은행응암동지점</x:v>
      </x:c>
      <x:c r="C912" t="str">
        <x:v>골목상권</x:v>
      </x:c>
      <x:c r="D912" t="str">
        <x:v>은평구</x:v>
      </x:c>
      <x:c r="E912" t="str">
        <x:v>응암1동</x:v>
      </x:c>
      <x:c r="F912" s="12" t="n">
        <x:v>93490</x:v>
      </x:c>
      <x:c r="G912" s="12" t="n">
        <x:v>2344280965</x:v>
      </x:c>
      <x:c r="H912" s="12" t="n">
        <x:v>76843</x:v>
      </x:c>
      <x:c r="I912" s="12" t="n">
        <x:v>30507.410759600745</x:v>
      </x:c>
      <x:c r="J912" s="12" t="n">
        <x:v>25075.205530003208</x:v>
      </x:c>
      <x:c r="K912" s="12" t="n">
        <x:v>299</x:v>
      </x:c>
      <x:c r="L912" s="12" t="n">
        <x:v>31.982030163653867</x:v>
      </x:c>
      <x:c r="M912" s="12" t="n">
        <x:v>12</x:v>
      </x:c>
      <x:c r="N912" s="14" t="n">
        <x:v>0.8230883370244829</x:v>
      </x:c>
      <x:c r="O912" s="14" t="n">
        <x:v>0.1769116629755171</x:v>
      </x:c>
      <x:c r="P912" s="14" t="n">
        <x:v>0.3405138773542872</x:v>
      </x:c>
      <x:c r="Q912" s="14" t="n">
        <x:v>0.20312810926227864</x:v>
      </x:c>
      <x:c r="R912" s="14" t="n">
        <x:v>0.15986642667637752</x:v>
      </x:c>
      <x:c r="S912" s="14" t="n">
        <x:v>0.4131274426826223</x:v>
      </x:c>
      <x:c r="T912" t="str">
        <x:v>평일집중</x:v>
      </x:c>
      <x:c r="U912" s="16" t="n">
        <x:v>75.2562459242995</x:v>
      </x:c>
      <x:c r="V912" t="str">
        <x:v>예술학원</x:v>
      </x:c>
      <x:c r="W912" t="str">
        <x:v>예술학원 / 제과점 / 일반교습학원</x:v>
      </x:c>
      <x:c r="X912" s="16" t="n">
        <x:v>54.755447920965445</x:v>
      </x:c>
    </x:row>
    <x:row r="913">
      <x:c r="A913" t="str">
        <x:v>3130230</x:v>
      </x:c>
      <x:c r="B913" t="str">
        <x:v>가리봉시장</x:v>
      </x:c>
      <x:c r="C913" t="str">
        <x:v>전통시장</x:v>
      </x:c>
      <x:c r="D913" t="str">
        <x:v>구로구</x:v>
      </x:c>
      <x:c r="E913" t="str">
        <x:v>가리봉동</x:v>
      </x:c>
      <x:c r="F913" s="12" t="n">
        <x:v>20139</x:v>
      </x:c>
      <x:c r="G913" s="12" t="n">
        <x:v>2342983078</x:v>
      </x:c>
      <x:c r="H913" s="12" t="n">
        <x:v>83819</x:v>
      </x:c>
      <x:c r="I913" s="12" t="n">
        <x:v>27952.887507605676</x:v>
      </x:c>
      <x:c r="J913" s="12" t="n">
        <x:v>116340.58682158995</x:v>
      </x:c>
      <x:c r="K913" s="12" t="n">
        <x:v>31</x:v>
      </x:c>
      <x:c r="L913" s="12" t="n">
        <x:v>15.393018521277124</x:v>
      </x:c>
      <x:c r="M913" s="12" t="n">
        <x:v>11</x:v>
      </x:c>
      <x:c r="N913" s="14" t="n">
        <x:v>0.7526866303726671</x:v>
      </x:c>
      <x:c r="O913" s="14" t="n">
        <x:v>0.24731336962733283</x:v>
      </x:c>
      <x:c r="P913" s="14" t="n">
        <x:v>0.23095165478612986</x:v>
      </x:c>
      <x:c r="Q913" s="14" t="n">
        <x:v>0.3457738161265542</x:v>
      </x:c>
      <x:c r="R913" s="14" t="n">
        <x:v>0.06409711594169695</x:v>
      </x:c>
      <x:c r="S913" s="14" t="n">
        <x:v>0.4679845950641561</x:v>
      </x:c>
      <x:c r="T913" t="str">
        <x:v>고매출밀도·여성소비</x:v>
      </x:c>
      <x:c r="U913" s="16" t="n">
        <x:v>69.36368850299665</x:v>
      </x:c>
      <x:c r="V913" t="str">
        <x:v>육류판매</x:v>
      </x:c>
      <x:c r="W913" t="str">
        <x:v>육류판매 / 반찬가게 / 핸드폰</x:v>
      </x:c>
      <x:c r="X913" s="16" t="n">
        <x:v>58.256640455313274</x:v>
      </x:c>
    </x:row>
    <x:row r="914">
      <x:c r="A914" t="str">
        <x:v>3110998</x:v>
      </x:c>
      <x:c r="B914" t="str">
        <x:v>은곡마을(은곡마을공원)</x:v>
      </x:c>
      <x:c r="C914" t="str">
        <x:v>골목상권</x:v>
      </x:c>
      <x:c r="D914" t="str">
        <x:v>강남구</x:v>
      </x:c>
      <x:c r="E914" t="str">
        <x:v>세곡동</x:v>
      </x:c>
      <x:c r="F914" s="12" t="n">
        <x:v>116896</x:v>
      </x:c>
      <x:c r="G914" s="12" t="n">
        <x:v>2332629690</x:v>
      </x:c>
      <x:c r="H914" s="12" t="n">
        <x:v>113777</x:v>
      </x:c>
      <x:c r="I914" s="12" t="n">
        <x:v>20501.76828357225</x:v>
      </x:c>
      <x:c r="J914" s="12" t="n">
        <x:v>19954.74344716671</x:v>
      </x:c>
      <x:c r="K914" s="12" t="n">
        <x:v>93</x:v>
      </x:c>
      <x:c r="L914" s="12" t="n">
        <x:v>7.955789761839584</x:v>
      </x:c>
      <x:c r="M914" s="12" t="n">
        <x:v>5</x:v>
      </x:c>
      <x:c r="N914" s="14" t="n">
        <x:v>0.6989655533365007</x:v>
      </x:c>
      <x:c r="O914" s="14" t="n">
        <x:v>0.3010344466634993</x:v>
      </x:c>
      <x:c r="P914" s="14" t="n">
        <x:v>0.37815023223853417</x:v>
      </x:c>
      <x:c r="Q914" s="14" t="n">
        <x:v>0.29681449651787634</x:v>
      </x:c>
      <x:c r="R914" s="14" t="n">
        <x:v>0.18396709337948966</x:v>
      </x:c>
      <x:c r="S914" s="14" t="n">
        <x:v>0.48766515657270915</x:v>
      </x:c>
      <x:c r="T914" t="str">
        <x:v>여성소비</x:v>
      </x:c>
      <x:c r="U914" s="16" t="n">
        <x:v>55.34820431001498</x:v>
      </x:c>
      <x:c r="V914" t="str">
        <x:v>커피-음료</x:v>
      </x:c>
      <x:c r="W914" t="str">
        <x:v>커피-음료 / 슈퍼마켓 / 의약품</x:v>
      </x:c>
      <x:c r="X914" s="16" t="n">
        <x:v>45.24019683730434</x:v>
      </x:c>
    </x:row>
    <x:row r="915">
      <x:c r="A915" t="str">
        <x:v>3110125</x:v>
      </x:c>
      <x:c r="B915" t="str">
        <x:v>사근동살곶이상점가</x:v>
      </x:c>
      <x:c r="C915" t="str">
        <x:v>골목상권</x:v>
      </x:c>
      <x:c r="D915" t="str">
        <x:v>성동구</x:v>
      </x:c>
      <x:c r="E915" t="str">
        <x:v>사근동</x:v>
      </x:c>
      <x:c r="F915" s="12" t="n">
        <x:v>128923</x:v>
      </x:c>
      <x:c r="G915" s="12" t="n">
        <x:v>2326095104</x:v>
      </x:c>
      <x:c r="H915" s="12" t="n">
        <x:v>220523</x:v>
      </x:c>
      <x:c r="I915" s="12" t="n">
        <x:v>10548.083891476173</x:v>
      </x:c>
      <x:c r="J915" s="12" t="n">
        <x:v>18042.514555199614</x:v>
      </x:c>
      <x:c r="K915" s="12" t="n">
        <x:v>97</x:v>
      </x:c>
      <x:c r="L915" s="12" t="n">
        <x:v>7.523870837631765</x:v>
      </x:c>
      <x:c r="M915" s="12" t="n">
        <x:v>10</x:v>
      </x:c>
      <x:c r="N915" s="14" t="n">
        <x:v>0.7839892757884417</x:v>
      </x:c>
      <x:c r="O915" s="14" t="n">
        <x:v>0.21601072421155829</x:v>
      </x:c>
      <x:c r="P915" s="14" t="n">
        <x:v>0.36335057390671505</x:v>
      </x:c>
      <x:c r="Q915" s="14" t="n">
        <x:v>0.37902144090493733</x:v>
      </x:c>
      <x:c r="R915" s="14" t="n">
        <x:v>0.49490759729486966</x:v>
      </x:c>
      <x:c r="S915" s="14" t="n">
        <x:v>0.37840505553121184</x:v>
      </x:c>
      <x:c r="T915" t="str">
        <x:v>2030소비·평일집중</x:v>
      </x:c>
      <x:c r="U915" s="16" t="n">
        <x:v>56.604989980285175</x:v>
      </x:c>
      <x:c r="V915" t="str">
        <x:v>커피-음료</x:v>
      </x:c>
      <x:c r="W915" t="str">
        <x:v>커피-음료 / 슈퍼마켓 / 한식음식점</x:v>
      </x:c>
      <x:c r="X915" s="16" t="n">
        <x:v>52.70002364377331</x:v>
      </x:c>
    </x:row>
    <x:row r="916">
      <x:c r="A916" t="str">
        <x:v>3110888</x:v>
      </x:c>
      <x:c r="B916" t="str">
        <x:v>청룡동주민센터</x:v>
      </x:c>
      <x:c r="C916" t="str">
        <x:v>골목상권</x:v>
      </x:c>
      <x:c r="D916" t="str">
        <x:v>관악구</x:v>
      </x:c>
      <x:c r="E916" t="str">
        <x:v>청룡동</x:v>
      </x:c>
      <x:c r="F916" s="12" t="n">
        <x:v>38688</x:v>
      </x:c>
      <x:c r="G916" s="12" t="n">
        <x:v>2318529184</x:v>
      </x:c>
      <x:c r="H916" s="12" t="n">
        <x:v>70714</x:v>
      </x:c>
      <x:c r="I916" s="12" t="n">
        <x:v>32787.41386429844</x:v>
      </x:c>
      <x:c r="J916" s="12" t="n">
        <x:v>59928.89743589744</x:v>
      </x:c>
      <x:c r="K916" s="12" t="n">
        <x:v>245</x:v>
      </x:c>
      <x:c r="L916" s="12" t="n">
        <x:v>63.327129859387924</x:v>
      </x:c>
      <x:c r="M916" s="12" t="n">
        <x:v>12</x:v>
      </x:c>
      <x:c r="N916" s="14" t="n">
        <x:v>0.7739477274572016</x:v>
      </x:c>
      <x:c r="O916" s="14" t="n">
        <x:v>0.22605227254279842</x:v>
      </x:c>
      <x:c r="P916" s="14" t="n">
        <x:v>0.3700791195216631</x:v>
      </x:c>
      <x:c r="Q916" s="14" t="n">
        <x:v>0.2511203417312689</x:v>
      </x:c>
      <x:c r="R916" s="14" t="n">
        <x:v>0.2025610668353787</x:v>
      </x:c>
      <x:c r="S916" s="14" t="n">
        <x:v>0.4511165100779685</x:v>
      </x:c>
      <x:c r="T916" t="str">
        <x:v>평일집중·여성소비</x:v>
      </x:c>
      <x:c r="U916" s="16" t="n">
        <x:v>56.22023946454729</x:v>
      </x:c>
      <x:c r="V916" t="str">
        <x:v>미용실</x:v>
      </x:c>
      <x:c r="W916" t="str">
        <x:v>미용실 / 육류판매 / 한식음식점</x:v>
      </x:c>
      <x:c r="X916" s="16" t="n">
        <x:v>52.78522395452461</x:v>
      </x:c>
    </x:row>
    <x:row r="917">
      <x:c r="A917" t="str">
        <x:v>3110880</x:v>
      </x:c>
      <x:c r="B917" t="str">
        <x:v>신림역 1번</x:v>
      </x:c>
      <x:c r="C917" t="str">
        <x:v>골목상권</x:v>
      </x:c>
      <x:c r="D917" t="str">
        <x:v>관악구</x:v>
      </x:c>
      <x:c r="E917" t="str">
        <x:v>서원동</x:v>
      </x:c>
      <x:c r="F917" s="12" t="n">
        <x:v>38288</x:v>
      </x:c>
      <x:c r="G917" s="12" t="n">
        <x:v>2315664896</x:v>
      </x:c>
      <x:c r="H917" s="12" t="n">
        <x:v>92458</x:v>
      </x:c>
      <x:c r="I917" s="12" t="n">
        <x:v>25045.587142270004</x:v>
      </x:c>
      <x:c r="J917" s="12" t="n">
        <x:v>60480.17384036774</x:v>
      </x:c>
      <x:c r="K917" s="12" t="n">
        <x:v>438</x:v>
      </x:c>
      <x:c r="L917" s="12" t="n">
        <x:v>114.39615545340577</x:v>
      </x:c>
      <x:c r="M917" s="12" t="n">
        <x:v>3</x:v>
      </x:c>
      <x:c r="N917" s="14" t="n">
        <x:v>0.8318592989544545</x:v>
      </x:c>
      <x:c r="O917" s="14" t="n">
        <x:v>0.1681407010455454</x:v>
      </x:c>
      <x:c r="P917" s="14" t="n">
        <x:v>0.12346927333651647</x:v>
      </x:c>
      <x:c r="Q917" s="14" t="n">
        <x:v>0.34583343012338863</x:v>
      </x:c>
      <x:c r="R917" s="14" t="n">
        <x:v>0.15173457938881327</x:v>
      </x:c>
      <x:c r="S917" s="14" t="n">
        <x:v>0.46958527025146907</x:v>
      </x:c>
      <x:c r="T917" t="str">
        <x:v>평일집중·여성소비</x:v>
      </x:c>
      <x:c r="U917" s="16" t="n">
        <x:v>72.03697472420447</x:v>
      </x:c>
      <x:c r="V917" t="str">
        <x:v>의약품</x:v>
      </x:c>
      <x:c r="W917" t="str">
        <x:v>의약품 / 제과점 / 한식음식점</x:v>
      </x:c>
      <x:c r="X917" s="16" t="n">
        <x:v>54.55399459596021</x:v>
      </x:c>
    </x:row>
    <x:row r="918">
      <x:c r="A918" t="str">
        <x:v>3110024</x:v>
      </x:c>
      <x:c r="B918" t="str">
        <x:v>혜화동주민센터</x:v>
      </x:c>
      <x:c r="C918" t="str">
        <x:v>골목상권</x:v>
      </x:c>
      <x:c r="D918" t="str">
        <x:v>종로구</x:v>
      </x:c>
      <x:c r="E918" t="str">
        <x:v>혜화동</x:v>
      </x:c>
      <x:c r="F918" s="12" t="n">
        <x:v>52850</x:v>
      </x:c>
      <x:c r="G918" s="12" t="n">
        <x:v>2307730573</x:v>
      </x:c>
      <x:c r="H918" s="12" t="n">
        <x:v>79923</x:v>
      </x:c>
      <x:c r="I918" s="12" t="n">
        <x:v>28874.423795403076</x:v>
      </x:c>
      <x:c r="J918" s="12" t="n">
        <x:v>43665.66836329234</x:v>
      </x:c>
      <x:c r="K918" s="12" t="n">
        <x:v>521</x:v>
      </x:c>
      <x:c r="L918" s="12" t="n">
        <x:v>98.58088930936613</x:v>
      </x:c>
      <x:c r="M918" s="12" t="n">
        <x:v>8</x:v>
      </x:c>
      <x:c r="N918" s="14" t="n">
        <x:v>0.7366994028206255</x:v>
      </x:c>
      <x:c r="O918" s="14" t="n">
        <x:v>0.2633005971793745</x:v>
      </x:c>
      <x:c r="P918" s="14" t="n">
        <x:v>0.34805636602362594</x:v>
      </x:c>
      <x:c r="Q918" s="14" t="n">
        <x:v>0.40832538383153794</x:v>
      </x:c>
      <x:c r="R918" s="14" t="n">
        <x:v>0.19847798757745191</x:v>
      </x:c>
      <x:c r="S918" s="14" t="n">
        <x:v>0.4715560120977779</x:v>
      </x:c>
      <x:c r="T918" t="str">
        <x:v>여성소비·직장밀집</x:v>
      </x:c>
      <x:c r="U918" s="16" t="n">
        <x:v>62.38635494604088</x:v>
      </x:c>
      <x:c r="V918" t="str">
        <x:v>예술학원</x:v>
      </x:c>
      <x:c r="W918" t="str">
        <x:v>예술학원 / 한식음식점 / 화초</x:v>
      </x:c>
      <x:c r="X918" s="16" t="n">
        <x:v>58.13486073885141</x:v>
      </x:c>
    </x:row>
    <x:row r="919">
      <x:c r="A919" t="str">
        <x:v>3110323</x:v>
      </x:c>
      <x:c r="B919" t="str">
        <x:v>상월곡역 1번</x:v>
      </x:c>
      <x:c r="C919" t="str">
        <x:v>골목상권</x:v>
      </x:c>
      <x:c r="D919" t="str">
        <x:v>성북구</x:v>
      </x:c>
      <x:c r="E919" t="str">
        <x:v>월곡2동</x:v>
      </x:c>
      <x:c r="F919" s="12" t="n">
        <x:v>83644</x:v>
      </x:c>
      <x:c r="G919" s="12" t="n">
        <x:v>2307122578</x:v>
      </x:c>
      <x:c r="H919" s="12" t="n">
        <x:v>109812</x:v>
      </x:c>
      <x:c r="I919" s="12" t="n">
        <x:v>21009.749189523915</x:v>
      </x:c>
      <x:c r="J919" s="12" t="n">
        <x:v>27582.64284347951</x:v>
      </x:c>
      <x:c r="K919" s="12" t="n">
        <x:v>478</x:v>
      </x:c>
      <x:c r="L919" s="12" t="n">
        <x:v>57.14695614748219</x:v>
      </x:c>
      <x:c r="M919" s="12" t="n">
        <x:v>14</x:v>
      </x:c>
      <x:c r="N919" s="14" t="n">
        <x:v>0.7723073819270646</x:v>
      </x:c>
      <x:c r="O919" s="14" t="n">
        <x:v>0.22769261807293534</x:v>
      </x:c>
      <x:c r="P919" s="14" t="n">
        <x:v>0.5381245894079235</x:v>
      </x:c>
      <x:c r="Q919" s="14" t="n">
        <x:v>0.21486484841638961</x:v>
      </x:c>
      <x:c r="R919" s="14" t="n">
        <x:v>0.29810066121246204</x:v>
      </x:c>
      <x:c r="S919" s="14" t="n">
        <x:v>0.4976539252610097</x:v>
      </x:c>
      <x:c r="T919" t="str">
        <x:v>야간활성·2030소비</x:v>
      </x:c>
      <x:c r="U919" s="16" t="n">
        <x:v>66.99470934266226</x:v>
      </x:c>
      <x:c r="V919" t="str">
        <x:v>반찬가게</x:v>
      </x:c>
      <x:c r="W919" t="str">
        <x:v>반찬가게 / 커피-음료 / 미용실</x:v>
      </x:c>
      <x:c r="X919" s="16" t="n">
        <x:v>59.14055115489234</x:v>
      </x:c>
    </x:row>
    <x:row r="920">
      <x:c r="A920" t="str">
        <x:v>3111000</x:v>
      </x:c>
      <x:c r="B920" t="str">
        <x:v>대왕초등학교(세곡동사거리서남측)</x:v>
      </x:c>
      <x:c r="C920" t="str">
        <x:v>골목상권</x:v>
      </x:c>
      <x:c r="D920" t="str">
        <x:v>강남구</x:v>
      </x:c>
      <x:c r="E920" t="str">
        <x:v>세곡동</x:v>
      </x:c>
      <x:c r="F920" s="12" t="n">
        <x:v>52892</x:v>
      </x:c>
      <x:c r="G920" s="12" t="n">
        <x:v>2295631670</x:v>
      </x:c>
      <x:c r="H920" s="12" t="n">
        <x:v>76253</x:v>
      </x:c>
      <x:c r="I920" s="12" t="n">
        <x:v>30105.460375329494</x:v>
      </x:c>
      <x:c r="J920" s="12" t="n">
        <x:v>43402.24740981623</x:v>
      </x:c>
      <x:c r="K920" s="12" t="n">
        <x:v>19</x:v>
      </x:c>
      <x:c r="L920" s="12" t="n">
        <x:v>3.592225667397716</x:v>
      </x:c>
      <x:c r="M920" s="12" t="n">
        <x:v>4</x:v>
      </x:c>
      <x:c r="N920" s="14" t="n">
        <x:v>0.7733223396417074</x:v>
      </x:c>
      <x:c r="O920" s="14" t="n">
        <x:v>0.2266776603582926</x:v>
      </x:c>
      <x:c r="P920" s="14" t="n">
        <x:v>0.4208617064426542</x:v>
      </x:c>
      <x:c r="Q920" s="14" t="n">
        <x:v>0.3193431087313759</x:v>
      </x:c>
      <x:c r="R920" s="14" t="n">
        <x:v>0.11514009039612177</x:v>
      </x:c>
      <x:c r="S920" s="14" t="n">
        <x:v>0.20098398363706144</x:v>
      </x:c>
      <x:c r="T920" t="str">
        <x:v>야간활성·평일집중</x:v>
      </x:c>
      <x:c r="U920" s="16" t="n">
        <x:v>70.25634122153679</x:v>
      </x:c>
      <x:c r="V920" t="str">
        <x:v>철물점</x:v>
      </x:c>
      <x:c r="W920" t="str">
        <x:v>철물점 / 한식음식점 / 슈퍼마켓</x:v>
      </x:c>
      <x:c r="X920" s="16" t="n">
        <x:v>52.22043332510325</x:v>
      </x:c>
    </x:row>
    <x:row r="921">
      <x:c r="A921" t="str">
        <x:v>3110346</x:v>
      </x:c>
      <x:c r="B921" t="str">
        <x:v>4.19민주묘지역 2번</x:v>
      </x:c>
      <x:c r="C921" t="str">
        <x:v>골목상권</x:v>
      </x:c>
      <x:c r="D921" t="str">
        <x:v>강북구</x:v>
      </x:c>
      <x:c r="E921" t="str">
        <x:v>우이동</x:v>
      </x:c>
      <x:c r="F921" s="12" t="n">
        <x:v>60794</x:v>
      </x:c>
      <x:c r="G921" s="12" t="n">
        <x:v>2291720729</x:v>
      </x:c>
      <x:c r="H921" s="12" t="n">
        <x:v>130871</x:v>
      </x:c>
      <x:c r="I921" s="12" t="n">
        <x:v>17511.295313705865</x:v>
      </x:c>
      <x:c r="J921" s="12" t="n">
        <x:v>37696.49519689443</x:v>
      </x:c>
      <x:c r="K921" s="12" t="n">
        <x:v>239</x:v>
      </x:c>
      <x:c r="L921" s="12" t="n">
        <x:v>39.31309010757641</x:v>
      </x:c>
      <x:c r="M921" s="12" t="n">
        <x:v>7</x:v>
      </x:c>
      <x:c r="N921" s="14" t="n">
        <x:v>0.6298769238038341</x:v>
      </x:c>
      <x:c r="O921" s="14" t="n">
        <x:v>0.37012307619616597</x:v>
      </x:c>
      <x:c r="P921" s="14" t="n">
        <x:v>0.4306398652817701</x:v>
      </x:c>
      <x:c r="Q921" s="14" t="n">
        <x:v>0.2917666478898442</x:v>
      </x:c>
      <x:c r="R921" s="14" t="n">
        <x:v>0.23746252242412735</x:v>
      </x:c>
      <x:c r="S921" s="14" t="n">
        <x:v>0.40053293160224324</x:v>
      </x:c>
      <x:c r="T921" t="str">
        <x:v>야간활성·2030소비</x:v>
      </x:c>
      <x:c r="U921" s="16" t="n">
        <x:v>60.05197033361428</x:v>
      </x:c>
      <x:c r="V921" t="str">
        <x:v>커피-음료</x:v>
      </x:c>
      <x:c r="W921" t="str">
        <x:v>커피-음료 / 미용실 / 한식음식점</x:v>
      </x:c>
      <x:c r="X921" s="16" t="n">
        <x:v>50.380103622070656</x:v>
      </x:c>
    </x:row>
    <x:row r="922">
      <x:c r="A922" t="str">
        <x:v>3110860</x:v>
      </x:c>
      <x:c r="B922" t="str">
        <x:v>호림박물관(성보고등학교)</x:v>
      </x:c>
      <x:c r="C922" t="str">
        <x:v>골목상권</x:v>
      </x:c>
      <x:c r="D922" t="str">
        <x:v>관악구</x:v>
      </x:c>
      <x:c r="E922" t="str">
        <x:v>미성동</x:v>
      </x:c>
      <x:c r="F922" s="12" t="n">
        <x:v>69058</x:v>
      </x:c>
      <x:c r="G922" s="12" t="n">
        <x:v>2285816541</x:v>
      </x:c>
      <x:c r="H922" s="12" t="n">
        <x:v>42943</x:v>
      </x:c>
      <x:c r="I922" s="12" t="n">
        <x:v>53229.08369233635</x:v>
      </x:c>
      <x:c r="J922" s="12" t="n">
        <x:v>33099.95280778476</x:v>
      </x:c>
      <x:c r="K922" s="12" t="n">
        <x:v>438</x:v>
      </x:c>
      <x:c r="L922" s="12" t="n">
        <x:v>63.424947145877375</x:v>
      </x:c>
      <x:c r="M922" s="12" t="n">
        <x:v>8</x:v>
      </x:c>
      <x:c r="N922" s="14" t="n">
        <x:v>0.8380452125707144</x:v>
      </x:c>
      <x:c r="O922" s="14" t="n">
        <x:v>0.16195478742928565</x:v>
      </x:c>
      <x:c r="P922" s="14" t="n">
        <x:v>0.18738712110842146</x:v>
      </x:c>
      <x:c r="Q922" s="14" t="n">
        <x:v>0.19820957888500992</x:v>
      </x:c>
      <x:c r="R922" s="14" t="n">
        <x:v>0.08103410342763812</x:v>
      </x:c>
      <x:c r="S922" s="14" t="n">
        <x:v>0.30920386099349695</x:v>
      </x:c>
      <x:c r="T922" t="str">
        <x:v>평일집중</x:v>
      </x:c>
      <x:c r="U922" s="16" t="n">
        <x:v>80.32363732020346</x:v>
      </x:c>
      <x:c r="V922" t="str">
        <x:v>인테리어</x:v>
      </x:c>
      <x:c r="W922" t="str">
        <x:v>인테리어 / 자전거 및 기타운송장비 / 일반의류</x:v>
      </x:c>
      <x:c r="X922" s="16" t="n">
        <x:v>62.55416881651028</x:v>
      </x:c>
    </x:row>
    <x:row r="923">
      <x:c r="A923" t="str">
        <x:v>3130322</x:v>
      </x:c>
      <x:c r="B923" t="str">
        <x:v>고분다리전통시장</x:v>
      </x:c>
      <x:c r="C923" t="str">
        <x:v>전통시장</x:v>
      </x:c>
      <x:c r="D923" t="str">
        <x:v>강동구</x:v>
      </x:c>
      <x:c r="E923" t="str">
        <x:v>천호3동</x:v>
      </x:c>
      <x:c r="F923" s="12" t="n">
        <x:v>20499</x:v>
      </x:c>
      <x:c r="G923" s="12" t="n">
        <x:v>2283174860</x:v>
      </x:c>
      <x:c r="H923" s="12" t="n">
        <x:v>79000</x:v>
      </x:c>
      <x:c r="I923" s="12" t="n">
        <x:v>28900.947594936708</x:v>
      </x:c>
      <x:c r="J923" s="12" t="n">
        <x:v>111379.81657641837</x:v>
      </x:c>
      <x:c r="K923" s="12" t="n">
        <x:v>82</x:v>
      </x:c>
      <x:c r="L923" s="12" t="n">
        <x:v>40.00195131469828</x:v>
      </x:c>
      <x:c r="M923" s="12" t="n">
        <x:v>11</x:v>
      </x:c>
      <x:c r="N923" s="14" t="n">
        <x:v>0.7009108899350792</x:v>
      </x:c>
      <x:c r="O923" s="14" t="n">
        <x:v>0.2990891100649207</x:v>
      </x:c>
      <x:c r="P923" s="14" t="n">
        <x:v>0.32216676124403365</x:v>
      </x:c>
      <x:c r="Q923" s="14" t="n">
        <x:v>0.24372348423633222</x:v>
      </x:c>
      <x:c r="R923" s="14" t="n">
        <x:v>0.11591712077628605</x:v>
      </x:c>
      <x:c r="S923" s="14" t="n">
        <x:v>0.5493236685340868</x:v>
      </x:c>
      <x:c r="T923" t="str">
        <x:v>여성소비·고매출밀도</x:v>
      </x:c>
      <x:c r="U923" s="16" t="n">
        <x:v>60.96981013432353</x:v>
      </x:c>
      <x:c r="V923" t="str">
        <x:v>육류판매</x:v>
      </x:c>
      <x:c r="W923" t="str">
        <x:v>육류판매 / 반찬가게 / 시계및귀금속</x:v>
      </x:c>
      <x:c r="X923" s="16" t="n">
        <x:v>51.109621944688755</x:v>
      </x:c>
    </x:row>
    <x:row r="924">
      <x:c r="A924" t="str">
        <x:v>3110916</x:v>
      </x:c>
      <x:c r="B924" t="str">
        <x:v>내방역 4번</x:v>
      </x:c>
      <x:c r="C924" t="str">
        <x:v>골목상권</x:v>
      </x:c>
      <x:c r="D924" t="str">
        <x:v>서초구</x:v>
      </x:c>
      <x:c r="E924" t="str">
        <x:v>방배1동</x:v>
      </x:c>
      <x:c r="F924" s="12" t="n">
        <x:v>103116</x:v>
      </x:c>
      <x:c r="G924" s="12" t="n">
        <x:v>2276840734</x:v>
      </x:c>
      <x:c r="H924" s="12" t="n">
        <x:v>158057</x:v>
      </x:c>
      <x:c r="I924" s="12" t="n">
        <x:v>14405.187584225943</x:v>
      </x:c>
      <x:c r="J924" s="12" t="n">
        <x:v>22080.38261763451</x:v>
      </x:c>
      <x:c r="K924" s="12" t="n">
        <x:v>5214</x:v>
      </x:c>
      <x:c r="L924" s="12" t="n">
        <x:v>505.64412894216224</x:v>
      </x:c>
      <x:c r="M924" s="12" t="n">
        <x:v>9</x:v>
      </x:c>
      <x:c r="N924" s="14" t="n">
        <x:v>0.767292518932947</x:v>
      </x:c>
      <x:c r="O924" s="14" t="n">
        <x:v>0.23270748106705297</x:v>
      </x:c>
      <x:c r="P924" s="14" t="n">
        <x:v>0.3028749862483794</x:v>
      </x:c>
      <x:c r="Q924" s="14" t="n">
        <x:v>0.37615758810471106</x:v>
      </x:c>
      <x:c r="R924" s="14" t="n">
        <x:v>0.20155977102261383</x:v>
      </x:c>
      <x:c r="S924" s="14" t="n">
        <x:v>0.3947713173687449</x:v>
      </x:c>
      <x:c r="T924" t="str">
        <x:v>직장밀집·평일집중</x:v>
      </x:c>
      <x:c r="U924" s="16" t="n">
        <x:v>61.45036616953502</x:v>
      </x:c>
      <x:c r="V924" t="str">
        <x:v>세탁소</x:v>
      </x:c>
      <x:c r="W924" t="str">
        <x:v>세탁소 / 일반교습학원 / 조명용품</x:v>
      </x:c>
      <x:c r="X924" s="16" t="n">
        <x:v>58.72138479629234</x:v>
      </x:c>
    </x:row>
    <x:row r="925">
      <x:c r="A925" t="str">
        <x:v>3130101</x:v>
      </x:c>
      <x:c r="B925" t="str">
        <x:v>답십리현대시장</x:v>
      </x:c>
      <x:c r="C925" t="str">
        <x:v>전통시장</x:v>
      </x:c>
      <x:c r="D925" t="str">
        <x:v>동대문구</x:v>
      </x:c>
      <x:c r="E925" t="str">
        <x:v>답십리2동</x:v>
      </x:c>
      <x:c r="F925" s="12" t="n">
        <x:v>18344</x:v>
      </x:c>
      <x:c r="G925" s="12" t="n">
        <x:v>2253536405</x:v>
      </x:c>
      <x:c r="H925" s="12" t="n">
        <x:v>119613</x:v>
      </x:c>
      <x:c r="I925" s="12" t="n">
        <x:v>18840.229782715927</x:v>
      </x:c>
      <x:c r="J925" s="12" t="n">
        <x:v>122848.6919428696</x:v>
      </x:c>
      <x:c r="K925" s="12" t="n">
        <x:v>303</x:v>
      </x:c>
      <x:c r="L925" s="12" t="n">
        <x:v>165.17662450937638</x:v>
      </x:c>
      <x:c r="M925" s="12" t="n">
        <x:v>8</x:v>
      </x:c>
      <x:c r="N925" s="14" t="n">
        <x:v>0.7701265247587602</x:v>
      </x:c>
      <x:c r="O925" s="14" t="n">
        <x:v>0.22987347524123977</x:v>
      </x:c>
      <x:c r="P925" s="14" t="n">
        <x:v>0.3411200934204566</x:v>
      </x:c>
      <x:c r="Q925" s="14" t="n">
        <x:v>0.24850698118631015</x:v>
      </x:c>
      <x:c r="R925" s="14" t="n">
        <x:v>0.13592108133704633</x:v>
      </x:c>
      <x:c r="S925" s="14" t="n">
        <x:v>0.5155064885672437</x:v>
      </x:c>
      <x:c r="T925" t="str">
        <x:v>여성소비·직장밀집</x:v>
      </x:c>
      <x:c r="U925" s="16" t="n">
        <x:v>60.10546655705081</x:v>
      </x:c>
      <x:c r="V925" t="str">
        <x:v>청과상</x:v>
      </x:c>
      <x:c r="W925" t="str">
        <x:v>청과상 / 슈퍼마켓 / 분식전문점</x:v>
      </x:c>
      <x:c r="X925" s="16" t="n">
        <x:v>55.122421163313604</x:v>
      </x:c>
    </x:row>
    <x:row r="926">
      <x:c r="A926" t="str">
        <x:v>3110866</x:v>
      </x:c>
      <x:c r="B926" t="str">
        <x:v>난우중학교</x:v>
      </x:c>
      <x:c r="C926" t="str">
        <x:v>골목상권</x:v>
      </x:c>
      <x:c r="D926" t="str">
        <x:v>관악구</x:v>
      </x:c>
      <x:c r="E926" t="str">
        <x:v>난곡동</x:v>
      </x:c>
      <x:c r="F926" s="12" t="n">
        <x:v>139406</x:v>
      </x:c>
      <x:c r="G926" s="12" t="n">
        <x:v>2246177124</x:v>
      </x:c>
      <x:c r="H926" s="12" t="n">
        <x:v>65920</x:v>
      </x:c>
      <x:c r="I926" s="12" t="n">
        <x:v>34074.28889563107</x:v>
      </x:c>
      <x:c r="J926" s="12" t="n">
        <x:v>16112.485287577292</x:v>
      </x:c>
      <x:c r="K926" s="12" t="n">
        <x:v>249</x:v>
      </x:c>
      <x:c r="L926" s="12" t="n">
        <x:v>17.861498070384343</x:v>
      </x:c>
      <x:c r="M926" s="12" t="n">
        <x:v>8</x:v>
      </x:c>
      <x:c r="N926" s="14" t="n">
        <x:v>0.8147976633030655</x:v>
      </x:c>
      <x:c r="O926" s="14" t="n">
        <x:v>0.1852023366969345</x:v>
      </x:c>
      <x:c r="P926" s="14" t="n">
        <x:v>0.26477064548717216</x:v>
      </x:c>
      <x:c r="Q926" s="14" t="n">
        <x:v>0.25591507982965284</x:v>
      </x:c>
      <x:c r="R926" s="14" t="n">
        <x:v>0.17878261767926365</x:v>
      </x:c>
      <x:c r="S926" s="14" t="n">
        <x:v>0.3150924023033546</x:v>
      </x:c>
      <x:c r="T926" t="str">
        <x:v>평일집중</x:v>
      </x:c>
      <x:c r="U926" s="16" t="n">
        <x:v>76.04332168081194</x:v>
      </x:c>
      <x:c r="V926" t="str">
        <x:v>자동차수리</x:v>
      </x:c>
      <x:c r="W926" t="str">
        <x:v>자동차수리 / 육류판매 / 철물점</x:v>
      </x:c>
      <x:c r="X926" s="16" t="n">
        <x:v>58.961750089780764</x:v>
      </x:c>
    </x:row>
    <x:row r="927">
      <x:c r="A927" t="str">
        <x:v>3110248</x:v>
      </x:c>
      <x:c r="B927" t="str">
        <x:v>먹골파출소</x:v>
      </x:c>
      <x:c r="C927" t="str">
        <x:v>골목상권</x:v>
      </x:c>
      <x:c r="D927" t="str">
        <x:v>중랑구</x:v>
      </x:c>
      <x:c r="E927" t="str">
        <x:v>묵1동</x:v>
      </x:c>
      <x:c r="F927" s="12" t="n">
        <x:v>37643</x:v>
      </x:c>
      <x:c r="G927" s="12" t="n">
        <x:v>2243941184</x:v>
      </x:c>
      <x:c r="H927" s="12" t="n">
        <x:v>114042</x:v>
      </x:c>
      <x:c r="I927" s="12" t="n">
        <x:v>19676.445379772365</x:v>
      </x:c>
      <x:c r="J927" s="12" t="n">
        <x:v>59611.114523284545</x:v>
      </x:c>
      <x:c r="K927" s="12" t="n">
        <x:v>138</x:v>
      </x:c>
      <x:c r="L927" s="12" t="n">
        <x:v>36.66020242807428</x:v>
      </x:c>
      <x:c r="M927" s="12" t="n">
        <x:v>4</x:v>
      </x:c>
      <x:c r="N927" s="14" t="n">
        <x:v>0.7002458064426701</x:v>
      </x:c>
      <x:c r="O927" s="14" t="n">
        <x:v>0.2997541935573299</x:v>
      </x:c>
      <x:c r="P927" s="14" t="n">
        <x:v>0.3866904160354321</x:v>
      </x:c>
      <x:c r="Q927" s="14" t="n">
        <x:v>0.20601179045876453</x:v>
      </x:c>
      <x:c r="R927" s="14" t="n">
        <x:v>0.18269338248395017</x:v>
      </x:c>
      <x:c r="S927" s="14" t="n">
        <x:v>0.5060729524005206</x:v>
      </x:c>
      <x:c r="T927" t="str">
        <x:v>여성소비·고매출밀도</x:v>
      </x:c>
      <x:c r="U927" s="16" t="n">
        <x:v>57.002205722110254</x:v>
      </x:c>
      <x:c r="V927" t="str">
        <x:v>자동차수리</x:v>
      </x:c>
      <x:c r="W927" t="str">
        <x:v>자동차수리 / 슈퍼마켓 / 미용실</x:v>
      </x:c>
      <x:c r="X927" s="16" t="n">
        <x:v>46.21094353693368</x:v>
      </x:c>
    </x:row>
    <x:row r="928">
      <x:c r="A928" t="str">
        <x:v>3110740</x:v>
      </x:c>
      <x:c r="B928" t="str">
        <x:v>금천해태공원</x:v>
      </x:c>
      <x:c r="C928" t="str">
        <x:v>골목상권</x:v>
      </x:c>
      <x:c r="D928" t="str">
        <x:v>금천구</x:v>
      </x:c>
      <x:c r="E928" t="str">
        <x:v>시흥1동</x:v>
      </x:c>
      <x:c r="F928" s="12" t="n">
        <x:v>148638</x:v>
      </x:c>
      <x:c r="G928" s="12" t="n">
        <x:v>2212716427</x:v>
      </x:c>
      <x:c r="H928" s="12" t="n">
        <x:v>186762</x:v>
      </x:c>
      <x:c r="I928" s="12" t="n">
        <x:v>11847.787167625105</x:v>
      </x:c>
      <x:c r="J928" s="12" t="n">
        <x:v>14886.613295388797</x:v>
      </x:c>
      <x:c r="K928" s="12" t="n">
        <x:v>482</x:v>
      </x:c>
      <x:c r="L928" s="12" t="n">
        <x:v>32.427777553519284</x:v>
      </x:c>
      <x:c r="M928" s="12" t="n">
        <x:v>13</x:v>
      </x:c>
      <x:c r="N928" s="14" t="n">
        <x:v>0.7436564161233119</x:v>
      </x:c>
      <x:c r="O928" s="14" t="n">
        <x:v>0.25634358387668804</x:v>
      </x:c>
      <x:c r="P928" s="14" t="n">
        <x:v>0.3633723346511767</x:v>
      </x:c>
      <x:c r="Q928" s="14" t="n">
        <x:v>0.23213471854430265</x:v>
      </x:c>
      <x:c r="R928" s="14" t="n">
        <x:v>0.251202849681741</x:v>
      </x:c>
      <x:c r="S928" s="14" t="n">
        <x:v>0.4224919422989397</x:v>
      </x:c>
      <x:c r="T928" t="str">
        <x:v>2030소비</x:v>
      </x:c>
      <x:c r="U928" s="16" t="n">
        <x:v>46.21513203700177</x:v>
      </x:c>
      <x:c r="V928" t="str">
        <x:v>커피-음료</x:v>
      </x:c>
      <x:c r="W928" t="str">
        <x:v>커피-음료 / 미용실 / 일반의원</x:v>
      </x:c>
      <x:c r="X928" s="16" t="n">
        <x:v>43.516096001513176</x:v>
      </x:c>
    </x:row>
    <x:row r="929">
      <x:c r="A929" t="str">
        <x:v>3110225</x:v>
      </x:c>
      <x:c r="B929" t="str">
        <x:v>촬영소사거리</x:v>
      </x:c>
      <x:c r="C929" t="str">
        <x:v>골목상권</x:v>
      </x:c>
      <x:c r="D929" t="str">
        <x:v>동대문구</x:v>
      </x:c>
      <x:c r="E929" t="str">
        <x:v>답십리2동</x:v>
      </x:c>
      <x:c r="F929" s="12" t="n">
        <x:v>54806</x:v>
      </x:c>
      <x:c r="G929" s="12" t="n">
        <x:v>2210088520</x:v>
      </x:c>
      <x:c r="H929" s="12" t="n">
        <x:v>65698</x:v>
      </x:c>
      <x:c r="I929" s="12" t="n">
        <x:v>33640.11872507534</x:v>
      </x:c>
      <x:c r="J929" s="12" t="n">
        <x:v>40325.66726270846</x:v>
      </x:c>
      <x:c r="K929" s="12" t="n">
        <x:v>760</x:v>
      </x:c>
      <x:c r="L929" s="12" t="n">
        <x:v>138.67094843630258</x:v>
      </x:c>
      <x:c r="M929" s="12" t="n">
        <x:v>11</x:v>
      </x:c>
      <x:c r="N929" s="14" t="n">
        <x:v>0.8399690886589466</x:v>
      </x:c>
      <x:c r="O929" s="14" t="n">
        <x:v>0.16003091134105343</x:v>
      </x:c>
      <x:c r="P929" s="14" t="n">
        <x:v>0.3960079155562511</x:v>
      </x:c>
      <x:c r="Q929" s="14" t="n">
        <x:v>0.3334470679934576</x:v>
      </x:c>
      <x:c r="R929" s="14" t="n">
        <x:v>0.1827013639254594</x:v>
      </x:c>
      <x:c r="S929" s="14" t="n">
        <x:v>0.3286691761106474</x:v>
      </x:c>
      <x:c r="T929" t="str">
        <x:v>평일집중·직장밀집</x:v>
      </x:c>
      <x:c r="U929" s="16" t="n">
        <x:v>69.18675784909074</x:v>
      </x:c>
      <x:c r="V929" t="str">
        <x:v>일반교습학원</x:v>
      </x:c>
      <x:c r="W929" t="str">
        <x:v>일반교습학원 / 한식음식점 / 커피-음료</x:v>
      </x:c>
      <x:c r="X929" s="16" t="n">
        <x:v>59.686715696521915</x:v>
      </x:c>
    </x:row>
    <x:row r="930">
      <x:c r="A930" t="str">
        <x:v>3111039</x:v>
      </x:c>
      <x:c r="B930" t="str">
        <x:v>벌말어린이공원</x:v>
      </x:c>
      <x:c r="C930" t="str">
        <x:v>골목상권</x:v>
      </x:c>
      <x:c r="D930" t="str">
        <x:v>송파구</x:v>
      </x:c>
      <x:c r="E930" t="str">
        <x:v>오금동</x:v>
      </x:c>
      <x:c r="F930" s="12" t="n">
        <x:v>63272</x:v>
      </x:c>
      <x:c r="G930" s="12" t="n">
        <x:v>2209373971</x:v>
      </x:c>
      <x:c r="H930" s="12" t="n">
        <x:v>83046</x:v>
      </x:c>
      <x:c r="I930" s="12" t="n">
        <x:v>26604.21899910893</x:v>
      </x:c>
      <x:c r="J930" s="12" t="n">
        <x:v>34918.66814704767</x:v>
      </x:c>
      <x:c r="K930" s="12" t="n">
        <x:v>810</x:v>
      </x:c>
      <x:c r="L930" s="12" t="n">
        <x:v>128.01871285876848</x:v>
      </x:c>
      <x:c r="M930" s="12" t="n">
        <x:v>9</x:v>
      </x:c>
      <x:c r="N930" s="14" t="n">
        <x:v>0.7781515558553668</x:v>
      </x:c>
      <x:c r="O930" s="14" t="n">
        <x:v>0.22184844414463323</x:v>
      </x:c>
      <x:c r="P930" s="14" t="n">
        <x:v>0.30871140510960604</x:v>
      </x:c>
      <x:c r="Q930" s="14" t="n">
        <x:v>0.30911707522782256</x:v>
      </x:c>
      <x:c r="R930" s="14" t="n">
        <x:v>0.1973300069262018</x:v>
      </x:c>
      <x:c r="S930" s="14" t="n">
        <x:v>0.3435235025677778</x:v>
      </x:c>
      <x:c r="T930" t="str">
        <x:v>직장밀집·평일집중</x:v>
      </x:c>
      <x:c r="U930" s="16" t="n">
        <x:v>62.191560793710025</x:v>
      </x:c>
      <x:c r="V930" t="str">
        <x:v>육류판매</x:v>
      </x:c>
      <x:c r="W930" t="str">
        <x:v>육류판매 / 커피-음료 / 미용실</x:v>
      </x:c>
      <x:c r="X930" s="16" t="n">
        <x:v>47.00928210519305</x:v>
      </x:c>
    </x:row>
    <x:row r="931">
      <x:c r="A931" t="str">
        <x:v>3130135</x:v>
      </x:c>
      <x:c r="B931" t="str">
        <x:v>수유중앙골목시장(수유중앙시장)</x:v>
      </x:c>
      <x:c r="C931" t="str">
        <x:v>전통시장</x:v>
      </x:c>
      <x:c r="D931" t="str">
        <x:v>강북구</x:v>
      </x:c>
      <x:c r="E931" t="str">
        <x:v>수유3동</x:v>
      </x:c>
      <x:c r="F931" s="12" t="n">
        <x:v>30758</x:v>
      </x:c>
      <x:c r="G931" s="12" t="n">
        <x:v>2199576588</x:v>
      </x:c>
      <x:c r="H931" s="12" t="n">
        <x:v>68986</x:v>
      </x:c>
      <x:c r="I931" s="12" t="n">
        <x:v>31884.390861914013</x:v>
      </x:c>
      <x:c r="J931" s="12" t="n">
        <x:v>71512.3411145068</x:v>
      </x:c>
      <x:c r="K931" s="12" t="n">
        <x:v>104</x:v>
      </x:c>
      <x:c r="L931" s="12" t="n">
        <x:v>33.8123415046492</x:v>
      </x:c>
      <x:c r="M931" s="12" t="n">
        <x:v>8</x:v>
      </x:c>
      <x:c r="N931" s="14" t="n">
        <x:v>0.7166076974083523</x:v>
      </x:c>
      <x:c r="O931" s="14" t="n">
        <x:v>0.2833923025916477</x:v>
      </x:c>
      <x:c r="P931" s="14" t="n">
        <x:v>0.4315950920641459</x:v>
      </x:c>
      <x:c r="Q931" s="14" t="n">
        <x:v>0.21704034112950832</x:v>
      </x:c>
      <x:c r="R931" s="14" t="n">
        <x:v>0.1629048358465252</x:v>
      </x:c>
      <x:c r="S931" s="14" t="n">
        <x:v>0.40341072315505117</x:v>
      </x:c>
      <x:c r="T931" t="str">
        <x:v>야간활성·고매출밀도</x:v>
      </x:c>
      <x:c r="U931" s="16" t="n">
        <x:v>61.4336515054866</x:v>
      </x:c>
      <x:c r="V931" t="str">
        <x:v>일반의류</x:v>
      </x:c>
      <x:c r="W931" t="str">
        <x:v>일반의류 / 반찬가게 / 육류판매</x:v>
      </x:c>
      <x:c r="X931" s="16" t="n">
        <x:v>51.74158163411663</x:v>
      </x:c>
    </x:row>
    <x:row r="932">
      <x:c r="A932" t="str">
        <x:v>3110884</x:v>
      </x:c>
      <x:c r="B932" t="str">
        <x:v>봉천역 4번(봉천110안전센터)</x:v>
      </x:c>
      <x:c r="C932" t="str">
        <x:v>골목상권</x:v>
      </x:c>
      <x:c r="D932" t="str">
        <x:v>관악구</x:v>
      </x:c>
      <x:c r="E932" t="str">
        <x:v>은천동</x:v>
      </x:c>
      <x:c r="F932" s="12" t="n">
        <x:v>43849</x:v>
      </x:c>
      <x:c r="G932" s="12" t="n">
        <x:v>2197142077</x:v>
      </x:c>
      <x:c r="H932" s="12" t="n">
        <x:v>65945</x:v>
      </x:c>
      <x:c r="I932" s="12" t="n">
        <x:v>33317.796299946924</x:v>
      </x:c>
      <x:c r="J932" s="12" t="n">
        <x:v>50107.0053364957</x:v>
      </x:c>
      <x:c r="K932" s="12" t="n">
        <x:v>581</x:v>
      </x:c>
      <x:c r="L932" s="12" t="n">
        <x:v>132.5001710415289</x:v>
      </x:c>
      <x:c r="M932" s="12" t="n">
        <x:v>8</x:v>
      </x:c>
      <x:c r="N932" s="14" t="n">
        <x:v>0.6746422043056618</x:v>
      </x:c>
      <x:c r="O932" s="14" t="n">
        <x:v>0.32535779569433826</x:v>
      </x:c>
      <x:c r="P932" s="14" t="n">
        <x:v>0.551778331811539</x:v>
      </x:c>
      <x:c r="Q932" s="14" t="n">
        <x:v>0.21480628127809506</x:v>
      </x:c>
      <x:c r="R932" s="14" t="n">
        <x:v>0.3096410542230037</x:v>
      </x:c>
      <x:c r="S932" s="14" t="n">
        <x:v>0.3120020917973617</x:v>
      </x:c>
      <x:c r="T932" t="str">
        <x:v>야간활성·2030소비</x:v>
      </x:c>
      <x:c r="U932" s="16" t="n">
        <x:v>70.39465650012643</x:v>
      </x:c>
      <x:c r="V932" t="str">
        <x:v>미용실</x:v>
      </x:c>
      <x:c r="W932" t="str">
        <x:v>미용실 / 한식음식점 / 호프-간이주점</x:v>
      </x:c>
      <x:c r="X932" s="16" t="n">
        <x:v>51.137198892847486</x:v>
      </x:c>
    </x:row>
    <x:row r="933">
      <x:c r="A933" t="str">
        <x:v>3110511</x:v>
      </x:c>
      <x:c r="B933" t="str">
        <x:v>연희초등학교</x:v>
      </x:c>
      <x:c r="C933" t="str">
        <x:v>골목상권</x:v>
      </x:c>
      <x:c r="D933" t="str">
        <x:v>서대문구</x:v>
      </x:c>
      <x:c r="E933" t="str">
        <x:v>연희동</x:v>
      </x:c>
      <x:c r="F933" s="12" t="n">
        <x:v>200962</x:v>
      </x:c>
      <x:c r="G933" s="12" t="n">
        <x:v>2191601747</x:v>
      </x:c>
      <x:c r="H933" s="12" t="n">
        <x:v>226416</x:v>
      </x:c>
      <x:c r="I933" s="12" t="n">
        <x:v>9679.535664440675</x:v>
      </x:c>
      <x:c r="J933" s="12" t="n">
        <x:v>10905.55302494999</x:v>
      </x:c>
      <x:c r="K933" s="12" t="n">
        <x:v>1005</x:v>
      </x:c>
      <x:c r="L933" s="12" t="n">
        <x:v>50.00945452374081</x:v>
      </x:c>
      <x:c r="M933" s="12" t="n">
        <x:v>11</x:v>
      </x:c>
      <x:c r="N933" s="14" t="n">
        <x:v>0.8022863225067506</x:v>
      </x:c>
      <x:c r="O933" s="14" t="n">
        <x:v>0.19771367749324942</x:v>
      </x:c>
      <x:c r="P933" s="14" t="n">
        <x:v>0.32510108005494304</x:v>
      </x:c>
      <x:c r="Q933" s="14" t="n">
        <x:v>0.2250759863990928</x:v>
      </x:c>
      <x:c r="R933" s="14" t="n">
        <x:v>0.4379482272789044</x:v>
      </x:c>
      <x:c r="S933" s="14" t="n">
        <x:v>0.4673301937279392</x:v>
      </x:c>
      <x:c r="T933" t="str">
        <x:v>2030소비·평일집중</x:v>
      </x:c>
      <x:c r="U933" s="16" t="n">
        <x:v>59.450924719102204</x:v>
      </x:c>
      <x:c r="V933" t="str">
        <x:v>일반의원</x:v>
      </x:c>
      <x:c r="W933" t="str">
        <x:v>일반의원 / 피부관리실 / 세탁소</x:v>
      </x:c>
      <x:c r="X933" s="16" t="n">
        <x:v>50.40177566256258</x:v>
      </x:c>
    </x:row>
    <x:row r="934">
      <x:c r="A934" t="str">
        <x:v>3110475</x:v>
      </x:c>
      <x:c r="B934" t="str">
        <x:v>백련산해모로아파트</x:v>
      </x:c>
      <x:c r="C934" t="str">
        <x:v>골목상권</x:v>
      </x:c>
      <x:c r="D934" t="str">
        <x:v>은평구</x:v>
      </x:c>
      <x:c r="E934" t="str">
        <x:v>응암1동</x:v>
      </x:c>
      <x:c r="F934" s="12" t="n">
        <x:v>70709</x:v>
      </x:c>
      <x:c r="G934" s="12" t="n">
        <x:v>2190272613</x:v>
      </x:c>
      <x:c r="H934" s="12" t="n">
        <x:v>116676</x:v>
      </x:c>
      <x:c r="I934" s="12" t="n">
        <x:v>18772.26347320786</x:v>
      </x:c>
      <x:c r="J934" s="12" t="n">
        <x:v>30975.867470901867</x:v>
      </x:c>
      <x:c r="K934" s="12" t="n">
        <x:v>209</x:v>
      </x:c>
      <x:c r="L934" s="12" t="n">
        <x:v>29.557764923842793</x:v>
      </x:c>
      <x:c r="M934" s="12" t="n">
        <x:v>12</x:v>
      </x:c>
      <x:c r="N934" s="14" t="n">
        <x:v>0.7328609961485192</x:v>
      </x:c>
      <x:c r="O934" s="14" t="n">
        <x:v>0.2671390038514808</x:v>
      </x:c>
      <x:c r="P934" s="14" t="n">
        <x:v>0.41828955654297817</x:v>
      </x:c>
      <x:c r="Q934" s="14" t="n">
        <x:v>0.22377452427197017</x:v>
      </x:c>
      <x:c r="R934" s="14" t="n">
        <x:v>0.230812982365497</x:v>
      </x:c>
      <x:c r="S934" s="14" t="n">
        <x:v>0.4445705339237605</x:v>
      </x:c>
      <x:c r="T934" t="str">
        <x:v>야간활성·2030소비</x:v>
      </x:c>
      <x:c r="U934" s="16" t="n">
        <x:v>64.21990137627894</x:v>
      </x:c>
      <x:c r="V934" t="str">
        <x:v>당구장</x:v>
      </x:c>
      <x:c r="W934" t="str">
        <x:v>당구장 / 일반교습학원 / 일반의원</x:v>
      </x:c>
      <x:c r="X934" s="16" t="n">
        <x:v>54.09945382870171</x:v>
      </x:c>
    </x:row>
    <x:row r="935">
      <x:c r="A935" t="str">
        <x:v>3110138</x:v>
      </x:c>
      <x:c r="B935" t="str">
        <x:v>송정체육공원</x:v>
      </x:c>
      <x:c r="C935" t="str">
        <x:v>골목상권</x:v>
      </x:c>
      <x:c r="D935" t="str">
        <x:v>성동구</x:v>
      </x:c>
      <x:c r="E935" t="str">
        <x:v>송정동</x:v>
      </x:c>
      <x:c r="F935" s="12" t="n">
        <x:v>102074</x:v>
      </x:c>
      <x:c r="G935" s="12" t="n">
        <x:v>2178300994</x:v>
      </x:c>
      <x:c r="H935" s="12" t="n">
        <x:v>128446</x:v>
      </x:c>
      <x:c r="I935" s="12" t="n">
        <x:v>16958.885399311774</x:v>
      </x:c>
      <x:c r="J935" s="12" t="n">
        <x:v>21340.40983992006</x:v>
      </x:c>
      <x:c r="K935" s="12" t="n">
        <x:v>217</x:v>
      </x:c>
      <x:c r="L935" s="12" t="n">
        <x:v>21.25908654505555</x:v>
      </x:c>
      <x:c r="M935" s="12" t="n">
        <x:v>14</x:v>
      </x:c>
      <x:c r="N935" s="14" t="n">
        <x:v>0.736586665212714</x:v>
      </x:c>
      <x:c r="O935" s="14" t="n">
        <x:v>0.26341333478728607</x:v>
      </x:c>
      <x:c r="P935" s="14" t="n">
        <x:v>0.42541048806040255</x:v>
      </x:c>
      <x:c r="Q935" s="14" t="n">
        <x:v>0.2297720982447479</x:v>
      </x:c>
      <x:c r="R935" s="14" t="n">
        <x:v>0.2706663719219696</x:v>
      </x:c>
      <x:c r="S935" s="14" t="n">
        <x:v>0.4214940917389124</x:v>
      </x:c>
      <x:c r="T935" t="str">
        <x:v>2030소비·야간활성</x:v>
      </x:c>
      <x:c r="U935" s="16" t="n">
        <x:v>70.19228985299061</x:v>
      </x:c>
      <x:c r="V935" t="str">
        <x:v>일반의류</x:v>
      </x:c>
      <x:c r="W935" t="str">
        <x:v>일반의류 / 한식음식점 / 미용실</x:v>
      </x:c>
      <x:c r="X935" s="16" t="n">
        <x:v>58.68388566516351</x:v>
      </x:c>
    </x:row>
    <x:row r="936">
      <x:c r="A936" t="str">
        <x:v>3120115</x:v>
      </x:c>
      <x:c r="B936" t="str">
        <x:v>김포공항역(김포공항)</x:v>
      </x:c>
      <x:c r="C936" t="str">
        <x:v>발달상권</x:v>
      </x:c>
      <x:c r="D936" t="str">
        <x:v>강서구</x:v>
      </x:c>
      <x:c r="E936" t="str">
        <x:v>방화2동</x:v>
      </x:c>
      <x:c r="F936" s="12" t="n">
        <x:v>700542</x:v>
      </x:c>
      <x:c r="G936" s="12" t="n">
        <x:v>2169298392</x:v>
      </x:c>
      <x:c r="H936" s="12" t="n">
        <x:v>126280</x:v>
      </x:c>
      <x:c r="I936" s="12" t="n">
        <x:v>17178.479505859992</x:v>
      </x:c>
      <x:c r="J936" s="12" t="n">
        <x:v>3096.6000496758224</x:v>
      </x:c>
      <x:c r="K936" s="12" t="n">
        <x:v>900</x:v>
      </x:c>
      <x:c r="L936" s="12" t="n">
        <x:v>12.847195457231686</x:v>
      </x:c>
      <x:c r="M936" s="12" t="n">
        <x:v>4</x:v>
      </x:c>
      <x:c r="N936" s="14" t="n">
        <x:v>0.654007666364416</x:v>
      </x:c>
      <x:c r="O936" s="14" t="n">
        <x:v>0.34599233363558407</x:v>
      </x:c>
      <x:c r="P936" s="14" t="n">
        <x:v>0.35115224756963725</x:v>
      </x:c>
      <x:c r="Q936" s="14" t="n">
        <x:v>0.2237308356424578</x:v>
      </x:c>
      <x:c r="R936" s="14" t="n">
        <x:v>0.44187829647365545</x:v>
      </x:c>
      <x:c r="S936" s="14" t="n">
        <x:v>0.5823764751124196</x:v>
      </x:c>
      <x:c r="T936" t="str">
        <x:v>여성소비·2030소비</x:v>
      </x:c>
      <x:c r="U936" s="16" t="n">
        <x:v>52.99779893696231</x:v>
      </x:c>
      <x:c r="V936" t="str">
        <x:v>일반의류</x:v>
      </x:c>
      <x:c r="W936" t="str">
        <x:v>일반의류 / 시계및귀금속 / 한식음식점</x:v>
      </x:c>
      <x:c r="X936" s="16" t="n">
        <x:v>49.68090921113105</x:v>
      </x:c>
    </x:row>
    <x:row r="937">
      <x:c r="A937" t="str">
        <x:v>3110742</x:v>
      </x:c>
      <x:c r="B937" t="str">
        <x:v>KT금천빌딩(금천구시설관리공단)</x:v>
      </x:c>
      <x:c r="C937" t="str">
        <x:v>골목상권</x:v>
      </x:c>
      <x:c r="D937" t="str">
        <x:v>금천구</x:v>
      </x:c>
      <x:c r="E937" t="str">
        <x:v>시흥1동</x:v>
      </x:c>
      <x:c r="F937" s="12" t="n">
        <x:v>35970</x:v>
      </x:c>
      <x:c r="G937" s="12" t="n">
        <x:v>2166658435</x:v>
      </x:c>
      <x:c r="H937" s="12" t="n">
        <x:v>133646</x:v>
      </x:c>
      <x:c r="I937" s="12" t="n">
        <x:v>16211.921307035003</x:v>
      </x:c>
      <x:c r="J937" s="12" t="n">
        <x:v>60235.1524881846</x:v>
      </x:c>
      <x:c r="K937" s="12" t="n">
        <x:v>438</x:v>
      </x:c>
      <x:c r="L937" s="12" t="n">
        <x:v>121.76814011676397</x:v>
      </x:c>
      <x:c r="M937" s="12" t="n">
        <x:v>10</x:v>
      </x:c>
      <x:c r="N937" s="14" t="n">
        <x:v>0.6808870642317002</x:v>
      </x:c>
      <x:c r="O937" s="14" t="n">
        <x:v>0.3191129357682998</x:v>
      </x:c>
      <x:c r="P937" s="14" t="n">
        <x:v>0.360162866187997</x:v>
      </x:c>
      <x:c r="Q937" s="14" t="n">
        <x:v>0.2671223459363589</x:v>
      </x:c>
      <x:c r="R937" s="14" t="n">
        <x:v>0.18550213015001601</x:v>
      </x:c>
      <x:c r="S937" s="14" t="n">
        <x:v>0.5221571128722927</x:v>
      </x:c>
      <x:c r="T937" t="str">
        <x:v>여성소비·직장밀집</x:v>
      </x:c>
      <x:c r="U937" s="16" t="n">
        <x:v>58.36015635535679</x:v>
      </x:c>
      <x:c r="V937" t="str">
        <x:v>육류판매</x:v>
      </x:c>
      <x:c r="W937" t="str">
        <x:v>육류판매 / 커피-음료 / 미용실</x:v>
      </x:c>
      <x:c r="X937" s="16" t="n">
        <x:v>51.04007192430056</x:v>
      </x:c>
    </x:row>
    <x:row r="938">
      <x:c r="A938" t="str">
        <x:v>3110378</x:v>
      </x:c>
      <x:c r="B938" t="str">
        <x:v>송중동주민센터</x:v>
      </x:c>
      <x:c r="C938" t="str">
        <x:v>골목상권</x:v>
      </x:c>
      <x:c r="D938" t="str">
        <x:v>강북구</x:v>
      </x:c>
      <x:c r="E938" t="str">
        <x:v>송중동</x:v>
      </x:c>
      <x:c r="F938" s="12" t="n">
        <x:v>53154</x:v>
      </x:c>
      <x:c r="G938" s="12" t="n">
        <x:v>2149905867</x:v>
      </x:c>
      <x:c r="H938" s="12" t="n">
        <x:v>116527</x:v>
      </x:c>
      <x:c r="I938" s="12" t="n">
        <x:v>18449.851682442695</x:v>
      </x:c>
      <x:c r="J938" s="12" t="n">
        <x:v>40446.73715995033</x:v>
      </x:c>
      <x:c r="K938" s="12" t="n">
        <x:v>59</x:v>
      </x:c>
      <x:c r="L938" s="12" t="n">
        <x:v>11.099823155359898</x:v>
      </x:c>
      <x:c r="M938" s="12" t="n">
        <x:v>10</x:v>
      </x:c>
      <x:c r="N938" s="14" t="n">
        <x:v>0.7508439875335249</x:v>
      </x:c>
      <x:c r="O938" s="14" t="n">
        <x:v>0.24915601246647512</x:v>
      </x:c>
      <x:c r="P938" s="14" t="n">
        <x:v>0.4033680577885506</x:v>
      </x:c>
      <x:c r="Q938" s="14" t="n">
        <x:v>0.22665244161594728</x:v>
      </x:c>
      <x:c r="R938" s="14" t="n">
        <x:v>0.24140113479675435</x:v>
      </x:c>
      <x:c r="S938" s="14" t="n">
        <x:v>0.5079622767502313</x:v>
      </x:c>
      <x:c r="T938" t="str">
        <x:v>여성소비·2030소비</x:v>
      </x:c>
      <x:c r="U938" s="16" t="n">
        <x:v>57.96048720828397</x:v>
      </x:c>
      <x:c r="V938" t="str">
        <x:v>의약품</x:v>
      </x:c>
      <x:c r="W938" t="str">
        <x:v>의약품 / 예술학원 / 제과점</x:v>
      </x:c>
      <x:c r="X938" s="16" t="n">
        <x:v>50.70558308772023</x:v>
      </x:c>
    </x:row>
    <x:row r="939">
      <x:c r="A939" t="str">
        <x:v>3110852</x:v>
      </x:c>
      <x:c r="B939" t="str">
        <x:v>이수역 9번</x:v>
      </x:c>
      <x:c r="C939" t="str">
        <x:v>골목상권</x:v>
      </x:c>
      <x:c r="D939" t="str">
        <x:v>동작구</x:v>
      </x:c>
      <x:c r="E939" t="str">
        <x:v>사당1동</x:v>
      </x:c>
      <x:c r="F939" s="12" t="n">
        <x:v>44183</x:v>
      </x:c>
      <x:c r="G939" s="12" t="n">
        <x:v>2145737166</x:v>
      </x:c>
      <x:c r="H939" s="12" t="n">
        <x:v>105746</x:v>
      </x:c>
      <x:c r="I939" s="12" t="n">
        <x:v>20291.42630454107</x:v>
      </x:c>
      <x:c r="J939" s="12" t="n">
        <x:v>48564.76848561664</x:v>
      </x:c>
      <x:c r="K939" s="12" t="n">
        <x:v>337</x:v>
      </x:c>
      <x:c r="L939" s="12" t="n">
        <x:v>76.273679922142</x:v>
      </x:c>
      <x:c r="M939" s="12" t="n">
        <x:v>9</x:v>
      </x:c>
      <x:c r="N939" s="14" t="n">
        <x:v>0.7807104591112815</x:v>
      </x:c>
      <x:c r="O939" s="14" t="n">
        <x:v>0.21928954088871852</x:v>
      </x:c>
      <x:c r="P939" s="14" t="n">
        <x:v>0.5705501574930543</x:v>
      </x:c>
      <x:c r="Q939" s="14" t="n">
        <x:v>0.17496699220616474</x:v>
      </x:c>
      <x:c r="R939" s="14" t="n">
        <x:v>0.4113508602013002</x:v>
      </x:c>
      <x:c r="S939" s="14" t="n">
        <x:v>0.38714392571601663</x:v>
      </x:c>
      <x:c r="T939" t="str">
        <x:v>야간활성·2030소비</x:v>
      </x:c>
      <x:c r="U939" s="16" t="n">
        <x:v>56.598643487304074</x:v>
      </x:c>
      <x:c r="V939" t="str">
        <x:v>편의점</x:v>
      </x:c>
      <x:c r="W939" t="str">
        <x:v>편의점 / 의료기기 / 한식음식점</x:v>
      </x:c>
      <x:c r="X939" s="16" t="n">
        <x:v>49.66168215279418</x:v>
      </x:c>
    </x:row>
    <x:row r="940">
      <x:c r="A940" t="str">
        <x:v>3130143</x:v>
      </x:c>
      <x:c r="B940" t="str">
        <x:v>방천골목시장</x:v>
      </x:c>
      <x:c r="C940" t="str">
        <x:v>전통시장</x:v>
      </x:c>
      <x:c r="D940" t="str">
        <x:v>강북구</x:v>
      </x:c>
      <x:c r="E940" t="str">
        <x:v>송중동</x:v>
      </x:c>
      <x:c r="F940" s="12" t="n">
        <x:v>20242</x:v>
      </x:c>
      <x:c r="G940" s="12" t="n">
        <x:v>2140594520</x:v>
      </x:c>
      <x:c r="H940" s="12" t="n">
        <x:v>54535</x:v>
      </x:c>
      <x:c r="I940" s="12" t="n">
        <x:v>39251.75611992298</x:v>
      </x:c>
      <x:c r="J940" s="12" t="n">
        <x:v>105750.1491947436</x:v>
      </x:c>
      <x:c r="K940" s="12" t="n">
        <x:v>41</x:v>
      </x:c>
      <x:c r="L940" s="12" t="n">
        <x:v>20.254915522181605</x:v>
      </x:c>
      <x:c r="M940" s="12" t="n">
        <x:v>7</x:v>
      </x:c>
      <x:c r="N940" s="14" t="n">
        <x:v>0.7378448002380199</x:v>
      </x:c>
      <x:c r="O940" s="14" t="n">
        <x:v>0.26215519976198015</x:v>
      </x:c>
      <x:c r="P940" s="14" t="n">
        <x:v>0.4093874453158929</x:v>
      </x:c>
      <x:c r="Q940" s="14" t="n">
        <x:v>0.13428853447686112</x:v>
      </x:c>
      <x:c r="R940" s="14" t="n">
        <x:v>0.14901363944442875</x:v>
      </x:c>
      <x:c r="S940" s="14" t="n">
        <x:v>0.5318577093246039</x:v>
      </x:c>
      <x:c r="T940" t="str">
        <x:v>여성소비·고매출밀도</x:v>
      </x:c>
      <x:c r="U940" s="16" t="n">
        <x:v>68.86200985081086</x:v>
      </x:c>
      <x:c r="V940" t="str">
        <x:v>육류판매</x:v>
      </x:c>
      <x:c r="W940" t="str">
        <x:v>육류판매 / 청과상 / 미용실</x:v>
      </x:c>
      <x:c r="X940" s="16" t="n">
        <x:v>49.41165344725821</x:v>
      </x:c>
    </x:row>
    <x:row r="941">
      <x:c r="A941" t="str">
        <x:v>3120050</x:v>
      </x:c>
      <x:c r="B941" t="str">
        <x:v>서울숲역</x:v>
      </x:c>
      <x:c r="C941" t="str">
        <x:v>발달상권</x:v>
      </x:c>
      <x:c r="D941" t="str">
        <x:v>성동구</x:v>
      </x:c>
      <x:c r="E941" t="str">
        <x:v>성수1가1동</x:v>
      </x:c>
      <x:c r="F941" s="12" t="n">
        <x:v>58913</x:v>
      </x:c>
      <x:c r="G941" s="12" t="n">
        <x:v>2138892329</x:v>
      </x:c>
      <x:c r="H941" s="12" t="n">
        <x:v>35631</x:v>
      </x:c>
      <x:c r="I941" s="12" t="n">
        <x:v>60028.972776514835</x:v>
      </x:c>
      <x:c r="J941" s="12" t="n">
        <x:v>36305.94824571826</x:v>
      </x:c>
      <x:c r="K941" s="12" t="n">
        <x:v>1428</x:v>
      </x:c>
      <x:c r="L941" s="12" t="n">
        <x:v>242.39132279802422</x:v>
      </x:c>
      <x:c r="M941" s="12" t="n">
        <x:v>9</x:v>
      </x:c>
      <x:c r="N941" s="14" t="n">
        <x:v>0.8460758045011437</x:v>
      </x:c>
      <x:c r="O941" s="14" t="n">
        <x:v>0.15392419549885628</x:v>
      </x:c>
      <x:c r="P941" s="14" t="n">
        <x:v>0.36297978980689494</x:v>
      </x:c>
      <x:c r="Q941" s="14" t="n">
        <x:v>0.27679108198812</x:v>
      </x:c>
      <x:c r="R941" s="14" t="n">
        <x:v>0.2652138746344534</x:v>
      </x:c>
      <x:c r="S941" s="14" t="n">
        <x:v>0.5225493554986703</x:v>
      </x:c>
      <x:c r="T941" t="str">
        <x:v>평일집중·여성소비</x:v>
      </x:c>
      <x:c r="U941" s="16" t="n">
        <x:v>62.286226251851005</x:v>
      </x:c>
      <x:c r="V941" t="str">
        <x:v>화장품</x:v>
      </x:c>
      <x:c r="W941" t="str">
        <x:v>화장품 / 미용실 / 일반교습학원</x:v>
      </x:c>
      <x:c r="X941" s="16" t="n">
        <x:v>58.59659776666295</x:v>
      </x:c>
    </x:row>
    <x:row r="942">
      <x:c r="A942" t="str">
        <x:v>3110051</x:v>
      </x:c>
      <x:c r="B942" t="str">
        <x:v>한양공고앞 교차로</x:v>
      </x:c>
      <x:c r="C942" t="str">
        <x:v>골목상권</x:v>
      </x:c>
      <x:c r="D942" t="str">
        <x:v>중구</x:v>
      </x:c>
      <x:c r="E942" t="str">
        <x:v>신당동</x:v>
      </x:c>
      <x:c r="F942" s="12" t="n">
        <x:v>44893</x:v>
      </x:c>
      <x:c r="G942" s="12" t="n">
        <x:v>2128904259</x:v>
      </x:c>
      <x:c r="H942" s="12" t="n">
        <x:v>33995</x:v>
      </x:c>
      <x:c r="I942" s="12" t="n">
        <x:v>62624.04056478894</x:v>
      </x:c>
      <x:c r="J942" s="12" t="n">
        <x:v>47421.74189740048</x:v>
      </x:c>
      <x:c r="K942" s="12" t="n">
        <x:v>28</x:v>
      </x:c>
      <x:c r="L942" s="12" t="n">
        <x:v>6.2370525471677105</x:v>
      </x:c>
      <x:c r="M942" s="12" t="n">
        <x:v>3</x:v>
      </x:c>
      <x:c r="N942" s="14" t="n">
        <x:v>0.796255169688211</x:v>
      </x:c>
      <x:c r="O942" s="14" t="n">
        <x:v>0.20374483031178905</x:v>
      </x:c>
      <x:c r="P942" s="14" t="n">
        <x:v>0.11715876603918242</x:v>
      </x:c>
      <x:c r="Q942" s="14" t="n">
        <x:v>0.32591920706002964</x:v>
      </x:c>
      <x:c r="R942" s="14" t="n">
        <x:v>0.17721696614821794</x:v>
      </x:c>
      <x:c r="S942" s="14" t="n">
        <x:v>0.27463622684217665</x:v>
      </x:c>
      <x:c r="T942" t="str">
        <x:v>평일집중</x:v>
      </x:c>
      <x:c r="U942" s="16" t="n">
        <x:v>68.78290734988056</x:v>
      </x:c>
      <x:c r="V942" t="str">
        <x:v>운동/경기용품</x:v>
      </x:c>
      <x:c r="W942" t="str">
        <x:v>운동/경기용품 / 일반의류 / 한식음식점</x:v>
      </x:c>
      <x:c r="X942" s="16" t="n">
        <x:v>51.58406711395076</x:v>
      </x:c>
    </x:row>
    <x:row r="943">
      <x:c r="A943" t="str">
        <x:v>3110513</x:v>
      </x:c>
      <x:c r="B943" t="str">
        <x:v>연희파출소</x:v>
      </x:c>
      <x:c r="C943" t="str">
        <x:v>골목상권</x:v>
      </x:c>
      <x:c r="D943" t="str">
        <x:v>서대문구</x:v>
      </x:c>
      <x:c r="E943" t="str">
        <x:v>연희동</x:v>
      </x:c>
      <x:c r="F943" s="12" t="n">
        <x:v>81070</x:v>
      </x:c>
      <x:c r="G943" s="12" t="n">
        <x:v>2110420101</x:v>
      </x:c>
      <x:c r="H943" s="12" t="n">
        <x:v>47078</x:v>
      </x:c>
      <x:c r="I943" s="12" t="n">
        <x:v>44828.159671183996</x:v>
      </x:c>
      <x:c r="J943" s="12" t="n">
        <x:v>26032.07229554706</x:v>
      </x:c>
      <x:c r="K943" s="12" t="n">
        <x:v>1002</x:v>
      </x:c>
      <x:c r="L943" s="12" t="n">
        <x:v>123.59689157518194</x:v>
      </x:c>
      <x:c r="M943" s="12" t="n">
        <x:v>6</x:v>
      </x:c>
      <x:c r="N943" s="14" t="n">
        <x:v>0.6585040681433502</x:v>
      </x:c>
      <x:c r="O943" s="14" t="n">
        <x:v>0.3414959318566498</x:v>
      </x:c>
      <x:c r="P943" s="14" t="n">
        <x:v>0.39656715580155477</x:v>
      </x:c>
      <x:c r="Q943" s="14" t="n">
        <x:v>0.34562201793584985</x:v>
      </x:c>
      <x:c r="R943" s="14" t="n">
        <x:v>0.2317829776015766</x:v>
      </x:c>
      <x:c r="S943" s="14" t="n">
        <x:v>0.3924102189926971</x:v>
      </x:c>
      <x:c r="T943" t="str">
        <x:v>직장밀집·2030소비</x:v>
      </x:c>
      <x:c r="U943" s="16" t="n">
        <x:v>65.8484431183435</x:v>
      </x:c>
      <x:c r="V943" t="str">
        <x:v>일식음식점</x:v>
      </x:c>
      <x:c r="W943" t="str">
        <x:v>일식음식점 / 일반의류 / 커피-음료</x:v>
      </x:c>
      <x:c r="X943" s="16" t="n">
        <x:v>57.774282517900225</x:v>
      </x:c>
    </x:row>
    <x:row r="944">
      <x:c r="A944" t="str">
        <x:v>3130105</x:v>
      </x:c>
      <x:c r="B944" t="str">
        <x:v>장미제일시장(중화동제일시장)</x:v>
      </x:c>
      <x:c r="C944" t="str">
        <x:v>전통시장</x:v>
      </x:c>
      <x:c r="D944" t="str">
        <x:v>중랑구</x:v>
      </x:c>
      <x:c r="E944" t="str">
        <x:v>중화2동</x:v>
      </x:c>
      <x:c r="F944" s="12" t="n">
        <x:v>26867</x:v>
      </x:c>
      <x:c r="G944" s="12" t="n">
        <x:v>2103114965</x:v>
      </x:c>
      <x:c r="H944" s="12" t="n">
        <x:v>98083</x:v>
      </x:c>
      <x:c r="I944" s="12" t="n">
        <x:v>21442.19655801719</x:v>
      </x:c>
      <x:c r="J944" s="12" t="n">
        <x:v>78278.74213719433</x:v>
      </x:c>
      <x:c r="K944" s="12" t="n">
        <x:v>29</x:v>
      </x:c>
      <x:c r="L944" s="12" t="n">
        <x:v>10.793910745524249</x:v>
      </x:c>
      <x:c r="M944" s="12" t="n">
        <x:v>9</x:v>
      </x:c>
      <x:c r="N944" s="14" t="n">
        <x:v>0.7094358263006321</x:v>
      </x:c>
      <x:c r="O944" s="14" t="n">
        <x:v>0.2905641736993679</x:v>
      </x:c>
      <x:c r="P944" s="14" t="n">
        <x:v>0.3329677134411908</x:v>
      </x:c>
      <x:c r="Q944" s="14" t="n">
        <x:v>0.25752035481331853</x:v>
      </x:c>
      <x:c r="R944" s="14" t="n">
        <x:v>0.1499465066095424</x:v>
      </x:c>
      <x:c r="S944" s="14" t="n">
        <x:v>0.6316025467490314</x:v>
      </x:c>
      <x:c r="T944" t="str">
        <x:v>여성소비·고매출밀도</x:v>
      </x:c>
      <x:c r="U944" s="16" t="n">
        <x:v>65.83020876129424</x:v>
      </x:c>
      <x:c r="V944" t="str">
        <x:v>육류판매</x:v>
      </x:c>
      <x:c r="W944" t="str">
        <x:v>육류판매 / 청과상 / 분식전문점</x:v>
      </x:c>
      <x:c r="X944" s="16" t="n">
        <x:v>50.99368261616813</x:v>
      </x:c>
    </x:row>
    <x:row r="945">
      <x:c r="A945" t="str">
        <x:v>3110896</x:v>
      </x:c>
      <x:c r="B945" t="str">
        <x:v>관악우성아파트</x:v>
      </x:c>
      <x:c r="C945" t="str">
        <x:v>골목상권</x:v>
      </x:c>
      <x:c r="D945" t="str">
        <x:v>관악구</x:v>
      </x:c>
      <x:c r="E945" t="str">
        <x:v>행운동</x:v>
      </x:c>
      <x:c r="F945" s="12" t="n">
        <x:v>23731</x:v>
      </x:c>
      <x:c r="G945" s="12" t="n">
        <x:v>2100499849</x:v>
      </x:c>
      <x:c r="H945" s="12" t="n">
        <x:v>92422</x:v>
      </x:c>
      <x:c r="I945" s="12" t="n">
        <x:v>22727.271093462594</x:v>
      </x:c>
      <x:c r="J945" s="12" t="n">
        <x:v>88512.90923264928</x:v>
      </x:c>
      <x:c r="K945" s="12" t="n">
        <x:v>389</x:v>
      </x:c>
      <x:c r="L945" s="12" t="n">
        <x:v>163.9206101723484</x:v>
      </x:c>
      <x:c r="M945" s="12" t="n">
        <x:v>9</x:v>
      </x:c>
      <x:c r="N945" s="14" t="n">
        <x:v>0.8011818067024293</x:v>
      </x:c>
      <x:c r="O945" s="14" t="n">
        <x:v>0.19881819329757067</x:v>
      </x:c>
      <x:c r="P945" s="14" t="n">
        <x:v>0.3272193898643789</x:v>
      </x:c>
      <x:c r="Q945" s="14" t="n">
        <x:v>0.32522471464362385</x:v>
      </x:c>
      <x:c r="R945" s="14" t="n">
        <x:v>0.10524502779909507</x:v>
      </x:c>
      <x:c r="S945" s="14" t="n">
        <x:v>0.4662793612988258</x:v>
      </x:c>
      <x:c r="T945" t="str">
        <x:v>평일집중·직장밀집</x:v>
      </x:c>
      <x:c r="U945" s="16" t="n">
        <x:v>58.743900122165826</x:v>
      </x:c>
      <x:c r="V945" t="str">
        <x:v>의약품</x:v>
      </x:c>
      <x:c r="W945" t="str">
        <x:v>의약품 / 커피-음료 / 한식음식점</x:v>
      </x:c>
      <x:c r="X945" s="16" t="n">
        <x:v>50.72891958464155</x:v>
      </x:c>
    </x:row>
    <x:row r="946">
      <x:c r="A946" t="str">
        <x:v>3110500</x:v>
      </x:c>
      <x:c r="B946" t="str">
        <x:v>남가좌동현대아파트</x:v>
      </x:c>
      <x:c r="C946" t="str">
        <x:v>골목상권</x:v>
      </x:c>
      <x:c r="D946" t="str">
        <x:v>서대문구</x:v>
      </x:c>
      <x:c r="E946" t="str">
        <x:v>남가좌2동</x:v>
      </x:c>
      <x:c r="F946" s="12" t="n">
        <x:v>26069</x:v>
      </x:c>
      <x:c r="G946" s="12" t="n">
        <x:v>2097397982</x:v>
      </x:c>
      <x:c r="H946" s="12" t="n">
        <x:v>25794</x:v>
      </x:c>
      <x:c r="I946" s="12" t="n">
        <x:v>81313.40552066371</x:v>
      </x:c>
      <x:c r="J946" s="12" t="n">
        <x:v>80455.6362729679</x:v>
      </x:c>
      <x:c r="K946" s="12" t="n">
        <x:v>116</x:v>
      </x:c>
      <x:c r="L946" s="12" t="n">
        <x:v>44.49729563849783</x:v>
      </x:c>
      <x:c r="M946" s="12" t="n">
        <x:v>4</x:v>
      </x:c>
      <x:c r="N946" s="14" t="n">
        <x:v>0.8351630711161807</x:v>
      </x:c>
      <x:c r="O946" s="14" t="n">
        <x:v>0.16483692888381923</x:v>
      </x:c>
      <x:c r="P946" s="14" t="n">
        <x:v>0.3197463432097457</x:v>
      </x:c>
      <x:c r="Q946" s="14" t="n">
        <x:v>0.2238651762944244</x:v>
      </x:c>
      <x:c r="R946" s="14" t="n">
        <x:v>0.09811871650785253</x:v>
      </x:c>
      <x:c r="S946" s="14" t="n">
        <x:v>0.5253748422839858</x:v>
      </x:c>
      <x:c r="T946" t="str">
        <x:v>평일집중·여성소비</x:v>
      </x:c>
      <x:c r="U946" s="16" t="n">
        <x:v>66.19881525086183</x:v>
      </x:c>
      <x:c r="V946" t="str">
        <x:v>일반교습학원</x:v>
      </x:c>
      <x:c r="W946" t="str">
        <x:v>일반교습학원 / 예술학원 / 커피-음료</x:v>
      </x:c>
      <x:c r="X946" s="16" t="n">
        <x:v>51.20163453944461</x:v>
      </x:c>
    </x:row>
    <x:row r="947">
      <x:c r="A947" t="str">
        <x:v>3110551</x:v>
      </x:c>
      <x:c r="B947" t="str">
        <x:v>성서초등학교</x:v>
      </x:c>
      <x:c r="C947" t="str">
        <x:v>골목상권</x:v>
      </x:c>
      <x:c r="D947" t="str">
        <x:v>마포구</x:v>
      </x:c>
      <x:c r="E947" t="str">
        <x:v>성산1동</x:v>
      </x:c>
      <x:c r="F947" s="12" t="n">
        <x:v>102638</x:v>
      </x:c>
      <x:c r="G947" s="12" t="n">
        <x:v>2083629682</x:v>
      </x:c>
      <x:c r="H947" s="12" t="n">
        <x:v>86907</x:v>
      </x:c>
      <x:c r="I947" s="12" t="n">
        <x:v>23975.3953306408</x:v>
      </x:c>
      <x:c r="J947" s="12" t="n">
        <x:v>20300.762699974668</x:v>
      </x:c>
      <x:c r="K947" s="12" t="n">
        <x:v>600</x:v>
      </x:c>
      <x:c r="L947" s="12" t="n">
        <x:v>58.45788109666985</x:v>
      </x:c>
      <x:c r="M947" s="12" t="n">
        <x:v>13</x:v>
      </x:c>
      <x:c r="N947" s="14" t="n">
        <x:v>0.743545262569359</x:v>
      </x:c>
      <x:c r="O947" s="14" t="n">
        <x:v>0.256454737430641</x:v>
      </x:c>
      <x:c r="P947" s="14" t="n">
        <x:v>0.4894875091340727</x:v>
      </x:c>
      <x:c r="Q947" s="14" t="n">
        <x:v>0.14365542859453276</x:v>
      </x:c>
      <x:c r="R947" s="14" t="n">
        <x:v>0.2292278225474041</x:v>
      </x:c>
      <x:c r="S947" s="14" t="n">
        <x:v>0.4911071280275609</x:v>
      </x:c>
      <x:c r="T947" t="str">
        <x:v>야간활성·여성소비</x:v>
      </x:c>
      <x:c r="U947" s="16" t="n">
        <x:v>76.2518552532099</x:v>
      </x:c>
      <x:c r="V947" t="str">
        <x:v>미용실</x:v>
      </x:c>
      <x:c r="W947" t="str">
        <x:v>미용실 / 피부관리실 / 일반교습학원</x:v>
      </x:c>
      <x:c r="X947" s="16" t="n">
        <x:v>60.08049415312354</x:v>
      </x:c>
    </x:row>
    <x:row r="948">
      <x:c r="A948" t="str">
        <x:v>3110989</x:v>
      </x:c>
      <x:c r="B948" t="str">
        <x:v>대치동아우편취급국</x:v>
      </x:c>
      <x:c r="C948" t="str">
        <x:v>골목상권</x:v>
      </x:c>
      <x:c r="D948" t="str">
        <x:v>강남구</x:v>
      </x:c>
      <x:c r="E948" t="str">
        <x:v>대치4동</x:v>
      </x:c>
      <x:c r="F948" s="12" t="n">
        <x:v>40587</x:v>
      </x:c>
      <x:c r="G948" s="12" t="n">
        <x:v>2064426355</x:v>
      </x:c>
      <x:c r="H948" s="12" t="n">
        <x:v>44412</x:v>
      </x:c>
      <x:c r="I948" s="12" t="n">
        <x:v>46483.52596145186</x:v>
      </x:c>
      <x:c r="J948" s="12" t="n">
        <x:v>50864.226353265825</x:v>
      </x:c>
      <x:c r="K948" s="12" t="n">
        <x:v>1431</x:v>
      </x:c>
      <x:c r="L948" s="12" t="n">
        <x:v>352.57594796363367</x:v>
      </x:c>
      <x:c r="M948" s="12" t="n">
        <x:v>8</x:v>
      </x:c>
      <x:c r="N948" s="14" t="n">
        <x:v>0.8756503861819764</x:v>
      </x:c>
      <x:c r="O948" s="14" t="n">
        <x:v>0.12434961381802355</x:v>
      </x:c>
      <x:c r="P948" s="14" t="n">
        <x:v>0.5257138232959635</x:v>
      </x:c>
      <x:c r="Q948" s="14" t="n">
        <x:v>0.318791744450482</x:v>
      </x:c>
      <x:c r="R948" s="14" t="n">
        <x:v>0.17162277992716288</x:v>
      </x:c>
      <x:c r="S948" s="14" t="n">
        <x:v>0.2789327803364533</x:v>
      </x:c>
      <x:c r="T948" t="str">
        <x:v>평일집중·직장밀집</x:v>
      </x:c>
      <x:c r="U948" s="16" t="n">
        <x:v>64.88987436602113</x:v>
      </x:c>
      <x:c r="V948" t="str">
        <x:v>일반의류</x:v>
      </x:c>
      <x:c r="W948" t="str">
        <x:v>일반의류 / 세탁소 / 한식음식점</x:v>
      </x:c>
      <x:c r="X948" s="16" t="n">
        <x:v>53.272239823262815</x:v>
      </x:c>
    </x:row>
    <x:row r="949">
      <x:c r="A949" t="str">
        <x:v>3110366</x:v>
      </x:c>
      <x:c r="B949" t="str">
        <x:v>광산사거리</x:v>
      </x:c>
      <x:c r="C949" t="str">
        <x:v>골목상권</x:v>
      </x:c>
      <x:c r="D949" t="str">
        <x:v>강북구</x:v>
      </x:c>
      <x:c r="E949" t="str">
        <x:v>수유3동</x:v>
      </x:c>
      <x:c r="F949" s="12" t="n">
        <x:v>57563</x:v>
      </x:c>
      <x:c r="G949" s="12" t="n">
        <x:v>2059159493</x:v>
      </x:c>
      <x:c r="H949" s="12" t="n">
        <x:v>64004</x:v>
      </x:c>
      <x:c r="I949" s="12" t="n">
        <x:v>32172.356305855883</x:v>
      </x:c>
      <x:c r="J949" s="12" t="n">
        <x:v>35772.275472091445</x:v>
      </x:c>
      <x:c r="K949" s="12" t="n">
        <x:v>112</x:v>
      </x:c>
      <x:c r="L949" s="12" t="n">
        <x:v>19.456942827858175</x:v>
      </x:c>
      <x:c r="M949" s="12" t="n">
        <x:v>9</x:v>
      </x:c>
      <x:c r="N949" s="14" t="n">
        <x:v>0.7352750698267548</x:v>
      </x:c>
      <x:c r="O949" s="14" t="n">
        <x:v>0.2647249301732452</x:v>
      </x:c>
      <x:c r="P949" s="14" t="n">
        <x:v>0.5256148213284613</x:v>
      </x:c>
      <x:c r="Q949" s="14" t="n">
        <x:v>0.16473895060250196</x:v>
      </x:c>
      <x:c r="R949" s="14" t="n">
        <x:v>0.1582736665653708</x:v>
      </x:c>
      <x:c r="S949" s="14" t="n">
        <x:v>0.39761708201007234</x:v>
      </x:c>
      <x:c r="T949" t="str">
        <x:v>야간활성</x:v>
      </x:c>
      <x:c r="U949" s="16" t="n">
        <x:v>53.90075296670803</x:v>
      </x:c>
      <x:c r="V949" t="str">
        <x:v>자동차수리</x:v>
      </x:c>
      <x:c r="W949" t="str">
        <x:v>자동차수리 / 당구장 / 컴퓨터및주변장치판매</x:v>
      </x:c>
      <x:c r="X949" s="16" t="n">
        <x:v>48.31065427909473</x:v>
      </x:c>
    </x:row>
    <x:row r="950">
      <x:c r="A950" t="str">
        <x:v>3130125</x:v>
      </x:c>
      <x:c r="B950" t="str">
        <x:v>장위전통시장</x:v>
      </x:c>
      <x:c r="C950" t="str">
        <x:v>전통시장</x:v>
      </x:c>
      <x:c r="D950" t="str">
        <x:v>성북구</x:v>
      </x:c>
      <x:c r="E950" t="str">
        <x:v>장위2동</x:v>
      </x:c>
      <x:c r="F950" s="12" t="n">
        <x:v>58889</x:v>
      </x:c>
      <x:c r="G950" s="12" t="n">
        <x:v>2023943755</x:v>
      </x:c>
      <x:c r="H950" s="12" t="n">
        <x:v>88832</x:v>
      </x:c>
      <x:c r="I950" s="12" t="n">
        <x:v>22783.948971091497</x:v>
      </x:c>
      <x:c r="J950" s="12" t="n">
        <x:v>34368.79137020496</x:v>
      </x:c>
      <x:c r="K950" s="12" t="n">
        <x:v>106</x:v>
      </x:c>
      <x:c r="L950" s="12" t="n">
        <x:v>17.99996603779993</x:v>
      </x:c>
      <x:c r="M950" s="12" t="n">
        <x:v>10</x:v>
      </x:c>
      <x:c r="N950" s="14" t="n">
        <x:v>0.7189921935355362</x:v>
      </x:c>
      <x:c r="O950" s="14" t="n">
        <x:v>0.2810078064644637</x:v>
      </x:c>
      <x:c r="P950" s="14" t="n">
        <x:v>0.3298130278328807</x:v>
      </x:c>
      <x:c r="Q950" s="14" t="n">
        <x:v>0.2722083667784533</x:v>
      </x:c>
      <x:c r="R950" s="14" t="n">
        <x:v>0.13734633549636363</x:v>
      </x:c>
      <x:c r="S950" s="14" t="n">
        <x:v>0.6305284624868441</x:v>
      </x:c>
      <x:c r="T950" t="str">
        <x:v>여성소비</x:v>
      </x:c>
      <x:c r="U950" s="16" t="n">
        <x:v>71.98563176772973</x:v>
      </x:c>
      <x:c r="V950" t="str">
        <x:v>시계및귀금속</x:v>
      </x:c>
      <x:c r="W950" t="str">
        <x:v>시계및귀금속 / 일반의류 / 육류판매</x:v>
      </x:c>
      <x:c r="X950" s="16" t="n">
        <x:v>62.00604846760359</x:v>
      </x:c>
    </x:row>
    <x:row r="951">
      <x:c r="A951" t="str">
        <x:v>3110043</x:v>
      </x:c>
      <x:c r="B951" t="str">
        <x:v>충무초등학교</x:v>
      </x:c>
      <x:c r="C951" t="str">
        <x:v>골목상권</x:v>
      </x:c>
      <x:c r="D951" t="str">
        <x:v>중구</x:v>
      </x:c>
      <x:c r="E951" t="str">
        <x:v>장충동</x:v>
      </x:c>
      <x:c r="F951" s="12" t="n">
        <x:v>110058</x:v>
      </x:c>
      <x:c r="G951" s="12" t="n">
        <x:v>2017301516</x:v>
      </x:c>
      <x:c r="H951" s="12" t="n">
        <x:v>137616</x:v>
      </x:c>
      <x:c r="I951" s="12" t="n">
        <x:v>14658.916957330543</x:v>
      </x:c>
      <x:c r="J951" s="12" t="n">
        <x:v>18329.440077050283</x:v>
      </x:c>
      <x:c r="K951" s="12" t="n">
        <x:v>2205</x:v>
      </x:c>
      <x:c r="L951" s="12" t="n">
        <x:v>200.3489069399771</x:v>
      </x:c>
      <x:c r="M951" s="12" t="n">
        <x:v>11</x:v>
      </x:c>
      <x:c r="N951" s="14" t="n">
        <x:v>0.8817527136582988</x:v>
      </x:c>
      <x:c r="O951" s="14" t="n">
        <x:v>0.11824728634170124</x:v>
      </x:c>
      <x:c r="P951" s="14" t="n">
        <x:v>0.2369143924244193</x:v>
      </x:c>
      <x:c r="Q951" s="14" t="n">
        <x:v>0.27455942337179107</x:v>
      </x:c>
      <x:c r="R951" s="14" t="n">
        <x:v>0.2877623986279699</x:v>
      </x:c>
      <x:c r="S951" s="14" t="n">
        <x:v>0.19806407908335702</x:v>
      </x:c>
      <x:c r="T951" t="str">
        <x:v>평일집중·직장밀집</x:v>
      </x:c>
      <x:c r="U951" s="16" t="n">
        <x:v>69.46594247972658</x:v>
      </x:c>
      <x:c r="V951" t="str">
        <x:v>커피-음료</x:v>
      </x:c>
      <x:c r="W951" t="str">
        <x:v>커피-음료 / 문구 / 분식전문점</x:v>
      </x:c>
      <x:c r="X951" s="16" t="n">
        <x:v>60.59828243976857</x:v>
      </x:c>
    </x:row>
    <x:row r="952">
      <x:c r="A952" t="str">
        <x:v>3110537</x:v>
      </x:c>
      <x:c r="B952" t="str">
        <x:v>충정로현대아파트</x:v>
      </x:c>
      <x:c r="C952" t="str">
        <x:v>골목상권</x:v>
      </x:c>
      <x:c r="D952" t="str">
        <x:v>서대문구</x:v>
      </x:c>
      <x:c r="E952" t="str">
        <x:v>충현동</x:v>
      </x:c>
      <x:c r="F952" s="12" t="n">
        <x:v>52786</x:v>
      </x:c>
      <x:c r="G952" s="12" t="n">
        <x:v>2012940535</x:v>
      </x:c>
      <x:c r="H952" s="12" t="n">
        <x:v>221245</x:v>
      </x:c>
      <x:c r="I952" s="12" t="n">
        <x:v>9098.241926371218</x:v>
      </x:c>
      <x:c r="J952" s="12" t="n">
        <x:v>38133.98505285492</x:v>
      </x:c>
      <x:c r="K952" s="12" t="n">
        <x:v>1228</x:v>
      </x:c>
      <x:c r="L952" s="12" t="n">
        <x:v>232.63744174591747</x:v>
      </x:c>
      <x:c r="M952" s="12" t="n">
        <x:v>3</x:v>
      </x:c>
      <x:c r="N952" s="14" t="n">
        <x:v>0.8553390778630229</x:v>
      </x:c>
      <x:c r="O952" s="14" t="n">
        <x:v>0.1446609221369771</x:v>
      </x:c>
      <x:c r="P952" s="14" t="n">
        <x:v>0.3526959732071767</x:v>
      </x:c>
      <x:c r="Q952" s="14" t="n">
        <x:v>0.3683370939718296</x:v>
      </x:c>
      <x:c r="R952" s="14" t="n">
        <x:v>0.3050182066108575</x:v>
      </x:c>
      <x:c r="S952" s="14" t="n">
        <x:v>0.33422902380968744</x:v>
      </x:c>
      <x:c r="T952" t="str">
        <x:v>평일집중·직장밀집</x:v>
      </x:c>
      <x:c r="U952" s="16" t="n">
        <x:v>49.95576698096336</x:v>
      </x:c>
      <x:c r="V952" t="str">
        <x:v>편의점</x:v>
      </x:c>
      <x:c r="W952" t="str">
        <x:v>편의점 / 커피-음료 / 한식음식점</x:v>
      </x:c>
      <x:c r="X952" s="16" t="n">
        <x:v>46.03083497721926</x:v>
      </x:c>
    </x:row>
    <x:row r="953">
      <x:c r="A953" t="str">
        <x:v>3110862</x:v>
      </x:c>
      <x:c r="B953" t="str">
        <x:v>난곡초등학교(난곡동벽화마을)</x:v>
      </x:c>
      <x:c r="C953" t="str">
        <x:v>골목상권</x:v>
      </x:c>
      <x:c r="D953" t="str">
        <x:v>관악구</x:v>
      </x:c>
      <x:c r="E953" t="str">
        <x:v>난곡동</x:v>
      </x:c>
      <x:c r="F953" s="12" t="n">
        <x:v>58047</x:v>
      </x:c>
      <x:c r="G953" s="12" t="n">
        <x:v>2004398741</x:v>
      </x:c>
      <x:c r="H953" s="12" t="n">
        <x:v>100263</x:v>
      </x:c>
      <x:c r="I953" s="12" t="n">
        <x:v>19991.41000169554</x:v>
      </x:c>
      <x:c r="J953" s="12" t="n">
        <x:v>34530.61727565593</x:v>
      </x:c>
      <x:c r="K953" s="12" t="n">
        <x:v>226</x:v>
      </x:c>
      <x:c r="L953" s="12" t="n">
        <x:v>38.93396730235843</x:v>
      </x:c>
      <x:c r="M953" s="12" t="n">
        <x:v>7</x:v>
      </x:c>
      <x:c r="N953" s="14" t="n">
        <x:v>0.7624744576707954</x:v>
      </x:c>
      <x:c r="O953" s="14" t="n">
        <x:v>0.23752554232920464</x:v>
      </x:c>
      <x:c r="P953" s="14" t="n">
        <x:v>0.3368520300821722</x:v>
      </x:c>
      <x:c r="Q953" s="14" t="n">
        <x:v>0.2741085148187089</x:v>
      </x:c>
      <x:c r="R953" s="14" t="n">
        <x:v>0.12993720943471695</x:v>
      </x:c>
      <x:c r="S953" s="14" t="n">
        <x:v>0.46774096931045717</x:v>
      </x:c>
      <x:c r="T953" t="str">
        <x:v>여성소비</x:v>
      </x:c>
      <x:c r="U953" s="16" t="n">
        <x:v>57.56614693186121</x:v>
      </x:c>
      <x:c r="V953" t="str">
        <x:v>미용실</x:v>
      </x:c>
      <x:c r="W953" t="str">
        <x:v>미용실 / 일반교습학원 / 한식음식점</x:v>
      </x:c>
      <x:c r="X953" s="16" t="n">
        <x:v>50.8228010407477</x:v>
      </x:c>
    </x:row>
    <x:row r="954">
      <x:c r="A954" t="str">
        <x:v>3110746</x:v>
      </x:c>
      <x:c r="B954" t="str">
        <x:v>금천금빛공원(은행나무사거리서측)</x:v>
      </x:c>
      <x:c r="C954" t="str">
        <x:v>골목상권</x:v>
      </x:c>
      <x:c r="D954" t="str">
        <x:v>금천구</x:v>
      </x:c>
      <x:c r="E954" t="str">
        <x:v>시흥1동</x:v>
      </x:c>
      <x:c r="F954" s="12" t="n">
        <x:v>57787</x:v>
      </x:c>
      <x:c r="G954" s="12" t="n">
        <x:v>2004063511</x:v>
      </x:c>
      <x:c r="H954" s="12" t="n">
        <x:v>44365</x:v>
      </x:c>
      <x:c r="I954" s="12" t="n">
        <x:v>45172.17425898794</x:v>
      </x:c>
      <x:c r="J954" s="12" t="n">
        <x:v>34680.17912333224</x:v>
      </x:c>
      <x:c r="K954" s="12" t="n">
        <x:v>137</x:v>
      </x:c>
      <x:c r="L954" s="12" t="n">
        <x:v>23.70775433921124</x:v>
      </x:c>
      <x:c r="M954" s="12" t="n">
        <x:v>6</x:v>
      </x:c>
      <x:c r="N954" s="14" t="n">
        <x:v>0.6600752993800704</x:v>
      </x:c>
      <x:c r="O954" s="14" t="n">
        <x:v>0.33992470061992963</x:v>
      </x:c>
      <x:c r="P954" s="14" t="n">
        <x:v>0.6423702611887933</x:v>
      </x:c>
      <x:c r="Q954" s="14" t="n">
        <x:v>0.1767594370416138</x:v>
      </x:c>
      <x:c r="R954" s="14" t="n">
        <x:v>0.1747625362557684</x:v>
      </x:c>
      <x:c r="S954" s="14" t="n">
        <x:v>0.34558431766187675</x:v>
      </x:c>
      <x:c r="T954" t="str">
        <x:v>야간활성</x:v>
      </x:c>
      <x:c r="U954" s="16" t="n">
        <x:v>51.402361037030765</x:v>
      </x:c>
      <x:c r="V954" t="str">
        <x:v>인테리어</x:v>
      </x:c>
      <x:c r="W954" t="str">
        <x:v>인테리어 / 한식음식점 / 노래방</x:v>
      </x:c>
      <x:c r="X954" s="16" t="n">
        <x:v>40.017499154614335</x:v>
      </x:c>
    </x:row>
    <x:row r="955">
      <x:c r="A955" t="str">
        <x:v>3110348</x:v>
      </x:c>
      <x:c r="B955" t="str">
        <x:v>강북문화예술회관</x:v>
      </x:c>
      <x:c r="C955" t="str">
        <x:v>골목상권</x:v>
      </x:c>
      <x:c r="D955" t="str">
        <x:v>강북구</x:v>
      </x:c>
      <x:c r="E955" t="str">
        <x:v>인수동</x:v>
      </x:c>
      <x:c r="F955" s="12" t="n">
        <x:v>122433</x:v>
      </x:c>
      <x:c r="G955" s="12" t="n">
        <x:v>2001061035</x:v>
      </x:c>
      <x:c r="H955" s="12" t="n">
        <x:v>115379</x:v>
      </x:c>
      <x:c r="I955" s="12" t="n">
        <x:v>17343.373014153356</x:v>
      </x:c>
      <x:c r="J955" s="12" t="n">
        <x:v>16344.131361642694</x:v>
      </x:c>
      <x:c r="K955" s="12" t="n">
        <x:v>401</x:v>
      </x:c>
      <x:c r="L955" s="12" t="n">
        <x:v>32.75260754861843</x:v>
      </x:c>
      <x:c r="M955" s="12" t="n">
        <x:v>11</x:v>
      </x:c>
      <x:c r="N955" s="14" t="n">
        <x:v>0.7947991916198598</x:v>
      </x:c>
      <x:c r="O955" s="14" t="n">
        <x:v>0.20520080838014018</x:v>
      </x:c>
      <x:c r="P955" s="14" t="n">
        <x:v>0.3561156634085377</x:v>
      </x:c>
      <x:c r="Q955" s="14" t="n">
        <x:v>0.24236918840409083</x:v>
      </x:c>
      <x:c r="R955" s="14" t="n">
        <x:v>0.16336393657277926</x:v>
      </x:c>
      <x:c r="S955" s="14" t="n">
        <x:v>0.34302514465781897</x:v>
      </x:c>
      <x:c r="T955" t="str">
        <x:v>평일집중</x:v>
      </x:c>
      <x:c r="U955" s="16" t="n">
        <x:v>54.20000348573712</x:v>
      </x:c>
      <x:c r="V955" t="str">
        <x:v>의약품</x:v>
      </x:c>
      <x:c r="W955" t="str">
        <x:v>의약품 / 한식음식점 / 일반교습학원</x:v>
      </x:c>
      <x:c r="X955" s="16" t="n">
        <x:v>50.1349899356361</x:v>
      </x:c>
    </x:row>
    <x:row r="956">
      <x:c r="A956" t="str">
        <x:v>3111063</x:v>
      </x:c>
      <x:c r="B956" t="str">
        <x:v>강동구립 천호도서관</x:v>
      </x:c>
      <x:c r="C956" t="str">
        <x:v>골목상권</x:v>
      </x:c>
      <x:c r="D956" t="str">
        <x:v>강동구</x:v>
      </x:c>
      <x:c r="E956" t="str">
        <x:v>천호3동</x:v>
      </x:c>
      <x:c r="F956" s="12" t="n">
        <x:v>150522</x:v>
      </x:c>
      <x:c r="G956" s="12" t="n">
        <x:v>1995422878</x:v>
      </x:c>
      <x:c r="H956" s="12" t="n">
        <x:v>157592</x:v>
      </x:c>
      <x:c r="I956" s="12" t="n">
        <x:v>12661.955416518605</x:v>
      </x:c>
      <x:c r="J956" s="12" t="n">
        <x:v>13256.685919666228</x:v>
      </x:c>
      <x:c r="K956" s="12" t="n">
        <x:v>215</x:v>
      </x:c>
      <x:c r="L956" s="12" t="n">
        <x:v>14.283626313761443</x:v>
      </x:c>
      <x:c r="M956" s="12" t="n">
        <x:v>11</x:v>
      </x:c>
      <x:c r="N956" s="14" t="n">
        <x:v>0.700420944557297</x:v>
      </x:c>
      <x:c r="O956" s="14" t="n">
        <x:v>0.299579055442703</x:v>
      </x:c>
      <x:c r="P956" s="14" t="n">
        <x:v>0.5230517358035423</x:v>
      </x:c>
      <x:c r="Q956" s="14" t="n">
        <x:v>0.14807608615580883</x:v>
      </x:c>
      <x:c r="R956" s="14" t="n">
        <x:v>0.3395084918937168</x:v>
      </x:c>
      <x:c r="S956" s="14" t="n">
        <x:v>0.3800158840315752</x:v>
      </x:c>
      <x:c r="T956" t="str">
        <x:v>야간활성·2030소비</x:v>
      </x:c>
      <x:c r="U956" s="16" t="n">
        <x:v>52.182749143246674</x:v>
      </x:c>
      <x:c r="V956" t="str">
        <x:v>미용실</x:v>
      </x:c>
      <x:c r="W956" t="str">
        <x:v>미용실 / 가전제품수리 / 편의점</x:v>
      </x:c>
      <x:c r="X956" s="16" t="n">
        <x:v>47.4267557133282</x:v>
      </x:c>
    </x:row>
    <x:row r="957">
      <x:c r="A957" t="str">
        <x:v>3110172</x:v>
      </x:c>
      <x:c r="B957" t="str">
        <x:v>광진초등학교</x:v>
      </x:c>
      <x:c r="C957" t="str">
        <x:v>골목상권</x:v>
      </x:c>
      <x:c r="D957" t="str">
        <x:v>광진구</x:v>
      </x:c>
      <x:c r="E957" t="str">
        <x:v>구의2동</x:v>
      </x:c>
      <x:c r="F957" s="12" t="n">
        <x:v>95499</x:v>
      </x:c>
      <x:c r="G957" s="12" t="n">
        <x:v>1986681239</x:v>
      </x:c>
      <x:c r="H957" s="12" t="n">
        <x:v>112532</x:v>
      </x:c>
      <x:c r="I957" s="12" t="n">
        <x:v>17654.367104468063</x:v>
      </x:c>
      <x:c r="J957" s="12" t="n">
        <x:v>20803.162745159636</x:v>
      </x:c>
      <x:c r="K957" s="12" t="n">
        <x:v>973</x:v>
      </x:c>
      <x:c r="L957" s="12" t="n">
        <x:v>101.88588362181804</x:v>
      </x:c>
      <x:c r="M957" s="12" t="n">
        <x:v>10</x:v>
      </x:c>
      <x:c r="N957" s="14" t="n">
        <x:v>0.7768285081188105</x:v>
      </x:c>
      <x:c r="O957" s="14" t="n">
        <x:v>0.2231714918811895</x:v>
      </x:c>
      <x:c r="P957" s="14" t="n">
        <x:v>0.3674304617520979</x:v>
      </x:c>
      <x:c r="Q957" s="14" t="n">
        <x:v>0.2542735362288283</x:v>
      </x:c>
      <x:c r="R957" s="14" t="n">
        <x:v>0.18822724081706596</x:v>
      </x:c>
      <x:c r="S957" s="14" t="n">
        <x:v>0.3501546102837084</x:v>
      </x:c>
      <x:c r="T957" t="str">
        <x:v>평일집중·직장밀집</x:v>
      </x:c>
      <x:c r="U957" s="16" t="n">
        <x:v>64.72315212819447</x:v>
      </x:c>
      <x:c r="V957" t="str">
        <x:v>일반교습학원</x:v>
      </x:c>
      <x:c r="W957" t="str">
        <x:v>일반교습학원 / 슈퍼마켓 / 미용실</x:v>
      </x:c>
      <x:c r="X957" s="16" t="n">
        <x:v>56.60303825040178</x:v>
      </x:c>
    </x:row>
    <x:row r="958">
      <x:c r="A958" t="str">
        <x:v>3110124</x:v>
      </x:c>
      <x:c r="B958" t="str">
        <x:v>뚝섬역교차로</x:v>
      </x:c>
      <x:c r="C958" t="str">
        <x:v>골목상권</x:v>
      </x:c>
      <x:c r="D958" t="str">
        <x:v>성동구</x:v>
      </x:c>
      <x:c r="E958" t="str">
        <x:v>성수1가2동</x:v>
      </x:c>
      <x:c r="F958" s="12" t="n">
        <x:v>79596</x:v>
      </x:c>
      <x:c r="G958" s="12" t="n">
        <x:v>1980689883</x:v>
      </x:c>
      <x:c r="H958" s="12" t="n">
        <x:v>215166</x:v>
      </x:c>
      <x:c r="I958" s="12" t="n">
        <x:v>9205.403655782047</x:v>
      </x:c>
      <x:c r="J958" s="12" t="n">
        <x:v>24884.289197949645</x:v>
      </x:c>
      <x:c r="K958" s="12" t="n">
        <x:v>1666</x:v>
      </x:c>
      <x:c r="L958" s="12" t="n">
        <x:v>209.30700035177645</x:v>
      </x:c>
      <x:c r="M958" s="12" t="n">
        <x:v>5</x:v>
      </x:c>
      <x:c r="N958" s="14" t="n">
        <x:v>0.8202631693858154</x:v>
      </x:c>
      <x:c r="O958" s="14" t="n">
        <x:v>0.17973683061418455</x:v>
      </x:c>
      <x:c r="P958" s="14" t="n">
        <x:v>0.3331820158542204</x:v>
      </x:c>
      <x:c r="Q958" s="14" t="n">
        <x:v>0.32176836084743105</x:v>
      </x:c>
      <x:c r="R958" s="14" t="n">
        <x:v>0.47826582451423566</x:v>
      </x:c>
      <x:c r="S958" s="14" t="n">
        <x:v>0.3072640150401576</x:v>
      </x:c>
      <x:c r="T958" t="str">
        <x:v>2030소비·평일집중</x:v>
      </x:c>
      <x:c r="U958" s="16" t="n">
        <x:v>50.253281926806466</x:v>
      </x:c>
      <x:c r="V958" t="str">
        <x:v>편의점</x:v>
      </x:c>
      <x:c r="W958" t="str">
        <x:v>편의점 / 커피-음료 / 한식음식점</x:v>
      </x:c>
      <x:c r="X958" s="16" t="n">
        <x:v>38.19572410433568</x:v>
      </x:c>
    </x:row>
    <x:row r="959">
      <x:c r="A959" t="str">
        <x:v>3130307</x:v>
      </x:c>
      <x:c r="B959" t="str">
        <x:v>도곡시장</x:v>
      </x:c>
      <x:c r="C959" t="str">
        <x:v>전통시장</x:v>
      </x:c>
      <x:c r="D959" t="str">
        <x:v>강남구</x:v>
      </x:c>
      <x:c r="E959" t="str">
        <x:v>역삼2동</x:v>
      </x:c>
      <x:c r="F959" s="12" t="n">
        <x:v>7462</x:v>
      </x:c>
      <x:c r="G959" s="12" t="n">
        <x:v>1980235803</x:v>
      </x:c>
      <x:c r="H959" s="12" t="n">
        <x:v>37681</x:v>
      </x:c>
      <x:c r="I959" s="12" t="n">
        <x:v>52552.634033067065</x:v>
      </x:c>
      <x:c r="J959" s="12" t="n">
        <x:v>265376.01219512196</x:v>
      </x:c>
      <x:c r="K959" s="12" t="n">
        <x:v>149</x:v>
      </x:c>
      <x:c r="L959" s="12" t="n">
        <x:v>199.67837041007772</x:v>
      </x:c>
      <x:c r="M959" s="12" t="n">
        <x:v>4</x:v>
      </x:c>
      <x:c r="N959" s="14" t="n">
        <x:v>0.8729631170091514</x:v>
      </x:c>
      <x:c r="O959" s="14" t="n">
        <x:v>0.12703688299084853</x:v>
      </x:c>
      <x:c r="P959" s="14" t="n">
        <x:v>0.23502542994875847</x:v>
      </x:c>
      <x:c r="Q959" s="14" t="n">
        <x:v>0.2421107583620434</x:v>
      </x:c>
      <x:c r="R959" s="14" t="n">
        <x:v>0.12090882895727545</x:v>
      </x:c>
      <x:c r="S959" s="14" t="n">
        <x:v>0.5364850687935976</x:v>
      </x:c>
      <x:c r="T959" t="str">
        <x:v>평일집중·고매출밀도</x:v>
      </x:c>
      <x:c r="U959" s="16" t="n">
        <x:v>59.55049106800811</x:v>
      </x:c>
      <x:c r="V959" t="str">
        <x:v>청과상</x:v>
      </x:c>
      <x:c r="W959" t="str">
        <x:v>청과상 / 스포츠 강습 / 일반의원</x:v>
      </x:c>
      <x:c r="X959" s="16" t="n">
        <x:v>45.92917940622543</x:v>
      </x:c>
    </x:row>
    <x:row r="960">
      <x:c r="A960" t="str">
        <x:v>3110362</x:v>
      </x:c>
      <x:c r="B960" t="str">
        <x:v>우이천 계성교</x:v>
      </x:c>
      <x:c r="C960" t="str">
        <x:v>골목상권</x:v>
      </x:c>
      <x:c r="D960" t="str">
        <x:v>강북구</x:v>
      </x:c>
      <x:c r="E960" t="str">
        <x:v>수유2동</x:v>
      </x:c>
      <x:c r="F960" s="12" t="n">
        <x:v>142902</x:v>
      </x:c>
      <x:c r="G960" s="12" t="n">
        <x:v>1979212224</x:v>
      </x:c>
      <x:c r="H960" s="12" t="n">
        <x:v>168568</x:v>
      </x:c>
      <x:c r="I960" s="12" t="n">
        <x:v>11741.32827108348</x:v>
      </x:c>
      <x:c r="J960" s="12" t="n">
        <x:v>13850.136625099718</x:v>
      </x:c>
      <x:c r="K960" s="12" t="n">
        <x:v>406</x:v>
      </x:c>
      <x:c r="L960" s="12" t="n">
        <x:v>28.411078921218735</x:v>
      </x:c>
      <x:c r="M960" s="12" t="n">
        <x:v>14</x:v>
      </x:c>
      <x:c r="N960" s="14" t="n">
        <x:v>0.7327228249778636</x:v>
      </x:c>
      <x:c r="O960" s="14" t="n">
        <x:v>0.2672771750221365</x:v>
      </x:c>
      <x:c r="P960" s="14" t="n">
        <x:v>0.42502390941174784</x:v>
      </x:c>
      <x:c r="Q960" s="14" t="n">
        <x:v>0.18109044328537857</x:v>
      </x:c>
      <x:c r="R960" s="14" t="n">
        <x:v>0.3074715028639597</x:v>
      </x:c>
      <x:c r="S960" s="14" t="n">
        <x:v>0.44198013603214287</x:v>
      </x:c>
      <x:c r="T960" t="str">
        <x:v>2030소비·야간활성</x:v>
      </x:c>
      <x:c r="U960" s="16" t="n">
        <x:v>61.12708472223201</x:v>
      </x:c>
      <x:c r="V960" t="str">
        <x:v>미용실</x:v>
      </x:c>
      <x:c r="W960" t="str">
        <x:v>미용실 / 예술학원 / 세탁소</x:v>
      </x:c>
      <x:c r="X960" s="16" t="n">
        <x:v>54.01979003035528</x:v>
      </x:c>
    </x:row>
    <x:row r="961">
      <x:c r="A961" t="str">
        <x:v>3110848</x:v>
      </x:c>
      <x:c r="B961" t="str">
        <x:v>양지어린이공원</x:v>
      </x:c>
      <x:c r="C961" t="str">
        <x:v>골목상권</x:v>
      </x:c>
      <x:c r="D961" t="str">
        <x:v>동작구</x:v>
      </x:c>
      <x:c r="E961" t="str">
        <x:v>사당1동</x:v>
      </x:c>
      <x:c r="F961" s="12" t="n">
        <x:v>116036</x:v>
      </x:c>
      <x:c r="G961" s="12" t="n">
        <x:v>1974641379</x:v>
      </x:c>
      <x:c r="H961" s="12" t="n">
        <x:v>50358</x:v>
      </x:c>
      <x:c r="I961" s="12" t="n">
        <x:v>39212.06916478017</x:v>
      </x:c>
      <x:c r="J961" s="12" t="n">
        <x:v>17017.489218863113</x:v>
      </x:c>
      <x:c r="K961" s="12" t="n">
        <x:v>328</x:v>
      </x:c>
      <x:c r="L961" s="12" t="n">
        <x:v>28.267089523940843</x:v>
      </x:c>
      <x:c r="M961" s="12" t="n">
        <x:v>11</x:v>
      </x:c>
      <x:c r="N961" s="14" t="n">
        <x:v>0.8299758484905122</x:v>
      </x:c>
      <x:c r="O961" s="14" t="n">
        <x:v>0.17002415150948785</x:v>
      </x:c>
      <x:c r="P961" s="14" t="n">
        <x:v>0.4481777118679533</x:v>
      </x:c>
      <x:c r="Q961" s="14" t="n">
        <x:v>0.1887319241677858</x:v>
      </x:c>
      <x:c r="R961" s="14" t="n">
        <x:v>0.1429774960671479</x:v>
      </x:c>
      <x:c r="S961" s="14" t="n">
        <x:v>0.47146867724987546</x:v>
      </x:c>
      <x:c r="T961" t="str">
        <x:v>평일집중·야간활성</x:v>
      </x:c>
      <x:c r="U961" s="16" t="n">
        <x:v>66.36795629009829</x:v>
      </x:c>
      <x:c r="V961" t="str">
        <x:v>일반교습학원</x:v>
      </x:c>
      <x:c r="W961" t="str">
        <x:v>일반교습학원 / 청과상 / 예술학원</x:v>
      </x:c>
      <x:c r="X961" s="16" t="n">
        <x:v>52.99240361639354</x:v>
      </x:c>
    </x:row>
    <x:row r="962">
      <x:c r="A962" t="str">
        <x:v>3110123</x:v>
      </x:c>
      <x:c r="B962" t="str">
        <x:v>마장역 3번</x:v>
      </x:c>
      <x:c r="C962" t="str">
        <x:v>골목상권</x:v>
      </x:c>
      <x:c r="D962" t="str">
        <x:v>성동구</x:v>
      </x:c>
      <x:c r="E962" t="str">
        <x:v>마장동</x:v>
      </x:c>
      <x:c r="F962" s="12" t="n">
        <x:v>169553</x:v>
      </x:c>
      <x:c r="G962" s="12" t="n">
        <x:v>1973347333</x:v>
      </x:c>
      <x:c r="H962" s="12" t="n">
        <x:v>84453</x:v>
      </x:c>
      <x:c r="I962" s="12" t="n">
        <x:v>23366.219471185155</x:v>
      </x:c>
      <x:c r="J962" s="12" t="n">
        <x:v>11638.527970605062</x:v>
      </x:c>
      <x:c r="K962" s="12" t="n">
        <x:v>667</x:v>
      </x:c>
      <x:c r="L962" s="12" t="n">
        <x:v>39.33873184196092</x:v>
      </x:c>
      <x:c r="M962" s="12" t="n">
        <x:v>5</x:v>
      </x:c>
      <x:c r="N962" s="14" t="n">
        <x:v>0.6983819274759169</x:v>
      </x:c>
      <x:c r="O962" s="14" t="n">
        <x:v>0.3016180725240831</x:v>
      </x:c>
      <x:c r="P962" s="14" t="n">
        <x:v>0.4736481937921468</x:v>
      </x:c>
      <x:c r="Q962" s="14" t="n">
        <x:v>0.29866118252178975</x:v>
      </x:c>
      <x:c r="R962" s="14" t="n">
        <x:v>0.20626393245288865</x:v>
      </x:c>
      <x:c r="S962" s="14" t="n">
        <x:v>0.19762134799003475</x:v>
      </x:c>
      <x:c r="T962" t="str">
        <x:v>야간활성</x:v>
      </x:c>
      <x:c r="U962" s="16" t="n">
        <x:v>55.29900535539295</x:v>
      </x:c>
      <x:c r="V962" t="str">
        <x:v>스포츠 강습</x:v>
      </x:c>
      <x:c r="W962" t="str">
        <x:v>스포츠 강습 / 한식음식점 / 반찬가게</x:v>
      </x:c>
      <x:c r="X962" s="16" t="n">
        <x:v>43.71811815251304</x:v>
      </x:c>
    </x:row>
    <x:row r="963">
      <x:c r="A963" t="str">
        <x:v>3110334</x:v>
      </x:c>
      <x:c r="B963" t="str">
        <x:v>석관중앙교회</x:v>
      </x:c>
      <x:c r="C963" t="str">
        <x:v>골목상권</x:v>
      </x:c>
      <x:c r="D963" t="str">
        <x:v>성북구</x:v>
      </x:c>
      <x:c r="E963" t="str">
        <x:v>석관동</x:v>
      </x:c>
      <x:c r="F963" s="12" t="n">
        <x:v>84276</x:v>
      </x:c>
      <x:c r="G963" s="12" t="n">
        <x:v>1969141964</x:v>
      </x:c>
      <x:c r="H963" s="12" t="n">
        <x:v>38706</x:v>
      </x:c>
      <x:c r="I963" s="12" t="n">
        <x:v>50874.33379837751</x:v>
      </x:c>
      <x:c r="J963" s="12" t="n">
        <x:v>23365.394228487352</x:v>
      </x:c>
      <x:c r="K963" s="12" t="n">
        <x:v>136</x:v>
      </x:c>
      <x:c r="L963" s="12" t="n">
        <x:v>16.137453130191275</x:v>
      </x:c>
      <x:c r="M963" s="12" t="n">
        <x:v>6</x:v>
      </x:c>
      <x:c r="N963" s="14" t="n">
        <x:v>0.8769849815663163</x:v>
      </x:c>
      <x:c r="O963" s="14" t="n">
        <x:v>0.12301501843368363</x:v>
      </x:c>
      <x:c r="P963" s="14" t="n">
        <x:v>0.2463899794276082</x:v>
      </x:c>
      <x:c r="Q963" s="14" t="n">
        <x:v>0.28945302086914443</x:v>
      </x:c>
      <x:c r="R963" s="14" t="n">
        <x:v>0.15899483161895583</x:v>
      </x:c>
      <x:c r="S963" s="14" t="n">
        <x:v>0.6211468793826386</x:v>
      </x:c>
      <x:c r="T963" t="str">
        <x:v>여성소비·평일집중</x:v>
      </x:c>
      <x:c r="U963" s="16" t="n">
        <x:v>63.20741331260337</x:v>
      </x:c>
      <x:c r="V963" t="str">
        <x:v>미용실</x:v>
      </x:c>
      <x:c r="W963" t="str">
        <x:v>미용실 / 일반의류 / 화장품</x:v>
      </x:c>
      <x:c r="X963" s="16" t="n">
        <x:v>49.25070257370375</x:v>
      </x:c>
    </x:row>
    <x:row r="964">
      <x:c r="A964" t="str">
        <x:v>3130005</x:v>
      </x:c>
      <x:c r="B964" t="str">
        <x:v>세운상가가동</x:v>
      </x:c>
      <x:c r="C964" t="str">
        <x:v>전통시장</x:v>
      </x:c>
      <x:c r="D964" t="str">
        <x:v>종로구</x:v>
      </x:c>
      <x:c r="E964" t="str">
        <x:v>종로1·2·3·4가동</x:v>
      </x:c>
      <x:c r="F964" s="12" t="n">
        <x:v>17110</x:v>
      </x:c>
      <x:c r="G964" s="12" t="n">
        <x:v>1967005166</x:v>
      </x:c>
      <x:c r="H964" s="12" t="n">
        <x:v>10346</x:v>
      </x:c>
      <x:c r="I964" s="12" t="n">
        <x:v>190122.28552097428</x:v>
      </x:c>
      <x:c r="J964" s="12" t="n">
        <x:v>114962.31244886032</x:v>
      </x:c>
      <x:c r="K964" s="12" t="n">
        <x:v>1034</x:v>
      </x:c>
      <x:c r="L964" s="12" t="n">
        <x:v>604.3249561659849</x:v>
      </x:c>
      <x:c r="M964" s="12" t="n">
        <x:v>4</x:v>
      </x:c>
      <x:c r="N964" s="14" t="n">
        <x:v>0.7962081300400611</x:v>
      </x:c>
      <x:c r="O964" s="14" t="n">
        <x:v>0.2037918699599389</x:v>
      </x:c>
      <x:c r="P964" s="14" t="n">
        <x:v>0.08248965371553071</x:v>
      </x:c>
      <x:c r="Q964" s="14" t="n">
        <x:v>0.585484400298723</x:v>
      </x:c>
      <x:c r="R964" s="14" t="n">
        <x:v>0.0476169522169928</x:v>
      </x:c>
      <x:c r="S964" s="14" t="n">
        <x:v>0.24739088560177172</x:v>
      </x:c>
      <x:c r="T964" t="str">
        <x:v>직장밀집·평일집중</x:v>
      </x:c>
      <x:c r="U964" s="16" t="n">
        <x:v>67.83701194846736</x:v>
      </x:c>
      <x:c r="V964" t="str">
        <x:v>가전제품</x:v>
      </x:c>
      <x:c r="W964" t="str">
        <x:v>가전제품 / 컴퓨터및주변장치판매 / 슈퍼마켓</x:v>
      </x:c>
      <x:c r="X964" s="16" t="n">
        <x:v>49.74259318347917</x:v>
      </x:c>
    </x:row>
    <x:row r="965">
      <x:c r="A965" t="str">
        <x:v>3110821</x:v>
      </x:c>
      <x:c r="B965" t="str">
        <x:v>보라매역 2번</x:v>
      </x:c>
      <x:c r="C965" t="str">
        <x:v>골목상권</x:v>
      </x:c>
      <x:c r="D965" t="str">
        <x:v>동작구</x:v>
      </x:c>
      <x:c r="E965" t="str">
        <x:v>신대방2동</x:v>
      </x:c>
      <x:c r="F965" s="12" t="n">
        <x:v>128484</x:v>
      </x:c>
      <x:c r="G965" s="12" t="n">
        <x:v>1966167951</x:v>
      </x:c>
      <x:c r="H965" s="12" t="n">
        <x:v>76085</x:v>
      </x:c>
      <x:c r="I965" s="12" t="n">
        <x:v>25841.72900046001</x:v>
      </x:c>
      <x:c r="J965" s="12" t="n">
        <x:v>15302.8233165219</x:v>
      </x:c>
      <x:c r="K965" s="12" t="n">
        <x:v>1348</x:v>
      </x:c>
      <x:c r="L965" s="12" t="n">
        <x:v>104.91578717972665</x:v>
      </x:c>
      <x:c r="M965" s="12" t="n">
        <x:v>9</x:v>
      </x:c>
      <x:c r="N965" s="14" t="n">
        <x:v>0.7655996738398672</x:v>
      </x:c>
      <x:c r="O965" s="14" t="n">
        <x:v>0.2344003261601328</x:v>
      </x:c>
      <x:c r="P965" s="14" t="n">
        <x:v>0.44590310281179024</x:v>
      </x:c>
      <x:c r="Q965" s="14" t="n">
        <x:v>0.2591747809442348</x:v>
      </x:c>
      <x:c r="R965" s="14" t="n">
        <x:v>0.2087206277527204</x:v>
      </x:c>
      <x:c r="S965" s="14" t="n">
        <x:v>0.3258296183060915</x:v>
      </x:c>
      <x:c r="T965" t="str">
        <x:v>야간활성·직장밀집</x:v>
      </x:c>
      <x:c r="U965" s="16" t="n">
        <x:v>66.99303179033032</x:v>
      </x:c>
      <x:c r="V965" t="str">
        <x:v>미용실</x:v>
      </x:c>
      <x:c r="W965" t="str">
        <x:v>미용실 / 자동차수리 / 스포츠 강습</x:v>
      </x:c>
      <x:c r="X965" s="16" t="n">
        <x:v>60.36259007533166</x:v>
      </x:c>
    </x:row>
    <x:row r="966">
      <x:c r="A966" t="str">
        <x:v>3110435</x:v>
      </x:c>
      <x:c r="B966" t="str">
        <x:v>서울과학기술대</x:v>
      </x:c>
      <x:c r="C966" t="str">
        <x:v>골목상권</x:v>
      </x:c>
      <x:c r="D966" t="str">
        <x:v>노원구</x:v>
      </x:c>
      <x:c r="E966" t="str">
        <x:v>공릉2동</x:v>
      </x:c>
      <x:c r="F966" s="12" t="n">
        <x:v>17818</x:v>
      </x:c>
      <x:c r="G966" s="12" t="n">
        <x:v>1958948908</x:v>
      </x:c>
      <x:c r="H966" s="12" t="n">
        <x:v>120031</x:v>
      </x:c>
      <x:c r="I966" s="12" t="n">
        <x:v>16320.358140813623</x:v>
      </x:c>
      <x:c r="J966" s="12" t="n">
        <x:v>109942.13200134695</x:v>
      </x:c>
      <x:c r="K966" s="12" t="n">
        <x:v>132</x:v>
      </x:c>
      <x:c r="L966" s="12" t="n">
        <x:v>74.082388595802</x:v>
      </x:c>
      <x:c r="M966" s="12" t="n">
        <x:v>9</x:v>
      </x:c>
      <x:c r="N966" s="14" t="n">
        <x:v>0.7508041429735951</x:v>
      </x:c>
      <x:c r="O966" s="14" t="n">
        <x:v>0.2491958570264049</x:v>
      </x:c>
      <x:c r="P966" s="14" t="n">
        <x:v>0.5168848579281068</x:v>
      </x:c>
      <x:c r="Q966" s="14" t="n">
        <x:v>0.28321520420174223</x:v>
      </x:c>
      <x:c r="R966" s="14" t="n">
        <x:v>0.43615771473709103</x:v>
      </x:c>
      <x:c r="S966" s="14" t="n">
        <x:v>0.3559503303799284</x:v>
      </x:c>
      <x:c r="T966" t="str">
        <x:v>2030소비·야간활성</x:v>
      </x:c>
      <x:c r="U966" s="16" t="n">
        <x:v>63.538412833271586</x:v>
      </x:c>
      <x:c r="V966" t="str">
        <x:v>당구장</x:v>
      </x:c>
      <x:c r="W966" t="str">
        <x:v>당구장 / 호프-간이주점 / 미용실</x:v>
      </x:c>
      <x:c r="X966" s="16" t="n">
        <x:v>54.18646557786392</x:v>
      </x:c>
    </x:row>
    <x:row r="967">
      <x:c r="A967" t="str">
        <x:v>3110723</x:v>
      </x:c>
      <x:c r="B967" t="str">
        <x:v>가산디지털단지역 1번 출입구</x:v>
      </x:c>
      <x:c r="C967" t="str">
        <x:v>골목상권</x:v>
      </x:c>
      <x:c r="D967" t="str">
        <x:v>금천구</x:v>
      </x:c>
      <x:c r="E967" t="str">
        <x:v>가산동</x:v>
      </x:c>
      <x:c r="F967" s="12" t="n">
        <x:v>42837</x:v>
      </x:c>
      <x:c r="G967" s="12" t="n">
        <x:v>1944640596</x:v>
      </x:c>
      <x:c r="H967" s="12" t="n">
        <x:v>36784</x:v>
      </x:c>
      <x:c r="I967" s="12" t="n">
        <x:v>52866.479882557636</x:v>
      </x:c>
      <x:c r="J967" s="12" t="n">
        <x:v>45396.28349324183</x:v>
      </x:c>
      <x:c r="K967" s="12" t="n">
        <x:v>295</x:v>
      </x:c>
      <x:c r="L967" s="12" t="n">
        <x:v>68.86570021243318</x:v>
      </x:c>
      <x:c r="M967" s="12" t="n">
        <x:v>5</x:v>
      </x:c>
      <x:c r="N967" s="14" t="n">
        <x:v>0.8642656388317012</x:v>
      </x:c>
      <x:c r="O967" s="14" t="n">
        <x:v>0.13573436116829887</x:v>
      </x:c>
      <x:c r="P967" s="14" t="n">
        <x:v>0.8731202529107337</x:v>
      </x:c>
      <x:c r="Q967" s="14" t="n">
        <x:v>0.04124918669547306</x:v>
      </x:c>
      <x:c r="R967" s="14" t="n">
        <x:v>0.2898434781004644</x:v>
      </x:c>
      <x:c r="S967" s="14" t="n">
        <x:v>0.21988156622849808</x:v>
      </x:c>
      <x:c r="T967" t="str">
        <x:v>야간활성·평일집중</x:v>
      </x:c>
      <x:c r="U967" s="16" t="n">
        <x:v>53.6323976216915</x:v>
      </x:c>
      <x:c r="V967" t="str">
        <x:v>한식음식점</x:v>
      </x:c>
      <x:c r="W967" t="str">
        <x:v>한식음식점 / 호프-간이주점 / 슈퍼마켓</x:v>
      </x:c>
      <x:c r="X967" s="16" t="n">
        <x:v>35.537322811642255</x:v>
      </x:c>
    </x:row>
    <x:row r="968">
      <x:c r="A968" t="str">
        <x:v>3110080</x:v>
      </x:c>
      <x:c r="B968" t="str">
        <x:v>해방촌예술마을</x:v>
      </x:c>
      <x:c r="C968" t="str">
        <x:v>골목상권</x:v>
      </x:c>
      <x:c r="D968" t="str">
        <x:v>용산구</x:v>
      </x:c>
      <x:c r="E968" t="str">
        <x:v>후암동</x:v>
      </x:c>
      <x:c r="F968" s="12" t="n">
        <x:v>134562</x:v>
      </x:c>
      <x:c r="G968" s="12" t="n">
        <x:v>1940264123</x:v>
      </x:c>
      <x:c r="H968" s="12" t="n">
        <x:v>157664</x:v>
      </x:c>
      <x:c r="I968" s="12" t="n">
        <x:v>12306.32308580272</x:v>
      </x:c>
      <x:c r="J968" s="12" t="n">
        <x:v>14419.10883458926</x:v>
      </x:c>
      <x:c r="K968" s="12" t="n">
        <x:v>371</x:v>
      </x:c>
      <x:c r="L968" s="12" t="n">
        <x:v>27.57093384462181</x:v>
      </x:c>
      <x:c r="M968" s="12" t="n">
        <x:v>10</x:v>
      </x:c>
      <x:c r="N968" s="14" t="n">
        <x:v>0.6883621297573207</x:v>
      </x:c>
      <x:c r="O968" s="14" t="n">
        <x:v>0.3116378702426793</x:v>
      </x:c>
      <x:c r="P968" s="14" t="n">
        <x:v>0.3925943906143133</x:v>
      </x:c>
      <x:c r="Q968" s="14" t="n">
        <x:v>0.2005556250755867</x:v>
      </x:c>
      <x:c r="R968" s="14" t="n">
        <x:v>0.4323977663941993</x:v>
      </x:c>
      <x:c r="S968" s="14" t="n">
        <x:v>0.503324986749755</x:v>
      </x:c>
      <x:c r="T968" t="str">
        <x:v>2030소비·여성소비</x:v>
      </x:c>
      <x:c r="U968" s="16" t="n">
        <x:v>70.25084057429147</x:v>
      </x:c>
      <x:c r="V968" t="str">
        <x:v>일반의류</x:v>
      </x:c>
      <x:c r="W968" t="str">
        <x:v>일반의류 / 의약품 / 미용실</x:v>
      </x:c>
      <x:c r="X968" s="16" t="n">
        <x:v>56.581101816845866</x:v>
      </x:c>
    </x:row>
    <x:row r="969">
      <x:c r="A969" t="str">
        <x:v>3111076</x:v>
      </x:c>
      <x:c r="B969" t="str">
        <x:v>둔촌2동주민센터</x:v>
      </x:c>
      <x:c r="C969" t="str">
        <x:v>골목상권</x:v>
      </x:c>
      <x:c r="D969" t="str">
        <x:v>강동구</x:v>
      </x:c>
      <x:c r="E969" t="str">
        <x:v>둔촌2동</x:v>
      </x:c>
      <x:c r="F969" s="12" t="n">
        <x:v>60068</x:v>
      </x:c>
      <x:c r="G969" s="12" t="n">
        <x:v>1935250139</x:v>
      </x:c>
      <x:c r="H969" s="12" t="n">
        <x:v>69349</x:v>
      </x:c>
      <x:c r="I969" s="12" t="n">
        <x:v>27905.955947454182</x:v>
      </x:c>
      <x:c r="J969" s="12" t="n">
        <x:v>32217.655640274355</x:v>
      </x:c>
      <x:c r="K969" s="12" t="n">
        <x:v>481</x:v>
      </x:c>
      <x:c r="L969" s="12" t="n">
        <x:v>80.07591396417394</x:v>
      </x:c>
      <x:c r="M969" s="12" t="n">
        <x:v>13</x:v>
      </x:c>
      <x:c r="N969" s="14" t="n">
        <x:v>0.7465992431069398</x:v>
      </x:c>
      <x:c r="O969" s="14" t="n">
        <x:v>0.25340075689306024</x:v>
      </x:c>
      <x:c r="P969" s="14" t="n">
        <x:v>0.467814633237962</x:v>
      </x:c>
      <x:c r="Q969" s="14" t="n">
        <x:v>0.2438098644156718</x:v>
      </x:c>
      <x:c r="R969" s="14" t="n">
        <x:v>0.1975073223337978</x:v>
      </x:c>
      <x:c r="S969" s="14" t="n">
        <x:v>0.32429657973015136</x:v>
      </x:c>
      <x:c r="T969" t="str">
        <x:v>야간활성</x:v>
      </x:c>
      <x:c r="U969" s="16" t="n">
        <x:v>63.15036003737525</x:v>
      </x:c>
      <x:c r="V969" t="str">
        <x:v>인테리어</x:v>
      </x:c>
      <x:c r="W969" t="str">
        <x:v>인테리어 / 커피-음료 / 일반의류</x:v>
      </x:c>
      <x:c r="X969" s="16" t="n">
        <x:v>55.81268337539562</x:v>
      </x:c>
    </x:row>
    <x:row r="970">
      <x:c r="A970" t="str">
        <x:v>3110674</x:v>
      </x:c>
      <x:c r="B970" t="str">
        <x:v>강서구청가양동별관</x:v>
      </x:c>
      <x:c r="C970" t="str">
        <x:v>골목상권</x:v>
      </x:c>
      <x:c r="D970" t="str">
        <x:v>강서구</x:v>
      </x:c>
      <x:c r="E970" t="str">
        <x:v>가양3동</x:v>
      </x:c>
      <x:c r="F970" s="12" t="n">
        <x:v>10388</x:v>
      </x:c>
      <x:c r="G970" s="12" t="n">
        <x:v>1934250855</x:v>
      </x:c>
      <x:c r="H970" s="12" t="n">
        <x:v>96955</x:v>
      </x:c>
      <x:c r="I970" s="12" t="n">
        <x:v>19949.985611881802</x:v>
      </x:c>
      <x:c r="J970" s="12" t="n">
        <x:v>186200.5058721602</x:v>
      </x:c>
      <x:c r="K970" s="12" t="n">
        <x:v>265</x:v>
      </x:c>
      <x:c r="L970" s="12" t="n">
        <x:v>255.10204081632654</x:v>
      </x:c>
      <x:c r="M970" s="12" t="n">
        <x:v>6</x:v>
      </x:c>
      <x:c r="N970" s="14" t="n">
        <x:v>0.8080483950464636</x:v>
      </x:c>
      <x:c r="O970" s="14" t="n">
        <x:v>0.1919516049535364</x:v>
      </x:c>
      <x:c r="P970" s="14" t="n">
        <x:v>0.2670160944558559</x:v>
      </x:c>
      <x:c r="Q970" s="14" t="n">
        <x:v>0.22570011220183744</x:v>
      </x:c>
      <x:c r="R970" s="14" t="n">
        <x:v>0.1955953360558292</x:v>
      </x:c>
      <x:c r="S970" s="14" t="n">
        <x:v>0.47180312142087694</x:v>
      </x:c>
      <x:c r="T970" t="str">
        <x:v>직장밀집·고매출밀도</x:v>
      </x:c>
      <x:c r="U970" s="16" t="n">
        <x:v>68.34149507898704</x:v>
      </x:c>
      <x:c r="V970" t="str">
        <x:v>일반교습학원</x:v>
      </x:c>
      <x:c r="W970" t="str">
        <x:v>일반교습학원 / 일반의원 / 한식음식점</x:v>
      </x:c>
      <x:c r="X970" s="16" t="n">
        <x:v>60.94654781578559</x:v>
      </x:c>
    </x:row>
    <x:row r="971">
      <x:c r="A971" t="str">
        <x:v>3130257</x:v>
      </x:c>
      <x:c r="B971" t="str">
        <x:v>영등포시장기계공구상가</x:v>
      </x:c>
      <x:c r="C971" t="str">
        <x:v>전통시장</x:v>
      </x:c>
      <x:c r="D971" t="str">
        <x:v>영등포구</x:v>
      </x:c>
      <x:c r="E971" t="str">
        <x:v>영등포동</x:v>
      </x:c>
      <x:c r="F971" s="12" t="n">
        <x:v>39289</x:v>
      </x:c>
      <x:c r="G971" s="12" t="n">
        <x:v>1927684989</x:v>
      </x:c>
      <x:c r="H971" s="12" t="n">
        <x:v>38887</x:v>
      </x:c>
      <x:c r="I971" s="12" t="n">
        <x:v>49571.45033044462</x:v>
      </x:c>
      <x:c r="J971" s="12" t="n">
        <x:v>49064.2416197918</x:v>
      </x:c>
      <x:c r="K971" s="12" t="n">
        <x:v>279</x:v>
      </x:c>
      <x:c r="L971" s="12" t="n">
        <x:v>71.01224261243605</x:v>
      </x:c>
      <x:c r="M971" s="12" t="n">
        <x:v>6</x:v>
      </x:c>
      <x:c r="N971" s="14" t="n">
        <x:v>0.8041943257566135</x:v>
      </x:c>
      <x:c r="O971" s="14" t="n">
        <x:v>0.19580567424338646</x:v>
      </x:c>
      <x:c r="P971" s="14" t="n">
        <x:v>0.22712999712008444</x:v>
      </x:c>
      <x:c r="Q971" s="14" t="n">
        <x:v>0.21777706803525873</x:v>
      </x:c>
      <x:c r="R971" s="14" t="n">
        <x:v>0.15516737626056185</x:v>
      </x:c>
      <x:c r="S971" s="14" t="n">
        <x:v>0.13209975615990024</x:v>
      </x:c>
      <x:c r="T971" t="str">
        <x:v>평일집중</x:v>
      </x:c>
      <x:c r="U971" s="16" t="n">
        <x:v>63.801518471318005</x:v>
      </x:c>
      <x:c r="V971" t="str">
        <x:v>조명용품</x:v>
      </x:c>
      <x:c r="W971" t="str">
        <x:v>조명용품 / 인테리어 / 철물점</x:v>
      </x:c>
      <x:c r="X971" s="16" t="n">
        <x:v>47.791821049938406</x:v>
      </x:c>
    </x:row>
    <x:row r="972">
      <x:c r="A972" t="str">
        <x:v>3110677</x:v>
      </x:c>
      <x:c r="B972" t="str">
        <x:v>등촌역 1번</x:v>
      </x:c>
      <x:c r="C972" t="str">
        <x:v>골목상권</x:v>
      </x:c>
      <x:c r="D972" t="str">
        <x:v>강서구</x:v>
      </x:c>
      <x:c r="E972" t="str">
        <x:v>등촌1동</x:v>
      </x:c>
      <x:c r="F972" s="12" t="n">
        <x:v>46900</x:v>
      </x:c>
      <x:c r="G972" s="12" t="n">
        <x:v>1920723727</x:v>
      </x:c>
      <x:c r="H972" s="12" t="n">
        <x:v>56990</x:v>
      </x:c>
      <x:c r="I972" s="12" t="n">
        <x:v>33702.82026671346</x:v>
      </x:c>
      <x:c r="J972" s="12" t="n">
        <x:v>40953.59759061834</x:v>
      </x:c>
      <x:c r="K972" s="12" t="n">
        <x:v>368</x:v>
      </x:c>
      <x:c r="L972" s="12" t="n">
        <x:v>78.46481876332624</x:v>
      </x:c>
      <x:c r="M972" s="12" t="n">
        <x:v>3</x:v>
      </x:c>
      <x:c r="N972" s="14" t="n">
        <x:v>0.735437201687674</x:v>
      </x:c>
      <x:c r="O972" s="14" t="n">
        <x:v>0.26456279831232593</x:v>
      </x:c>
      <x:c r="P972" s="14" t="n">
        <x:v>0.7686525928983852</x:v>
      </x:c>
      <x:c r="Q972" s="14" t="n">
        <x:v>0.07801143907043535</x:v>
      </x:c>
      <x:c r="R972" s="14" t="n">
        <x:v>0.3438149270074592</x:v>
      </x:c>
      <x:c r="S972" s="14" t="n">
        <x:v>0.37559508421691923</x:v>
      </x:c>
      <x:c r="T972" t="str">
        <x:v>야간활성·2030소비</x:v>
      </x:c>
      <x:c r="U972" s="16" t="n">
        <x:v>62.913580795668686</x:v>
      </x:c>
      <x:c r="V972" t="str">
        <x:v>한식음식점</x:v>
      </x:c>
      <x:c r="W972" t="str">
        <x:v>한식음식점 / 일반교습학원 / 슈퍼마켓</x:v>
      </x:c>
      <x:c r="X972" s="16" t="n">
        <x:v>59.10615404640955</x:v>
      </x:c>
    </x:row>
    <x:row r="973">
      <x:c r="A973" t="str">
        <x:v>3110432</x:v>
      </x:c>
      <x:c r="B973" t="str">
        <x:v>대진고등학교</x:v>
      </x:c>
      <x:c r="C973" t="str">
        <x:v>골목상권</x:v>
      </x:c>
      <x:c r="D973" t="str">
        <x:v>노원구</x:v>
      </x:c>
      <x:c r="E973" t="str">
        <x:v>하계1동</x:v>
      </x:c>
      <x:c r="F973" s="12" t="n">
        <x:v>69099</x:v>
      </x:c>
      <x:c r="G973" s="12" t="n">
        <x:v>1918019199</x:v>
      </x:c>
      <x:c r="H973" s="12" t="n">
        <x:v>56633</x:v>
      </x:c>
      <x:c r="I973" s="12" t="n">
        <x:v>33867.51892006427</x:v>
      </x:c>
      <x:c r="J973" s="12" t="n">
        <x:v>27757.55364042895</x:v>
      </x:c>
      <x:c r="K973" s="12" t="n">
        <x:v>905</x:v>
      </x:c>
      <x:c r="L973" s="12" t="n">
        <x:v>130.9715046527446</x:v>
      </x:c>
      <x:c r="M973" s="12" t="n">
        <x:v>8</x:v>
      </x:c>
      <x:c r="N973" s="14" t="n">
        <x:v>0.7962957444827955</x:v>
      </x:c>
      <x:c r="O973" s="14" t="n">
        <x:v>0.20370425551720456</x:v>
      </x:c>
      <x:c r="P973" s="14" t="n">
        <x:v>0.3401209708120341</x:v>
      </x:c>
      <x:c r="Q973" s="14" t="n">
        <x:v>0.3255780486063842</x:v>
      </x:c>
      <x:c r="R973" s="14" t="n">
        <x:v>0.16152377002353457</x:v>
      </x:c>
      <x:c r="S973" s="14" t="n">
        <x:v>0.27016992544713314</x:v>
      </x:c>
      <x:c r="T973" t="str">
        <x:v>평일집중·직장밀집</x:v>
      </x:c>
      <x:c r="U973" s="16" t="n">
        <x:v>69.15126397479293</x:v>
      </x:c>
      <x:c r="V973" t="str">
        <x:v>자동차수리</x:v>
      </x:c>
      <x:c r="W973" t="str">
        <x:v>자동차수리 / 슈퍼마켓 / 한식음식점</x:v>
      </x:c>
      <x:c r="X973" s="16" t="n">
        <x:v>54.789954359345494</x:v>
      </x:c>
    </x:row>
    <x:row r="974">
      <x:c r="A974" t="str">
        <x:v>3110301</x:v>
      </x:c>
      <x:c r="B974" t="str">
        <x:v>성신여대입구역 7번</x:v>
      </x:c>
      <x:c r="C974" t="str">
        <x:v>골목상권</x:v>
      </x:c>
      <x:c r="D974" t="str">
        <x:v>성북구</x:v>
      </x:c>
      <x:c r="E974" t="str">
        <x:v>동선동</x:v>
      </x:c>
      <x:c r="F974" s="12" t="n">
        <x:v>107374</x:v>
      </x:c>
      <x:c r="G974" s="12" t="n">
        <x:v>1909027181</x:v>
      </x:c>
      <x:c r="H974" s="12" t="n">
        <x:v>134856</x:v>
      </x:c>
      <x:c r="I974" s="12" t="n">
        <x:v>14156.04185946491</x:v>
      </x:c>
      <x:c r="J974" s="12" t="n">
        <x:v>17779.231294354315</x:v>
      </x:c>
      <x:c r="K974" s="12" t="n">
        <x:v>257</x:v>
      </x:c>
      <x:c r="L974" s="12" t="n">
        <x:v>23.935030826829585</x:v>
      </x:c>
      <x:c r="M974" s="12" t="n">
        <x:v>8</x:v>
      </x:c>
      <x:c r="N974" s="14" t="n">
        <x:v>0.7260074077488999</x:v>
      </x:c>
      <x:c r="O974" s="14" t="n">
        <x:v>0.27399259225110006</x:v>
      </x:c>
      <x:c r="P974" s="14" t="n">
        <x:v>0.5037548216030351</x:v>
      </x:c>
      <x:c r="Q974" s="14" t="n">
        <x:v>0.21811918926260696</x:v>
      </x:c>
      <x:c r="R974" s="14" t="n">
        <x:v>0.34422245190651374</x:v>
      </x:c>
      <x:c r="S974" s="14" t="n">
        <x:v>0.4111765132588754</x:v>
      </x:c>
      <x:c r="T974" t="str">
        <x:v>2030소비·야간활성</x:v>
      </x:c>
      <x:c r="U974" s="16" t="n">
        <x:v>67.43106228266124</x:v>
      </x:c>
      <x:c r="V974" t="str">
        <x:v>서적</x:v>
      </x:c>
      <x:c r="W974" t="str">
        <x:v>서적 / 슈퍼마켓 / 일반의류</x:v>
      </x:c>
      <x:c r="X974" s="16" t="n">
        <x:v>50.10172355245175</x:v>
      </x:c>
    </x:row>
    <x:row r="975">
      <x:c r="A975" t="str">
        <x:v>3110857</x:v>
      </x:c>
      <x:c r="B975" t="str">
        <x:v>미성동주민센터</x:v>
      </x:c>
      <x:c r="C975" t="str">
        <x:v>골목상권</x:v>
      </x:c>
      <x:c r="D975" t="str">
        <x:v>관악구</x:v>
      </x:c>
      <x:c r="E975" t="str">
        <x:v>미성동</x:v>
      </x:c>
      <x:c r="F975" s="12" t="n">
        <x:v>113505</x:v>
      </x:c>
      <x:c r="G975" s="12" t="n">
        <x:v>1903055619</x:v>
      </x:c>
      <x:c r="H975" s="12" t="n">
        <x:v>64423</x:v>
      </x:c>
      <x:c r="I975" s="12" t="n">
        <x:v>29540.00308895891</x:v>
      </x:c>
      <x:c r="J975" s="12" t="n">
        <x:v>16766.27125677283</x:v>
      </x:c>
      <x:c r="K975" s="12" t="n">
        <x:v>403</x:v>
      </x:c>
      <x:c r="L975" s="12" t="n">
        <x:v>35.50504383066825</x:v>
      </x:c>
      <x:c r="M975" s="12" t="n">
        <x:v>11</x:v>
      </x:c>
      <x:c r="N975" s="14" t="n">
        <x:v>0.7996392080225375</x:v>
      </x:c>
      <x:c r="O975" s="14" t="n">
        <x:v>0.20036079197746243</x:v>
      </x:c>
      <x:c r="P975" s="14" t="n">
        <x:v>0.4334076785592886</x:v>
      </x:c>
      <x:c r="Q975" s="14" t="n">
        <x:v>0.20847799561868716</x:v>
      </x:c>
      <x:c r="R975" s="14" t="n">
        <x:v>0.11301509417418662</x:v>
      </x:c>
      <x:c r="S975" s="14" t="n">
        <x:v>0.6252141577581501</x:v>
      </x:c>
      <x:c r="T975" t="str">
        <x:v>여성소비·평일집중</x:v>
      </x:c>
      <x:c r="U975" s="16" t="n">
        <x:v>70.55108702092802</x:v>
      </x:c>
      <x:c r="V975" t="str">
        <x:v>미용실</x:v>
      </x:c>
      <x:c r="W975" t="str">
        <x:v>미용실 / 일반의류 / 예술학원</x:v>
      </x:c>
      <x:c r="X975" s="16" t="n">
        <x:v>58.74042128166243</x:v>
      </x:c>
    </x:row>
    <x:row r="976">
      <x:c r="A976" t="str">
        <x:v>3110263</x:v>
      </x:c>
      <x:c r="B976" t="str">
        <x:v>면목역 1번</x:v>
      </x:c>
      <x:c r="C976" t="str">
        <x:v>골목상권</x:v>
      </x:c>
      <x:c r="D976" t="str">
        <x:v>중랑구</x:v>
      </x:c>
      <x:c r="E976" t="str">
        <x:v>면목본동</x:v>
      </x:c>
      <x:c r="F976" s="12" t="n">
        <x:v>152104</x:v>
      </x:c>
      <x:c r="G976" s="12" t="n">
        <x:v>1897530431</x:v>
      </x:c>
      <x:c r="H976" s="12" t="n">
        <x:v>217741</x:v>
      </x:c>
      <x:c r="I976" s="12" t="n">
        <x:v>8714.621642226315</x:v>
      </x:c>
      <x:c r="J976" s="12" t="n">
        <x:v>12475.21716062694</x:v>
      </x:c>
      <x:c r="K976" s="12" t="n">
        <x:v>87</x:v>
      </x:c>
      <x:c r="L976" s="12" t="n">
        <x:v>5.719770683216747</x:v>
      </x:c>
      <x:c r="M976" s="12" t="n">
        <x:v>9</x:v>
      </x:c>
      <x:c r="N976" s="14" t="n">
        <x:v>0.7010985980861985</x:v>
      </x:c>
      <x:c r="O976" s="14" t="n">
        <x:v>0.2989014019138015</x:v>
      </x:c>
      <x:c r="P976" s="14" t="n">
        <x:v>0.5050249921393751</x:v>
      </x:c>
      <x:c r="Q976" s="14" t="n">
        <x:v>0.11274061353907214</x:v>
      </x:c>
      <x:c r="R976" s="14" t="n">
        <x:v>0.36351486475844563</x:v>
      </x:c>
      <x:c r="S976" s="14" t="n">
        <x:v>0.36228272799699834</x:v>
      </x:c>
      <x:c r="T976" t="str">
        <x:v>2030소비·야간활성</x:v>
      </x:c>
      <x:c r="U976" s="16" t="n">
        <x:v>52.574441962052056</x:v>
      </x:c>
      <x:c r="V976" t="str">
        <x:v>커피-음료</x:v>
      </x:c>
      <x:c r="W976" t="str">
        <x:v>커피-음료 / 편의점 / 슈퍼마켓</x:v>
      </x:c>
      <x:c r="X976" s="16" t="n">
        <x:v>47.03031228127067</x:v>
      </x:c>
    </x:row>
    <x:row r="977">
      <x:c r="A977" t="str">
        <x:v>3110055</x:v>
      </x:c>
      <x:c r="B977" t="str">
        <x:v>황학동벼룩시장</x:v>
      </x:c>
      <x:c r="C977" t="str">
        <x:v>골목상권</x:v>
      </x:c>
      <x:c r="D977" t="str">
        <x:v>중구</x:v>
      </x:c>
      <x:c r="E977" t="str">
        <x:v>황학동</x:v>
      </x:c>
      <x:c r="F977" s="12" t="n">
        <x:v>27575</x:v>
      </x:c>
      <x:c r="G977" s="12" t="n">
        <x:v>1897328637</x:v>
      </x:c>
      <x:c r="H977" s="12" t="n">
        <x:v>11353</x:v>
      </x:c>
      <x:c r="I977" s="12" t="n">
        <x:v>167121.34563551485</x:v>
      </x:c>
      <x:c r="J977" s="12" t="n">
        <x:v>68806.11557570263</x:v>
      </x:c>
      <x:c r="K977" s="12" t="n">
        <x:v>75</x:v>
      </x:c>
      <x:c r="L977" s="12" t="n">
        <x:v>27.198549410698096</x:v>
      </x:c>
      <x:c r="M977" s="12" t="n">
        <x:v>4</x:v>
      </x:c>
      <x:c r="N977" s="14" t="n">
        <x:v>0.18201478661390172</x:v>
      </x:c>
      <x:c r="O977" s="14" t="n">
        <x:v>0.8179852133860983</x:v>
      </x:c>
      <x:c r="P977" s="14" t="n">
        <x:v>0.072582915428794</x:v>
      </x:c>
      <x:c r="Q977" s="14" t="n">
        <x:v>0.8174333732991561</x:v>
      </x:c>
      <x:c r="R977" s="14" t="n">
        <x:v>0.04284138836829247</x:v>
      </x:c>
      <x:c r="S977" s="14" t="n">
        <x:v>0.04643202568180074</x:v>
      </x:c>
      <x:c r="T977" t="str">
        <x:v>균형형</x:v>
      </x:c>
      <x:c r="U977" s="16" t="n">
        <x:v>69.09395399349417</x:v>
      </x:c>
      <x:c r="V977" t="str">
        <x:v>전자상거래업</x:v>
      </x:c>
      <x:c r="W977" t="str">
        <x:v>전자상거래업 / 조명용품 / 한식음식점</x:v>
      </x:c>
      <x:c r="X977" s="16" t="n">
        <x:v>47.742501221734656</x:v>
      </x:c>
    </x:row>
    <x:row r="978">
      <x:c r="A978" t="str">
        <x:v>3111066</x:v>
      </x:c>
      <x:c r="B978" t="str">
        <x:v>암사동성당(효정하나플러스아파트)</x:v>
      </x:c>
      <x:c r="C978" t="str">
        <x:v>골목상권</x:v>
      </x:c>
      <x:c r="D978" t="str">
        <x:v>강동구</x:v>
      </x:c>
      <x:c r="E978" t="str">
        <x:v>암사1동</x:v>
      </x:c>
      <x:c r="F978" s="12" t="n">
        <x:v>106562</x:v>
      </x:c>
      <x:c r="G978" s="12" t="n">
        <x:v>1896491107</x:v>
      </x:c>
      <x:c r="H978" s="12" t="n">
        <x:v>89792</x:v>
      </x:c>
      <x:c r="I978" s="12" t="n">
        <x:v>21120.936241535994</x:v>
      </x:c>
      <x:c r="J978" s="12" t="n">
        <x:v>17797.067500609974</x:v>
      </x:c>
      <x:c r="K978" s="12" t="n">
        <x:v>553</x:v>
      </x:c>
      <x:c r="L978" s="12" t="n">
        <x:v>51.89467164655318</x:v>
      </x:c>
      <x:c r="M978" s="12" t="n">
        <x:v>13</x:v>
      </x:c>
      <x:c r="N978" s="14" t="n">
        <x:v>0.6927856366689517</x:v>
      </x:c>
      <x:c r="O978" s="14" t="n">
        <x:v>0.3072143633310483</x:v>
      </x:c>
      <x:c r="P978" s="14" t="n">
        <x:v>0.5986395553396076</x:v>
      </x:c>
      <x:c r="Q978" s="14" t="n">
        <x:v>0.10490510357030638</x:v>
      </x:c>
      <x:c r="R978" s="14" t="n">
        <x:v>0.2820780651306265</x:v>
      </x:c>
      <x:c r="S978" s="14" t="n">
        <x:v>0.379427184416531</x:v>
      </x:c>
      <x:c r="T978" t="str">
        <x:v>야간활성·2030소비</x:v>
      </x:c>
      <x:c r="U978" s="16" t="n">
        <x:v>57.79841588438371</x:v>
      </x:c>
      <x:c r="V978" t="str">
        <x:v>당구장</x:v>
      </x:c>
      <x:c r="W978" t="str">
        <x:v>당구장 / 한식음식점 / 일반의류</x:v>
      </x:c>
      <x:c r="X978" s="16" t="n">
        <x:v>52.22683131310828</x:v>
      </x:c>
    </x:row>
    <x:row r="979">
      <x:c r="A979" t="str">
        <x:v>3110973</x:v>
      </x:c>
      <x:c r="B979" t="str">
        <x:v>강남구청역 4번</x:v>
      </x:c>
      <x:c r="C979" t="str">
        <x:v>골목상권</x:v>
      </x:c>
      <x:c r="D979" t="str">
        <x:v>강남구</x:v>
      </x:c>
      <x:c r="E979" t="str">
        <x:v>청담동</x:v>
      </x:c>
      <x:c r="F979" s="12" t="n">
        <x:v>66136</x:v>
      </x:c>
      <x:c r="G979" s="12" t="n">
        <x:v>1890569568</x:v>
      </x:c>
      <x:c r="H979" s="12" t="n">
        <x:v>20335</x:v>
      </x:c>
      <x:c r="I979" s="12" t="n">
        <x:v>92971.21062208015</x:v>
      </x:c>
      <x:c r="J979" s="12" t="n">
        <x:v>28586.08878674247</x:v>
      </x:c>
      <x:c r="K979" s="12" t="n">
        <x:v>2762</x:v>
      </x:c>
      <x:c r="L979" s="12" t="n">
        <x:v>417.62428934317165</x:v>
      </x:c>
      <x:c r="M979" s="12" t="n">
        <x:v>8</x:v>
      </x:c>
      <x:c r="N979" s="14" t="n">
        <x:v>0.8002394435029857</x:v>
      </x:c>
      <x:c r="O979" s="14" t="n">
        <x:v>0.19976055649701435</x:v>
      </x:c>
      <x:c r="P979" s="14" t="n">
        <x:v>0.21640554726204078</x:v>
      </x:c>
      <x:c r="Q979" s="14" t="n">
        <x:v>0.2363342981727293</x:v>
      </x:c>
      <x:c r="R979" s="14" t="n">
        <x:v>0.16011457135651938</x:v>
      </x:c>
      <x:c r="S979" s="14" t="n">
        <x:v>0.5451609469681256</x:v>
      </x:c>
      <x:c r="T979" t="str">
        <x:v>직장밀집·여성소비</x:v>
      </x:c>
      <x:c r="U979" s="16" t="n">
        <x:v>65.17197530925517</x:v>
      </x:c>
      <x:c r="V979" t="str">
        <x:v>일반교습학원</x:v>
      </x:c>
      <x:c r="W979" t="str">
        <x:v>일반교습학원 / 예술학원 / 미용실</x:v>
      </x:c>
      <x:c r="X979" s="16" t="n">
        <x:v>57.93512444992253</x:v>
      </x:c>
    </x:row>
    <x:row r="980">
      <x:c r="A980" t="str">
        <x:v>3130228</x:v>
      </x:c>
      <x:c r="B980" t="str">
        <x:v>구로시장</x:v>
      </x:c>
      <x:c r="C980" t="str">
        <x:v>전통시장</x:v>
      </x:c>
      <x:c r="D980" t="str">
        <x:v>구로구</x:v>
      </x:c>
      <x:c r="E980" t="str">
        <x:v>구로4동</x:v>
      </x:c>
      <x:c r="F980" s="12" t="n">
        <x:v>13770</x:v>
      </x:c>
      <x:c r="G980" s="12" t="n">
        <x:v>1887518408</x:v>
      </x:c>
      <x:c r="H980" s="12" t="n">
        <x:v>51040</x:v>
      </x:c>
      <x:c r="I980" s="12" t="n">
        <x:v>36981.160031347965</x:v>
      </x:c>
      <x:c r="J980" s="12" t="n">
        <x:v>137074.68467683368</x:v>
      </x:c>
      <x:c r="K980" s="12" t="n">
        <x:v>96</x:v>
      </x:c>
      <x:c r="L980" s="12" t="n">
        <x:v>69.71677559912854</x:v>
      </x:c>
      <x:c r="M980" s="12" t="n">
        <x:v>9</x:v>
      </x:c>
      <x:c r="N980" s="14" t="n">
        <x:v>0.75504472325125</x:v>
      </x:c>
      <x:c r="O980" s="14" t="n">
        <x:v>0.24495527674874998</x:v>
      </x:c>
      <x:c r="P980" s="14" t="n">
        <x:v>0.1951614873999152</x:v>
      </x:c>
      <x:c r="Q980" s="14" t="n">
        <x:v>0.33665052552960323</x:v>
      </x:c>
      <x:c r="R980" s="14" t="n">
        <x:v>0.04070272728169335</x:v>
      </x:c>
      <x:c r="S980" s="14" t="n">
        <x:v>0.536803285576222</x:v>
      </x:c>
      <x:c r="T980" t="str">
        <x:v>여성소비·고매출밀도</x:v>
      </x:c>
      <x:c r="U980" s="16" t="n">
        <x:v>60.10824443359878</x:v>
      </x:c>
      <x:c r="V980" t="str">
        <x:v>일반의류</x:v>
      </x:c>
      <x:c r="W980" t="str">
        <x:v>일반의류 / 미곡판매 / 반찬가게</x:v>
      </x:c>
      <x:c r="X980" s="16" t="n">
        <x:v>53.3562597552427</x:v>
      </x:c>
    </x:row>
    <x:row r="981">
      <x:c r="A981" t="str">
        <x:v>3110520</x:v>
      </x:c>
      <x:c r="B981" t="str">
        <x:v>경의중앙 신촌역</x:v>
      </x:c>
      <x:c r="C981" t="str">
        <x:v>골목상권</x:v>
      </x:c>
      <x:c r="D981" t="str">
        <x:v>서대문구</x:v>
      </x:c>
      <x:c r="E981" t="str">
        <x:v>신촌동</x:v>
      </x:c>
      <x:c r="F981" s="12" t="n">
        <x:v>60585</x:v>
      </x:c>
      <x:c r="G981" s="12" t="n">
        <x:v>1885789613</x:v>
      </x:c>
      <x:c r="H981" s="12" t="n">
        <x:v>69037</x:v>
      </x:c>
      <x:c r="I981" s="12" t="n">
        <x:v>27315.636731028288</x:v>
      </x:c>
      <x:c r="J981" s="12" t="n">
        <x:v>31126.34501939424</x:v>
      </x:c>
      <x:c r="K981" s="12" t="n">
        <x:v>56</x:v>
      </x:c>
      <x:c r="L981" s="12" t="n">
        <x:v>9.24321201617562</x:v>
      </x:c>
      <x:c r="M981" s="12" t="n">
        <x:v>8</x:v>
      </x:c>
      <x:c r="N981" s="14" t="n">
        <x:v>0.7021184472925612</x:v>
      </x:c>
      <x:c r="O981" s="14" t="n">
        <x:v>0.2978815527074387</x:v>
      </x:c>
      <x:c r="P981" s="14" t="n">
        <x:v>0.5547454242977634</x:v>
      </x:c>
      <x:c r="Q981" s="14" t="n">
        <x:v>0.2226415248581603</x:v>
      </x:c>
      <x:c r="R981" s="14" t="n">
        <x:v>0.5682937548346757</x:v>
      </x:c>
      <x:c r="S981" s="14" t="n">
        <x:v>0.5222320656615049</x:v>
      </x:c>
      <x:c r="T981" t="str">
        <x:v>2030소비·야간활성</x:v>
      </x:c>
      <x:c r="U981" s="16" t="n">
        <x:v>60.927142715209605</x:v>
      </x:c>
      <x:c r="V981" t="str">
        <x:v>예술학원</x:v>
      </x:c>
      <x:c r="W981" t="str">
        <x:v>예술학원 / 일식음식점 / 한식음식점</x:v>
      </x:c>
      <x:c r="X981" s="16" t="n">
        <x:v>42.82742936108935</x:v>
      </x:c>
    </x:row>
    <x:row r="982">
      <x:c r="A982" t="str">
        <x:v>3110353</x:v>
      </x:c>
      <x:c r="B982" t="str">
        <x:v>수유동우체국</x:v>
      </x:c>
      <x:c r="C982" t="str">
        <x:v>골목상권</x:v>
      </x:c>
      <x:c r="D982" t="str">
        <x:v>강북구</x:v>
      </x:c>
      <x:c r="E982" t="str">
        <x:v>수유2동</x:v>
      </x:c>
      <x:c r="F982" s="12" t="n">
        <x:v>75187</x:v>
      </x:c>
      <x:c r="G982" s="12" t="n">
        <x:v>1885462370</x:v>
      </x:c>
      <x:c r="H982" s="12" t="n">
        <x:v>63341</x:v>
      </x:c>
      <x:c r="I982" s="12" t="n">
        <x:v>29766.855117538402</x:v>
      </x:c>
      <x:c r="J982" s="12" t="n">
        <x:v>25076.97301395188</x:v>
      </x:c>
      <x:c r="K982" s="12" t="n">
        <x:v>246</x:v>
      </x:c>
      <x:c r="L982" s="12" t="n">
        <x:v>32.718422067644674</x:v>
      </x:c>
      <x:c r="M982" s="12" t="n">
        <x:v>11</x:v>
      </x:c>
      <x:c r="N982" s="14" t="n">
        <x:v>0.6842959703300787</x:v>
      </x:c>
      <x:c r="O982" s="14" t="n">
        <x:v>0.3157040296699212</x:v>
      </x:c>
      <x:c r="P982" s="14" t="n">
        <x:v>0.41607286917107766</x:v>
      </x:c>
      <x:c r="Q982" s="14" t="n">
        <x:v>0.29577687567426764</x:v>
      </x:c>
      <x:c r="R982" s="14" t="n">
        <x:v>0.15604872506683864</x:v>
      </x:c>
      <x:c r="S982" s="14" t="n">
        <x:v>0.3370065821043143</x:v>
      </x:c>
      <x:c r="T982" t="str">
        <x:v>야간활성</x:v>
      </x:c>
      <x:c r="U982" s="16" t="n">
        <x:v>67.65388816102343</x:v>
      </x:c>
      <x:c r="V982" t="str">
        <x:v>미용실</x:v>
      </x:c>
      <x:c r="W982" t="str">
        <x:v>미용실 / 자동차수리 / 한식음식점</x:v>
      </x:c>
      <x:c r="X982" s="16" t="n">
        <x:v>54.7961527627091</x:v>
      </x:c>
    </x:row>
    <x:row r="983">
      <x:c r="A983" t="str">
        <x:v>3110652</x:v>
      </x:c>
      <x:c r="B983" t="str">
        <x:v>양천향교역 2번</x:v>
      </x:c>
      <x:c r="C983" t="str">
        <x:v>골목상권</x:v>
      </x:c>
      <x:c r="D983" t="str">
        <x:v>강서구</x:v>
      </x:c>
      <x:c r="E983" t="str">
        <x:v>가양1동</x:v>
      </x:c>
      <x:c r="F983" s="12" t="n">
        <x:v>98467</x:v>
      </x:c>
      <x:c r="G983" s="12" t="n">
        <x:v>1884292449</x:v>
      </x:c>
      <x:c r="H983" s="12" t="n">
        <x:v>111240</x:v>
      </x:c>
      <x:c r="I983" s="12" t="n">
        <x:v>16938.982820927722</x:v>
      </x:c>
      <x:c r="J983" s="12" t="n">
        <x:v>19136.283719418687</x:v>
      </x:c>
      <x:c r="K983" s="12" t="n">
        <x:v>338</x:v>
      </x:c>
      <x:c r="L983" s="12" t="n">
        <x:v>34.326220967430714</x:v>
      </x:c>
      <x:c r="M983" s="12" t="n">
        <x:v>6</x:v>
      </x:c>
      <x:c r="N983" s="14" t="n">
        <x:v>0.7995718418335603</x:v>
      </x:c>
      <x:c r="O983" s="14" t="n">
        <x:v>0.2004281581664397</x:v>
      </x:c>
      <x:c r="P983" s="14" t="n">
        <x:v>0.3318431432083927</x:v>
      </x:c>
      <x:c r="Q983" s="14" t="n">
        <x:v>0.3623136872210647</x:v>
      </x:c>
      <x:c r="R983" s="14" t="n">
        <x:v>0.2525821919270452</x:v>
      </x:c>
      <x:c r="S983" s="14" t="n">
        <x:v>0.32490129508553794</x:v>
      </x:c>
      <x:c r="T983" t="str">
        <x:v>평일집중·2030소비</x:v>
      </x:c>
      <x:c r="U983" s="16" t="n">
        <x:v>47.68145891567442</x:v>
      </x:c>
      <x:c r="V983" t="str">
        <x:v>한식음식점</x:v>
      </x:c>
      <x:c r="W983" t="str">
        <x:v>한식음식점 / 자동차수리 / 커피-음료</x:v>
      </x:c>
      <x:c r="X983" s="16" t="n">
        <x:v>36.65392800109536</x:v>
      </x:c>
    </x:row>
    <x:row r="984">
      <x:c r="A984" t="str">
        <x:v>3120135</x:v>
      </x:c>
      <x:c r="B984" t="str">
        <x:v>양평역</x:v>
      </x:c>
      <x:c r="C984" t="str">
        <x:v>발달상권</x:v>
      </x:c>
      <x:c r="D984" t="str">
        <x:v>영등포구</x:v>
      </x:c>
      <x:c r="E984" t="str">
        <x:v>양평1동</x:v>
      </x:c>
      <x:c r="F984" s="12" t="n">
        <x:v>36584</x:v>
      </x:c>
      <x:c r="G984" s="12" t="n">
        <x:v>1882928098</x:v>
      </x:c>
      <x:c r="H984" s="12" t="n">
        <x:v>145540</x:v>
      </x:c>
      <x:c r="I984" s="12" t="n">
        <x:v>12937.529874948468</x:v>
      </x:c>
      <x:c r="J984" s="12" t="n">
        <x:v>51468.622840586046</x:v>
      </x:c>
      <x:c r="K984" s="12" t="n">
        <x:v>2793</x:v>
      </x:c>
      <x:c r="L984" s="12" t="n">
        <x:v>763.4485020774109</x:v>
      </x:c>
      <x:c r="M984" s="12" t="n">
        <x:v>5</x:v>
      </x:c>
      <x:c r="N984" s="14" t="n">
        <x:v>0.8669322077321298</x:v>
      </x:c>
      <x:c r="O984" s="14" t="n">
        <x:v>0.13306779226787024</x:v>
      </x:c>
      <x:c r="P984" s="14" t="n">
        <x:v>0.2527553019711749</x:v>
      </x:c>
      <x:c r="Q984" s="14" t="n">
        <x:v>0.5493771100971695</x:v>
      </x:c>
      <x:c r="R984" s="14" t="n">
        <x:v>0.2895235848777482</x:v>
      </x:c>
      <x:c r="S984" s="14" t="n">
        <x:v>0.23911352190146137</x:v>
      </x:c>
      <x:c r="T984" t="str">
        <x:v>직장밀집·평일집중</x:v>
      </x:c>
      <x:c r="U984" s="16" t="n">
        <x:v>52.402337745326875</x:v>
      </x:c>
      <x:c r="V984" t="str">
        <x:v>한식음식점</x:v>
      </x:c>
      <x:c r="W984" t="str">
        <x:v>한식음식점 / 커피-음료 / 편의점</x:v>
      </x:c>
      <x:c r="X984" s="16" t="n">
        <x:v>46.58668965487685</x:v>
      </x:c>
    </x:row>
    <x:row r="985">
      <x:c r="A985" t="str">
        <x:v>3110129</x:v>
      </x:c>
      <x:c r="B985" t="str">
        <x:v>성원어린이공원</x:v>
      </x:c>
      <x:c r="C985" t="str">
        <x:v>골목상권</x:v>
      </x:c>
      <x:c r="D985" t="str">
        <x:v>성동구</x:v>
      </x:c>
      <x:c r="E985" t="str">
        <x:v>성수1가2동</x:v>
      </x:c>
      <x:c r="F985" s="12" t="n">
        <x:v>70693</x:v>
      </x:c>
      <x:c r="G985" s="12" t="n">
        <x:v>1875451199</x:v>
      </x:c>
      <x:c r="H985" s="12" t="n">
        <x:v>43792</x:v>
      </x:c>
      <x:c r="I985" s="12" t="n">
        <x:v>42826.34268816222</x:v>
      </x:c>
      <x:c r="J985" s="12" t="n">
        <x:v>26529.51775989136</x:v>
      </x:c>
      <x:c r="K985" s="12" t="n">
        <x:v>1422</x:v>
      </x:c>
      <x:c r="L985" s="12" t="n">
        <x:v>201.15145771151316</x:v>
      </x:c>
      <x:c r="M985" s="12" t="n">
        <x:v>6</x:v>
      </x:c>
      <x:c r="N985" s="14" t="n">
        <x:v>0.9417851954461866</x:v>
      </x:c>
      <x:c r="O985" s="14" t="n">
        <x:v>0.0582148045538134</x:v>
      </x:c>
      <x:c r="P985" s="14" t="n">
        <x:v>0.28210799794849795</x:v>
      </x:c>
      <x:c r="Q985" s="14" t="n">
        <x:v>0.3602808494085481</x:v>
      </x:c>
      <x:c r="R985" s="14" t="n">
        <x:v>0.30240418481824755</x:v>
      </x:c>
      <x:c r="S985" s="14" t="n">
        <x:v>0.22447583718759295</x:v>
      </x:c>
      <x:c r="T985" t="str">
        <x:v>평일집중·직장밀집</x:v>
      </x:c>
      <x:c r="U985" s="16" t="n">
        <x:v>81.2853826568347</x:v>
      </x:c>
      <x:c r="V985" t="str">
        <x:v>예술학원</x:v>
      </x:c>
      <x:c r="W985" t="str">
        <x:v>예술학원 / 자동차수리 / 한식음식점</x:v>
      </x:c>
      <x:c r="X985" s="16" t="n">
        <x:v>52.73997582216041</x:v>
      </x:c>
    </x:row>
    <x:row r="986">
      <x:c r="A986" t="str">
        <x:v>3130253</x:v>
      </x:c>
      <x:c r="B986" t="str">
        <x:v>영신상가(제일상가)</x:v>
      </x:c>
      <x:c r="C986" t="str">
        <x:v>전통시장</x:v>
      </x:c>
      <x:c r="D986" t="str">
        <x:v>영등포구</x:v>
      </x:c>
      <x:c r="E986" t="str">
        <x:v>영등포동</x:v>
      </x:c>
      <x:c r="F986" s="12" t="n">
        <x:v>5196</x:v>
      </x:c>
      <x:c r="G986" s="12" t="n">
        <x:v>1871240725</x:v>
      </x:c>
      <x:c r="H986" s="12" t="n">
        <x:v>21523</x:v>
      </x:c>
      <x:c r="I986" s="12" t="n">
        <x:v>86941.4451981601</x:v>
      </x:c>
      <x:c r="J986" s="12" t="n">
        <x:v>360131.009430331</x:v>
      </x:c>
      <x:c r="K986" s="12" t="n">
        <x:v>45</x:v>
      </x:c>
      <x:c r="L986" s="12" t="n">
        <x:v>86.60508083140877</x:v>
      </x:c>
      <x:c r="M986" s="12" t="n">
        <x:v>4</x:v>
      </x:c>
      <x:c r="N986" s="14" t="n">
        <x:v>0.8787849858280526</x:v>
      </x:c>
      <x:c r="O986" s="14" t="n">
        <x:v>0.12121501417194733</x:v>
      </x:c>
      <x:c r="P986" s="14" t="n">
        <x:v>0.14078321323409632</x:v>
      </x:c>
      <x:c r="Q986" s="14" t="n">
        <x:v>0.19365862240947113</x:v>
      </x:c>
      <x:c r="R986" s="14" t="n">
        <x:v>0.0821014762811984</x:v>
      </x:c>
      <x:c r="S986" s="14" t="n">
        <x:v>0.22365134020904767</x:v>
      </x:c>
      <x:c r="T986" t="str">
        <x:v>평일집중·고매출밀도</x:v>
      </x:c>
      <x:c r="U986" s="16" t="n">
        <x:v>60.867325450134636</x:v>
      </x:c>
      <x:c r="V986" t="str">
        <x:v>섬유제품</x:v>
      </x:c>
      <x:c r="W986" t="str">
        <x:v>섬유제품 / 화초 / 한식음식점</x:v>
      </x:c>
      <x:c r="X986" s="16" t="n">
        <x:v>49.014278466060475</x:v>
      </x:c>
    </x:row>
    <x:row r="987">
      <x:c r="A987" t="str">
        <x:v>3130189</x:v>
      </x:c>
      <x:c r="B987" t="str">
        <x:v>서교시장</x:v>
      </x:c>
      <x:c r="C987" t="str">
        <x:v>전통시장</x:v>
      </x:c>
      <x:c r="D987" t="str">
        <x:v>마포구</x:v>
      </x:c>
      <x:c r="E987" t="str">
        <x:v>서교동</x:v>
      </x:c>
      <x:c r="F987" s="12" t="n">
        <x:v>5460</x:v>
      </x:c>
      <x:c r="G987" s="12" t="n">
        <x:v>1864262299</x:v>
      </x:c>
      <x:c r="H987" s="12" t="n">
        <x:v>100729</x:v>
      </x:c>
      <x:c r="I987" s="12" t="n">
        <x:v>18507.701843560444</x:v>
      </x:c>
      <x:c r="J987" s="12" t="n">
        <x:v>341439.9815018315</x:v>
      </x:c>
      <x:c r="K987" s="12" t="n">
        <x:v>137</x:v>
      </x:c>
      <x:c r="L987" s="12" t="n">
        <x:v>250.91575091575092</x:v>
      </x:c>
      <x:c r="M987" s="12" t="n">
        <x:v>3</x:v>
      </x:c>
      <x:c r="N987" s="14" t="n">
        <x:v>0.6369667871505886</x:v>
      </x:c>
      <x:c r="O987" s="14" t="n">
        <x:v>0.36303321284941137</x:v>
      </x:c>
      <x:c r="P987" s="14" t="n">
        <x:v>0.6495549106204395</x:v>
      </x:c>
      <x:c r="Q987" s="14" t="n">
        <x:v>0.07872777885318379</x:v>
      </x:c>
      <x:c r="R987" s="14" t="n">
        <x:v>0.5859558349626851</x:v>
      </x:c>
      <x:c r="S987" s="14" t="n">
        <x:v>0.7017914510752009</x:v>
      </x:c>
      <x:c r="T987" t="str">
        <x:v>여성소비·2030소비</x:v>
      </x:c>
      <x:c r="U987" s="16" t="n">
        <x:v>62.431515065815255</x:v>
      </x:c>
      <x:c r="V987" t="str">
        <x:v>일반의류</x:v>
      </x:c>
      <x:c r="W987" t="str">
        <x:v>일반의류 / 슈퍼마켓 / 한식음식점</x:v>
      </x:c>
      <x:c r="X987" s="16" t="n">
        <x:v>50.25674005554756</x:v>
      </x:c>
    </x:row>
    <x:row r="988">
      <x:c r="A988" t="str">
        <x:v>3130266</x:v>
      </x:c>
      <x:c r="B988" t="str">
        <x:v>만양로상점가</x:v>
      </x:c>
      <x:c r="C988" t="str">
        <x:v>전통시장</x:v>
      </x:c>
      <x:c r="D988" t="str">
        <x:v>동작구</x:v>
      </x:c>
      <x:c r="E988" t="str">
        <x:v>노량진1동</x:v>
      </x:c>
      <x:c r="F988" s="12" t="n">
        <x:v>4662</x:v>
      </x:c>
      <x:c r="G988" s="12" t="n">
        <x:v>1859358699</x:v>
      </x:c>
      <x:c r="H988" s="12" t="n">
        <x:v>80011</x:v>
      </x:c>
      <x:c r="I988" s="12" t="n">
        <x:v>23238.788404094437</x:v>
      </x:c>
      <x:c r="J988" s="12" t="n">
        <x:v>398832.83976833976</x:v>
      </x:c>
      <x:c r="K988" s="12" t="n">
        <x:v>73</x:v>
      </x:c>
      <x:c r="L988" s="12" t="n">
        <x:v>156.5851565851566</x:v>
      </x:c>
      <x:c r="M988" s="12" t="n">
        <x:v>3</x:v>
      </x:c>
      <x:c r="N988" s="14" t="n">
        <x:v>0.6690215253619549</x:v>
      </x:c>
      <x:c r="O988" s="14" t="n">
        <x:v>0.3309784746380451</x:v>
      </x:c>
      <x:c r="P988" s="14" t="n">
        <x:v>0.6497384085436223</x:v>
      </x:c>
      <x:c r="Q988" s="14" t="n">
        <x:v>0.1363905157925636</x:v>
      </x:c>
      <x:c r="R988" s="14" t="n">
        <x:v>0.5498558150989671</x:v>
      </x:c>
      <x:c r="S988" s="14" t="n">
        <x:v>0.3085328561447196</x:v>
      </x:c>
      <x:c r="T988" t="str">
        <x:v>2030소비·야간활성</x:v>
      </x:c>
      <x:c r="U988" s="16" t="n">
        <x:v>54.58916977519516</x:v>
      </x:c>
      <x:c r="V988" t="str">
        <x:v>호프-간이주점</x:v>
      </x:c>
      <x:c r="W988" t="str">
        <x:v>호프-간이주점 / 한식음식점 / 분식전문점</x:v>
      </x:c>
      <x:c r="X988" s="16" t="n">
        <x:v>42.004823825128</x:v>
      </x:c>
    </x:row>
    <x:row r="989">
      <x:c r="A989" t="str">
        <x:v>3110283</x:v>
      </x:c>
      <x:c r="B989" t="str">
        <x:v>성북초등학교앞</x:v>
      </x:c>
      <x:c r="C989" t="str">
        <x:v>골목상권</x:v>
      </x:c>
      <x:c r="D989" t="str">
        <x:v>성북구</x:v>
      </x:c>
      <x:c r="E989" t="str">
        <x:v>성북동</x:v>
      </x:c>
      <x:c r="F989" s="12" t="n">
        <x:v>42242</x:v>
      </x:c>
      <x:c r="G989" s="12" t="n">
        <x:v>1852345434</x:v>
      </x:c>
      <x:c r="H989" s="12" t="n">
        <x:v>50018</x:v>
      </x:c>
      <x:c r="I989" s="12" t="n">
        <x:v>37033.576592426725</x:v>
      </x:c>
      <x:c r="J989" s="12" t="n">
        <x:v>43850.798589081955</x:v>
      </x:c>
      <x:c r="K989" s="12" t="n">
        <x:v>890</x:v>
      </x:c>
      <x:c r="L989" s="12" t="n">
        <x:v>210.69078168647317</x:v>
      </x:c>
      <x:c r="M989" s="12" t="n">
        <x:v>5</x:v>
      </x:c>
      <x:c r="N989" s="14" t="n">
        <x:v>0.6972052357487011</x:v>
      </x:c>
      <x:c r="O989" s="14" t="n">
        <x:v>0.3027947642512989</x:v>
      </x:c>
      <x:c r="P989" s="14" t="n">
        <x:v>0.37752227968079954</x:v>
      </x:c>
      <x:c r="Q989" s="14" t="n">
        <x:v>0.440326364094355</x:v>
      </x:c>
      <x:c r="R989" s="14" t="n">
        <x:v>0.19157159052872424</x:v>
      </x:c>
      <x:c r="S989" s="14" t="n">
        <x:v>0.3887657937779655</x:v>
      </x:c>
      <x:c r="T989" t="str">
        <x:v>직장밀집</x:v>
      </x:c>
      <x:c r="U989" s="16" t="n">
        <x:v>68.68570650464069</x:v>
      </x:c>
      <x:c r="V989" t="str">
        <x:v>한식음식점</x:v>
      </x:c>
      <x:c r="W989" t="str">
        <x:v>한식음식점 / 일반의류 / 양식음식점</x:v>
      </x:c>
      <x:c r="X989" s="16" t="n">
        <x:v>46.05135411985428</x:v>
      </x:c>
    </x:row>
    <x:row r="990">
      <x:c r="A990" t="str">
        <x:v>3110176</x:v>
      </x:c>
      <x:c r="B990" t="str">
        <x:v>해오름공원</x:v>
      </x:c>
      <x:c r="C990" t="str">
        <x:v>골목상권</x:v>
      </x:c>
      <x:c r="D990" t="str">
        <x:v>광진구</x:v>
      </x:c>
      <x:c r="E990" t="str">
        <x:v>중곡4동</x:v>
      </x:c>
      <x:c r="F990" s="12" t="n">
        <x:v>135318</x:v>
      </x:c>
      <x:c r="G990" s="12" t="n">
        <x:v>1848527487</x:v>
      </x:c>
      <x:c r="H990" s="12" t="n">
        <x:v>88533</x:v>
      </x:c>
      <x:c r="I990" s="12" t="n">
        <x:v>20879.53064958829</x:v>
      </x:c>
      <x:c r="J990" s="12" t="n">
        <x:v>13660.617855717643</x:v>
      </x:c>
      <x:c r="K990" s="12" t="n">
        <x:v>782</x:v>
      </x:c>
      <x:c r="L990" s="12" t="n">
        <x:v>57.78979884420402</x:v>
      </x:c>
      <x:c r="M990" s="12" t="n">
        <x:v>18</x:v>
      </x:c>
      <x:c r="N990" s="14" t="n">
        <x:v>0.7231652801492803</x:v>
      </x:c>
      <x:c r="O990" s="14" t="n">
        <x:v>0.2768347198507198</x:v>
      </x:c>
      <x:c r="P990" s="14" t="n">
        <x:v>0.4391284726403422</x:v>
      </x:c>
      <x:c r="Q990" s="14" t="n">
        <x:v>0.23074994935144288</x:v>
      </x:c>
      <x:c r="R990" s="14" t="n">
        <x:v>0.19047756794324586</x:v>
      </x:c>
      <x:c r="S990" s="14" t="n">
        <x:v>0.446298328156805</x:v>
      </x:c>
      <x:c r="T990" t="str">
        <x:v>야간활성·여성소비</x:v>
      </x:c>
      <x:c r="U990" s="16" t="n">
        <x:v>70.78624923392003</x:v>
      </x:c>
      <x:c r="V990" t="str">
        <x:v>예술학원</x:v>
      </x:c>
      <x:c r="W990" t="str">
        <x:v>예술학원 / 섬유제품 / 가전제품</x:v>
      </x:c>
      <x:c r="X990" s="16" t="n">
        <x:v>59.565024129965266</x:v>
      </x:c>
    </x:row>
    <x:row r="991">
      <x:c r="A991" t="str">
        <x:v>3110010</x:v>
      </x:c>
      <x:c r="B991" t="str">
        <x:v>평창동서측</x:v>
      </x:c>
      <x:c r="C991" t="str">
        <x:v>골목상권</x:v>
      </x:c>
      <x:c r="D991" t="str">
        <x:v>종로구</x:v>
      </x:c>
      <x:c r="E991" t="str">
        <x:v>평창동</x:v>
      </x:c>
      <x:c r="F991" s="12" t="n">
        <x:v>369415</x:v>
      </x:c>
      <x:c r="G991" s="12" t="n">
        <x:v>1845066599</x:v>
      </x:c>
      <x:c r="H991" s="12" t="n">
        <x:v>84355</x:v>
      </x:c>
      <x:c r="I991" s="12" t="n">
        <x:v>21872.640614071483</x:v>
      </x:c>
      <x:c r="J991" s="12" t="n">
        <x:v>4994.563293315106</x:v>
      </x:c>
      <x:c r="K991" s="12" t="n">
        <x:v>5561</x:v>
      </x:c>
      <x:c r="L991" s="12" t="n">
        <x:v>150.53530582136622</x:v>
      </x:c>
      <x:c r="M991" s="12" t="n">
        <x:v>13</x:v>
      </x:c>
      <x:c r="N991" s="14" t="n">
        <x:v>0.7559471613414644</x:v>
      </x:c>
      <x:c r="O991" s="14" t="n">
        <x:v>0.2440528386585356</x:v>
      </x:c>
      <x:c r="P991" s="14" t="n">
        <x:v>0.3160683101174062</x:v>
      </x:c>
      <x:c r="Q991" s="14" t="n">
        <x:v>0.2748254422224246</x:v>
      </x:c>
      <x:c r="R991" s="14" t="n">
        <x:v>0.10089603437669732</x:v>
      </x:c>
      <x:c r="S991" s="14" t="n">
        <x:v>0.5097735374483358</x:v>
      </x:c>
      <x:c r="T991" t="str">
        <x:v>여성소비·직장밀집</x:v>
      </x:c>
      <x:c r="U991" s="16" t="n">
        <x:v>67.62144864312215</x:v>
      </x:c>
      <x:c r="V991" t="str">
        <x:v>육류판매</x:v>
      </x:c>
      <x:c r="W991" t="str">
        <x:v>육류판매 / 커피-음료 / 세탁소</x:v>
      </x:c>
      <x:c r="X991" s="16" t="n">
        <x:v>61.30549079922774</x:v>
      </x:c>
    </x:row>
    <x:row r="992">
      <x:c r="A992" t="str">
        <x:v>3110148</x:v>
      </x:c>
      <x:c r="B992" t="str">
        <x:v>어린이대공원역 3번</x:v>
      </x:c>
      <x:c r="C992" t="str">
        <x:v>골목상권</x:v>
      </x:c>
      <x:c r="D992" t="str">
        <x:v>광진구</x:v>
      </x:c>
      <x:c r="E992" t="str">
        <x:v>화양동</x:v>
      </x:c>
      <x:c r="F992" s="12" t="n">
        <x:v>45757</x:v>
      </x:c>
      <x:c r="G992" s="12" t="n">
        <x:v>1836555986</x:v>
      </x:c>
      <x:c r="H992" s="12" t="n">
        <x:v>120287</x:v>
      </x:c>
      <x:c r="I992" s="12" t="n">
        <x:v>15268.116970246161</x:v>
      </x:c>
      <x:c r="J992" s="12" t="n">
        <x:v>40137.15903577595</x:v>
      </x:c>
      <x:c r="K992" s="12" t="n">
        <x:v>22</x:v>
      </x:c>
      <x:c r="L992" s="12" t="n">
        <x:v>4.808007517975392</x:v>
      </x:c>
      <x:c r="M992" s="12" t="n">
        <x:v>7</x:v>
      </x:c>
      <x:c r="N992" s="14" t="n">
        <x:v>0.8594895620023859</x:v>
      </x:c>
      <x:c r="O992" s="14" t="n">
        <x:v>0.1405104379976141</x:v>
      </x:c>
      <x:c r="P992" s="14" t="n">
        <x:v>0.38841132828934083</x:v>
      </x:c>
      <x:c r="Q992" s="14" t="n">
        <x:v>0.40242987996773216</x:v>
      </x:c>
      <x:c r="R992" s="14" t="n">
        <x:v>0.4205954666714963</x:v>
      </x:c>
      <x:c r="S992" s="14" t="n">
        <x:v>0.23059286089196304</x:v>
      </x:c>
      <x:c r="T992" t="str">
        <x:v>2030소비·평일집중</x:v>
      </x:c>
      <x:c r="U992" s="16" t="n">
        <x:v>48.3166683290794</x:v>
      </x:c>
      <x:c r="V992" t="str">
        <x:v>커피-음료</x:v>
      </x:c>
      <x:c r="W992" t="str">
        <x:v>커피-음료 / 중식음식점 / 패스트푸드점</x:v>
      </x:c>
      <x:c r="X992" s="16" t="n">
        <x:v>44.04077759172475</x:v>
      </x:c>
    </x:row>
    <x:row r="993">
      <x:c r="A993" t="str">
        <x:v>3110599</x:v>
      </x:c>
      <x:c r="B993" t="str">
        <x:v>신월1파출소</x:v>
      </x:c>
      <x:c r="C993" t="str">
        <x:v>골목상권</x:v>
      </x:c>
      <x:c r="D993" t="str">
        <x:v>양천구</x:v>
      </x:c>
      <x:c r="E993" t="str">
        <x:v>신월1동</x:v>
      </x:c>
      <x:c r="F993" s="12" t="n">
        <x:v>105116</x:v>
      </x:c>
      <x:c r="G993" s="12" t="n">
        <x:v>1833989954</x:v>
      </x:c>
      <x:c r="H993" s="12" t="n">
        <x:v>55347</x:v>
      </x:c>
      <x:c r="I993" s="12" t="n">
        <x:v>33136.212513776714</x:v>
      </x:c>
      <x:c r="J993" s="12" t="n">
        <x:v>17447.295882643935</x:v>
      </x:c>
      <x:c r="K993" s="12" t="n">
        <x:v>348</x:v>
      </x:c>
      <x:c r="L993" s="12" t="n">
        <x:v>33.106282583051104</x:v>
      </x:c>
      <x:c r="M993" s="12" t="n">
        <x:v>16</x:v>
      </x:c>
      <x:c r="N993" s="14" t="n">
        <x:v>0.7551059982523765</x:v>
      </x:c>
      <x:c r="O993" s="14" t="n">
        <x:v>0.24489400174762352</x:v>
      </x:c>
      <x:c r="P993" s="14" t="n">
        <x:v>0.3048956788342364</x:v>
      </x:c>
      <x:c r="Q993" s="14" t="n">
        <x:v>0.4016558740648369</x:v>
      </x:c>
      <x:c r="R993" s="14" t="n">
        <x:v>0.16423126274114805</x:v>
      </x:c>
      <x:c r="S993" s="14" t="n">
        <x:v>0.3307859002590807</x:v>
      </x:c>
      <x:c r="T993" t="str">
        <x:v>균형형</x:v>
      </x:c>
      <x:c r="U993" s="16" t="n">
        <x:v>68.08128560656274</x:v>
      </x:c>
      <x:c r="V993" t="str">
        <x:v>서적</x:v>
      </x:c>
      <x:c r="W993" t="str">
        <x:v>서적 / 미용실 / 노래방</x:v>
      </x:c>
      <x:c r="X993" s="16" t="n">
        <x:v>58.81784319616113</x:v>
      </x:c>
    </x:row>
    <x:row r="994">
      <x:c r="A994" t="str">
        <x:v>3110090</x:v>
      </x:c>
      <x:c r="B994" t="str">
        <x:v>한국폴리텍대학서울정수캠퍼스</x:v>
      </x:c>
      <x:c r="C994" t="str">
        <x:v>골목상권</x:v>
      </x:c>
      <x:c r="D994" t="str">
        <x:v>용산구</x:v>
      </x:c>
      <x:c r="E994" t="str">
        <x:v>보광동</x:v>
      </x:c>
      <x:c r="F994" s="12" t="n">
        <x:v>97059</x:v>
      </x:c>
      <x:c r="G994" s="12" t="n">
        <x:v>1828371982</x:v>
      </x:c>
      <x:c r="H994" s="12" t="n">
        <x:v>52872</x:v>
      </x:c>
      <x:c r="I994" s="12" t="n">
        <x:v>34581.10118777425</x:v>
      </x:c>
      <x:c r="J994" s="12" t="n">
        <x:v>18837.73768532542</x:v>
      </x:c>
      <x:c r="K994" s="12" t="n">
        <x:v>1290</x:v>
      </x:c>
      <x:c r="L994" s="12" t="n">
        <x:v>132.9088492566377</x:v>
      </x:c>
      <x:c r="M994" s="12" t="n">
        <x:v>11</x:v>
      </x:c>
      <x:c r="N994" s="14" t="n">
        <x:v>0.6650593817730029</x:v>
      </x:c>
      <x:c r="O994" s="14" t="n">
        <x:v>0.3349406182269971</x:v>
      </x:c>
      <x:c r="P994" s="14" t="n">
        <x:v>0.6091992931228367</x:v>
      </x:c>
      <x:c r="Q994" s="14" t="n">
        <x:v>0.15111213785817026</x:v>
      </x:c>
      <x:c r="R994" s="14" t="n">
        <x:v>0.3376777384898693</x:v>
      </x:c>
      <x:c r="S994" s="14" t="n">
        <x:v>0.3641562228883466</x:v>
      </x:c>
      <x:c r="T994" t="str">
        <x:v>야간활성·2030소비</x:v>
      </x:c>
      <x:c r="U994" s="16" t="n">
        <x:v>77.90729950255921</x:v>
      </x:c>
      <x:c r="V994" t="str">
        <x:v>일반교습학원</x:v>
      </x:c>
      <x:c r="W994" t="str">
        <x:v>일반교습학원 / 치킨전문점 / 핸드폰</x:v>
      </x:c>
      <x:c r="X994" s="16" t="n">
        <x:v>63.80246161847153</x:v>
      </x:c>
    </x:row>
    <x:row r="995">
      <x:c r="A995" t="str">
        <x:v>3110707</x:v>
      </x:c>
      <x:c r="B995" t="str">
        <x:v>구로창업지원센터</x:v>
      </x:c>
      <x:c r="C995" t="str">
        <x:v>골목상권</x:v>
      </x:c>
      <x:c r="D995" t="str">
        <x:v>구로구</x:v>
      </x:c>
      <x:c r="E995" t="str">
        <x:v>신도림동</x:v>
      </x:c>
      <x:c r="F995" s="12" t="n">
        <x:v>185688</x:v>
      </x:c>
      <x:c r="G995" s="12" t="n">
        <x:v>1826812163</x:v>
      </x:c>
      <x:c r="H995" s="12" t="n">
        <x:v>70600</x:v>
      </x:c>
      <x:c r="I995" s="12" t="n">
        <x:v>25875.526388101982</x:v>
      </x:c>
      <x:c r="J995" s="12" t="n">
        <x:v>9838.073343457843</x:v>
      </x:c>
      <x:c r="K995" s="12" t="n">
        <x:v>2454</x:v>
      </x:c>
      <x:c r="L995" s="12" t="n">
        <x:v>132.15716686054026</x:v>
      </x:c>
      <x:c r="M995" s="12" t="n">
        <x:v>9</x:v>
      </x:c>
      <x:c r="N995" s="14" t="n">
        <x:v>0.8077773286645235</x:v>
      </x:c>
      <x:c r="O995" s="14" t="n">
        <x:v>0.19222267133547655</x:v>
      </x:c>
      <x:c r="P995" s="14" t="n">
        <x:v>0.39221747069132035</x:v>
      </x:c>
      <x:c r="Q995" s="14" t="n">
        <x:v>0.356907745199855</x:v>
      </x:c>
      <x:c r="R995" s="14" t="n">
        <x:v>0.13286966657885121</x:v>
      </x:c>
      <x:c r="S995" s="14" t="n">
        <x:v>0.3278508618075147</x:v>
      </x:c>
      <x:c r="T995" t="str">
        <x:v>평일집중·직장밀집</x:v>
      </x:c>
      <x:c r="U995" s="16" t="n">
        <x:v>54.394737826856044</x:v>
      </x:c>
      <x:c r="V995" t="str">
        <x:v>자동차수리</x:v>
      </x:c>
      <x:c r="W995" t="str">
        <x:v>자동차수리 / 노래방 / 인테리어</x:v>
      </x:c>
      <x:c r="X995" s="16" t="n">
        <x:v>49.21543493644067</x:v>
      </x:c>
    </x:row>
    <x:row r="996">
      <x:c r="A996" t="str">
        <x:v>3110170</x:v>
      </x:c>
      <x:c r="B996" t="str">
        <x:v>동대부여고</x:v>
      </x:c>
      <x:c r="C996" t="str">
        <x:v>골목상권</x:v>
      </x:c>
      <x:c r="D996" t="str">
        <x:v>광진구</x:v>
      </x:c>
      <x:c r="E996" t="str">
        <x:v>구의1동</x:v>
      </x:c>
      <x:c r="F996" s="12" t="n">
        <x:v>120727</x:v>
      </x:c>
      <x:c r="G996" s="12" t="n">
        <x:v>1822271575</x:v>
      </x:c>
      <x:c r="H996" s="12" t="n">
        <x:v>121577</x:v>
      </x:c>
      <x:c r="I996" s="12" t="n">
        <x:v>14988.6209973926</x:v>
      </x:c>
      <x:c r="J996" s="12" t="n">
        <x:v>15094.1510598292</x:v>
      </x:c>
      <x:c r="K996" s="12" t="n">
        <x:v>389</x:v>
      </x:c>
      <x:c r="L996" s="12" t="n">
        <x:v>32.22145833160768</x:v>
      </x:c>
      <x:c r="M996" s="12" t="n">
        <x:v>14</x:v>
      </x:c>
      <x:c r="N996" s="14" t="n">
        <x:v>0.7187345398832773</x:v>
      </x:c>
      <x:c r="O996" s="14" t="n">
        <x:v>0.2812654601167227</x:v>
      </x:c>
      <x:c r="P996" s="14" t="n">
        <x:v>0.5569737518404742</x:v>
      </x:c>
      <x:c r="Q996" s="14" t="n">
        <x:v>0.1483686689235659</x:v>
      </x:c>
      <x:c r="R996" s="14" t="n">
        <x:v>0.3232918271251638</x:v>
      </x:c>
      <x:c r="S996" s="14" t="n">
        <x:v>0.38392105688198536</x:v>
      </x:c>
      <x:c r="T996" t="str">
        <x:v>야간활성·2030소비</x:v>
      </x:c>
      <x:c r="U996" s="16" t="n">
        <x:v>62.98396843356434</x:v>
      </x:c>
      <x:c r="V996" t="str">
        <x:v>일반의류</x:v>
      </x:c>
      <x:c r="W996" t="str">
        <x:v>일반의류 / 슈퍼마켓 / 노래방</x:v>
      </x:c>
      <x:c r="X996" s="16" t="n">
        <x:v>54.95714436592026</x:v>
      </x:c>
    </x:row>
    <x:row r="997">
      <x:c r="A997" t="str">
        <x:v>3110527</x:v>
      </x:c>
      <x:c r="B997" t="str">
        <x:v>홍제역 2번</x:v>
      </x:c>
      <x:c r="C997" t="str">
        <x:v>골목상권</x:v>
      </x:c>
      <x:c r="D997" t="str">
        <x:v>서대문구</x:v>
      </x:c>
      <x:c r="E997" t="str">
        <x:v>홍제3동</x:v>
      </x:c>
      <x:c r="F997" s="12" t="n">
        <x:v>106073</x:v>
      </x:c>
      <x:c r="G997" s="12" t="n">
        <x:v>1810924567</x:v>
      </x:c>
      <x:c r="H997" s="12" t="n">
        <x:v>128366</x:v>
      </x:c>
      <x:c r="I997" s="12" t="n">
        <x:v>14107.509519654737</x:v>
      </x:c>
      <x:c r="J997" s="12" t="n">
        <x:v>17072.43659555212</x:v>
      </x:c>
      <x:c r="K997" s="12" t="n">
        <x:v>154</x:v>
      </x:c>
      <x:c r="L997" s="12" t="n">
        <x:v>14.51830343254174</x:v>
      </x:c>
      <x:c r="M997" s="12" t="n">
        <x:v>9</x:v>
      </x:c>
      <x:c r="N997" s="14" t="n">
        <x:v>0.7560775876315118</x:v>
      </x:c>
      <x:c r="O997" s="14" t="n">
        <x:v>0.24392241236848825</x:v>
      </x:c>
      <x:c r="P997" s="14" t="n">
        <x:v>0.45930831032787023</x:v>
      </x:c>
      <x:c r="Q997" s="14" t="n">
        <x:v>0.22267674443669966</x:v>
      </x:c>
      <x:c r="R997" s="14" t="n">
        <x:v>0.22715015550396472</x:v>
      </x:c>
      <x:c r="S997" s="14" t="n">
        <x:v>0.37277432605507305</x:v>
      </x:c>
      <x:c r="T997" t="str">
        <x:v>야간활성·2030소비</x:v>
      </x:c>
      <x:c r="U997" s="16" t="n">
        <x:v>63.64199796824603</x:v>
      </x:c>
      <x:c r="V997" t="str">
        <x:v>예술학원</x:v>
      </x:c>
      <x:c r="W997" t="str">
        <x:v>예술학원 / 편의점 / 미용실</x:v>
      </x:c>
      <x:c r="X997" s="16" t="n">
        <x:v>59.20612271935242</x:v>
      </x:c>
    </x:row>
    <x:row r="998">
      <x:c r="A998" t="str">
        <x:v>3111075</x:v>
      </x:c>
      <x:c r="B998" t="str">
        <x:v>굽은다리역 2번</x:v>
      </x:c>
      <x:c r="C998" t="str">
        <x:v>골목상권</x:v>
      </x:c>
      <x:c r="D998" t="str">
        <x:v>강동구</x:v>
      </x:c>
      <x:c r="E998" t="str">
        <x:v>천호1동</x:v>
      </x:c>
      <x:c r="F998" s="12" t="n">
        <x:v>87782</x:v>
      </x:c>
      <x:c r="G998" s="12" t="n">
        <x:v>1809705939</x:v>
      </x:c>
      <x:c r="H998" s="12" t="n">
        <x:v>148721</x:v>
      </x:c>
      <x:c r="I998" s="12" t="n">
        <x:v>12168.462685162149</x:v>
      </x:c>
      <x:c r="J998" s="12" t="n">
        <x:v>20615.91145109476</x:v>
      </x:c>
      <x:c r="K998" s="12" t="n">
        <x:v>304</x:v>
      </x:c>
      <x:c r="L998" s="12" t="n">
        <x:v>34.63124558565537</x:v>
      </x:c>
      <x:c r="M998" s="12" t="n">
        <x:v>12</x:v>
      </x:c>
      <x:c r="N998" s="14" t="n">
        <x:v>0.7259589006631425</x:v>
      </x:c>
      <x:c r="O998" s="14" t="n">
        <x:v>0.2740410993368575</x:v>
      </x:c>
      <x:c r="P998" s="14" t="n">
        <x:v>0.4279047757493158</x:v>
      </x:c>
      <x:c r="Q998" s="14" t="n">
        <x:v>0.20073364692649107</x:v>
      </x:c>
      <x:c r="R998" s="14" t="n">
        <x:v>0.2898728813863941</x:v>
      </x:c>
      <x:c r="S998" s="14" t="n">
        <x:v>0.3809968813944418</x:v>
      </x:c>
      <x:c r="T998" t="str">
        <x:v>2030소비·야간활성</x:v>
      </x:c>
      <x:c r="U998" s="16" t="n">
        <x:v>51.87996714595684</x:v>
      </x:c>
      <x:c r="V998" t="str">
        <x:v>스포츠 강습</x:v>
      </x:c>
      <x:c r="W998" t="str">
        <x:v>스포츠 강습 / 편의점 / 슈퍼마켓</x:v>
      </x:c>
      <x:c r="X998" s="16" t="n">
        <x:v>49.69320544654537</x:v>
      </x:c>
    </x:row>
    <x:row r="999">
      <x:c r="A999" t="str">
        <x:v>3110937</x:v>
      </x:c>
      <x:c r="B999" t="str">
        <x:v>방아다리근린공원(횃불트리니티신학대학원대학교)</x:v>
      </x:c>
      <x:c r="C999" t="str">
        <x:v>골목상권</x:v>
      </x:c>
      <x:c r="D999" t="str">
        <x:v>서초구</x:v>
      </x:c>
      <x:c r="E999" t="str">
        <x:v>양재1동</x:v>
      </x:c>
      <x:c r="F999" s="12" t="n">
        <x:v>40444</x:v>
      </x:c>
      <x:c r="G999" s="12" t="n">
        <x:v>1806397050</x:v>
      </x:c>
      <x:c r="H999" s="12" t="n">
        <x:v>30145</x:v>
      </x:c>
      <x:c r="I999" s="12" t="n">
        <x:v>59923.60424614364</x:v>
      </x:c>
      <x:c r="J999" s="12" t="n">
        <x:v>44664.154139056474</x:v>
      </x:c>
      <x:c r="K999" s="12" t="n">
        <x:v>295</x:v>
      </x:c>
      <x:c r="L999" s="12" t="n">
        <x:v>72.9403619819998</x:v>
      </x:c>
      <x:c r="M999" s="12" t="n">
        <x:v>2</x:v>
      </x:c>
      <x:c r="N999" s="14" t="n">
        <x:v>0.8461642145617986</x:v>
      </x:c>
      <x:c r="O999" s="14" t="n">
        <x:v>0.15383578543820142</x:v>
      </x:c>
      <x:c r="P999" s="14" t="n">
        <x:v>0.15812419700308966</x:v>
      </x:c>
      <x:c r="Q999" s="14" t="n">
        <x:v>0.6003241801131152</x:v>
      </x:c>
      <x:c r="R999" s="14" t="n">
        <x:v>0.10263597861832204</x:v>
      </x:c>
      <x:c r="S999" s="14" t="n">
        <x:v>0.2923100344965687</x:v>
      </x:c>
      <x:c r="T999" t="str">
        <x:v>평일집중</x:v>
      </x:c>
      <x:c r="U999" s="16" t="n">
        <x:v>56.034119422370125</x:v>
      </x:c>
      <x:c r="V999" t="str">
        <x:v>한식음식점</x:v>
      </x:c>
      <x:c r="W999" t="str">
        <x:v>한식음식점 / 화장품</x:v>
      </x:c>
      <x:c r="X999" s="16" t="n">
        <x:v>51.768885046731576</x:v>
      </x:c>
    </x:row>
    <x:row r="1000">
      <x:c r="A1000" t="str">
        <x:v>3110675</x:v>
      </x:c>
      <x:c r="B1000" t="str">
        <x:v>화곡4동주민센터</x:v>
      </x:c>
      <x:c r="C1000" t="str">
        <x:v>골목상권</x:v>
      </x:c>
      <x:c r="D1000" t="str">
        <x:v>강서구</x:v>
      </x:c>
      <x:c r="E1000" t="str">
        <x:v>화곡4동</x:v>
      </x:c>
      <x:c r="F1000" s="12" t="n">
        <x:v>164488</x:v>
      </x:c>
      <x:c r="G1000" s="12" t="n">
        <x:v>1800114248</x:v>
      </x:c>
      <x:c r="H1000" s="12" t="n">
        <x:v>163862</x:v>
      </x:c>
      <x:c r="I1000" s="12" t="n">
        <x:v>10985.550328935324</x:v>
      </x:c>
      <x:c r="J1000" s="12" t="n">
        <x:v>10943.742084528963</x:v>
      </x:c>
      <x:c r="K1000" s="12" t="n">
        <x:v>509</x:v>
      </x:c>
      <x:c r="L1000" s="12" t="n">
        <x:v>30.944506590146393</x:v>
      </x:c>
      <x:c r="M1000" s="12" t="n">
        <x:v>12</x:v>
      </x:c>
      <x:c r="N1000" s="14" t="n">
        <x:v>0.7079691277461629</x:v>
      </x:c>
      <x:c r="O1000" s="14" t="n">
        <x:v>0.29203087225383706</x:v>
      </x:c>
      <x:c r="P1000" s="14" t="n">
        <x:v>0.512947472653969</x:v>
      </x:c>
      <x:c r="Q1000" s="14" t="n">
        <x:v>0.13651361421811267</x:v>
      </x:c>
      <x:c r="R1000" s="14" t="n">
        <x:v>0.37024970372880467</x:v>
      </x:c>
      <x:c r="S1000" s="14" t="n">
        <x:v>0.3840604571449401</x:v>
      </x:c>
      <x:c r="T1000" t="str">
        <x:v>2030소비·야간활성</x:v>
      </x:c>
      <x:c r="U1000" s="16" t="n">
        <x:v>61.50797041576598</x:v>
      </x:c>
      <x:c r="V1000" t="str">
        <x:v>세탁소</x:v>
      </x:c>
      <x:c r="W1000" t="str">
        <x:v>세탁소 / 미용실 / 슈퍼마켓</x:v>
      </x:c>
      <x:c r="X1000" s="16" t="n">
        <x:v>54.58676840238331</x:v>
      </x:c>
    </x:row>
    <x:row r="1001">
      <x:c r="A1001" t="str">
        <x:v>3110478</x:v>
      </x:c>
      <x:c r="B1001" t="str">
        <x:v>응암1동주민센터</x:v>
      </x:c>
      <x:c r="C1001" t="str">
        <x:v>골목상권</x:v>
      </x:c>
      <x:c r="D1001" t="str">
        <x:v>은평구</x:v>
      </x:c>
      <x:c r="E1001" t="str">
        <x:v>응암1동</x:v>
      </x:c>
      <x:c r="F1001" s="12" t="n">
        <x:v>61196</x:v>
      </x:c>
      <x:c r="G1001" s="12" t="n">
        <x:v>1797286604</x:v>
      </x:c>
      <x:c r="H1001" s="12" t="n">
        <x:v>58963</x:v>
      </x:c>
      <x:c r="I1001" s="12" t="n">
        <x:v>30481.600393467088</x:v>
      </x:c>
      <x:c r="J1001" s="12" t="n">
        <x:v>29369.34773514609</x:v>
      </x:c>
      <x:c r="K1001" s="12" t="n">
        <x:v>291</x:v>
      </x:c>
      <x:c r="L1001" s="12" t="n">
        <x:v>47.552127590038566</x:v>
      </x:c>
      <x:c r="M1001" s="12" t="n">
        <x:v>7</x:v>
      </x:c>
      <x:c r="N1001" s="14" t="n">
        <x:v>0.7721973022617599</x:v>
      </x:c>
      <x:c r="O1001" s="14" t="n">
        <x:v>0.22780269773824008</x:v>
      </x:c>
      <x:c r="P1001" s="14" t="n">
        <x:v>0.4159659846883274</x:v>
      </x:c>
      <x:c r="Q1001" s="14" t="n">
        <x:v>0.26990919640771993</x:v>
      </x:c>
      <x:c r="R1001" s="14" t="n">
        <x:v>0.12617469995898328</x:v>
      </x:c>
      <x:c r="S1001" s="14" t="n">
        <x:v>0.3158088680663198</x:v>
      </x:c>
      <x:c r="T1001" t="str">
        <x:v>균형형</x:v>
      </x:c>
      <x:c r="U1001" s="16" t="n">
        <x:v>57.36174170552944</x:v>
      </x:c>
      <x:c r="V1001" t="str">
        <x:v>육류판매</x:v>
      </x:c>
      <x:c r="W1001" t="str">
        <x:v>육류판매 / 인테리어 / 슈퍼마켓</x:v>
      </x:c>
      <x:c r="X1001" s="16" t="n">
        <x:v>49.59122039197847</x:v>
      </x:c>
    </x:row>
    <x:row r="1002">
      <x:c r="A1002" t="str">
        <x:v>3110794</x:v>
      </x:c>
      <x:c r="B1002" t="str">
        <x:v>영동초등학교</x:v>
      </x:c>
      <x:c r="C1002" t="str">
        <x:v>골목상권</x:v>
      </x:c>
      <x:c r="D1002" t="str">
        <x:v>영등포구</x:v>
      </x:c>
      <x:c r="E1002" t="str">
        <x:v>당산2동</x:v>
      </x:c>
      <x:c r="F1002" s="12" t="n">
        <x:v>81298</x:v>
      </x:c>
      <x:c r="G1002" s="12" t="n">
        <x:v>1779009312</x:v>
      </x:c>
      <x:c r="H1002" s="12" t="n">
        <x:v>82193</x:v>
      </x:c>
      <x:c r="I1002" s="12" t="n">
        <x:v>21644.292238998456</x:v>
      </x:c>
      <x:c r="J1002" s="12" t="n">
        <x:v>21882.57167457994</x:v>
      </x:c>
      <x:c r="K1002" s="12" t="n">
        <x:v>1612</x:v>
      </x:c>
      <x:c r="L1002" s="12" t="n">
        <x:v>198.2828605869763</x:v>
      </x:c>
      <x:c r="M1002" s="12" t="n">
        <x:v>10</x:v>
      </x:c>
      <x:c r="N1002" s="14" t="n">
        <x:v>0.7952314990468133</x:v>
      </x:c>
      <x:c r="O1002" s="14" t="n">
        <x:v>0.2047685009531867</x:v>
      </x:c>
      <x:c r="P1002" s="14" t="n">
        <x:v>0.3928932784585672</x:v>
      </x:c>
      <x:c r="Q1002" s="14" t="n">
        <x:v>0.21626431823871195</x:v>
      </x:c>
      <x:c r="R1002" s="14" t="n">
        <x:v>0.3050687808878653</x:v>
      </x:c>
      <x:c r="S1002" s="14" t="n">
        <x:v>0.44619337832898315</x:v>
      </x:c>
      <x:c r="T1002" t="str">
        <x:v>2030소비·직장밀집</x:v>
      </x:c>
      <x:c r="U1002" s="16" t="n">
        <x:v>49.98916440146687</x:v>
      </x:c>
      <x:c r="V1002" t="str">
        <x:v>세탁소</x:v>
      </x:c>
      <x:c r="W1002" t="str">
        <x:v>세탁소 / 한식음식점 / 일반교습학원</x:v>
      </x:c>
      <x:c r="X1002" s="16" t="n">
        <x:v>45.13511030708856</x:v>
      </x:c>
    </x:row>
    <x:row r="1003">
      <x:c r="A1003" t="str">
        <x:v>3110076</x:v>
      </x:c>
      <x:c r="B1003" t="str">
        <x:v>삼각지역 14번</x:v>
      </x:c>
      <x:c r="C1003" t="str">
        <x:v>골목상권</x:v>
      </x:c>
      <x:c r="D1003" t="str">
        <x:v>용산구</x:v>
      </x:c>
      <x:c r="E1003" t="str">
        <x:v>한강로동</x:v>
      </x:c>
      <x:c r="F1003" s="12" t="n">
        <x:v>8989</x:v>
      </x:c>
      <x:c r="G1003" s="12" t="n">
        <x:v>1777455589</x:v>
      </x:c>
      <x:c r="H1003" s="12" t="n">
        <x:v>75306</x:v>
      </x:c>
      <x:c r="I1003" s="12" t="n">
        <x:v>23603.10717605503</x:v>
      </x:c>
      <x:c r="J1003" s="12" t="n">
        <x:v>197736.74368672824</x:v>
      </x:c>
      <x:c r="K1003" s="12" t="n">
        <x:v>436</x:v>
      </x:c>
      <x:c r="L1003" s="12" t="n">
        <x:v>485.037267771721</x:v>
      </x:c>
      <x:c r="M1003" s="12" t="n">
        <x:v>3</x:v>
      </x:c>
      <x:c r="N1003" s="14" t="n">
        <x:v>0.6763769510980451</x:v>
      </x:c>
      <x:c r="O1003" s="14" t="n">
        <x:v>0.32362304890195487</x:v>
      </x:c>
      <x:c r="P1003" s="14" t="n">
        <x:v>0.46430621057840676</x:v>
      </x:c>
      <x:c r="Q1003" s="14" t="n">
        <x:v>0.3236692238953037</x:v>
      </x:c>
      <x:c r="R1003" s="14" t="n">
        <x:v>0.36116387547053364</x:v>
      </x:c>
      <x:c r="S1003" s="14" t="n">
        <x:v>0.30248744909710373</x:v>
      </x:c>
      <x:c r="T1003" t="str">
        <x:v>직장밀집·2030소비</x:v>
      </x:c>
      <x:c r="U1003" s="16" t="n">
        <x:v>54.87885453278055</x:v>
      </x:c>
      <x:c r="V1003" t="str">
        <x:v>커피-음료</x:v>
      </x:c>
      <x:c r="W1003" t="str">
        <x:v>커피-음료 / 양식음식점 / 한식음식점</x:v>
      </x:c>
      <x:c r="X1003" s="16" t="n">
        <x:v>50.83504436549659</x:v>
      </x:c>
    </x:row>
    <x:row r="1004">
      <x:c r="A1004" t="str">
        <x:v>3130278</x:v>
      </x:c>
      <x:c r="B1004" t="str">
        <x:v>미성동 도깨비시장 골목형상점가</x:v>
      </x:c>
      <x:c r="C1004" t="str">
        <x:v>전통시장</x:v>
      </x:c>
      <x:c r="D1004" t="str">
        <x:v>관악구</x:v>
      </x:c>
      <x:c r="E1004" t="str">
        <x:v>미성동</x:v>
      </x:c>
      <x:c r="F1004" s="12" t="n">
        <x:v>24874</x:v>
      </x:c>
      <x:c r="G1004" s="12" t="n">
        <x:v>1775541814</x:v>
      </x:c>
      <x:c r="H1004" s="12" t="n">
        <x:v>97209</x:v>
      </x:c>
      <x:c r="I1004" s="12" t="n">
        <x:v>18265.199868324948</x:v>
      </x:c>
      <x:c r="J1004" s="12" t="n">
        <x:v>71381.43499236151</x:v>
      </x:c>
      <x:c r="K1004" s="12" t="n">
        <x:v>195</x:v>
      </x:c>
      <x:c r="L1004" s="12" t="n">
        <x:v>78.39511136126076</x:v>
      </x:c>
      <x:c r="M1004" s="12" t="n">
        <x:v>10</x:v>
      </x:c>
      <x:c r="N1004" s="14" t="n">
        <x:v>0.7626255638269074</x:v>
      </x:c>
      <x:c r="O1004" s="14" t="n">
        <x:v>0.23737443617309256</x:v>
      </x:c>
      <x:c r="P1004" s="14" t="n">
        <x:v>0.256071252963463</x:v>
      </x:c>
      <x:c r="Q1004" s="14" t="n">
        <x:v>0.29221360257979256</x:v>
      </x:c>
      <x:c r="R1004" s="14" t="n">
        <x:v>0.16435353912763442</x:v>
      </x:c>
      <x:c r="S1004" s="14" t="n">
        <x:v>0.5657705192179721</x:v>
      </x:c>
      <x:c r="T1004" t="str">
        <x:v>여성소비·고매출밀도</x:v>
      </x:c>
      <x:c r="U1004" s="16" t="n">
        <x:v>54.958695686526504</x:v>
      </x:c>
      <x:c r="V1004" t="str">
        <x:v>커피-음료</x:v>
      </x:c>
      <x:c r="W1004" t="str">
        <x:v>커피-음료 / 미용실 / 핸드폰</x:v>
      </x:c>
      <x:c r="X1004" s="16" t="n">
        <x:v>51.744364974104236</x:v>
      </x:c>
    </x:row>
    <x:row r="1005">
      <x:c r="A1005" t="str">
        <x:v>3110925</x:v>
      </x:c>
      <x:c r="B1005" t="str">
        <x:v>서초중학교</x:v>
      </x:c>
      <x:c r="C1005" t="str">
        <x:v>골목상권</x:v>
      </x:c>
      <x:c r="D1005" t="str">
        <x:v>서초구</x:v>
      </x:c>
      <x:c r="E1005" t="str">
        <x:v>서초3동</x:v>
      </x:c>
      <x:c r="F1005" s="12" t="n">
        <x:v>71878</x:v>
      </x:c>
      <x:c r="G1005" s="12" t="n">
        <x:v>1762561445</x:v>
      </x:c>
      <x:c r="H1005" s="12" t="n">
        <x:v>48169</x:v>
      </x:c>
      <x:c r="I1005" s="12" t="n">
        <x:v>36591.19859245573</x:v>
      </x:c>
      <x:c r="J1005" s="12" t="n">
        <x:v>24521.57050836139</x:v>
      </x:c>
      <x:c r="K1005" s="12" t="n">
        <x:v>424</x:v>
      </x:c>
      <x:c r="L1005" s="12" t="n">
        <x:v>58.9888422048471</x:v>
      </x:c>
      <x:c r="M1005" s="12" t="n">
        <x:v>9</x:v>
      </x:c>
      <x:c r="N1005" s="14" t="n">
        <x:v>0.8310734880507953</x:v>
      </x:c>
      <x:c r="O1005" s="14" t="n">
        <x:v>0.1689265119492047</x:v>
      </x:c>
      <x:c r="P1005" s="14" t="n">
        <x:v>0.31206279563206946</x:v>
      </x:c>
      <x:c r="Q1005" s="14" t="n">
        <x:v>0.3375893559273901</x:v>
      </x:c>
      <x:c r="R1005" s="14" t="n">
        <x:v>0.15488249829497433</x:v>
      </x:c>
      <x:c r="S1005" s="14" t="n">
        <x:v>0.5126473619193458</x:v>
      </x:c>
      <x:c r="T1005" t="str">
        <x:v>평일집중·여성소비</x:v>
      </x:c>
      <x:c r="U1005" s="16" t="n">
        <x:v>57.44797201527986</x:v>
      </x:c>
      <x:c r="V1005" t="str">
        <x:v>미용실</x:v>
      </x:c>
      <x:c r="W1005" t="str">
        <x:v>미용실 / 육류판매 / 일반의류</x:v>
      </x:c>
      <x:c r="X1005" s="16" t="n">
        <x:v>54.05685413910764</x:v>
      </x:c>
    </x:row>
    <x:row r="1006">
      <x:c r="A1006" t="str">
        <x:v>3110949</x:v>
      </x:c>
      <x:c r="B1006" t="str">
        <x:v>한남IC</x:v>
      </x:c>
      <x:c r="C1006" t="str">
        <x:v>골목상권</x:v>
      </x:c>
      <x:c r="D1006" t="str">
        <x:v>강남구</x:v>
      </x:c>
      <x:c r="E1006" t="str">
        <x:v>신사동</x:v>
      </x:c>
      <x:c r="F1006" s="12" t="n">
        <x:v>62126</x:v>
      </x:c>
      <x:c r="G1006" s="12" t="n">
        <x:v>1754241479</x:v>
      </x:c>
      <x:c r="H1006" s="12" t="n">
        <x:v>38427</x:v>
      </x:c>
      <x:c r="I1006" s="12" t="n">
        <x:v>45651.27329742108</x:v>
      </x:c>
      <x:c r="J1006" s="12" t="n">
        <x:v>28236.83287190548</x:v>
      </x:c>
      <x:c r="K1006" s="12" t="n">
        <x:v>1630</x:v>
      </x:c>
      <x:c r="L1006" s="12" t="n">
        <x:v>262.37002221292215</x:v>
      </x:c>
      <x:c r="M1006" s="12" t="n">
        <x:v>5</x:v>
      </x:c>
      <x:c r="N1006" s="14" t="n">
        <x:v>0.724730492477427</x:v>
      </x:c>
      <x:c r="O1006" s="14" t="n">
        <x:v>0.27526950752257295</x:v>
      </x:c>
      <x:c r="P1006" s="14" t="n">
        <x:v>0.5508019110064607</x:v>
      </x:c>
      <x:c r="Q1006" s="14" t="n">
        <x:v>0.23493905595878342</x:v>
      </x:c>
      <x:c r="R1006" s="14" t="n">
        <x:v>0.4121925571000593</x:v>
      </x:c>
      <x:c r="S1006" s="14" t="n">
        <x:v>0.2798330793545214</x:v>
      </x:c>
      <x:c r="T1006" t="str">
        <x:v>2030소비·야간활성</x:v>
      </x:c>
      <x:c r="U1006" s="16" t="n">
        <x:v>52.30891974340963</x:v>
      </x:c>
      <x:c r="V1006" t="str">
        <x:v>일반의류</x:v>
      </x:c>
      <x:c r="W1006" t="str">
        <x:v>일반의류 / 한식음식점 / 커피-음료</x:v>
      </x:c>
      <x:c r="X1006" s="16" t="n">
        <x:v>49.75330639866479</x:v>
      </x:c>
    </x:row>
    <x:row r="1007">
      <x:c r="A1007" t="str">
        <x:v>3130141</x:v>
      </x:c>
      <x:c r="B1007" t="str">
        <x:v>강북북부골목시장</x:v>
      </x:c>
      <x:c r="C1007" t="str">
        <x:v>전통시장</x:v>
      </x:c>
      <x:c r="D1007" t="str">
        <x:v>강북구</x:v>
      </x:c>
      <x:c r="E1007" t="str">
        <x:v>번1동</x:v>
      </x:c>
      <x:c r="F1007" s="12" t="n">
        <x:v>30294</x:v>
      </x:c>
      <x:c r="G1007" s="12" t="n">
        <x:v>1749939860</x:v>
      </x:c>
      <x:c r="H1007" s="12" t="n">
        <x:v>49826</x:v>
      </x:c>
      <x:c r="I1007" s="12" t="n">
        <x:v>35121.01834383655</x:v>
      </x:c>
      <x:c r="J1007" s="12" t="n">
        <x:v>57765.229418366675</x:v>
      </x:c>
      <x:c r="K1007" s="12" t="n">
        <x:v>43</x:v>
      </x:c>
      <x:c r="L1007" s="12" t="n">
        <x:v>14.194229880504391</x:v>
      </x:c>
      <x:c r="M1007" s="12" t="n">
        <x:v>7</x:v>
      </x:c>
      <x:c r="N1007" s="14" t="n">
        <x:v>0.7752576268535308</x:v>
      </x:c>
      <x:c r="O1007" s="14" t="n">
        <x:v>0.22474237314646917</x:v>
      </x:c>
      <x:c r="P1007" s="14" t="n">
        <x:v>0.48632809301229357</x:v>
      </x:c>
      <x:c r="Q1007" s="14" t="n">
        <x:v>0.12443856213435815</x:v>
      </x:c>
      <x:c r="R1007" s="14" t="n">
        <x:v>0.11998729716345795</x:v>
      </x:c>
      <x:c r="S1007" s="14" t="n">
        <x:v>0.495592002801742</x:v>
      </x:c>
      <x:c r="T1007" t="str">
        <x:v>야간활성·여성소비</x:v>
      </x:c>
      <x:c r="U1007" s="16" t="n">
        <x:v>63.46359131877825</x:v>
      </x:c>
      <x:c r="V1007" t="str">
        <x:v>청과상</x:v>
      </x:c>
      <x:c r="W1007" t="str">
        <x:v>청과상 / 육류판매 / 호프-간이주점</x:v>
      </x:c>
      <x:c r="X1007" s="16" t="n">
        <x:v>52.475498724181605</x:v>
      </x:c>
    </x:row>
    <x:row r="1008">
      <x:c r="A1008" t="str">
        <x:v>3110426</x:v>
      </x:c>
      <x:c r="B1008" t="str">
        <x:v>상계2동주민센터</x:v>
      </x:c>
      <x:c r="C1008" t="str">
        <x:v>골목상권</x:v>
      </x:c>
      <x:c r="D1008" t="str">
        <x:v>노원구</x:v>
      </x:c>
      <x:c r="E1008" t="str">
        <x:v>상계2동</x:v>
      </x:c>
      <x:c r="F1008" s="12" t="n">
        <x:v>130017</x:v>
      </x:c>
      <x:c r="G1008" s="12" t="n">
        <x:v>1747909502</x:v>
      </x:c>
      <x:c r="H1008" s="12" t="n">
        <x:v>51943</x:v>
      </x:c>
      <x:c r="I1008" s="12" t="n">
        <x:v>33650.53042758408</x:v>
      </x:c>
      <x:c r="J1008" s="12" t="n">
        <x:v>13443.699685425752</x:v>
      </x:c>
      <x:c r="K1008" s="12" t="n">
        <x:v>222</x:v>
      </x:c>
      <x:c r="L1008" s="12" t="n">
        <x:v>17.07469023281571</x:v>
      </x:c>
      <x:c r="M1008" s="12" t="n">
        <x:v>13</x:v>
      </x:c>
      <x:c r="N1008" s="14" t="n">
        <x:v>0.679376886870428</x:v>
      </x:c>
      <x:c r="O1008" s="14" t="n">
        <x:v>0.3206231131295721</x:v>
      </x:c>
      <x:c r="P1008" s="14" t="n">
        <x:v>0.40721206800785503</x:v>
      </x:c>
      <x:c r="Q1008" s="14" t="n">
        <x:v>0.2678787622953262</x:v>
      </x:c>
      <x:c r="R1008" s="14" t="n">
        <x:v>0.15893568785004522</x:v>
      </x:c>
      <x:c r="S1008" s="14" t="n">
        <x:v>0.3667198429132403</x:v>
      </x:c>
      <x:c r="T1008" t="str">
        <x:v>균형형</x:v>
      </x:c>
      <x:c r="U1008" s="16" t="n">
        <x:v>57.858263532193966</x:v>
      </x:c>
      <x:c r="V1008" t="str">
        <x:v>전자상거래업</x:v>
      </x:c>
      <x:c r="W1008" t="str">
        <x:v>전자상거래업 / 육류판매 / 미용실</x:v>
      </x:c>
      <x:c r="X1008" s="16" t="n">
        <x:v>44.681834895087555</x:v>
      </x:c>
    </x:row>
    <x:row r="1009">
      <x:c r="A1009" t="str">
        <x:v>3110605</x:v>
      </x:c>
      <x:c r="B1009" t="str">
        <x:v>목동센트럴아이파크앞</x:v>
      </x:c>
      <x:c r="C1009" t="str">
        <x:v>골목상권</x:v>
      </x:c>
      <x:c r="D1009" t="str">
        <x:v>양천구</x:v>
      </x:c>
      <x:c r="E1009" t="str">
        <x:v>신월6동</x:v>
      </x:c>
      <x:c r="F1009" s="12" t="n">
        <x:v>38129</x:v>
      </x:c>
      <x:c r="G1009" s="12" t="n">
        <x:v>1743890086</x:v>
      </x:c>
      <x:c r="H1009" s="12" t="n">
        <x:v>37768</x:v>
      </x:c>
      <x:c r="I1009" s="12" t="n">
        <x:v>46173.747246346116</x:v>
      </x:c>
      <x:c r="J1009" s="12" t="n">
        <x:v>45736.58071284324</x:v>
      </x:c>
      <x:c r="K1009" s="12" t="n">
        <x:v>230</x:v>
      </x:c>
      <x:c r="L1009" s="12" t="n">
        <x:v>60.321540035143855</x:v>
      </x:c>
      <x:c r="M1009" s="12" t="n">
        <x:v>7</x:v>
      </x:c>
      <x:c r="N1009" s="14" t="n">
        <x:v>0.723419245357187</x:v>
      </x:c>
      <x:c r="O1009" s="14" t="n">
        <x:v>0.27658075464281295</x:v>
      </x:c>
      <x:c r="P1009" s="14" t="n">
        <x:v>0.5133842810320329</x:v>
      </x:c>
      <x:c r="Q1009" s="14" t="n">
        <x:v>0.2341285183497511</x:v>
      </x:c>
      <x:c r="R1009" s="14" t="n">
        <x:v>0.15010408918627227</x:v>
      </x:c>
      <x:c r="S1009" s="14" t="n">
        <x:v>0.4568539831701297</x:v>
      </x:c>
      <x:c r="T1009" t="str">
        <x:v>야간활성·여성소비</x:v>
      </x:c>
      <x:c r="U1009" s="16" t="n">
        <x:v>63.27811266893811</x:v>
      </x:c>
      <x:c r="V1009" t="str">
        <x:v>한식음식점</x:v>
      </x:c>
      <x:c r="W1009" t="str">
        <x:v>한식음식점 / 일반의류 / 일반교습학원</x:v>
      </x:c>
      <x:c r="X1009" s="16" t="n">
        <x:v>55.18717397063051</x:v>
      </x:c>
    </x:row>
    <x:row r="1010">
      <x:c r="A1010" t="str">
        <x:v>3110747</x:v>
      </x:c>
      <x:c r="B1010" t="str">
        <x:v>석수역 1번 출입구</x:v>
      </x:c>
      <x:c r="C1010" t="str">
        <x:v>골목상권</x:v>
      </x:c>
      <x:c r="D1010" t="str">
        <x:v>금천구</x:v>
      </x:c>
      <x:c r="E1010" t="str">
        <x:v>시흥3동</x:v>
      </x:c>
      <x:c r="F1010" s="12" t="n">
        <x:v>72218</x:v>
      </x:c>
      <x:c r="G1010" s="12" t="n">
        <x:v>1743874386</x:v>
      </x:c>
      <x:c r="H1010" s="12" t="n">
        <x:v>38758</x:v>
      </x:c>
      <x:c r="I1010" s="12" t="n">
        <x:v>44993.92089375097</x:v>
      </x:c>
      <x:c r="J1010" s="12" t="n">
        <x:v>24147.364729014927</x:v>
      </x:c>
      <x:c r="K1010" s="12" t="n">
        <x:v>595</x:v>
      </x:c>
      <x:c r="L1010" s="12" t="n">
        <x:v>82.38943199756294</x:v>
      </x:c>
      <x:c r="M1010" s="12" t="n">
        <x:v>9</x:v>
      </x:c>
      <x:c r="N1010" s="14" t="n">
        <x:v>0.7232156479417434</x:v>
      </x:c>
      <x:c r="O1010" s="14" t="n">
        <x:v>0.2767843520582566</x:v>
      </x:c>
      <x:c r="P1010" s="14" t="n">
        <x:v>0.5871808532888216</x:v>
      </x:c>
      <x:c r="Q1010" s="14" t="n">
        <x:v>0.18599540345562482</x:v>
      </x:c>
      <x:c r="R1010" s="14" t="n">
        <x:v>0.19762877691581623</x:v>
      </x:c>
      <x:c r="S1010" s="14" t="n">
        <x:v>0.24324833336935084</x:v>
      </x:c>
      <x:c r="T1010" t="str">
        <x:v>야간활성</x:v>
      </x:c>
      <x:c r="U1010" s="16" t="n">
        <x:v>61.26313012308843</x:v>
      </x:c>
      <x:c r="V1010" t="str">
        <x:v>미용실</x:v>
      </x:c>
      <x:c r="W1010" t="str">
        <x:v>미용실 / 한식음식점 / 분식전문점</x:v>
      </x:c>
      <x:c r="X1010" s="16" t="n">
        <x:v>56.56496107139924</x:v>
      </x:c>
    </x:row>
    <x:row r="1011">
      <x:c r="A1011" t="str">
        <x:v>3110521</x:v>
      </x:c>
      <x:c r="B1011" t="str">
        <x:v>홍제역 4번</x:v>
      </x:c>
      <x:c r="C1011" t="str">
        <x:v>골목상권</x:v>
      </x:c>
      <x:c r="D1011" t="str">
        <x:v>서대문구</x:v>
      </x:c>
      <x:c r="E1011" t="str">
        <x:v>홍제1동</x:v>
      </x:c>
      <x:c r="F1011" s="12" t="n">
        <x:v>30428</x:v>
      </x:c>
      <x:c r="G1011" s="12" t="n">
        <x:v>1737313630</x:v>
      </x:c>
      <x:c r="H1011" s="12" t="n">
        <x:v>41431</x:v>
      </x:c>
      <x:c r="I1011" s="12" t="n">
        <x:v>41932.69846250392</x:v>
      </x:c>
      <x:c r="J1011" s="12" t="n">
        <x:v>57095.88635467333</x:v>
      </x:c>
      <x:c r="K1011" s="12" t="n">
        <x:v>210</x:v>
      </x:c>
      <x:c r="L1011" s="12" t="n">
        <x:v>69.01538057052714</x:v>
      </x:c>
      <x:c r="M1011" s="12" t="n">
        <x:v>5</x:v>
      </x:c>
      <x:c r="N1011" s="14" t="n">
        <x:v>0.6391734444632199</x:v>
      </x:c>
      <x:c r="O1011" s="14" t="n">
        <x:v>0.36082655553678006</x:v>
      </x:c>
      <x:c r="P1011" s="14" t="n">
        <x:v>0.7937056788071133</x:v>
      </x:c>
      <x:c r="Q1011" s="14" t="n">
        <x:v>0.07928050849402477</x:v>
      </x:c>
      <x:c r="R1011" s="14" t="n">
        <x:v>0.34122942499449566</x:v>
      </x:c>
      <x:c r="S1011" s="14" t="n">
        <x:v>0.3640827361723974</x:v>
      </x:c>
      <x:c r="T1011" t="str">
        <x:v>야간활성·2030소비</x:v>
      </x:c>
      <x:c r="U1011" s="16" t="n">
        <x:v>67.84530406242109</x:v>
      </x:c>
      <x:c r="V1011" t="str">
        <x:v>한식음식점</x:v>
      </x:c>
      <x:c r="W1011" t="str">
        <x:v>한식음식점 / 일반의류 / 커피-음료</x:v>
      </x:c>
      <x:c r="X1011" s="16" t="n">
        <x:v>50.48798469734769</x:v>
      </x:c>
    </x:row>
    <x:row r="1012">
      <x:c r="A1012" t="str">
        <x:v>3110641</x:v>
      </x:c>
      <x:c r="B1012" t="str">
        <x:v>공항고등학교</x:v>
      </x:c>
      <x:c r="C1012" t="str">
        <x:v>골목상권</x:v>
      </x:c>
      <x:c r="D1012" t="str">
        <x:v>강서구</x:v>
      </x:c>
      <x:c r="E1012" t="str">
        <x:v>방화1동</x:v>
      </x:c>
      <x:c r="F1012" s="12" t="n">
        <x:v>67482</x:v>
      </x:c>
      <x:c r="G1012" s="12" t="n">
        <x:v>1726236325</x:v>
      </x:c>
      <x:c r="H1012" s="12" t="n">
        <x:v>54208</x:v>
      </x:c>
      <x:c r="I1012" s="12" t="n">
        <x:v>31844.678368506495</x:v>
      </x:c>
      <x:c r="J1012" s="12" t="n">
        <x:v>25580.692999614712</x:v>
      </x:c>
      <x:c r="K1012" s="12" t="n">
        <x:v>496</x:v>
      </x:c>
      <x:c r="L1012" s="12" t="n">
        <x:v>73.50108176995346</x:v>
      </x:c>
      <x:c r="M1012" s="12" t="n">
        <x:v>8</x:v>
      </x:c>
      <x:c r="N1012" s="14" t="n">
        <x:v>0.7842181759209591</x:v>
      </x:c>
      <x:c r="O1012" s="14" t="n">
        <x:v>0.21578182407904087</x:v>
      </x:c>
      <x:c r="P1012" s="14" t="n">
        <x:v>0.3184940491852991</x:v>
      </x:c>
      <x:c r="Q1012" s="14" t="n">
        <x:v>0.2718547977490857</x:v>
      </x:c>
      <x:c r="R1012" s="14" t="n">
        <x:v>0.21861192846813718</x:v>
      </x:c>
      <x:c r="S1012" s="14" t="n">
        <x:v>0.27697099758342764</x:v>
      </x:c>
      <x:c r="T1012" t="str">
        <x:v>평일집중</x:v>
      </x:c>
      <x:c r="U1012" s="16" t="n">
        <x:v>65.43719879225225</x:v>
      </x:c>
      <x:c r="V1012" t="str">
        <x:v>자동차수리</x:v>
      </x:c>
      <x:c r="W1012" t="str">
        <x:v>자동차수리 / 당구장 / 한식음식점</x:v>
      </x:c>
      <x:c r="X1012" s="16" t="n">
        <x:v>52.0858031948301</x:v>
      </x:c>
    </x:row>
    <x:row r="1013">
      <x:c r="A1013" t="str">
        <x:v>3110831</x:v>
      </x:c>
      <x:c r="B1013" t="str">
        <x:v>상도4동주민센터</x:v>
      </x:c>
      <x:c r="C1013" t="str">
        <x:v>골목상권</x:v>
      </x:c>
      <x:c r="D1013" t="str">
        <x:v>동작구</x:v>
      </x:c>
      <x:c r="E1013" t="str">
        <x:v>상도4동</x:v>
      </x:c>
      <x:c r="F1013" s="12" t="n">
        <x:v>56494</x:v>
      </x:c>
      <x:c r="G1013" s="12" t="n">
        <x:v>1725096771</x:v>
      </x:c>
      <x:c r="H1013" s="12" t="n">
        <x:v>98962</x:v>
      </x:c>
      <x:c r="I1013" s="12" t="n">
        <x:v>17431.910945615487</x:v>
      </x:c>
      <x:c r="J1013" s="12" t="n">
        <x:v>30535.928965907882</x:v>
      </x:c>
      <x:c r="K1013" s="12" t="n">
        <x:v>196</x:v>
      </x:c>
      <x:c r="L1013" s="12" t="n">
        <x:v>34.69394979997876</x:v>
      </x:c>
      <x:c r="M1013" s="12" t="n">
        <x:v>7</x:v>
      </x:c>
      <x:c r="N1013" s="14" t="n">
        <x:v>0.8016777830952186</x:v>
      </x:c>
      <x:c r="O1013" s="14" t="n">
        <x:v>0.19832221690478138</x:v>
      </x:c>
      <x:c r="P1013" s="14" t="n">
        <x:v>0.39335640319275744</x:v>
      </x:c>
      <x:c r="Q1013" s="14" t="n">
        <x:v>0.22100248948874765</x:v>
      </x:c>
      <x:c r="R1013" s="14" t="n">
        <x:v>0.21511834943896024</x:v>
      </x:c>
      <x:c r="S1013" s="14" t="n">
        <x:v>0.4462881149291769</x:v>
      </x:c>
      <x:c r="T1013" t="str">
        <x:v>평일집중·여성소비</x:v>
      </x:c>
      <x:c r="U1013" s="16" t="n">
        <x:v>56.02492458691283</x:v>
      </x:c>
      <x:c r="V1013" t="str">
        <x:v>일반교습학원</x:v>
      </x:c>
      <x:c r="W1013" t="str">
        <x:v>일반교습학원 / 한식음식점 / 예술학원</x:v>
      </x:c>
      <x:c r="X1013" s="16" t="n">
        <x:v>52.9183693302164</x:v>
      </x:c>
    </x:row>
    <x:row r="1014">
      <x:c r="A1014" t="str">
        <x:v>3110169</x:v>
      </x:c>
      <x:c r="B1014" t="str">
        <x:v>성동초등학교</x:v>
      </x:c>
      <x:c r="C1014" t="str">
        <x:v>골목상권</x:v>
      </x:c>
      <x:c r="D1014" t="str">
        <x:v>광진구</x:v>
      </x:c>
      <x:c r="E1014" t="str">
        <x:v>자양2동</x:v>
      </x:c>
      <x:c r="F1014" s="12" t="n">
        <x:v>75500</x:v>
      </x:c>
      <x:c r="G1014" s="12" t="n">
        <x:v>1722912494</x:v>
      </x:c>
      <x:c r="H1014" s="12" t="n">
        <x:v>108119</x:v>
      </x:c>
      <x:c r="I1014" s="12" t="n">
        <x:v>15935.335084490238</x:v>
      </x:c>
      <x:c r="J1014" s="12" t="n">
        <x:v>22820.033033112584</x:v>
      </x:c>
      <x:c r="K1014" s="12" t="n">
        <x:v>603</x:v>
      </x:c>
      <x:c r="L1014" s="12" t="n">
        <x:v>79.86754966887418</x:v>
      </x:c>
      <x:c r="M1014" s="12" t="n">
        <x:v>9</x:v>
      </x:c>
      <x:c r="N1014" s="14" t="n">
        <x:v>0.7724479337370224</x:v>
      </x:c>
      <x:c r="O1014" s="14" t="n">
        <x:v>0.2275520662629776</x:v>
      </x:c>
      <x:c r="P1014" s="14" t="n">
        <x:v>0.31113067893278623</x:v>
      </x:c>
      <x:c r="Q1014" s="14" t="n">
        <x:v>0.27394505562161187</x:v>
      </x:c>
      <x:c r="R1014" s="14" t="n">
        <x:v>0.23187832138386014</x:v>
      </x:c>
      <x:c r="S1014" s="14" t="n">
        <x:v>0.4767818051472091</x:v>
      </x:c>
      <x:c r="T1014" t="str">
        <x:v>여성소비·평일집중</x:v>
      </x:c>
      <x:c r="U1014" s="16" t="n">
        <x:v>57.096161048279846</x:v>
      </x:c>
      <x:c r="V1014" t="str">
        <x:v>일반의류</x:v>
      </x:c>
      <x:c r="W1014" t="str">
        <x:v>일반의류 / 예술학원 / 일반의원</x:v>
      </x:c>
      <x:c r="X1014" s="16" t="n">
        <x:v>50.18924707229955</x:v>
      </x:c>
    </x:row>
    <x:row r="1015">
      <x:c r="A1015" t="str">
        <x:v>3110538</x:v>
      </x:c>
      <x:c r="B1015" t="str">
        <x:v>충정로역 3번</x:v>
      </x:c>
      <x:c r="C1015" t="str">
        <x:v>골목상권</x:v>
      </x:c>
      <x:c r="D1015" t="str">
        <x:v>서대문구</x:v>
      </x:c>
      <x:c r="E1015" t="str">
        <x:v>충현동</x:v>
      </x:c>
      <x:c r="F1015" s="12" t="n">
        <x:v>16657</x:v>
      </x:c>
      <x:c r="G1015" s="12" t="n">
        <x:v>1718643705</x:v>
      </x:c>
      <x:c r="H1015" s="12" t="n">
        <x:v>73797</x:v>
      </x:c>
      <x:c r="I1015" s="12" t="n">
        <x:v>23288.801780560185</x:v>
      </x:c>
      <x:c r="J1015" s="12" t="n">
        <x:v>103178.4658101699</x:v>
      </x:c>
      <x:c r="K1015" s="12" t="n">
        <x:v>429</x:v>
      </x:c>
      <x:c r="L1015" s="12" t="n">
        <x:v>257.549378639611</x:v>
      </x:c>
      <x:c r="M1015" s="12" t="n">
        <x:v>5</x:v>
      </x:c>
      <x:c r="N1015" s="14" t="n">
        <x:v>0.912847212273122</x:v>
      </x:c>
      <x:c r="O1015" s="14" t="n">
        <x:v>0.08715278772687793</x:v>
      </x:c>
      <x:c r="P1015" s="14" t="n">
        <x:v>0.46027512549496113</x:v>
      </x:c>
      <x:c r="Q1015" s="14" t="n">
        <x:v>0.38337238491208975</x:v>
      </x:c>
      <x:c r="R1015" s="14" t="n">
        <x:v>0.2839217428140523</x:v>
      </x:c>
      <x:c r="S1015" s="14" t="n">
        <x:v>0.3093571671971417</x:v>
      </x:c>
      <x:c r="T1015" t="str">
        <x:v>평일집중·직장밀집</x:v>
      </x:c>
      <x:c r="U1015" s="16" t="n">
        <x:v>59.72435805360538</x:v>
      </x:c>
      <x:c r="V1015" t="str">
        <x:v>제과점</x:v>
      </x:c>
      <x:c r="W1015" t="str">
        <x:v>제과점 / 한식음식점 / 양식음식점</x:v>
      </x:c>
      <x:c r="X1015" s="16" t="n">
        <x:v>43.78062444358081</x:v>
      </x:c>
    </x:row>
    <x:row r="1016">
      <x:c r="A1016" t="str">
        <x:v>3130016</x:v>
      </x:c>
      <x:c r="B1016" t="str">
        <x:v>동대문상가B동</x:v>
      </x:c>
      <x:c r="C1016" t="str">
        <x:v>전통시장</x:v>
      </x:c>
      <x:c r="D1016" t="str">
        <x:v>종로구</x:v>
      </x:c>
      <x:c r="E1016" t="str">
        <x:v>창신1동</x:v>
      </x:c>
      <x:c r="F1016" s="12" t="n">
        <x:v>4841</x:v>
      </x:c>
      <x:c r="G1016" s="12" t="n">
        <x:v>1718235070</x:v>
      </x:c>
      <x:c r="H1016" s="12" t="n">
        <x:v>37627</x:v>
      </x:c>
      <x:c r="I1016" s="12" t="n">
        <x:v>45664.94990299519</x:v>
      </x:c>
      <x:c r="J1016" s="12" t="n">
        <x:v>354933.9124147903</x:v>
      </x:c>
      <x:c r="K1016" s="12"/>
      <x:c r="L1016" s="12"/>
      <x:c r="M1016" s="12" t="n">
        <x:v>1</x:v>
      </x:c>
      <x:c r="N1016" s="14" t="n">
        <x:v>0.7562021435169519</x:v>
      </x:c>
      <x:c r="O1016" s="14" t="n">
        <x:v>0.24379785648304803</x:v>
      </x:c>
      <x:c r="P1016" s="14" t="n">
        <x:v>0.07350689099833121</x:v>
      </x:c>
      <x:c r="Q1016" s="14" t="n">
        <x:v>0.22833078072373414</x:v>
      </x:c>
      <x:c r="R1016" s="14" t="n">
        <x:v>0.4171516089471972</x:v>
      </x:c>
      <x:c r="S1016" s="14" t="n">
        <x:v>0.48116385844691206</x:v>
      </x:c>
      <x:c r="T1016" t="str">
        <x:v>고매출밀도·2030소비</x:v>
      </x:c>
      <x:c r="U1016" s="16" t="n">
        <x:v>56.23818416181914</x:v>
      </x:c>
      <x:c r="V1016" t="str">
        <x:v>신발</x:v>
      </x:c>
      <x:c r="W1016" t="str">
        <x:v>신발</x:v>
      </x:c>
      <x:c r="X1016" s="16" t="n">
        <x:v>56.23818416181914</x:v>
      </x:c>
    </x:row>
    <x:row r="1017">
      <x:c r="A1017" t="str">
        <x:v>3110365</x:v>
      </x:c>
      <x:c r="B1017" t="str">
        <x:v>미아역 5번</x:v>
      </x:c>
      <x:c r="C1017" t="str">
        <x:v>골목상권</x:v>
      </x:c>
      <x:c r="D1017" t="str">
        <x:v>강북구</x:v>
      </x:c>
      <x:c r="E1017" t="str">
        <x:v>미아동</x:v>
      </x:c>
      <x:c r="F1017" s="12" t="n">
        <x:v>115228</x:v>
      </x:c>
      <x:c r="G1017" s="12" t="n">
        <x:v>1717499736</x:v>
      </x:c>
      <x:c r="H1017" s="12" t="n">
        <x:v>111278</x:v>
      </x:c>
      <x:c r="I1017" s="12" t="n">
        <x:v>15434.315282445767</x:v>
      </x:c>
      <x:c r="J1017" s="12" t="n">
        <x:v>14905.229076266185</x:v>
      </x:c>
      <x:c r="K1017" s="12" t="n">
        <x:v>35</x:v>
      </x:c>
      <x:c r="L1017" s="12" t="n">
        <x:v>3.037456173846634</x:v>
      </x:c>
      <x:c r="M1017" s="12" t="n">
        <x:v>11</x:v>
      </x:c>
      <x:c r="N1017" s="14" t="n">
        <x:v>0.7258351764893662</x:v>
      </x:c>
      <x:c r="O1017" s="14" t="n">
        <x:v>0.2741648235106337</x:v>
      </x:c>
      <x:c r="P1017" s="14" t="n">
        <x:v>0.5758189024839536</x:v>
      </x:c>
      <x:c r="Q1017" s="14" t="n">
        <x:v>0.17572025524899412</x:v>
      </x:c>
      <x:c r="R1017" s="14" t="n">
        <x:v>0.27917314393112663</x:v>
      </x:c>
      <x:c r="S1017" s="14" t="n">
        <x:v>0.35609706783675454</x:v>
      </x:c>
      <x:c r="T1017" t="str">
        <x:v>야간활성·2030소비</x:v>
      </x:c>
      <x:c r="U1017" s="16" t="n">
        <x:v>51.15217177385572</x:v>
      </x:c>
      <x:c r="V1017" t="str">
        <x:v>일반의류</x:v>
      </x:c>
      <x:c r="W1017" t="str">
        <x:v>일반의류 / 분식전문점 / 섬유제품</x:v>
      </x:c>
      <x:c r="X1017" s="16" t="n">
        <x:v>44.120531011476416</x:v>
      </x:c>
    </x:row>
    <x:row r="1018">
      <x:c r="A1018" t="str">
        <x:v>3110423</x:v>
      </x:c>
      <x:c r="B1018" t="str">
        <x:v>석계역 2번</x:v>
      </x:c>
      <x:c r="C1018" t="str">
        <x:v>골목상권</x:v>
      </x:c>
      <x:c r="D1018" t="str">
        <x:v>노원구</x:v>
      </x:c>
      <x:c r="E1018" t="str">
        <x:v>월계1동</x:v>
      </x:c>
      <x:c r="F1018" s="12" t="n">
        <x:v>58165</x:v>
      </x:c>
      <x:c r="G1018" s="12" t="n">
        <x:v>1716989971</x:v>
      </x:c>
      <x:c r="H1018" s="12" t="n">
        <x:v>67630</x:v>
      </x:c>
      <x:c r="I1018" s="12" t="n">
        <x:v>25387.99306520775</x:v>
      </x:c>
      <x:c r="J1018" s="12" t="n">
        <x:v>29519.298048654688</x:v>
      </x:c>
      <x:c r="K1018" s="12" t="n">
        <x:v>249</x:v>
      </x:c>
      <x:c r="L1018" s="12" t="n">
        <x:v>42.809249548697665</x:v>
      </x:c>
      <x:c r="M1018" s="12" t="n">
        <x:v>10</x:v>
      </x:c>
      <x:c r="N1018" s="14" t="n">
        <x:v>0.6645949995476124</x:v>
      </x:c>
      <x:c r="O1018" s="14" t="n">
        <x:v>0.33540500045238764</x:v>
      </x:c>
      <x:c r="P1018" s="14" t="n">
        <x:v>0.6417015128855403</x:v>
      </x:c>
      <x:c r="Q1018" s="14" t="n">
        <x:v>0.10854725487502571</x:v>
      </x:c>
      <x:c r="R1018" s="14" t="n">
        <x:v>0.3305567455757725</x:v>
      </x:c>
      <x:c r="S1018" s="14" t="n">
        <x:v>0.30005348295654083</x:v>
      </x:c>
      <x:c r="T1018" t="str">
        <x:v>야간활성·2030소비</x:v>
      </x:c>
      <x:c r="U1018" s="16" t="n">
        <x:v>58.122958543613706</x:v>
      </x:c>
      <x:c r="V1018" t="str">
        <x:v>호프-간이주점</x:v>
      </x:c>
      <x:c r="W1018" t="str">
        <x:v>호프-간이주점 / 여관 / 치킨전문점</x:v>
      </x:c>
      <x:c r="X1018" s="16" t="n">
        <x:v>52.016611071604416</x:v>
      </x:c>
    </x:row>
    <x:row r="1019">
      <x:c r="A1019" t="str">
        <x:v>3110021</x:v>
      </x:c>
      <x:c r="B1019" t="str">
        <x:v>성균관대학교</x:v>
      </x:c>
      <x:c r="C1019" t="str">
        <x:v>골목상권</x:v>
      </x:c>
      <x:c r="D1019" t="str">
        <x:v>종로구</x:v>
      </x:c>
      <x:c r="E1019" t="str">
        <x:v>혜화동</x:v>
      </x:c>
      <x:c r="F1019" s="12" t="n">
        <x:v>77655</x:v>
      </x:c>
      <x:c r="G1019" s="12" t="n">
        <x:v>1708012213</x:v>
      </x:c>
      <x:c r="H1019" s="12" t="n">
        <x:v>81277</x:v>
      </x:c>
      <x:c r="I1019" s="12" t="n">
        <x:v>21014.705427119603</x:v>
      </x:c>
      <x:c r="J1019" s="12" t="n">
        <x:v>21994.877509497135</x:v>
      </x:c>
      <x:c r="K1019" s="12" t="n">
        <x:v>669</x:v>
      </x:c>
      <x:c r="L1019" s="12" t="n">
        <x:v>86.15028008499131</x:v>
      </x:c>
      <x:c r="M1019" s="12" t="n">
        <x:v>9</x:v>
      </x:c>
      <x:c r="N1019" s="14" t="n">
        <x:v>0.6642473984464419</x:v>
      </x:c>
      <x:c r="O1019" s="14" t="n">
        <x:v>0.33575260155355807</x:v>
      </x:c>
      <x:c r="P1019" s="14" t="n">
        <x:v>0.49181979707542056</x:v>
      </x:c>
      <x:c r="Q1019" s="14" t="n">
        <x:v>0.2668175815906768</x:v>
      </x:c>
      <x:c r="R1019" s="14" t="n">
        <x:v>0.47906697257322245</x:v>
      </x:c>
      <x:c r="S1019" s="14" t="n">
        <x:v>0.41916481366518193</x:v>
      </x:c>
      <x:c r="T1019" t="str">
        <x:v>2030소비·야간활성</x:v>
      </x:c>
      <x:c r="U1019" s="16" t="n">
        <x:v>54.29038043240188</x:v>
      </x:c>
      <x:c r="V1019" t="str">
        <x:v>세탁소</x:v>
      </x:c>
      <x:c r="W1019" t="str">
        <x:v>세탁소 / 당구장 / 패스트푸드점</x:v>
      </x:c>
      <x:c r="X1019" s="16" t="n">
        <x:v>46.58412669437901</x:v>
      </x:c>
    </x:row>
    <x:row r="1020">
      <x:c r="A1020" t="str">
        <x:v>3110489</x:v>
      </x:c>
      <x:c r="B1020" t="str">
        <x:v>불광역 3번</x:v>
      </x:c>
      <x:c r="C1020" t="str">
        <x:v>골목상권</x:v>
      </x:c>
      <x:c r="D1020" t="str">
        <x:v>은평구</x:v>
      </x:c>
      <x:c r="E1020" t="str">
        <x:v>녹번동</x:v>
      </x:c>
      <x:c r="F1020" s="12" t="n">
        <x:v>31324</x:v>
      </x:c>
      <x:c r="G1020" s="12" t="n">
        <x:v>1707532415</x:v>
      </x:c>
      <x:c r="H1020" s="12" t="n">
        <x:v>34133</x:v>
      </x:c>
      <x:c r="I1020" s="12" t="n">
        <x:v>50025.852254416546</x:v>
      </x:c>
      <x:c r="J1020" s="12" t="n">
        <x:v>54511.95297535436</x:v>
      </x:c>
      <x:c r="K1020" s="12" t="n">
        <x:v>92</x:v>
      </x:c>
      <x:c r="L1020" s="12" t="n">
        <x:v>29.370450772570553</x:v>
      </x:c>
      <x:c r="M1020" s="12" t="n">
        <x:v>4</x:v>
      </x:c>
      <x:c r="N1020" s="14" t="n">
        <x:v>0.6539087534686714</x:v>
      </x:c>
      <x:c r="O1020" s="14" t="n">
        <x:v>0.34609124653132867</x:v>
      </x:c>
      <x:c r="P1020" s="14" t="n">
        <x:v>0.5805639027941968</x:v>
      </x:c>
      <x:c r="Q1020" s="14" t="n">
        <x:v>0.24283320618542986</x:v>
      </x:c>
      <x:c r="R1020" s="14" t="n">
        <x:v>0.22195581862497177</x:v>
      </x:c>
      <x:c r="S1020" s="14" t="n">
        <x:v>0.3555317062604636</x:v>
      </x:c>
      <x:c r="T1020" t="str">
        <x:v>야간활성</x:v>
      </x:c>
      <x:c r="U1020" s="16" t="n">
        <x:v>58.87974507838929</x:v>
      </x:c>
      <x:c r="V1020" t="str">
        <x:v>미용실</x:v>
      </x:c>
      <x:c r="W1020" t="str">
        <x:v>미용실 / 제과점 / 한식음식점</x:v>
      </x:c>
      <x:c r="X1020" s="16" t="n">
        <x:v>48.17643403130388</x:v>
      </x:c>
    </x:row>
    <x:row r="1021">
      <x:c r="A1021" t="str">
        <x:v>3130292</x:v>
      </x:c>
      <x:c r="B1021" t="str">
        <x:v>봉천현대시장</x:v>
      </x:c>
      <x:c r="C1021" t="str">
        <x:v>전통시장</x:v>
      </x:c>
      <x:c r="D1021" t="str">
        <x:v>관악구</x:v>
      </x:c>
      <x:c r="E1021" t="str">
        <x:v>은천동</x:v>
      </x:c>
      <x:c r="F1021" s="12" t="n">
        <x:v>5418</x:v>
      </x:c>
      <x:c r="G1021" s="12" t="n">
        <x:v>1704842954</x:v>
      </x:c>
      <x:c r="H1021" s="12" t="n">
        <x:v>52105</x:v>
      </x:c>
      <x:c r="I1021" s="12" t="n">
        <x:v>32719.373457441703</x:v>
      </x:c>
      <x:c r="J1021" s="12" t="n">
        <x:v>314662.78220745665</x:v>
      </x:c>
      <x:c r="K1021" s="12" t="n">
        <x:v>53</x:v>
      </x:c>
      <x:c r="L1021" s="12" t="n">
        <x:v>97.82207456626061</x:v>
      </x:c>
      <x:c r="M1021" s="12" t="n">
        <x:v>3</x:v>
      </x:c>
      <x:c r="N1021" s="14" t="n">
        <x:v>0.674073683622122</x:v>
      </x:c>
      <x:c r="O1021" s="14" t="n">
        <x:v>0.32592631637787794</x:v>
      </x:c>
      <x:c r="P1021" s="14" t="n">
        <x:v>0.43694491874000496</x:v>
      </x:c>
      <x:c r="Q1021" s="14" t="n">
        <x:v>0.23065247510182102</x:v>
      </x:c>
      <x:c r="R1021" s="14" t="n">
        <x:v>0.18402416496129648</x:v>
      </x:c>
      <x:c r="S1021" s="14" t="n">
        <x:v>0.4794457601400862</x:v>
      </x:c>
      <x:c r="T1021" t="str">
        <x:v>고매출밀도·여성소비</x:v>
      </x:c>
      <x:c r="U1021" s="16" t="n">
        <x:v>59.553264864814004</x:v>
      </x:c>
      <x:c r="V1021" t="str">
        <x:v>육류판매</x:v>
      </x:c>
      <x:c r="W1021" t="str">
        <x:v>육류판매 / 수산물판매 / 한식음식점</x:v>
      </x:c>
      <x:c r="X1021" s="16" t="n">
        <x:v>47.758028310762576</x:v>
      </x:c>
    </x:row>
    <x:row r="1022">
      <x:c r="A1022" t="str">
        <x:v>3110791</x:v>
      </x:c>
      <x:c r="B1022" t="str">
        <x:v>신풍역 3번</x:v>
      </x:c>
      <x:c r="C1022" t="str">
        <x:v>골목상권</x:v>
      </x:c>
      <x:c r="D1022" t="str">
        <x:v>영등포구</x:v>
      </x:c>
      <x:c r="E1022" t="str">
        <x:v>신길5동</x:v>
      </x:c>
      <x:c r="F1022" s="12" t="n">
        <x:v>21697</x:v>
      </x:c>
      <x:c r="G1022" s="12" t="n">
        <x:v>1702441617</x:v>
      </x:c>
      <x:c r="H1022" s="12" t="n">
        <x:v>20955</x:v>
      </x:c>
      <x:c r="I1022" s="12" t="n">
        <x:v>81242.7400143164</x:v>
      </x:c>
      <x:c r="J1022" s="12" t="n">
        <x:v>78464.37834723694</x:v>
      </x:c>
      <x:c r="K1022" s="12" t="n">
        <x:v>117</x:v>
      </x:c>
      <x:c r="L1022" s="12" t="n">
        <x:v>53.924505692031154</x:v>
      </x:c>
      <x:c r="M1022" s="12" t="n">
        <x:v>5</x:v>
      </x:c>
      <x:c r="N1022" s="14" t="n">
        <x:v>0.6788099717841896</x:v>
      </x:c>
      <x:c r="O1022" s="14" t="n">
        <x:v>0.32119002821581044</x:v>
      </x:c>
      <x:c r="P1022" s="14" t="n">
        <x:v>0.4373830183452335</x:v>
      </x:c>
      <x:c r="Q1022" s="14" t="n">
        <x:v>0.17215636299849688</x:v>
      </x:c>
      <x:c r="R1022" s="14" t="n">
        <x:v>0.25140183940886357</x:v>
      </x:c>
      <x:c r="S1022" s="14" t="n">
        <x:v>0.4362175945326412</x:v>
      </x:c>
      <x:c r="T1022" t="str">
        <x:v>야간활성·2030소비</x:v>
      </x:c>
      <x:c r="U1022" s="16" t="n">
        <x:v>82.28097132813582</x:v>
      </x:c>
      <x:c r="V1022" t="str">
        <x:v>예술학원</x:v>
      </x:c>
      <x:c r="W1022" t="str">
        <x:v>예술학원 / 한식음식점 / 커피-음료</x:v>
      </x:c>
      <x:c r="X1022" s="16" t="n">
        <x:v>54.36018371857758</x:v>
      </x:c>
    </x:row>
    <x:row r="1023">
      <x:c r="A1023" t="str">
        <x:v>3110030</x:v>
      </x:c>
      <x:c r="B1023" t="str">
        <x:v>동대문역 3번</x:v>
      </x:c>
      <x:c r="C1023" t="str">
        <x:v>골목상권</x:v>
      </x:c>
      <x:c r="D1023" t="str">
        <x:v>종로구</x:v>
      </x:c>
      <x:c r="E1023" t="str">
        <x:v>창신1동</x:v>
      </x:c>
      <x:c r="F1023" s="12" t="n">
        <x:v>9161</x:v>
      </x:c>
      <x:c r="G1023" s="12" t="n">
        <x:v>1701758318</x:v>
      </x:c>
      <x:c r="H1023" s="12" t="n">
        <x:v>34393</x:v>
      </x:c>
      <x:c r="I1023" s="12" t="n">
        <x:v>49479.78710784171</x:v>
      </x:c>
      <x:c r="J1023" s="12" t="n">
        <x:v>185761.1961576247</x:v>
      </x:c>
      <x:c r="K1023" s="12" t="n">
        <x:v>24</x:v>
      </x:c>
      <x:c r="L1023" s="12" t="n">
        <x:v>26.198013317323436</x:v>
      </x:c>
      <x:c r="M1023" s="12" t="n">
        <x:v>3</x:v>
      </x:c>
      <x:c r="N1023" s="14" t="n">
        <x:v>0.6710521523068589</x:v>
      </x:c>
      <x:c r="O1023" s="14" t="n">
        <x:v>0.3289478476931411</x:v>
      </x:c>
      <x:c r="P1023" s="14" t="n">
        <x:v>0.6415571926118829</x:v>
      </x:c>
      <x:c r="Q1023" s="14" t="n">
        <x:v>0.12201158167043553</x:v>
      </x:c>
      <x:c r="R1023" s="14" t="n">
        <x:v>0.6350836458787916</x:v>
      </x:c>
      <x:c r="S1023" s="14" t="n">
        <x:v>0.2808606562662325</x:v>
      </x:c>
      <x:c r="T1023" t="str">
        <x:v>2030소비·야간활성</x:v>
      </x:c>
      <x:c r="U1023" s="16" t="n">
        <x:v>60.092512333434904</x:v>
      </x:c>
      <x:c r="V1023" t="str">
        <x:v>한식음식점</x:v>
      </x:c>
      <x:c r="W1023" t="str">
        <x:v>한식음식점 / 양식음식점 / 화장품</x:v>
      </x:c>
      <x:c r="X1023" s="16" t="n">
        <x:v>52.20551992906726</x:v>
      </x:c>
    </x:row>
    <x:row r="1024">
      <x:c r="A1024" t="str">
        <x:v>3110107</x:v>
      </x:c>
      <x:c r="B1024" t="str">
        <x:v>금호사거리</x:v>
      </x:c>
      <x:c r="C1024" t="str">
        <x:v>골목상권</x:v>
      </x:c>
      <x:c r="D1024" t="str">
        <x:v>성동구</x:v>
      </x:c>
      <x:c r="E1024" t="str">
        <x:v>금호4가동</x:v>
      </x:c>
      <x:c r="F1024" s="12" t="n">
        <x:v>22191</x:v>
      </x:c>
      <x:c r="G1024" s="12" t="n">
        <x:v>1699397506</x:v>
      </x:c>
      <x:c r="H1024" s="12" t="n">
        <x:v>27071</x:v>
      </x:c>
      <x:c r="I1024" s="12" t="n">
        <x:v>62775.57186657309</x:v>
      </x:c>
      <x:c r="J1024" s="12" t="n">
        <x:v>76580.48334910549</x:v>
      </x:c>
      <x:c r="K1024" s="12" t="n">
        <x:v>143</x:v>
      </x:c>
      <x:c r="L1024" s="12" t="n">
        <x:v>64.44053895723492</x:v>
      </x:c>
      <x:c r="M1024" s="12" t="n">
        <x:v>7</x:v>
      </x:c>
      <x:c r="N1024" s="14" t="n">
        <x:v>0.7362644670139936</x:v>
      </x:c>
      <x:c r="O1024" s="14" t="n">
        <x:v>0.2637355329860064</x:v>
      </x:c>
      <x:c r="P1024" s="14" t="n">
        <x:v>0.6821994141493108</x:v>
      </x:c>
      <x:c r="Q1024" s="14" t="n">
        <x:v>0.13591501587151322</x:v>
      </x:c>
      <x:c r="R1024" s="14" t="n">
        <x:v>0.18287557967029286</x:v>
      </x:c>
      <x:c r="S1024" s="14" t="n">
        <x:v>0.36276838986958004</x:v>
      </x:c>
      <x:c r="T1024" t="str">
        <x:v>야간활성·고매출밀도</x:v>
      </x:c>
      <x:c r="U1024" s="16" t="n">
        <x:v>64.78243068133567</x:v>
      </x:c>
      <x:c r="V1024" t="str">
        <x:v>일반의류</x:v>
      </x:c>
      <x:c r="W1024" t="str">
        <x:v>일반의류 / 분식전문점 / 한식음식점</x:v>
      </x:c>
      <x:c r="X1024" s="16" t="n">
        <x:v>54.81554501940267</x:v>
      </x:c>
    </x:row>
    <x:row r="1025">
      <x:c r="A1025" t="str">
        <x:v>3110946</x:v>
      </x:c>
      <x:c r="B1025" t="str">
        <x:v>청계산원터골</x:v>
      </x:c>
      <x:c r="C1025" t="str">
        <x:v>골목상권</x:v>
      </x:c>
      <x:c r="D1025" t="str">
        <x:v>서초구</x:v>
      </x:c>
      <x:c r="E1025" t="str">
        <x:v>양재2동</x:v>
      </x:c>
      <x:c r="F1025" s="12" t="n">
        <x:v>17189</x:v>
      </x:c>
      <x:c r="G1025" s="12" t="n">
        <x:v>1697501239</x:v>
      </x:c>
      <x:c r="H1025" s="12" t="n">
        <x:v>20328</x:v>
      </x:c>
      <x:c r="I1025" s="12" t="n">
        <x:v>83505.5705922865</x:v>
      </x:c>
      <x:c r="J1025" s="12" t="n">
        <x:v>98755.08982488801</x:v>
      </x:c>
      <x:c r="K1025" s="12" t="n">
        <x:v>303</x:v>
      </x:c>
      <x:c r="L1025" s="12" t="n">
        <x:v>176.27552504508697</x:v>
      </x:c>
      <x:c r="M1025" s="12" t="n">
        <x:v>5</x:v>
      </x:c>
      <x:c r="N1025" s="14" t="n">
        <x:v>0.6287761519566113</x:v>
      </x:c>
      <x:c r="O1025" s="14" t="n">
        <x:v>0.37122384804338865</x:v>
      </x:c>
      <x:c r="P1025" s="14" t="n">
        <x:v>0.10176460554559866</x:v>
      </x:c>
      <x:c r="Q1025" s="14" t="n">
        <x:v>0.3725766064080027</x:v>
      </x:c>
      <x:c r="R1025" s="14" t="n">
        <x:v>0.1318813853307591</x:v>
      </x:c>
      <x:c r="S1025" s="14" t="n">
        <x:v>0.3062330230204916</x:v>
      </x:c>
      <x:c r="T1025" t="str">
        <x:v>직장밀집·고매출밀도</x:v>
      </x:c>
      <x:c r="U1025" s="16" t="n">
        <x:v>61.105296343001264</x:v>
      </x:c>
      <x:c r="V1025" t="str">
        <x:v>운동/경기용품</x:v>
      </x:c>
      <x:c r="W1025" t="str">
        <x:v>운동/경기용품 / 일반의류 / 커피-음료</x:v>
      </x:c>
      <x:c r="X1025" s="16" t="n">
        <x:v>38.0138569124563</x:v>
      </x:c>
    </x:row>
    <x:row r="1026">
      <x:c r="A1026" t="str">
        <x:v>3110372</x:v>
      </x:c>
      <x:c r="B1026" t="str">
        <x:v>강북중학교</x:v>
      </x:c>
      <x:c r="C1026" t="str">
        <x:v>골목상권</x:v>
      </x:c>
      <x:c r="D1026" t="str">
        <x:v>강북구</x:v>
      </x:c>
      <x:c r="E1026" t="str">
        <x:v>수유3동</x:v>
      </x:c>
      <x:c r="F1026" s="12" t="n">
        <x:v>82483</x:v>
      </x:c>
      <x:c r="G1026" s="12" t="n">
        <x:v>1694989429</x:v>
      </x:c>
      <x:c r="H1026" s="12" t="n">
        <x:v>147032</x:v>
      </x:c>
      <x:c r="I1026" s="12" t="n">
        <x:v>11528.030830023396</x:v>
      </x:c>
      <x:c r="J1026" s="12" t="n">
        <x:v>20549.560867087763</x:v>
      </x:c>
      <x:c r="K1026" s="12" t="n">
        <x:v>149</x:v>
      </x:c>
      <x:c r="L1026" s="12" t="n">
        <x:v>18.064328407065698</x:v>
      </x:c>
      <x:c r="M1026" s="12" t="n">
        <x:v>12</x:v>
      </x:c>
      <x:c r="N1026" s="14" t="n">
        <x:v>0.6858761099683531</x:v>
      </x:c>
      <x:c r="O1026" s="14" t="n">
        <x:v>0.3141238900316469</x:v>
      </x:c>
      <x:c r="P1026" s="14" t="n">
        <x:v>0.5192492814065803</x:v>
      </x:c>
      <x:c r="Q1026" s="14" t="n">
        <x:v>0.2109985483573184</x:v>
      </x:c>
      <x:c r="R1026" s="14" t="n">
        <x:v>0.2547163820689527</x:v>
      </x:c>
      <x:c r="S1026" s="14" t="n">
        <x:v>0.3856515933468987</x:v>
      </x:c>
      <x:c r="T1026" t="str">
        <x:v>야간활성·2030소비</x:v>
      </x:c>
      <x:c r="U1026" s="16" t="n">
        <x:v>46.345476366980265</x:v>
      </x:c>
      <x:c r="V1026" t="str">
        <x:v>섬유제품</x:v>
      </x:c>
      <x:c r="W1026" t="str">
        <x:v>섬유제품 / 반찬가게 / 슈퍼마켓</x:v>
      </x:c>
      <x:c r="X1026" s="16" t="n">
        <x:v>40.51031226933763</x:v>
      </x:c>
    </x:row>
    <x:row r="1027">
      <x:c r="A1027" t="str">
        <x:v>3110234</x:v>
      </x:c>
      <x:c r="B1027" t="str">
        <x:v>중랑역 4번</x:v>
      </x:c>
      <x:c r="C1027" t="str">
        <x:v>골목상권</x:v>
      </x:c>
      <x:c r="D1027" t="str">
        <x:v>중랑구</x:v>
      </x:c>
      <x:c r="E1027" t="str">
        <x:v>중화2동</x:v>
      </x:c>
      <x:c r="F1027" s="12" t="n">
        <x:v>58421</x:v>
      </x:c>
      <x:c r="G1027" s="12" t="n">
        <x:v>1692687771</x:v>
      </x:c>
      <x:c r="H1027" s="12" t="n">
        <x:v>24079</x:v>
      </x:c>
      <x:c r="I1027" s="12" t="n">
        <x:v>70297.26197101208</x:v>
      </x:c>
      <x:c r="J1027" s="12" t="n">
        <x:v>28973.960921586415</x:v>
      </x:c>
      <x:c r="K1027" s="12" t="n">
        <x:v>59</x:v>
      </x:c>
      <x:c r="L1027" s="12" t="n">
        <x:v>10.099108197394772</x:v>
      </x:c>
      <x:c r="M1027" s="12" t="n">
        <x:v>5</x:v>
      </x:c>
      <x:c r="N1027" s="14" t="n">
        <x:v>0.6626795864055427</x:v>
      </x:c>
      <x:c r="O1027" s="14" t="n">
        <x:v>0.3373204135944573</x:v>
      </x:c>
      <x:c r="P1027" s="14" t="n">
        <x:v>0.5246800480370458</x:v>
      </x:c>
      <x:c r="Q1027" s="14" t="n">
        <x:v>0.272699297477231</x:v>
      </x:c>
      <x:c r="R1027" s="14" t="n">
        <x:v>0.24977139803534387</x:v>
      </x:c>
      <x:c r="S1027" s="14" t="n">
        <x:v>0.35014131144213245</x:v>
      </x:c>
      <x:c r="T1027" t="str">
        <x:v>야간활성·2030소비</x:v>
      </x:c>
      <x:c r="U1027" s="16" t="n">
        <x:v>65.81552039018922</x:v>
      </x:c>
      <x:c r="V1027" t="str">
        <x:v>자동차수리</x:v>
      </x:c>
      <x:c r="W1027" t="str">
        <x:v>자동차수리 / 일식음식점 / 한식음식점</x:v>
      </x:c>
      <x:c r="X1027" s="16" t="n">
        <x:v>40.87695469078269</x:v>
      </x:c>
    </x:row>
    <x:row r="1028">
      <x:c r="A1028" t="str">
        <x:v>3130121</x:v>
      </x:c>
      <x:c r="B1028" t="str">
        <x:v>길음시장</x:v>
      </x:c>
      <x:c r="C1028" t="str">
        <x:v>전통시장</x:v>
      </x:c>
      <x:c r="D1028" t="str">
        <x:v>성북구</x:v>
      </x:c>
      <x:c r="E1028" t="str">
        <x:v>길음1동</x:v>
      </x:c>
      <x:c r="F1028" s="12" t="n">
        <x:v>7946</x:v>
      </x:c>
      <x:c r="G1028" s="12" t="n">
        <x:v>1685236841</x:v>
      </x:c>
      <x:c r="H1028" s="12" t="n">
        <x:v>49376</x:v>
      </x:c>
      <x:c r="I1028" s="12" t="n">
        <x:v>34130.68780379131</x:v>
      </x:c>
      <x:c r="J1028" s="12" t="n">
        <x:v>212086.18688648377</x:v>
      </x:c>
      <x:c r="K1028" s="12" t="n">
        <x:v>430</x:v>
      </x:c>
      <x:c r="L1028" s="12" t="n">
        <x:v>541.1527812735968</x:v>
      </x:c>
      <x:c r="M1028" s="12" t="n">
        <x:v>7</x:v>
      </x:c>
      <x:c r="N1028" s="14" t="n">
        <x:v>0.72106226521783</x:v>
      </x:c>
      <x:c r="O1028" s="14" t="n">
        <x:v>0.27893773478217</x:v>
      </x:c>
      <x:c r="P1028" s="14" t="n">
        <x:v>0.22414027857108781</x:v>
      </x:c>
      <x:c r="Q1028" s="14" t="n">
        <x:v>0.3210553061959794</x:v>
      </x:c>
      <x:c r="R1028" s="14" t="n">
        <x:v>0.07414813274901579</x:v>
      </x:c>
      <x:c r="S1028" s="14" t="n">
        <x:v>0.6407341933963809</x:v>
      </x:c>
      <x:c r="T1028" t="str">
        <x:v>여성소비·직장밀집</x:v>
      </x:c>
      <x:c r="U1028" s="16" t="n">
        <x:v>75.77053937972195</x:v>
      </x:c>
      <x:c r="V1028" t="str">
        <x:v>육류판매</x:v>
      </x:c>
      <x:c r="W1028" t="str">
        <x:v>육류판매 / 인테리어 / 일반의류</x:v>
      </x:c>
      <x:c r="X1028" s="16" t="n">
        <x:v>60.2196196530431</x:v>
      </x:c>
    </x:row>
    <x:row r="1029">
      <x:c r="A1029" t="str">
        <x:v>3111087</x:v>
      </x:c>
      <x:c r="B1029" t="str">
        <x:v>고덕중학교(고덕2동주민센터)</x:v>
      </x:c>
      <x:c r="C1029" t="str">
        <x:v>골목상권</x:v>
      </x:c>
      <x:c r="D1029" t="str">
        <x:v>강동구</x:v>
      </x:c>
      <x:c r="E1029" t="str">
        <x:v>고덕2동</x:v>
      </x:c>
      <x:c r="F1029" s="12" t="n">
        <x:v>63497</x:v>
      </x:c>
      <x:c r="G1029" s="12" t="n">
        <x:v>1683228129</x:v>
      </x:c>
      <x:c r="H1029" s="12" t="n">
        <x:v>78742</x:v>
      </x:c>
      <x:c r="I1029" s="12" t="n">
        <x:v>21376.49702826954</x:v>
      </x:c>
      <x:c r="J1029" s="12" t="n">
        <x:v>26508.781973951525</x:v>
      </x:c>
      <x:c r="K1029" s="12" t="n">
        <x:v>348</x:v>
      </x:c>
      <x:c r="L1029" s="12" t="n">
        <x:v>54.80573885380412</x:v>
      </x:c>
      <x:c r="M1029" s="12" t="n">
        <x:v>12</x:v>
      </x:c>
      <x:c r="N1029" s="14" t="n">
        <x:v>0.8193387261293802</x:v>
      </x:c>
      <x:c r="O1029" s="14" t="n">
        <x:v>0.18066127387061984</x:v>
      </x:c>
      <x:c r="P1029" s="14" t="n">
        <x:v>0.36362240236777793</x:v>
      </x:c>
      <x:c r="Q1029" s="14" t="n">
        <x:v>0.19795017517794822</x:v>
      </x:c>
      <x:c r="R1029" s="14" t="n">
        <x:v>0.1560324536377802</x:v>
      </x:c>
      <x:c r="S1029" s="14" t="n">
        <x:v>0.4175908974486963</x:v>
      </x:c>
      <x:c r="T1029" t="str">
        <x:v>평일집중</x:v>
      </x:c>
      <x:c r="U1029" s="16" t="n">
        <x:v>60.898502706616426</x:v>
      </x:c>
      <x:c r="V1029" t="str">
        <x:v>세탁소</x:v>
      </x:c>
      <x:c r="W1029" t="str">
        <x:v>세탁소 / 스포츠 강습 / 일반교습학원</x:v>
      </x:c>
      <x:c r="X1029" s="16" t="n">
        <x:v>53.456883105046494</x:v>
      </x:c>
    </x:row>
    <x:row r="1030">
      <x:c r="A1030" t="str">
        <x:v>3111047</x:v>
      </x:c>
      <x:c r="B1030" t="str">
        <x:v>마천1치안센터</x:v>
      </x:c>
      <x:c r="C1030" t="str">
        <x:v>골목상권</x:v>
      </x:c>
      <x:c r="D1030" t="str">
        <x:v>송파구</x:v>
      </x:c>
      <x:c r="E1030" t="str">
        <x:v>마천1동</x:v>
      </x:c>
      <x:c r="F1030" s="12" t="n">
        <x:v>131215</x:v>
      </x:c>
      <x:c r="G1030" s="12" t="n">
        <x:v>1679610866</x:v>
      </x:c>
      <x:c r="H1030" s="12" t="n">
        <x:v>80649</x:v>
      </x:c>
      <x:c r="I1030" s="12" t="n">
        <x:v>20826.183412069586</x:v>
      </x:c>
      <x:c r="J1030" s="12" t="n">
        <x:v>12800.448622489806</x:v>
      </x:c>
      <x:c r="K1030" s="12" t="n">
        <x:v>102</x:v>
      </x:c>
      <x:c r="L1030" s="12" t="n">
        <x:v>7.773501505163281</x:v>
      </x:c>
      <x:c r="M1030" s="12" t="n">
        <x:v>7</x:v>
      </x:c>
      <x:c r="N1030" s="14" t="n">
        <x:v>0.741939717244006</x:v>
      </x:c>
      <x:c r="O1030" s="14" t="n">
        <x:v>0.258060282755994</x:v>
      </x:c>
      <x:c r="P1030" s="14" t="n">
        <x:v>0.39818913745941437</x:v>
      </x:c>
      <x:c r="Q1030" s="14" t="n">
        <x:v>0.20169178876936367</x:v>
      </x:c>
      <x:c r="R1030" s="14" t="n">
        <x:v>0.14244572111502404</x:v>
      </x:c>
      <x:c r="S1030" s="14" t="n">
        <x:v>0.4448233797029984</x:v>
      </x:c>
      <x:c r="T1030" t="str">
        <x:v>균형형</x:v>
      </x:c>
      <x:c r="U1030" s="16" t="n">
        <x:v>59.60765260329031</x:v>
      </x:c>
      <x:c r="V1030" t="str">
        <x:v>자동차수리</x:v>
      </x:c>
      <x:c r="W1030" t="str">
        <x:v>자동차수리 / 슈퍼마켓 / 커피-음료</x:v>
      </x:c>
      <x:c r="X1030" s="16" t="n">
        <x:v>45.60432452409874</x:v>
      </x:c>
    </x:row>
    <x:row r="1031">
      <x:c r="A1031" t="str">
        <x:v>3130174</x:v>
      </x:c>
      <x:c r="B1031" t="str">
        <x:v>연희사러가</x:v>
      </x:c>
      <x:c r="C1031" t="str">
        <x:v>전통시장</x:v>
      </x:c>
      <x:c r="D1031" t="str">
        <x:v>서대문구</x:v>
      </x:c>
      <x:c r="E1031" t="str">
        <x:v>연희동</x:v>
      </x:c>
      <x:c r="F1031" s="12" t="n">
        <x:v>4763</x:v>
      </x:c>
      <x:c r="G1031" s="12" t="n">
        <x:v>1665800139</x:v>
      </x:c>
      <x:c r="H1031" s="12" t="n">
        <x:v>55844</x:v>
      </x:c>
      <x:c r="I1031" s="12" t="n">
        <x:v>29829.52759472817</x:v>
      </x:c>
      <x:c r="J1031" s="12" t="n">
        <x:v>349737.58954440476</x:v>
      </x:c>
      <x:c r="K1031" s="12" t="n">
        <x:v>47</x:v>
      </x:c>
      <x:c r="L1031" s="12" t="n">
        <x:v>98.6773042200294</x:v>
      </x:c>
      <x:c r="M1031" s="12" t="n">
        <x:v>4</x:v>
      </x:c>
      <x:c r="N1031" s="14" t="n">
        <x:v>0.6639969646442682</x:v>
      </x:c>
      <x:c r="O1031" s="14" t="n">
        <x:v>0.33600303535573184</x:v>
      </x:c>
      <x:c r="P1031" s="14" t="n">
        <x:v>0.3943295312691771</x:v>
      </x:c>
      <x:c r="Q1031" s="14" t="n">
        <x:v>0.2577499154596961</x:v>
      </x:c>
      <x:c r="R1031" s="14" t="n">
        <x:v>0.23368844250048415</x:v>
      </x:c>
      <x:c r="S1031" s="14" t="n">
        <x:v>0.616462560518492</x:v>
      </x:c>
      <x:c r="T1031" t="str">
        <x:v>여성소비·고매출밀도</x:v>
      </x:c>
      <x:c r="U1031" s="16" t="n">
        <x:v>51.20905306880172</x:v>
      </x:c>
      <x:c r="V1031" t="str">
        <x:v>슈퍼마켓</x:v>
      </x:c>
      <x:c r="W1031" t="str">
        <x:v>슈퍼마켓 / 일반의류 / 분식전문점</x:v>
      </x:c>
      <x:c r="X1031" s="16" t="n">
        <x:v>47.21043583261386</x:v>
      </x:c>
    </x:row>
    <x:row r="1032">
      <x:c r="A1032" t="str">
        <x:v>3110519</x:v>
      </x:c>
      <x:c r="B1032" t="str">
        <x:v>서대문구보건소별관</x:v>
      </x:c>
      <x:c r="C1032" t="str">
        <x:v>골목상권</x:v>
      </x:c>
      <x:c r="D1032" t="str">
        <x:v>서대문구</x:v>
      </x:c>
      <x:c r="E1032" t="str">
        <x:v>홍제1동</x:v>
      </x:c>
      <x:c r="F1032" s="12" t="n">
        <x:v>115619</x:v>
      </x:c>
      <x:c r="G1032" s="12" t="n">
        <x:v>1656942258</x:v>
      </x:c>
      <x:c r="H1032" s="12" t="n">
        <x:v>115762</x:v>
      </x:c>
      <x:c r="I1032" s="12" t="n">
        <x:v>14313.352032618648</x:v>
      </x:c>
      <x:c r="J1032" s="12" t="n">
        <x:v>14331.055086101765</x:v>
      </x:c>
      <x:c r="K1032" s="12" t="n">
        <x:v>673</x:v>
      </x:c>
      <x:c r="L1032" s="12" t="n">
        <x:v>58.208425950752044</x:v>
      </x:c>
      <x:c r="M1032" s="12" t="n">
        <x:v>8</x:v>
      </x:c>
      <x:c r="N1032" s="14" t="n">
        <x:v>0.773717273375256</x:v>
      </x:c>
      <x:c r="O1032" s="14" t="n">
        <x:v>0.22628272662474397</x:v>
      </x:c>
      <x:c r="P1032" s="14" t="n">
        <x:v>0.40551252993633286</x:v>
      </x:c>
      <x:c r="Q1032" s="14" t="n">
        <x:v>0.24012525365865828</x:v>
      </x:c>
      <x:c r="R1032" s="14" t="n">
        <x:v>0.20436845603101275</x:v>
      </x:c>
      <x:c r="S1032" s="14" t="n">
        <x:v>0.33758397210242436</x:v>
      </x:c>
      <x:c r="T1032" t="str">
        <x:v>평일집중·야간활성</x:v>
      </x:c>
      <x:c r="U1032" s="16" t="n">
        <x:v>58.5782460326317</x:v>
      </x:c>
      <x:c r="V1032" t="str">
        <x:v>미용실</x:v>
      </x:c>
      <x:c r="W1032" t="str">
        <x:v>미용실 / 자동차수리 / 한식음식점</x:v>
      </x:c>
      <x:c r="X1032" s="16" t="n">
        <x:v>55.74536205180057</x:v>
      </x:c>
    </x:row>
    <x:row r="1033">
      <x:c r="A1033" t="str">
        <x:v>3110164</x:v>
      </x:c>
      <x:c r="B1033" t="str">
        <x:v>아차산역 5번</x:v>
      </x:c>
      <x:c r="C1033" t="str">
        <x:v>골목상권</x:v>
      </x:c>
      <x:c r="D1033" t="str">
        <x:v>광진구</x:v>
      </x:c>
      <x:c r="E1033" t="str">
        <x:v>능동</x:v>
      </x:c>
      <x:c r="F1033" s="12" t="n">
        <x:v>85050</x:v>
      </x:c>
      <x:c r="G1033" s="12" t="n">
        <x:v>1651577458</x:v>
      </x:c>
      <x:c r="H1033" s="12" t="n">
        <x:v>1737</x:v>
      </x:c>
      <x:c r="I1033" s="12" t="n">
        <x:v>950821.795048935</x:v>
      </x:c>
      <x:c r="J1033" s="12" t="n">
        <x:v>19418.900152851264</x:v>
      </x:c>
      <x:c r="K1033" s="12" t="n">
        <x:v>190</x:v>
      </x:c>
      <x:c r="L1033" s="12" t="n">
        <x:v>22.339800117577894</x:v>
      </x:c>
      <x:c r="M1033" s="12" t="n">
        <x:v>2</x:v>
      </x:c>
      <x:c r="N1033" s="14" t="n">
        <x:v>0.5602976484800145</x:v>
      </x:c>
      <x:c r="O1033" s="14" t="n">
        <x:v>0.43970235151998543</x:v>
      </x:c>
      <x:c r="P1033" s="14" t="n">
        <x:v>0.23802942701582938</x:v>
      </x:c>
      <x:c r="Q1033" s="14" t="n">
        <x:v>0.146333784001065</x:v>
      </x:c>
      <x:c r="R1033" s="14" t="n">
        <x:v>0.3116370083079688</x:v>
      </x:c>
      <x:c r="S1033" s="14" t="n">
        <x:v>0.49395489872325443</x:v>
      </x:c>
      <x:c r="T1033" t="str">
        <x:v>2030소비·여성소비</x:v>
      </x:c>
      <x:c r="U1033" s="16" t="n">
        <x:v>67.6587240958072</x:v>
      </x:c>
      <x:c r="V1033" t="str">
        <x:v>예술학원</x:v>
      </x:c>
      <x:c r="W1033" t="str">
        <x:v>예술학원 / 가구</x:v>
      </x:c>
      <x:c r="X1033" s="16" t="n">
        <x:v>66.87253422841181</x:v>
      </x:c>
    </x:row>
    <x:row r="1034">
      <x:c r="A1034" t="str">
        <x:v>3110683</x:v>
      </x:c>
      <x:c r="B1034" t="str">
        <x:v>오류고등학교</x:v>
      </x:c>
      <x:c r="C1034" t="str">
        <x:v>골목상권</x:v>
      </x:c>
      <x:c r="D1034" t="str">
        <x:v>구로구</x:v>
      </x:c>
      <x:c r="E1034" t="str">
        <x:v>수궁동</x:v>
      </x:c>
      <x:c r="F1034" s="12" t="n">
        <x:v>41660</x:v>
      </x:c>
      <x:c r="G1034" s="12" t="n">
        <x:v>1649423548</x:v>
      </x:c>
      <x:c r="H1034" s="12" t="n">
        <x:v>92306</x:v>
      </x:c>
      <x:c r="I1034" s="12" t="n">
        <x:v>17869.082703182892</x:v>
      </x:c>
      <x:c r="J1034" s="12" t="n">
        <x:v>39592.49995199232</x:v>
      </x:c>
      <x:c r="K1034" s="12" t="n">
        <x:v>96</x:v>
      </x:c>
      <x:c r="L1034" s="12" t="n">
        <x:v>23.043686989918385</x:v>
      </x:c>
      <x:c r="M1034" s="12" t="n">
        <x:v>2</x:v>
      </x:c>
      <x:c r="N1034" s="14" t="n">
        <x:v>0.717674928574501</x:v>
      </x:c>
      <x:c r="O1034" s="14" t="n">
        <x:v>0.282325071425499</x:v>
      </x:c>
      <x:c r="P1034" s="14" t="n">
        <x:v>0.36602390376446836</x:v>
      </x:c>
      <x:c r="Q1034" s="14" t="n">
        <x:v>0.22414207705976075</x:v>
      </x:c>
      <x:c r="R1034" s="14" t="n">
        <x:v>0.11595652567947938</x:v>
      </x:c>
      <x:c r="S1034" s="14" t="n">
        <x:v>0.4906146938312051</x:v>
      </x:c>
      <x:c r="T1034" t="str">
        <x:v>여성소비</x:v>
      </x:c>
      <x:c r="U1034" s="16" t="n">
        <x:v>66.35911396017651</x:v>
      </x:c>
      <x:c r="V1034" t="str">
        <x:v>육류판매</x:v>
      </x:c>
      <x:c r="W1034" t="str">
        <x:v>육류판매 / 슈퍼마켓</x:v>
      </x:c>
      <x:c r="X1034" s="16" t="n">
        <x:v>62.27513444644458</x:v>
      </x:c>
    </x:row>
    <x:row r="1035">
      <x:c r="A1035" t="str">
        <x:v>3110783</x:v>
      </x:c>
      <x:c r="B1035" t="str">
        <x:v>영등포시장역 1번</x:v>
      </x:c>
      <x:c r="C1035" t="str">
        <x:v>골목상권</x:v>
      </x:c>
      <x:c r="D1035" t="str">
        <x:v>영등포구</x:v>
      </x:c>
      <x:c r="E1035" t="str">
        <x:v>영등포동</x:v>
      </x:c>
      <x:c r="F1035" s="12" t="n">
        <x:v>49012</x:v>
      </x:c>
      <x:c r="G1035" s="12" t="n">
        <x:v>1647509100</x:v>
      </x:c>
      <x:c r="H1035" s="12" t="n">
        <x:v>65404</x:v>
      </x:c>
      <x:c r="I1035" s="12" t="n">
        <x:v>25189.729985933584</x:v>
      </x:c>
      <x:c r="J1035" s="12" t="n">
        <x:v>33614.40259528279</x:v>
      </x:c>
      <x:c r="K1035" s="12" t="n">
        <x:v>484</x:v>
      </x:c>
      <x:c r="L1035" s="12" t="n">
        <x:v>98.75132620582714</x:v>
      </x:c>
      <x:c r="M1035" s="12" t="n">
        <x:v>10</x:v>
      </x:c>
      <x:c r="N1035" s="14" t="n">
        <x:v>0.8098626581182465</x:v>
      </x:c>
      <x:c r="O1035" s="14" t="n">
        <x:v>0.1901373418817535</x:v>
      </x:c>
      <x:c r="P1035" s="14" t="n">
        <x:v>0.5229706779768318</x:v>
      </x:c>
      <x:c r="Q1035" s="14" t="n">
        <x:v>0.3072179698430801</x:v>
      </x:c>
      <x:c r="R1035" s="14" t="n">
        <x:v>0.36960022436294887</x:v>
      </x:c>
      <x:c r="S1035" s="14" t="n">
        <x:v>0.3859605874104125</x:v>
      </x:c>
      <x:c r="T1035" t="str">
        <x:v>2030소비·야간활성</x:v>
      </x:c>
      <x:c r="U1035" s="16" t="n">
        <x:v>52.982420253802424</x:v>
      </x:c>
      <x:c r="V1035" t="str">
        <x:v>중식음식점</x:v>
      </x:c>
      <x:c r="W1035" t="str">
        <x:v>중식음식점 / 스포츠클럽 / 미용실</x:v>
      </x:c>
      <x:c r="X1035" s="16" t="n">
        <x:v>43.759213323495544</x:v>
      </x:c>
    </x:row>
    <x:row r="1036">
      <x:c r="A1036" t="str">
        <x:v>3110359</x:v>
      </x:c>
      <x:c r="B1036" t="str">
        <x:v>수유시장옆</x:v>
      </x:c>
      <x:c r="C1036" t="str">
        <x:v>골목상권</x:v>
      </x:c>
      <x:c r="D1036" t="str">
        <x:v>강북구</x:v>
      </x:c>
      <x:c r="E1036" t="str">
        <x:v>수유3동</x:v>
      </x:c>
      <x:c r="F1036" s="12" t="n">
        <x:v>135413</x:v>
      </x:c>
      <x:c r="G1036" s="12" t="n">
        <x:v>1645418053</x:v>
      </x:c>
      <x:c r="H1036" s="12" t="n">
        <x:v>129808</x:v>
      </x:c>
      <x:c r="I1036" s="12" t="n">
        <x:v>12675.78310273635</x:v>
      </x:c>
      <x:c r="J1036" s="12" t="n">
        <x:v>12151.108482937385</x:v>
      </x:c>
      <x:c r="K1036" s="12" t="n">
        <x:v>119</x:v>
      </x:c>
      <x:c r="L1036" s="12" t="n">
        <x:v>8.787930257803904</x:v>
      </x:c>
      <x:c r="M1036" s="12" t="n">
        <x:v>11</x:v>
      </x:c>
      <x:c r="N1036" s="14" t="n">
        <x:v>0.7279854805385437</x:v>
      </x:c>
      <x:c r="O1036" s="14" t="n">
        <x:v>0.2720145194614563</x:v>
      </x:c>
      <x:c r="P1036" s="14" t="n">
        <x:v>0.5495121384814415</x:v>
      </x:c>
      <x:c r="Q1036" s="14" t="n">
        <x:v>0.15800978695108556</x:v>
      </x:c>
      <x:c r="R1036" s="14" t="n">
        <x:v>0.32787202924897046</x:v>
      </x:c>
      <x:c r="S1036" s="14" t="n">
        <x:v>0.33939483706393975</x:v>
      </x:c>
      <x:c r="T1036" t="str">
        <x:v>야간활성·2030소비</x:v>
      </x:c>
      <x:c r="U1036" s="16" t="n">
        <x:v>60.0852701268448</x:v>
      </x:c>
      <x:c r="V1036" t="str">
        <x:v>일반교습학원</x:v>
      </x:c>
      <x:c r="W1036" t="str">
        <x:v>일반교습학원 / 슈퍼마켓 / 미용실</x:v>
      </x:c>
      <x:c r="X1036" s="16" t="n">
        <x:v>42.22949317763311</x:v>
      </x:c>
    </x:row>
    <x:row r="1037">
      <x:c r="A1037" t="str">
        <x:v>3130123</x:v>
      </x:c>
      <x:c r="B1037" t="str">
        <x:v>꿈의숲 장곡 골목형상점가</x:v>
      </x:c>
      <x:c r="C1037" t="str">
        <x:v>전통시장</x:v>
      </x:c>
      <x:c r="D1037" t="str">
        <x:v>성북구</x:v>
      </x:c>
      <x:c r="E1037" t="str">
        <x:v>장위1동</x:v>
      </x:c>
      <x:c r="F1037" s="12" t="n">
        <x:v>12762</x:v>
      </x:c>
      <x:c r="G1037" s="12" t="n">
        <x:v>1645087252</x:v>
      </x:c>
      <x:c r="H1037" s="12" t="n">
        <x:v>49603</x:v>
      </x:c>
      <x:c r="I1037" s="12" t="n">
        <x:v>33165.07574138661</x:v>
      </x:c>
      <x:c r="J1037" s="12" t="n">
        <x:v>128905.12866321893</x:v>
      </x:c>
      <x:c r="K1037" s="12" t="n">
        <x:v>44</x:v>
      </x:c>
      <x:c r="L1037" s="12" t="n">
        <x:v>34.47735464660711</x:v>
      </x:c>
      <x:c r="M1037" s="12" t="n">
        <x:v>4</x:v>
      </x:c>
      <x:c r="N1037" s="14" t="n">
        <x:v>0.6247353492956251</x:v>
      </x:c>
      <x:c r="O1037" s="14" t="n">
        <x:v>0.3752646507043749</x:v>
      </x:c>
      <x:c r="P1037" s="14" t="n">
        <x:v>0.43460885684378275</x:v>
      </x:c>
      <x:c r="Q1037" s="14" t="n">
        <x:v>0.1828637603472232</x:v>
      </x:c>
      <x:c r="R1037" s="14" t="n">
        <x:v>0.24371929240382928</x:v>
      </x:c>
      <x:c r="S1037" s="14" t="n">
        <x:v>0.2665970789493419</x:v>
      </x:c>
      <x:c r="T1037" t="str">
        <x:v>고매출밀도·야간활성</x:v>
      </x:c>
      <x:c r="U1037" s="16" t="n">
        <x:v>68.62762195455812</x:v>
      </x:c>
      <x:c r="V1037" t="str">
        <x:v>한식음식점</x:v>
      </x:c>
      <x:c r="W1037" t="str">
        <x:v>한식음식점 / 스포츠 강습 / 호프-간이주점</x:v>
      </x:c>
      <x:c r="X1037" s="16" t="n">
        <x:v>55.39658115501184</x:v>
      </x:c>
    </x:row>
    <x:row r="1038">
      <x:c r="A1038" t="str">
        <x:v>3110269</x:v>
      </x:c>
      <x:c r="B1038" t="str">
        <x:v>용마문화복지센터</x:v>
      </x:c>
      <x:c r="C1038" t="str">
        <x:v>골목상권</x:v>
      </x:c>
      <x:c r="D1038" t="str">
        <x:v>중랑구</x:v>
      </x:c>
      <x:c r="E1038" t="str">
        <x:v>면목3·8동</x:v>
      </x:c>
      <x:c r="F1038" s="12" t="n">
        <x:v>50066</x:v>
      </x:c>
      <x:c r="G1038" s="12" t="n">
        <x:v>1644468727</x:v>
      </x:c>
      <x:c r="H1038" s="12" t="n">
        <x:v>56370</x:v>
      </x:c>
      <x:c r="I1038" s="12" t="n">
        <x:v>29172.76436047543</x:v>
      </x:c>
      <x:c r="J1038" s="12" t="n">
        <x:v>32846.01779650861</x:v>
      </x:c>
      <x:c r="K1038" s="12" t="n">
        <x:v>283</x:v>
      </x:c>
      <x:c r="L1038" s="12" t="n">
        <x:v>56.52538648983342</x:v>
      </x:c>
      <x:c r="M1038" s="12" t="n">
        <x:v>7</x:v>
      </x:c>
      <x:c r="N1038" s="14" t="n">
        <x:v>0.6585286908894802</x:v>
      </x:c>
      <x:c r="O1038" s="14" t="n">
        <x:v>0.3414713091105198</x:v>
      </x:c>
      <x:c r="P1038" s="14" t="n">
        <x:v>0.48886894581851176</x:v>
      </x:c>
      <x:c r="Q1038" s="14" t="n">
        <x:v>0.29145081090982644</x:v>
      </x:c>
      <x:c r="R1038" s="14" t="n">
        <x:v>0.1858077341229974</x:v>
      </x:c>
      <x:c r="S1038" s="14" t="n">
        <x:v>0.36108504360752125</x:v>
      </x:c>
      <x:c r="T1038" t="str">
        <x:v>야간활성</x:v>
      </x:c>
      <x:c r="U1038" s="16" t="n">
        <x:v>51.029457231705955</x:v>
      </x:c>
      <x:c r="V1038" t="str">
        <x:v>한식음식점</x:v>
      </x:c>
      <x:c r="W1038" t="str">
        <x:v>한식음식점 / 자동차수리 / 노래방</x:v>
      </x:c>
      <x:c r="X1038" s="16" t="n">
        <x:v>42.978207018276755</x:v>
      </x:c>
    </x:row>
    <x:row r="1039">
      <x:c r="A1039" t="str">
        <x:v>3110770</x:v>
      </x:c>
      <x:c r="B1039" t="str">
        <x:v>영등포구청역 6번</x:v>
      </x:c>
      <x:c r="C1039" t="str">
        <x:v>골목상권</x:v>
      </x:c>
      <x:c r="D1039" t="str">
        <x:v>영등포구</x:v>
      </x:c>
      <x:c r="E1039" t="str">
        <x:v>당산1동</x:v>
      </x:c>
      <x:c r="F1039" s="12" t="n">
        <x:v>47293</x:v>
      </x:c>
      <x:c r="G1039" s="12" t="n">
        <x:v>1644136782</x:v>
      </x:c>
      <x:c r="H1039" s="12" t="n">
        <x:v>59462</x:v>
      </x:c>
      <x:c r="I1039" s="12" t="n">
        <x:v>27650.209915576335</x:v>
      </x:c>
      <x:c r="J1039" s="12" t="n">
        <x:v>34764.90774533229</x:v>
      </x:c>
      <x:c r="K1039" s="12" t="n">
        <x:v>447</x:v>
      </x:c>
      <x:c r="L1039" s="12" t="n">
        <x:v>94.51715898758802</x:v>
      </x:c>
      <x:c r="M1039" s="12" t="n">
        <x:v>10</x:v>
      </x:c>
      <x:c r="N1039" s="14" t="n">
        <x:v>0.820827501564891</x:v>
      </x:c>
      <x:c r="O1039" s="14" t="n">
        <x:v>0.1791724984351089</x:v>
      </x:c>
      <x:c r="P1039" s="14" t="n">
        <x:v>0.3607452247850751</x:v>
      </x:c>
      <x:c r="Q1039" s="14" t="n">
        <x:v>0.3708493311963384</x:v>
      </x:c>
      <x:c r="R1039" s="14" t="n">
        <x:v>0.25026914214489</x:v>
      </x:c>
      <x:c r="S1039" s="14" t="n">
        <x:v>0.3221015184368036</x:v>
      </x:c>
      <x:c r="T1039" t="str">
        <x:v>평일집중·2030소비</x:v>
      </x:c>
      <x:c r="U1039" s="16" t="n">
        <x:v>66.11892469435396</x:v>
      </x:c>
      <x:c r="V1039" t="str">
        <x:v>철물점</x:v>
      </x:c>
      <x:c r="W1039" t="str">
        <x:v>철물점 / 인테리어 / 문구</x:v>
      </x:c>
      <x:c r="X1039" s="16" t="n">
        <x:v>49.67008252797514</x:v>
      </x:c>
    </x:row>
    <x:row r="1040">
      <x:c r="A1040" t="str">
        <x:v>3130302</x:v>
      </x:c>
      <x:c r="B1040" t="str">
        <x:v>강남시장(강남구 강남시장)</x:v>
      </x:c>
      <x:c r="C1040" t="str">
        <x:v>전통시장</x:v>
      </x:c>
      <x:c r="D1040" t="str">
        <x:v>강남구</x:v>
      </x:c>
      <x:c r="E1040" t="str">
        <x:v>신사동</x:v>
      </x:c>
      <x:c r="F1040" s="12" t="n">
        <x:v>3961</x:v>
      </x:c>
      <x:c r="G1040" s="12" t="n">
        <x:v>1632037636</x:v>
      </x:c>
      <x:c r="H1040" s="12" t="n">
        <x:v>35915</x:v>
      </x:c>
      <x:c r="I1040" s="12" t="n">
        <x:v>45441.67161353195</x:v>
      </x:c>
      <x:c r="J1040" s="12" t="n">
        <x:v>412026.669022974</x:v>
      </x:c>
      <x:c r="K1040" s="12" t="n">
        <x:v>97</x:v>
      </x:c>
      <x:c r="L1040" s="12" t="n">
        <x:v>244.8876546326685</x:v>
      </x:c>
      <x:c r="M1040" s="12" t="n">
        <x:v>4</x:v>
      </x:c>
      <x:c r="N1040" s="14" t="n">
        <x:v>0.7898582707684567</x:v>
      </x:c>
      <x:c r="O1040" s="14" t="n">
        <x:v>0.21014172923154328</x:v>
      </x:c>
      <x:c r="P1040" s="14" t="n">
        <x:v>0.6511288952897653</x:v>
      </x:c>
      <x:c r="Q1040" s="14" t="n">
        <x:v>0.1590387049137879</x:v>
      </x:c>
      <x:c r="R1040" s="14" t="n">
        <x:v>0.4599554823011447</x:v>
      </x:c>
      <x:c r="S1040" s="14" t="n">
        <x:v>0.3278074060296977</x:v>
      </x:c>
      <x:c r="T1040" t="str">
        <x:v>야간활성·고매출밀도</x:v>
      </x:c>
      <x:c r="U1040" s="16" t="n">
        <x:v>41.66078659272175</x:v>
      </x:c>
      <x:c r="V1040" t="str">
        <x:v>한식음식점</x:v>
      </x:c>
      <x:c r="W1040" t="str">
        <x:v>한식음식점 / 호프-간이주점 / 반찬가게</x:v>
      </x:c>
      <x:c r="X1040" s="16" t="n">
        <x:v>34.45142720584721</x:v>
      </x:c>
    </x:row>
    <x:row r="1041">
      <x:c r="A1041" t="str">
        <x:v>3110546</x:v>
      </x:c>
      <x:c r="B1041" t="str">
        <x:v>양화대교북단</x:v>
      </x:c>
      <x:c r="C1041" t="str">
        <x:v>골목상권</x:v>
      </x:c>
      <x:c r="D1041" t="str">
        <x:v>마포구</x:v>
      </x:c>
      <x:c r="E1041" t="str">
        <x:v>합정동</x:v>
      </x:c>
      <x:c r="F1041" s="12" t="n">
        <x:v>102440</x:v>
      </x:c>
      <x:c r="G1041" s="12" t="n">
        <x:v>1629827509</x:v>
      </x:c>
      <x:c r="H1041" s="12" t="n">
        <x:v>224859</x:v>
      </x:c>
      <x:c r="I1041" s="12" t="n">
        <x:v>7248.220035666795</x:v>
      </x:c>
      <x:c r="J1041" s="12" t="n">
        <x:v>15910.069396720031</x:v>
      </x:c>
      <x:c r="K1041" s="12" t="n">
        <x:v>290</x:v>
      </x:c>
      <x:c r="L1041" s="12" t="n">
        <x:v>28.30925419757907</x:v>
      </x:c>
      <x:c r="M1041" s="12" t="n">
        <x:v>5</x:v>
      </x:c>
      <x:c r="N1041" s="14" t="n">
        <x:v>0.7101849782313375</x:v>
      </x:c>
      <x:c r="O1041" s="14" t="n">
        <x:v>0.28981502176866253</x:v>
      </x:c>
      <x:c r="P1041" s="14" t="n">
        <x:v>0.4687847939618989</x:v>
      </x:c>
      <x:c r="Q1041" s="14" t="n">
        <x:v>0.18885559747905814</x:v>
      </x:c>
      <x:c r="R1041" s="14" t="n">
        <x:v>0.43773750784077603</x:v>
      </x:c>
      <x:c r="S1041" s="14" t="n">
        <x:v>0.3433689767227999</x:v>
      </x:c>
      <x:c r="T1041" t="str">
        <x:v>2030소비·야간활성</x:v>
      </x:c>
      <x:c r="U1041" s="16" t="n">
        <x:v>51.98147758440483</x:v>
      </x:c>
      <x:c r="V1041" t="str">
        <x:v>반찬가게</x:v>
      </x:c>
      <x:c r="W1041" t="str">
        <x:v>반찬가게 / 편의점 / 미용실</x:v>
      </x:c>
      <x:c r="X1041" s="16" t="n">
        <x:v>34.724277201147075</x:v>
      </x:c>
    </x:row>
    <x:row r="1042">
      <x:c r="A1042" t="str">
        <x:v>3120176</x:v>
      </x:c>
      <x:c r="B1042" t="str">
        <x:v>논현역 4번</x:v>
      </x:c>
      <x:c r="C1042" t="str">
        <x:v>발달상권</x:v>
      </x:c>
      <x:c r="D1042" t="str">
        <x:v>서초구</x:v>
      </x:c>
      <x:c r="E1042" t="str">
        <x:v>반포1동</x:v>
      </x:c>
      <x:c r="F1042" s="12" t="n">
        <x:v>130507</x:v>
      </x:c>
      <x:c r="G1042" s="12" t="n">
        <x:v>1629441478</x:v>
      </x:c>
      <x:c r="H1042" s="12" t="n">
        <x:v>67249</x:v>
      </x:c>
      <x:c r="I1042" s="12" t="n">
        <x:v>24229.97335276361</x:v>
      </x:c>
      <x:c r="J1042" s="12" t="n">
        <x:v>12485.471875071835</x:v>
      </x:c>
      <x:c r="K1042" s="12" t="n">
        <x:v>1058</x:v>
      </x:c>
      <x:c r="L1042" s="12" t="n">
        <x:v>81.06844843571609</x:v>
      </x:c>
      <x:c r="M1042" s="12" t="n">
        <x:v>12</x:v>
      </x:c>
      <x:c r="N1042" s="14" t="n">
        <x:v>0.720877225637925</x:v>
      </x:c>
      <x:c r="O1042" s="14" t="n">
        <x:v>0.279122774362075</x:v>
      </x:c>
      <x:c r="P1042" s="14" t="n">
        <x:v>0.5727760098175186</x:v>
      </x:c>
      <x:c r="Q1042" s="14" t="n">
        <x:v>0.097411189136306</x:v>
      </x:c>
      <x:c r="R1042" s="14" t="n">
        <x:v>0.5049639898757996</x:v>
      </x:c>
      <x:c r="S1042" s="14" t="n">
        <x:v>0.3326387945305514</x:v>
      </x:c>
      <x:c r="T1042" t="str">
        <x:v>2030소비·야간활성</x:v>
      </x:c>
      <x:c r="U1042" s="16" t="n">
        <x:v>55.837439147316566</x:v>
      </x:c>
      <x:c r="V1042" t="str">
        <x:v>한식음식점</x:v>
      </x:c>
      <x:c r="W1042" t="str">
        <x:v>한식음식점 / 미용실 / 슈퍼마켓</x:v>
      </x:c>
      <x:c r="X1042" s="16" t="n">
        <x:v>49.654465666179135</x:v>
      </x:c>
    </x:row>
    <x:row r="1043">
      <x:c r="A1043" t="str">
        <x:v>3110439</x:v>
      </x:c>
      <x:c r="B1043" t="str">
        <x:v>당고개역 5번</x:v>
      </x:c>
      <x:c r="C1043" t="str">
        <x:v>골목상권</x:v>
      </x:c>
      <x:c r="D1043" t="str">
        <x:v>노원구</x:v>
      </x:c>
      <x:c r="E1043" t="str">
        <x:v>상계3·4동</x:v>
      </x:c>
      <x:c r="F1043" s="12" t="n">
        <x:v>99026</x:v>
      </x:c>
      <x:c r="G1043" s="12" t="n">
        <x:v>1617595185</x:v>
      </x:c>
      <x:c r="H1043" s="12" t="n">
        <x:v>227851</x:v>
      </x:c>
      <x:c r="I1043" s="12" t="n">
        <x:v>7099.355214591992</x:v>
      </x:c>
      <x:c r="J1043" s="12" t="n">
        <x:v>16335.055288510088</x:v>
      </x:c>
      <x:c r="K1043" s="12" t="n">
        <x:v>141</x:v>
      </x:c>
      <x:c r="L1043" s="12" t="n">
        <x:v>14.238684789853169</x:v>
      </x:c>
      <x:c r="M1043" s="12" t="n">
        <x:v>10</x:v>
      </x:c>
      <x:c r="N1043" s="14" t="n">
        <x:v>0.6916286703709494</x:v>
      </x:c>
      <x:c r="O1043" s="14" t="n">
        <x:v>0.30837132962905056</x:v>
      </x:c>
      <x:c r="P1043" s="14" t="n">
        <x:v>0.40466012762024883</x:v>
      </x:c>
      <x:c r="Q1043" s="14" t="n">
        <x:v>0.1708567684689294</x:v>
      </x:c>
      <x:c r="R1043" s="14" t="n">
        <x:v>0.28864667583688436</x:v>
      </x:c>
      <x:c r="S1043" s="14" t="n">
        <x:v>0.4166530632940775</x:v>
      </x:c>
      <x:c r="T1043" t="str">
        <x:v>2030소비·야간활성</x:v>
      </x:c>
      <x:c r="U1043" s="16" t="n">
        <x:v>59.93652852606709</x:v>
      </x:c>
      <x:c r="V1043" t="str">
        <x:v>일반의류</x:v>
      </x:c>
      <x:c r="W1043" t="str">
        <x:v>일반의류 / 편의점 / 커피-음료</x:v>
      </x:c>
      <x:c r="X1043" s="16" t="n">
        <x:v>48.988968150348995</x:v>
      </x:c>
    </x:row>
    <x:row r="1044">
      <x:c r="A1044" t="str">
        <x:v>3110526</x:v>
      </x:c>
      <x:c r="B1044" t="str">
        <x:v>봉원사</x:v>
      </x:c>
      <x:c r="C1044" t="str">
        <x:v>골목상권</x:v>
      </x:c>
      <x:c r="D1044" t="str">
        <x:v>서대문구</x:v>
      </x:c>
      <x:c r="E1044" t="str">
        <x:v>신촌동</x:v>
      </x:c>
      <x:c r="F1044" s="12" t="n">
        <x:v>112347</x:v>
      </x:c>
      <x:c r="G1044" s="12" t="n">
        <x:v>1611859462</x:v>
      </x:c>
      <x:c r="H1044" s="12" t="n">
        <x:v>104526</x:v>
      </x:c>
      <x:c r="I1044" s="12" t="n">
        <x:v>15420.655741155311</x:v>
      </x:c>
      <x:c r="J1044" s="12" t="n">
        <x:v>14347.151788654794</x:v>
      </x:c>
      <x:c r="K1044" s="12" t="n">
        <x:v>13</x:v>
      </x:c>
      <x:c r="L1044" s="12" t="n">
        <x:v>1.1571292513373743</x:v>
      </x:c>
      <x:c r="M1044" s="12" t="n">
        <x:v>3</x:v>
      </x:c>
      <x:c r="N1044" s="14" t="n">
        <x:v>0.8924471654713033</x:v>
      </x:c>
      <x:c r="O1044" s="14" t="n">
        <x:v>0.10755283452869664</x:v>
      </x:c>
      <x:c r="P1044" s="14" t="n">
        <x:v>0.35565645548817704</x:v>
      </x:c>
      <x:c r="Q1044" s="14" t="n">
        <x:v>0.4708485013068714</x:v>
      </x:c>
      <x:c r="R1044" s="14" t="n">
        <x:v>0.37802264115753287</x:v>
      </x:c>
      <x:c r="S1044" s="14" t="n">
        <x:v>0.4700078610203301</x:v>
      </x:c>
      <x:c r="T1044" t="str">
        <x:v>평일집중·2030소비</x:v>
      </x:c>
      <x:c r="U1044" s="16" t="n">
        <x:v>39.972685788639524</x:v>
      </x:c>
      <x:c r="V1044" t="str">
        <x:v>한식음식점</x:v>
      </x:c>
      <x:c r="W1044" t="str">
        <x:v>한식음식점 / 커피-음료 / 편의점</x:v>
      </x:c>
      <x:c r="X1044" s="16" t="n">
        <x:v>28.732378404858693</x:v>
      </x:c>
    </x:row>
    <x:row r="1045">
      <x:c r="A1045" t="str">
        <x:v>3110303</x:v>
      </x:c>
      <x:c r="B1045" t="str">
        <x:v>성신여대입구역 1번</x:v>
      </x:c>
      <x:c r="C1045" t="str">
        <x:v>골목상권</x:v>
      </x:c>
      <x:c r="D1045" t="str">
        <x:v>성북구</x:v>
      </x:c>
      <x:c r="E1045" t="str">
        <x:v>동선동</x:v>
      </x:c>
      <x:c r="F1045" s="12" t="n">
        <x:v>109299</x:v>
      </x:c>
      <x:c r="G1045" s="12" t="n">
        <x:v>1606370727</x:v>
      </x:c>
      <x:c r="H1045" s="12" t="n">
        <x:v>83477</x:v>
      </x:c>
      <x:c r="I1045" s="12" t="n">
        <x:v>19243.27332079495</x:v>
      </x:c>
      <x:c r="J1045" s="12" t="n">
        <x:v>14697.030411989132</x:v>
      </x:c>
      <x:c r="K1045" s="12" t="n">
        <x:v>314</x:v>
      </x:c>
      <x:c r="L1045" s="12" t="n">
        <x:v>28.728533655385686</x:v>
      </x:c>
      <x:c r="M1045" s="12" t="n">
        <x:v>11</x:v>
      </x:c>
      <x:c r="N1045" s="14" t="n">
        <x:v>0.7351148207271833</x:v>
      </x:c>
      <x:c r="O1045" s="14" t="n">
        <x:v>0.26488517927281674</x:v>
      </x:c>
      <x:c r="P1045" s="14" t="n">
        <x:v>0.562552313616706</x:v>
      </x:c>
      <x:c r="Q1045" s="14" t="n">
        <x:v>0.12187990587057056</x:v>
      </x:c>
      <x:c r="R1045" s="14" t="n">
        <x:v>0.523365554955111</x:v>
      </x:c>
      <x:c r="S1045" s="14" t="n">
        <x:v>0.45978317868089486</x:v>
      </x:c>
      <x:c r="T1045" t="str">
        <x:v>2030소비·야간활성</x:v>
      </x:c>
      <x:c r="U1045" s="16" t="n">
        <x:v>61.5936981494051</x:v>
      </x:c>
      <x:c r="V1045" t="str">
        <x:v>일반의류</x:v>
      </x:c>
      <x:c r="W1045" t="str">
        <x:v>일반의류 / 피부관리실 / 미용실</x:v>
      </x:c>
      <x:c r="X1045" s="16" t="n">
        <x:v>51.75431133902161</x:v>
      </x:c>
    </x:row>
    <x:row r="1046">
      <x:c r="A1046" t="str">
        <x:v>3110510</x:v>
      </x:c>
      <x:c r="B1046" t="str">
        <x:v>홍연시장</x:v>
      </x:c>
      <x:c r="C1046" t="str">
        <x:v>골목상권</x:v>
      </x:c>
      <x:c r="D1046" t="str">
        <x:v>서대문구</x:v>
      </x:c>
      <x:c r="E1046" t="str">
        <x:v>연희동</x:v>
      </x:c>
      <x:c r="F1046" s="12" t="n">
        <x:v>42513</x:v>
      </x:c>
      <x:c r="G1046" s="12" t="n">
        <x:v>1602435335</x:v>
      </x:c>
      <x:c r="H1046" s="12" t="n">
        <x:v>47095</x:v>
      </x:c>
      <x:c r="I1046" s="12" t="n">
        <x:v>34025.59369359805</x:v>
      </x:c>
      <x:c r="J1046" s="12" t="n">
        <x:v>37692.83125161715</x:v>
      </x:c>
      <x:c r="K1046" s="12" t="n">
        <x:v>407</x:v>
      </x:c>
      <x:c r="L1046" s="12" t="n">
        <x:v>95.73542210617929</x:v>
      </x:c>
      <x:c r="M1046" s="12" t="n">
        <x:v>7</x:v>
      </x:c>
      <x:c r="N1046" s="14" t="n">
        <x:v>0.7748941126538501</x:v>
      </x:c>
      <x:c r="O1046" s="14" t="n">
        <x:v>0.22510588734614992</x:v>
      </x:c>
      <x:c r="P1046" s="14" t="n">
        <x:v>0.3933461945283427</x:v>
      </x:c>
      <x:c r="Q1046" s="14" t="n">
        <x:v>0.24865597213007037</x:v>
      </x:c>
      <x:c r="R1046" s="14" t="n">
        <x:v>0.0958930439461384</x:v>
      </x:c>
      <x:c r="S1046" s="14" t="n">
        <x:v>0.5555588594156906</x:v>
      </x:c>
      <x:c r="T1046" t="str">
        <x:v>여성소비·평일집중</x:v>
      </x:c>
      <x:c r="U1046" s="16" t="n">
        <x:v>71.99872748598902</x:v>
      </x:c>
      <x:c r="V1046" t="str">
        <x:v>육류판매</x:v>
      </x:c>
      <x:c r="W1046" t="str">
        <x:v>육류판매 / 미용실 / 당구장</x:v>
      </x:c>
      <x:c r="X1046" s="16" t="n">
        <x:v>54.76929577268495</x:v>
      </x:c>
    </x:row>
    <x:row r="1047">
      <x:c r="A1047" t="str">
        <x:v>3110947</x:v>
      </x:c>
      <x:c r="B1047" t="str">
        <x:v>청계산입구역 2번(내곡동주민센터)</x:v>
      </x:c>
      <x:c r="C1047" t="str">
        <x:v>골목상권</x:v>
      </x:c>
      <x:c r="D1047" t="str">
        <x:v>서초구</x:v>
      </x:c>
      <x:c r="E1047" t="str">
        <x:v>내곡동</x:v>
      </x:c>
      <x:c r="F1047" s="12" t="n">
        <x:v>84941</x:v>
      </x:c>
      <x:c r="G1047" s="12" t="n">
        <x:v>1601226142</x:v>
      </x:c>
      <x:c r="H1047" s="12" t="n">
        <x:v>36991</x:v>
      </x:c>
      <x:c r="I1047" s="12" t="n">
        <x:v>43286.911464950936</x:v>
      </x:c>
      <x:c r="J1047" s="12" t="n">
        <x:v>18851.039450912987</x:v>
      </x:c>
      <x:c r="K1047" s="12" t="n">
        <x:v>479</x:v>
      </x:c>
      <x:c r="L1047" s="12" t="n">
        <x:v>56.392083917071844</x:v>
      </x:c>
      <x:c r="M1047" s="12" t="n">
        <x:v>1</x:v>
      </x:c>
      <x:c r="N1047" s="14" t="n">
        <x:v>0.616616924431902</x:v>
      </x:c>
      <x:c r="O1047" s="14" t="n">
        <x:v>0.383383075568098</x:v>
      </x:c>
      <x:c r="P1047" s="14" t="n">
        <x:v>0.2653364005594658</x:v>
      </x:c>
      <x:c r="Q1047" s="14" t="n">
        <x:v>0.5122973966534203</x:v>
      </x:c>
      <x:c r="R1047" s="14" t="n">
        <x:v>0.12146617014200609</x:v>
      </x:c>
      <x:c r="S1047" s="14" t="n">
        <x:v>0.35549098036147353</x:v>
      </x:c>
      <x:c r="T1047" t="str">
        <x:v>균형형</x:v>
      </x:c>
      <x:c r="U1047" s="16" t="n">
        <x:v>69.89866850478971</x:v>
      </x:c>
      <x:c r="V1047" t="str">
        <x:v>한식음식점</x:v>
      </x:c>
      <x:c r="W1047" t="str">
        <x:v>한식음식점</x:v>
      </x:c>
      <x:c r="X1047" s="16" t="n">
        <x:v>69.89866850478971</x:v>
      </x:c>
    </x:row>
    <x:row r="1048">
      <x:c r="A1048" t="str">
        <x:v>3120163</x:v>
      </x:c>
      <x:c r="B1048" t="str">
        <x:v>사당역 11번(사당역먹자골목)</x:v>
      </x:c>
      <x:c r="C1048" t="str">
        <x:v>발달상권</x:v>
      </x:c>
      <x:c r="D1048" t="str">
        <x:v>서초구</x:v>
      </x:c>
      <x:c r="E1048" t="str">
        <x:v>방배2동</x:v>
      </x:c>
      <x:c r="F1048" s="12" t="n">
        <x:v>87254</x:v>
      </x:c>
      <x:c r="G1048" s="12" t="n">
        <x:v>1599248708</x:v>
      </x:c>
      <x:c r="H1048" s="12" t="n">
        <x:v>62079</x:v>
      </x:c>
      <x:c r="I1048" s="12" t="n">
        <x:v>25761.50885162454</x:v>
      </x:c>
      <x:c r="J1048" s="12" t="n">
        <x:v>18328.6578036537</x:v>
      </x:c>
      <x:c r="K1048" s="12" t="n">
        <x:v>980</x:v>
      </x:c>
      <x:c r="L1048" s="12" t="n">
        <x:v>112.31576775849818</x:v>
      </x:c>
      <x:c r="M1048" s="12" t="n">
        <x:v>10</x:v>
      </x:c>
      <x:c r="N1048" s="14" t="n">
        <x:v>0.6504403228819117</x:v>
      </x:c>
      <x:c r="O1048" s="14" t="n">
        <x:v>0.3495596771180884</x:v>
      </x:c>
      <x:c r="P1048" s="14" t="n">
        <x:v>0.28776326014702647</x:v>
      </x:c>
      <x:c r="Q1048" s="14" t="n">
        <x:v>0.30867316354899316</x:v>
      </x:c>
      <x:c r="R1048" s="14" t="n">
        <x:v>0.40813015432493943</x:v>
      </x:c>
      <x:c r="S1048" s="14" t="n">
        <x:v>0.49656646838447843</x:v>
      </x:c>
      <x:c r="T1048" t="str">
        <x:v>2030소비·여성소비</x:v>
      </x:c>
      <x:c r="U1048" s="16" t="n">
        <x:v>74.85757001130517</x:v>
      </x:c>
      <x:c r="V1048" t="str">
        <x:v>서적</x:v>
      </x:c>
      <x:c r="W1048" t="str">
        <x:v>서적 / 일반교습학원 / 슈퍼마켓</x:v>
      </x:c>
      <x:c r="X1048" s="16" t="n">
        <x:v>60.89426229625561</x:v>
      </x:c>
    </x:row>
    <x:row r="1049">
      <x:c r="A1049" t="str">
        <x:v>3110619</x:v>
      </x:c>
      <x:c r="B1049" t="str">
        <x:v>목4동주민센터</x:v>
      </x:c>
      <x:c r="C1049" t="str">
        <x:v>골목상권</x:v>
      </x:c>
      <x:c r="D1049" t="str">
        <x:v>양천구</x:v>
      </x:c>
      <x:c r="E1049" t="str">
        <x:v>목4동</x:v>
      </x:c>
      <x:c r="F1049" s="12" t="n">
        <x:v>39755</x:v>
      </x:c>
      <x:c r="G1049" s="12" t="n">
        <x:v>1597987129</x:v>
      </x:c>
      <x:c r="H1049" s="12" t="n">
        <x:v>4068</x:v>
      </x:c>
      <x:c r="I1049" s="12" t="n">
        <x:v>392818.86160275317</x:v>
      </x:c>
      <x:c r="J1049" s="12" t="n">
        <x:v>40195.87797761288</x:v>
      </x:c>
      <x:c r="K1049" s="12" t="n">
        <x:v>202</x:v>
      </x:c>
      <x:c r="L1049" s="12" t="n">
        <x:v>50.811218714627095</x:v>
      </x:c>
      <x:c r="M1049" s="12" t="n">
        <x:v>5</x:v>
      </x:c>
      <x:c r="N1049" s="14" t="n">
        <x:v>0.7607152504167636</x:v>
      </x:c>
      <x:c r="O1049" s="14" t="n">
        <x:v>0.23928474958323648</x:v>
      </x:c>
      <x:c r="P1049" s="14" t="n">
        <x:v>0.5470005803782666</x:v>
      </x:c>
      <x:c r="Q1049" s="14" t="n">
        <x:v>0.1146977166923101</x:v>
      </x:c>
      <x:c r="R1049" s="14" t="n">
        <x:v>0.03399443838699404</x:v>
      </x:c>
      <x:c r="S1049" s="14" t="n">
        <x:v>0.5436995775702521</x:v>
      </x:c>
      <x:c r="T1049" t="str">
        <x:v>야간활성·여성소비</x:v>
      </x:c>
      <x:c r="U1049" s="16" t="n">
        <x:v>68.26615353294031</x:v>
      </x:c>
      <x:c r="V1049" t="str">
        <x:v>일반교습학원</x:v>
      </x:c>
      <x:c r="W1049" t="str">
        <x:v>일반교습학원 / 예술학원 / 미용실</x:v>
      </x:c>
      <x:c r="X1049" s="16" t="n">
        <x:v>44.60760317838157</x:v>
      </x:c>
    </x:row>
    <x:row r="1050">
      <x:c r="A1050" t="str">
        <x:v>3110162</x:v>
      </x:c>
      <x:c r="B1050" t="str">
        <x:v>군자역 4번</x:v>
      </x:c>
      <x:c r="C1050" t="str">
        <x:v>골목상권</x:v>
      </x:c>
      <x:c r="D1050" t="str">
        <x:v>광진구</x:v>
      </x:c>
      <x:c r="E1050" t="str">
        <x:v>중곡2동</x:v>
      </x:c>
      <x:c r="F1050" s="12" t="n">
        <x:v>70945</x:v>
      </x:c>
      <x:c r="G1050" s="12" t="n">
        <x:v>1593802989</x:v>
      </x:c>
      <x:c r="H1050" s="12" t="n">
        <x:v>155345</x:v>
      </x:c>
      <x:c r="I1050" s="12" t="n">
        <x:v>10259.763680839422</x:v>
      </x:c>
      <x:c r="J1050" s="12" t="n">
        <x:v>22465.33214461907</x:v>
      </x:c>
      <x:c r="K1050" s="12" t="n">
        <x:v>181</x:v>
      </x:c>
      <x:c r="L1050" s="12" t="n">
        <x:v>25.51272112199591</x:v>
      </x:c>
      <x:c r="M1050" s="12" t="n">
        <x:v>12</x:v>
      </x:c>
      <x:c r="N1050" s="14" t="n">
        <x:v>0.7988499725419953</x:v>
      </x:c>
      <x:c r="O1050" s="14" t="n">
        <x:v>0.20115002745800473</x:v>
      </x:c>
      <x:c r="P1050" s="14" t="n">
        <x:v>0.4736269571646537</x:v>
      </x:c>
      <x:c r="Q1050" s="14" t="n">
        <x:v>0.133258645808701</x:v>
      </x:c>
      <x:c r="R1050" s="14" t="n">
        <x:v>0.36970321493103936</x:v>
      </x:c>
      <x:c r="S1050" s="14" t="n">
        <x:v>0.536798155044745</x:v>
      </x:c>
      <x:c r="T1050" t="str">
        <x:v>2030소비·여성소비</x:v>
      </x:c>
      <x:c r="U1050" s="16" t="n">
        <x:v>69.0628194456662</x:v>
      </x:c>
      <x:c r="V1050" t="str">
        <x:v>예술학원</x:v>
      </x:c>
      <x:c r="W1050" t="str">
        <x:v>예술학원 / 일반교습학원 / 편의점</x:v>
      </x:c>
      <x:c r="X1050" s="16" t="n">
        <x:v>59.23092841672817</x:v>
      </x:c>
    </x:row>
    <x:row r="1051">
      <x:c r="A1051" t="str">
        <x:v>3110190</x:v>
      </x:c>
      <x:c r="B1051" t="str">
        <x:v>고대앞사거리</x:v>
      </x:c>
      <x:c r="C1051" t="str">
        <x:v>골목상권</x:v>
      </x:c>
      <x:c r="D1051" t="str">
        <x:v>동대문구</x:v>
      </x:c>
      <x:c r="E1051" t="str">
        <x:v>제기동</x:v>
      </x:c>
      <x:c r="F1051" s="12" t="n">
        <x:v>101416</x:v>
      </x:c>
      <x:c r="G1051" s="12" t="n">
        <x:v>1590018015</x:v>
      </x:c>
      <x:c r="H1051" s="12" t="n">
        <x:v>111614</x:v>
      </x:c>
      <x:c r="I1051" s="12" t="n">
        <x:v>14245.686159442364</x:v>
      </x:c>
      <x:c r="J1051" s="12" t="n">
        <x:v>15678.177161394651</x:v>
      </x:c>
      <x:c r="K1051" s="12" t="n">
        <x:v>118</x:v>
      </x:c>
      <x:c r="L1051" s="12" t="n">
        <x:v>11.635244931766191</x:v>
      </x:c>
      <x:c r="M1051" s="12" t="n">
        <x:v>5</x:v>
      </x:c>
      <x:c r="N1051" s="14" t="n">
        <x:v>0.7974233983757725</x:v>
      </x:c>
      <x:c r="O1051" s="14" t="n">
        <x:v>0.2025766016242275</x:v>
      </x:c>
      <x:c r="P1051" s="14" t="n">
        <x:v>0.41018964241106415</x:v>
      </x:c>
      <x:c r="Q1051" s="14" t="n">
        <x:v>0.16821054823080103</x:v>
      </x:c>
      <x:c r="R1051" s="14" t="n">
        <x:v>0.5939732764600154</x:v>
      </x:c>
      <x:c r="S1051" s="14" t="n">
        <x:v>0.5042712405997488</x:v>
      </x:c>
      <x:c r="T1051" t="str">
        <x:v>2030소비·여성소비</x:v>
      </x:c>
      <x:c r="U1051" s="16" t="n">
        <x:v>51.912672441466185</x:v>
      </x:c>
      <x:c r="V1051" t="str">
        <x:v>반찬가게</x:v>
      </x:c>
      <x:c r="W1051" t="str">
        <x:v>반찬가게 / 편의점 / 미용실</x:v>
      </x:c>
      <x:c r="X1051" s="16" t="n">
        <x:v>38.40860156552822</x:v>
      </x:c>
    </x:row>
    <x:row r="1052">
      <x:c r="A1052" t="str">
        <x:v>3110867</x:v>
      </x:c>
      <x:c r="B1052" t="str">
        <x:v>국제신학대학원대학교(남서울중학교)</x:v>
      </x:c>
      <x:c r="C1052" t="str">
        <x:v>골목상권</x:v>
      </x:c>
      <x:c r="D1052" t="str">
        <x:v>관악구</x:v>
      </x:c>
      <x:c r="E1052" t="str">
        <x:v>신원동</x:v>
      </x:c>
      <x:c r="F1052" s="12" t="n">
        <x:v>95938</x:v>
      </x:c>
      <x:c r="G1052" s="12" t="n">
        <x:v>1588766376</x:v>
      </x:c>
      <x:c r="H1052" s="12" t="n">
        <x:v>122663</x:v>
      </x:c>
      <x:c r="I1052" s="12" t="n">
        <x:v>12952.2869650995</x:v>
      </x:c>
      <x:c r="J1052" s="12" t="n">
        <x:v>16560.34497279493</x:v>
      </x:c>
      <x:c r="K1052" s="12" t="n">
        <x:v>274</x:v>
      </x:c>
      <x:c r="L1052" s="12" t="n">
        <x:v>28.56011173883133</x:v>
      </x:c>
      <x:c r="M1052" s="12" t="n">
        <x:v>10</x:v>
      </x:c>
      <x:c r="N1052" s="14" t="n">
        <x:v>0.7313245292396596</x:v>
      </x:c>
      <x:c r="O1052" s="14" t="n">
        <x:v>0.26867547076034043</x:v>
      </x:c>
      <x:c r="P1052" s="14" t="n">
        <x:v>0.5565146986720972</x:v>
      </x:c>
      <x:c r="Q1052" s="14" t="n">
        <x:v>0.11801806472772432</x:v>
      </x:c>
      <x:c r="R1052" s="14" t="n">
        <x:v>0.44744960224409985</x:v>
      </x:c>
      <x:c r="S1052" s="14" t="n">
        <x:v>0.4094827765916919</x:v>
      </x:c>
      <x:c r="T1052" t="str">
        <x:v>2030소비·야간활성</x:v>
      </x:c>
      <x:c r="U1052" s="16" t="n">
        <x:v>74.07667718394765</x:v>
      </x:c>
      <x:c r="V1052" t="str">
        <x:v>애완동물</x:v>
      </x:c>
      <x:c r="W1052" t="str">
        <x:v>애완동물 / 미용실 / 일반의원</x:v>
      </x:c>
      <x:c r="X1052" s="16" t="n">
        <x:v>56.463164280503484</x:v>
      </x:c>
    </x:row>
    <x:row r="1053">
      <x:c r="A1053" t="str">
        <x:v>3110357</x:v>
      </x:c>
      <x:c r="B1053" t="str">
        <x:v>가오리역 1번</x:v>
      </x:c>
      <x:c r="C1053" t="str">
        <x:v>골목상권</x:v>
      </x:c>
      <x:c r="D1053" t="str">
        <x:v>강북구</x:v>
      </x:c>
      <x:c r="E1053" t="str">
        <x:v>수유2동</x:v>
      </x:c>
      <x:c r="F1053" s="12" t="n">
        <x:v>47879</x:v>
      </x:c>
      <x:c r="G1053" s="12" t="n">
        <x:v>1585456523</x:v>
      </x:c>
      <x:c r="H1053" s="12" t="n">
        <x:v>71649</x:v>
      </x:c>
      <x:c r="I1053" s="12" t="n">
        <x:v>22128.103993077362</x:v>
      </x:c>
      <x:c r="J1053" s="12" t="n">
        <x:v>33113.818647005995</x:v>
      </x:c>
      <x:c r="K1053" s="12" t="n">
        <x:v>259</x:v>
      </x:c>
      <x:c r="L1053" s="12" t="n">
        <x:v>54.094697048810545</x:v>
      </x:c>
      <x:c r="M1053" s="12" t="n">
        <x:v>11</x:v>
      </x:c>
      <x:c r="N1053" s="14" t="n">
        <x:v>0.772171824480866</x:v>
      </x:c>
      <x:c r="O1053" s="14" t="n">
        <x:v>0.22782817551913406</x:v>
      </x:c>
      <x:c r="P1053" s="14" t="n">
        <x:v>0.3983621845428555</x:v>
      </x:c>
      <x:c r="Q1053" s="14" t="n">
        <x:v>0.2356180037615576</x:v>
      </x:c>
      <x:c r="R1053" s="14" t="n">
        <x:v>0.24009119990230096</x:v>
      </x:c>
      <x:c r="S1053" s="14" t="n">
        <x:v>0.4740623064061152</x:v>
      </x:c>
      <x:c r="T1053" t="str">
        <x:v>여성소비·2030소비</x:v>
      </x:c>
      <x:c r="U1053" s="16" t="n">
        <x:v>59.974746182052336</x:v>
      </x:c>
      <x:c r="V1053" t="str">
        <x:v>치킨전문점</x:v>
      </x:c>
      <x:c r="W1053" t="str">
        <x:v>치킨전문점 / 예술학원 / 일반의원</x:v>
      </x:c>
      <x:c r="X1053" s="16" t="n">
        <x:v>54.62696087963003</x:v>
      </x:c>
    </x:row>
    <x:row r="1054">
      <x:c r="A1054" t="str">
        <x:v>3110891</x:v>
      </x:c>
      <x:c r="B1054" t="str">
        <x:v>구암초등학교</x:v>
      </x:c>
      <x:c r="C1054" t="str">
        <x:v>골목상권</x:v>
      </x:c>
      <x:c r="D1054" t="str">
        <x:v>관악구</x:v>
      </x:c>
      <x:c r="E1054" t="str">
        <x:v>성현동</x:v>
      </x:c>
      <x:c r="F1054" s="12" t="n">
        <x:v>40509</x:v>
      </x:c>
      <x:c r="G1054" s="12" t="n">
        <x:v>1585321280</x:v>
      </x:c>
      <x:c r="H1054" s="12" t="n">
        <x:v>38775</x:v>
      </x:c>
      <x:c r="I1054" s="12" t="n">
        <x:v>40885.1393939394</x:v>
      </x:c>
      <x:c r="J1054" s="12" t="n">
        <x:v>39135.03863339011</x:v>
      </x:c>
      <x:c r="K1054" s="12" t="n">
        <x:v>1287</x:v>
      </x:c>
      <x:c r="L1054" s="12" t="n">
        <x:v>317.70717618307043</x:v>
      </x:c>
      <x:c r="M1054" s="12" t="n">
        <x:v>7</x:v>
      </x:c>
      <x:c r="N1054" s="14" t="n">
        <x:v>0.8756794319950086</x:v>
      </x:c>
      <x:c r="O1054" s="14" t="n">
        <x:v>0.12432056800499139</x:v>
      </x:c>
      <x:c r="P1054" s="14" t="n">
        <x:v>0.4284000199631459</x:v>
      </x:c>
      <x:c r="Q1054" s="14" t="n">
        <x:v>0.1683761477042685</x:v>
      </x:c>
      <x:c r="R1054" s="14" t="n">
        <x:v>0.09653339605710712</x:v>
      </x:c>
      <x:c r="S1054" s="14" t="n">
        <x:v>0.522745144126243</x:v>
      </x:c>
      <x:c r="T1054" t="str">
        <x:v>평일집중·직장밀집</x:v>
      </x:c>
      <x:c r="U1054" s="16" t="n">
        <x:v>72.25998194736786</x:v>
      </x:c>
      <x:c r="V1054" t="str">
        <x:v>일반교습학원</x:v>
      </x:c>
      <x:c r="W1054" t="str">
        <x:v>일반교습학원 / 미용실 / 한식음식점</x:v>
      </x:c>
      <x:c r="X1054" s="16" t="n">
        <x:v>55.72248653954225</x:v>
      </x:c>
    </x:row>
    <x:row r="1055">
      <x:c r="A1055" t="str">
        <x:v>3110954</x:v>
      </x:c>
      <x:c r="B1055" t="str">
        <x:v>국기원</x:v>
      </x:c>
      <x:c r="C1055" t="str">
        <x:v>골목상권</x:v>
      </x:c>
      <x:c r="D1055" t="str">
        <x:v>강남구</x:v>
      </x:c>
      <x:c r="E1055" t="str">
        <x:v>역삼1동</x:v>
      </x:c>
      <x:c r="F1055" s="12" t="n">
        <x:v>39799</x:v>
      </x:c>
      <x:c r="G1055" s="12" t="n">
        <x:v>1582849016</x:v>
      </x:c>
      <x:c r="H1055" s="12" t="n">
        <x:v>83420</x:v>
      </x:c>
      <x:c r="I1055" s="12" t="n">
        <x:v>18974.454759050586</x:v>
      </x:c>
      <x:c r="J1055" s="12" t="n">
        <x:v>39771.07505213699</x:v>
      </x:c>
      <x:c r="K1055" s="12" t="n">
        <x:v>645</x:v>
      </x:c>
      <x:c r="L1055" s="12" t="n">
        <x:v>162.0643734767205</x:v>
      </x:c>
      <x:c r="M1055" s="12" t="n">
        <x:v>2</x:v>
      </x:c>
      <x:c r="N1055" s="14" t="n">
        <x:v>0.6024464565861031</x:v>
      </x:c>
      <x:c r="O1055" s="14" t="n">
        <x:v>0.3975535434138969</x:v>
      </x:c>
      <x:c r="P1055" s="14" t="n">
        <x:v>0.41903681987063257</x:v>
      </x:c>
      <x:c r="Q1055" s="14" t="n">
        <x:v>0.2160679297538256</x:v>
      </x:c>
      <x:c r="R1055" s="14" t="n">
        <x:v>0.7910636645333707</x:v>
      </x:c>
      <x:c r="S1055" s="14" t="n">
        <x:v>0.7492221974505748</x:v>
      </x:c>
      <x:c r="T1055" t="str">
        <x:v>2030소비·여성소비</x:v>
      </x:c>
      <x:c r="U1055" s="16" t="n">
        <x:v>56.48341495950606</x:v>
      </x:c>
      <x:c r="V1055" t="str">
        <x:v>피부관리실</x:v>
      </x:c>
      <x:c r="W1055" t="str">
        <x:v>피부관리실 / 커피-음료</x:v>
      </x:c>
      <x:c r="X1055" s="16" t="n">
        <x:v>53.01869863643479</x:v>
      </x:c>
    </x:row>
    <x:row r="1056">
      <x:c r="A1056" t="str">
        <x:v>3110934</x:v>
      </x:c>
      <x:c r="B1056" t="str">
        <x:v>우면주공아파트</x:v>
      </x:c>
      <x:c r="C1056" t="str">
        <x:v>골목상권</x:v>
      </x:c>
      <x:c r="D1056" t="str">
        <x:v>서초구</x:v>
      </x:c>
      <x:c r="E1056" t="str">
        <x:v>양재1동</x:v>
      </x:c>
      <x:c r="F1056" s="12" t="n">
        <x:v>80617</x:v>
      </x:c>
      <x:c r="G1056" s="12" t="n">
        <x:v>1577238742</x:v>
      </x:c>
      <x:c r="H1056" s="12" t="n">
        <x:v>63149</x:v>
      </x:c>
      <x:c r="I1056" s="12" t="n">
        <x:v>24976.464267050942</x:v>
      </x:c>
      <x:c r="J1056" s="12" t="n">
        <x:v>19564.592356450874</x:v>
      </x:c>
      <x:c r="K1056" s="12" t="n">
        <x:v>681</x:v>
      </x:c>
      <x:c r="L1056" s="12" t="n">
        <x:v>84.47349814555243</x:v>
      </x:c>
      <x:c r="M1056" s="12" t="n">
        <x:v>12</x:v>
      </x:c>
      <x:c r="N1056" s="14" t="n">
        <x:v>0.8501630503316663</x:v>
      </x:c>
      <x:c r="O1056" s="14" t="n">
        <x:v>0.14983694966833372</x:v>
      </x:c>
      <x:c r="P1056" s="14" t="n">
        <x:v>0.3482507317208671</x:v>
      </x:c>
      <x:c r="Q1056" s="14" t="n">
        <x:v>0.443904458060795</x:v>
      </x:c>
      <x:c r="R1056" s="14" t="n">
        <x:v>0.11887575482849762</x:v>
      </x:c>
      <x:c r="S1056" s="14" t="n">
        <x:v>0.3738667966349003</x:v>
      </x:c>
      <x:c r="T1056" t="str">
        <x:v>평일집중</x:v>
      </x:c>
      <x:c r="U1056" s="16" t="n">
        <x:v>58.60936082935545</x:v>
      </x:c>
      <x:c r="V1056" t="str">
        <x:v>일반교습학원</x:v>
      </x:c>
      <x:c r="W1056" t="str">
        <x:v>일반교습학원 / 미용실 / 중식음식점</x:v>
      </x:c>
      <x:c r="X1056" s="16" t="n">
        <x:v>51.3425284822431</x:v>
      </x:c>
    </x:row>
    <x:row r="1057">
      <x:c r="A1057" t="str">
        <x:v>3110897</x:v>
      </x:c>
      <x:c r="B1057" t="str">
        <x:v>서울대입구역 8번</x:v>
      </x:c>
      <x:c r="C1057" t="str">
        <x:v>골목상권</x:v>
      </x:c>
      <x:c r="D1057" t="str">
        <x:v>관악구</x:v>
      </x:c>
      <x:c r="E1057" t="str">
        <x:v>행운동</x:v>
      </x:c>
      <x:c r="F1057" s="12" t="n">
        <x:v>115911</x:v>
      </x:c>
      <x:c r="G1057" s="12" t="n">
        <x:v>1576646112</x:v>
      </x:c>
      <x:c r="H1057" s="12" t="n">
        <x:v>95300</x:v>
      </x:c>
      <x:c r="I1057" s="12" t="n">
        <x:v>16544.03055613851</x:v>
      </x:c>
      <x:c r="J1057" s="12" t="n">
        <x:v>13602.213008256334</x:v>
      </x:c>
      <x:c r="K1057" s="12" t="n">
        <x:v>422</x:v>
      </x:c>
      <x:c r="L1057" s="12" t="n">
        <x:v>36.40724348853862</x:v>
      </x:c>
      <x:c r="M1057" s="12" t="n">
        <x:v>11</x:v>
      </x:c>
      <x:c r="N1057" s="14" t="n">
        <x:v>0.7071543864625977</x:v>
      </x:c>
      <x:c r="O1057" s="14" t="n">
        <x:v>0.29284561353740235</x:v>
      </x:c>
      <x:c r="P1057" s="14" t="n">
        <x:v>0.5786711127220919</x:v>
      </x:c>
      <x:c r="Q1057" s="14" t="n">
        <x:v>0.16958779777208496</x:v>
      </x:c>
      <x:c r="R1057" s="14" t="n">
        <x:v>0.4707759505133642</x:v>
      </x:c>
      <x:c r="S1057" s="14" t="n">
        <x:v>0.31368005428475</x:v>
      </x:c>
      <x:c r="T1057" t="str">
        <x:v>2030소비·야간활성</x:v>
      </x:c>
      <x:c r="U1057" s="16" t="n">
        <x:v>60.56084829694373</x:v>
      </x:c>
      <x:c r="V1057" t="str">
        <x:v>피부관리실</x:v>
      </x:c>
      <x:c r="W1057" t="str">
        <x:v>피부관리실 / 일반의류 / 예술학원</x:v>
      </x:c>
      <x:c r="X1057" s="16" t="n">
        <x:v>54.38921107896947</x:v>
      </x:c>
    </x:row>
    <x:row r="1058">
      <x:c r="A1058" t="str">
        <x:v>3110653</x:v>
      </x:c>
      <x:c r="B1058" t="str">
        <x:v>화곡역 2번</x:v>
      </x:c>
      <x:c r="C1058" t="str">
        <x:v>골목상권</x:v>
      </x:c>
      <x:c r="D1058" t="str">
        <x:v>강서구</x:v>
      </x:c>
      <x:c r="E1058" t="str">
        <x:v>우장산동</x:v>
      </x:c>
      <x:c r="F1058" s="12" t="n">
        <x:v>122821</x:v>
      </x:c>
      <x:c r="G1058" s="12" t="n">
        <x:v>1575448249</x:v>
      </x:c>
      <x:c r="H1058" s="12" t="n">
        <x:v>54335</x:v>
      </x:c>
      <x:c r="I1058" s="12" t="n">
        <x:v>28995.090622987023</x:v>
      </x:c>
      <x:c r="J1058" s="12" t="n">
        <x:v>12827.189560417193</x:v>
      </x:c>
      <x:c r="K1058" s="12" t="n">
        <x:v>602</x:v>
      </x:c>
      <x:c r="L1058" s="12" t="n">
        <x:v>49.014419358253065</x:v>
      </x:c>
      <x:c r="M1058" s="12" t="n">
        <x:v>15</x:v>
      </x:c>
      <x:c r="N1058" s="14" t="n">
        <x:v>0.7544633717765489</x:v>
      </x:c>
      <x:c r="O1058" s="14" t="n">
        <x:v>0.2455366282234511</x:v>
      </x:c>
      <x:c r="P1058" s="14" t="n">
        <x:v>0.3292181595486987</x:v>
      </x:c>
      <x:c r="Q1058" s="14" t="n">
        <x:v>0.2289389786233467</x:v>
      </x:c>
      <x:c r="R1058" s="14" t="n">
        <x:v>0.18888592512568148</x:v>
      </x:c>
      <x:c r="S1058" s="14" t="n">
        <x:v>0.5362553378292529</x:v>
      </x:c>
      <x:c r="T1058" t="str">
        <x:v>여성소비</x:v>
      </x:c>
      <x:c r="U1058" s="16" t="n">
        <x:v>78.39170333436036</x:v>
      </x:c>
      <x:c r="V1058" t="str">
        <x:v>철물점</x:v>
      </x:c>
      <x:c r="W1058" t="str">
        <x:v>철물점 / 호프-간이주점 / 일반의류</x:v>
      </x:c>
      <x:c r="X1058" s="16" t="n">
        <x:v>59.80022999586042</x:v>
      </x:c>
    </x:row>
    <x:row r="1059">
      <x:c r="A1059" t="str">
        <x:v>3110864</x:v>
      </x:c>
      <x:c r="B1059" t="str">
        <x:v>신림우방아파트</x:v>
      </x:c>
      <x:c r="C1059" t="str">
        <x:v>골목상권</x:v>
      </x:c>
      <x:c r="D1059" t="str">
        <x:v>관악구</x:v>
      </x:c>
      <x:c r="E1059" t="str">
        <x:v>신사동</x:v>
      </x:c>
      <x:c r="F1059" s="12" t="n">
        <x:v>106563</x:v>
      </x:c>
      <x:c r="G1059" s="12" t="n">
        <x:v>1574874249</x:v>
      </x:c>
      <x:c r="H1059" s="12" t="n">
        <x:v>202851</x:v>
      </x:c>
      <x:c r="I1059" s="12" t="n">
        <x:v>7763.699705695313</x:v>
      </x:c>
      <x:c r="J1059" s="12" t="n">
        <x:v>14778.809239604741</x:v>
      </x:c>
      <x:c r="K1059" s="12" t="n">
        <x:v>239</x:v>
      </x:c>
      <x:c r="L1059" s="12" t="n">
        <x:v>22.428047258429284</x:v>
      </x:c>
      <x:c r="M1059" s="12" t="n">
        <x:v>5</x:v>
      </x:c>
      <x:c r="N1059" s="14" t="n">
        <x:v>0.690359481520737</x:v>
      </x:c>
      <x:c r="O1059" s="14" t="n">
        <x:v>0.30964051847926305</x:v>
      </x:c>
      <x:c r="P1059" s="14" t="n">
        <x:v>0.49586110351087465</x:v>
      </x:c>
      <x:c r="Q1059" s="14" t="n">
        <x:v>0.13516477594015192</x:v>
      </x:c>
      <x:c r="R1059" s="14" t="n">
        <x:v>0.48407123012143427</x:v>
      </x:c>
      <x:c r="S1059" s="14" t="n">
        <x:v>0.3373611285709707</x:v>
      </x:c>
      <x:c r="T1059" t="str">
        <x:v>2030소비·야간활성</x:v>
      </x:c>
      <x:c r="U1059" s="16" t="n">
        <x:v>47.62222923155632</x:v>
      </x:c>
      <x:c r="V1059" t="str">
        <x:v>미용실</x:v>
      </x:c>
      <x:c r="W1059" t="str">
        <x:v>미용실 / 자동차수리 / 슈퍼마켓</x:v>
      </x:c>
      <x:c r="X1059" s="16" t="n">
        <x:v>43.08237900058718</x:v>
      </x:c>
    </x:row>
    <x:row r="1060">
      <x:c r="A1060" t="str">
        <x:v>3110270</x:v>
      </x:c>
      <x:c r="B1060" t="str">
        <x:v>혜원여고</x:v>
      </x:c>
      <x:c r="C1060" t="str">
        <x:v>골목상권</x:v>
      </x:c>
      <x:c r="D1060" t="str">
        <x:v>중랑구</x:v>
      </x:c>
      <x:c r="E1060" t="str">
        <x:v>망우3동</x:v>
      </x:c>
      <x:c r="F1060" s="12" t="n">
        <x:v>35644</x:v>
      </x:c>
      <x:c r="G1060" s="12" t="n">
        <x:v>1567745103</x:v>
      </x:c>
      <x:c r="H1060" s="12" t="n">
        <x:v>75866</x:v>
      </x:c>
      <x:c r="I1060" s="12" t="n">
        <x:v>20664.660098067645</x:v>
      </x:c>
      <x:c r="J1060" s="12" t="n">
        <x:v>43983.422259005725</x:v>
      </x:c>
      <x:c r="K1060" s="12" t="n">
        <x:v>54</x:v>
      </x:c>
      <x:c r="L1060" s="12" t="n">
        <x:v>15.149814835596453</x:v>
      </x:c>
      <x:c r="M1060" s="12" t="n">
        <x:v>7</x:v>
      </x:c>
      <x:c r="N1060" s="14" t="n">
        <x:v>0.7066148188759483</x:v>
      </x:c>
      <x:c r="O1060" s="14" t="n">
        <x:v>0.29338518112405165</x:v>
      </x:c>
      <x:c r="P1060" s="14" t="n">
        <x:v>0.5218146428488637</x:v>
      </x:c>
      <x:c r="Q1060" s="14" t="n">
        <x:v>0.13287490651469763</x:v>
      </x:c>
      <x:c r="R1060" s="14" t="n">
        <x:v>0.16884237335104596</x:v>
      </x:c>
      <x:c r="S1060" s="14" t="n">
        <x:v>0.3334560924474468</x:v>
      </x:c>
      <x:c r="T1060" t="str">
        <x:v>야간활성</x:v>
      </x:c>
      <x:c r="U1060" s="16" t="n">
        <x:v>68.81992997057573</x:v>
      </x:c>
      <x:c r="V1060" t="str">
        <x:v>호프-간이주점</x:v>
      </x:c>
      <x:c r="W1060" t="str">
        <x:v>호프-간이주점 / 일반의류 / 슈퍼마켓</x:v>
      </x:c>
      <x:c r="X1060" s="16" t="n">
        <x:v>55.85142988521578</x:v>
      </x:c>
    </x:row>
    <x:row r="1061">
      <x:c r="A1061" t="str">
        <x:v>3110261</x:v>
      </x:c>
      <x:c r="B1061" t="str">
        <x:v>사가정역 4번</x:v>
      </x:c>
      <x:c r="C1061" t="str">
        <x:v>골목상권</x:v>
      </x:c>
      <x:c r="D1061" t="str">
        <x:v>중랑구</x:v>
      </x:c>
      <x:c r="E1061" t="str">
        <x:v>면목7동</x:v>
      </x:c>
      <x:c r="F1061" s="12" t="n">
        <x:v>109503</x:v>
      </x:c>
      <x:c r="G1061" s="12" t="n">
        <x:v>1563860762</x:v>
      </x:c>
      <x:c r="H1061" s="12" t="n">
        <x:v>137980</x:v>
      </x:c>
      <x:c r="I1061" s="12" t="n">
        <x:v>11333.96696622699</x:v>
      </x:c>
      <x:c r="J1061" s="12" t="n">
        <x:v>14281.442170534141</x:v>
      </x:c>
      <x:c r="K1061" s="12" t="n">
        <x:v>204</x:v>
      </x:c>
      <x:c r="L1061" s="12" t="n">
        <x:v>18.629626585572996</x:v>
      </x:c>
      <x:c r="M1061" s="12" t="n">
        <x:v>14</x:v>
      </x:c>
      <x:c r="N1061" s="14" t="n">
        <x:v>0.7305198517411232</x:v>
      </x:c>
      <x:c r="O1061" s="14" t="n">
        <x:v>0.2694801482588768</x:v>
      </x:c>
      <x:c r="P1061" s="14" t="n">
        <x:v>0.49578463878614787</x:v>
      </x:c>
      <x:c r="Q1061" s="14" t="n">
        <x:v>0.18363525767647593</x:v>
      </x:c>
      <x:c r="R1061" s="14" t="n">
        <x:v>0.3119803468795005</x:v>
      </x:c>
      <x:c r="S1061" s="14" t="n">
        <x:v>0.4087915820475071</x:v>
      </x:c>
      <x:c r="T1061" t="str">
        <x:v>야간활성·2030소비</x:v>
      </x:c>
      <x:c r="U1061" s="16" t="n">
        <x:v>62.880845585408686</x:v>
      </x:c>
      <x:c r="V1061" t="str">
        <x:v>예술학원</x:v>
      </x:c>
      <x:c r="W1061" t="str">
        <x:v>예술학원 / 일반교습학원 / 커피-음료</x:v>
      </x:c>
      <x:c r="X1061" s="16" t="n">
        <x:v>52.6778495276519</x:v>
      </x:c>
    </x:row>
    <x:row r="1062">
      <x:c r="A1062" t="str">
        <x:v>3110454</x:v>
      </x:c>
      <x:c r="B1062" t="str">
        <x:v>선정중학교</x:v>
      </x:c>
      <x:c r="C1062" t="str">
        <x:v>골목상권</x:v>
      </x:c>
      <x:c r="D1062" t="str">
        <x:v>은평구</x:v>
      </x:c>
      <x:c r="E1062" t="str">
        <x:v>갈현2동</x:v>
      </x:c>
      <x:c r="F1062" s="12" t="n">
        <x:v>117225</x:v>
      </x:c>
      <x:c r="G1062" s="12" t="n">
        <x:v>1545916599</x:v>
      </x:c>
      <x:c r="H1062" s="12" t="n">
        <x:v>122458</x:v>
      </x:c>
      <x:c r="I1062" s="12" t="n">
        <x:v>12624.055586405135</x:v>
      </x:c>
      <x:c r="J1062" s="12" t="n">
        <x:v>13187.601612284068</x:v>
      </x:c>
      <x:c r="K1062" s="12" t="n">
        <x:v>268</x:v>
      </x:c>
      <x:c r="L1062" s="12" t="n">
        <x:v>22.862017487737255</x:v>
      </x:c>
      <x:c r="M1062" s="12" t="n">
        <x:v>10</x:v>
      </x:c>
      <x:c r="N1062" s="14" t="n">
        <x:v>0.685797938702384</x:v>
      </x:c>
      <x:c r="O1062" s="14" t="n">
        <x:v>0.31420206129761596</x:v>
      </x:c>
      <x:c r="P1062" s="14" t="n">
        <x:v>0.4951635240188012</x:v>
      </x:c>
      <x:c r="Q1062" s="14" t="n">
        <x:v>0.14590662791634854</x:v>
      </x:c>
      <x:c r="R1062" s="14" t="n">
        <x:v>0.21154190349695573</x:v>
      </x:c>
      <x:c r="S1062" s="14" t="n">
        <x:v>0.4270166058291997</x:v>
      </x:c>
      <x:c r="T1062" t="str">
        <x:v>야간활성</x:v>
      </x:c>
      <x:c r="U1062" s="16" t="n">
        <x:v>50.21351522816736</x:v>
      </x:c>
      <x:c r="V1062" t="str">
        <x:v>슈퍼마켓</x:v>
      </x:c>
      <x:c r="W1062" t="str">
        <x:v>슈퍼마켓 / 세탁소 / 육류판매</x:v>
      </x:c>
      <x:c r="X1062" s="16" t="n">
        <x:v>45.88014243919149</x:v>
      </x:c>
    </x:row>
    <x:row r="1063">
      <x:c r="A1063" t="str">
        <x:v>3110849</x:v>
      </x:c>
      <x:c r="B1063" t="str">
        <x:v>이수역 10번</x:v>
      </x:c>
      <x:c r="C1063" t="str">
        <x:v>골목상권</x:v>
      </x:c>
      <x:c r="D1063" t="str">
        <x:v>동작구</x:v>
      </x:c>
      <x:c r="E1063" t="str">
        <x:v>사당3동</x:v>
      </x:c>
      <x:c r="F1063" s="12" t="n">
        <x:v>119168</x:v>
      </x:c>
      <x:c r="G1063" s="12" t="n">
        <x:v>1542580457</x:v>
      </x:c>
      <x:c r="H1063" s="12" t="n">
        <x:v>24807</x:v>
      </x:c>
      <x:c r="I1063" s="12" t="n">
        <x:v>62183.273148708024</x:v>
      </x:c>
      <x:c r="J1063" s="12" t="n">
        <x:v>12944.58627316058</x:v>
      </x:c>
      <x:c r="K1063" s="12" t="n">
        <x:v>904</x:v>
      </x:c>
      <x:c r="L1063" s="12" t="n">
        <x:v>75.85929108485499</x:v>
      </x:c>
      <x:c r="M1063" s="12" t="n">
        <x:v>9</x:v>
      </x:c>
      <x:c r="N1063" s="14" t="n">
        <x:v>0.740263797468815</x:v>
      </x:c>
      <x:c r="O1063" s="14" t="n">
        <x:v>0.25973620253118507</x:v>
      </x:c>
      <x:c r="P1063" s="14" t="n">
        <x:v>0.527230589697533</x:v>
      </x:c>
      <x:c r="Q1063" s="14" t="n">
        <x:v>0.19480287763038864</x:v>
      </x:c>
      <x:c r="R1063" s="14" t="n">
        <x:v>0.2178162289527826</x:v>
      </x:c>
      <x:c r="S1063" s="14" t="n">
        <x:v>0.3990326230354933</x:v>
      </x:c>
      <x:c r="T1063" t="str">
        <x:v>야간활성</x:v>
      </x:c>
      <x:c r="U1063" s="16" t="n">
        <x:v>67.2535831234982</x:v>
      </x:c>
      <x:c r="V1063" t="str">
        <x:v>일반교습학원</x:v>
      </x:c>
      <x:c r="W1063" t="str">
        <x:v>일반교습학원 / 한식음식점 / 일반의류</x:v>
      </x:c>
      <x:c r="X1063" s="16" t="n">
        <x:v>58.101044514342256</x:v>
      </x:c>
    </x:row>
    <x:row r="1064">
      <x:c r="A1064" t="str">
        <x:v>3110622</x:v>
      </x:c>
      <x:c r="B1064" t="str">
        <x:v>달마을공원</x:v>
      </x:c>
      <x:c r="C1064" t="str">
        <x:v>골목상권</x:v>
      </x:c>
      <x:c r="D1064" t="str">
        <x:v>양천구</x:v>
      </x:c>
      <x:c r="E1064" t="str">
        <x:v>목2동</x:v>
      </x:c>
      <x:c r="F1064" s="12" t="n">
        <x:v>90372</x:v>
      </x:c>
      <x:c r="G1064" s="12" t="n">
        <x:v>1541873143</x:v>
      </x:c>
      <x:c r="H1064" s="12" t="n">
        <x:v>55086</x:v>
      </x:c>
      <x:c r="I1064" s="12" t="n">
        <x:v>27990.290509385326</x:v>
      </x:c>
      <x:c r="J1064" s="12" t="n">
        <x:v>17061.40334395609</x:v>
      </x:c>
      <x:c r="K1064" s="12" t="n">
        <x:v>615</x:v>
      </x:c>
      <x:c r="L1064" s="12" t="n">
        <x:v>68.05205152038242</x:v>
      </x:c>
      <x:c r="M1064" s="12" t="n">
        <x:v>11</x:v>
      </x:c>
      <x:c r="N1064" s="14" t="n">
        <x:v>0.7613099594666201</x:v>
      </x:c>
      <x:c r="O1064" s="14" t="n">
        <x:v>0.23869004053338</x:v>
      </x:c>
      <x:c r="P1064" s="14" t="n">
        <x:v>0.5151046424316634</x:v>
      </x:c>
      <x:c r="Q1064" s="14" t="n">
        <x:v>0.20794857570198952</x:v>
      </x:c>
      <x:c r="R1064" s="14" t="n">
        <x:v>0.312924460219358</x:v>
      </x:c>
      <x:c r="S1064" s="14" t="n">
        <x:v>0.4252249628813983</x:v>
      </x:c>
      <x:c r="T1064" t="str">
        <x:v>야간활성·2030소비</x:v>
      </x:c>
      <x:c r="U1064" s="16" t="n">
        <x:v>76.72599113858348</x:v>
      </x:c>
      <x:c r="V1064" t="str">
        <x:v>피부관리실</x:v>
      </x:c>
      <x:c r="W1064" t="str">
        <x:v>피부관리실 / 스포츠클럽 / 미용실</x:v>
      </x:c>
      <x:c r="X1064" s="16" t="n">
        <x:v>57.92645896290319</x:v>
      </x:c>
    </x:row>
    <x:row r="1065">
      <x:c r="A1065" t="str">
        <x:v>3110631</x:v>
      </x:c>
      <x:c r="B1065" t="str">
        <x:v>방화초등학교</x:v>
      </x:c>
      <x:c r="C1065" t="str">
        <x:v>골목상권</x:v>
      </x:c>
      <x:c r="D1065" t="str">
        <x:v>강서구</x:v>
      </x:c>
      <x:c r="E1065" t="str">
        <x:v>방화2동</x:v>
      </x:c>
      <x:c r="F1065" s="12" t="n">
        <x:v>91895</x:v>
      </x:c>
      <x:c r="G1065" s="12" t="n">
        <x:v>1540446556</x:v>
      </x:c>
      <x:c r="H1065" s="12" t="n">
        <x:v>6721</x:v>
      </x:c>
      <x:c r="I1065" s="12" t="n">
        <x:v>229199.01145662848</x:v>
      </x:c>
      <x:c r="J1065" s="12" t="n">
        <x:v>16763.11612166059</x:v>
      </x:c>
      <x:c r="K1065" s="12" t="n">
        <x:v>91</x:v>
      </x:c>
      <x:c r="L1065" s="12" t="n">
        <x:v>9.902606235377334</x:v>
      </x:c>
      <x:c r="M1065" s="12" t="n">
        <x:v>3</x:v>
      </x:c>
      <x:c r="N1065" s="14" t="n">
        <x:v>0.9872991458718287</x:v>
      </x:c>
      <x:c r="O1065" s="14" t="n">
        <x:v>0.01270085412817139</x:v>
      </x:c>
      <x:c r="P1065" s="14" t="n">
        <x:v>0.09207335135877313</x:v>
      </x:c>
      <x:c r="Q1065" s="14" t="n">
        <x:v>0.4160555427928783</x:v>
      </x:c>
      <x:c r="R1065" s="14" t="n">
        <x:v>0.01383816719701894</x:v>
      </x:c>
      <x:c r="S1065" s="14" t="n">
        <x:v>0.08749389550389569</x:v>
      </x:c>
      <x:c r="T1065" t="str">
        <x:v>평일집중</x:v>
      </x:c>
      <x:c r="U1065" s="16" t="n">
        <x:v>74.6488790869079</x:v>
      </x:c>
      <x:c r="V1065" t="str">
        <x:v>서적</x:v>
      </x:c>
      <x:c r="W1065" t="str">
        <x:v>서적 / 일반교습학원 / 미용실</x:v>
      </x:c>
      <x:c r="X1065" s="16" t="n">
        <x:v>59.15810790350691</x:v>
      </x:c>
    </x:row>
    <x:row r="1066">
      <x:c r="A1066" t="str">
        <x:v>3111056</x:v>
      </x:c>
      <x:c r="B1066" t="str">
        <x:v>천호태영아파트</x:v>
      </x:c>
      <x:c r="C1066" t="str">
        <x:v>골목상권</x:v>
      </x:c>
      <x:c r="D1066" t="str">
        <x:v>강동구</x:v>
      </x:c>
      <x:c r="E1066" t="str">
        <x:v>천호3동</x:v>
      </x:c>
      <x:c r="F1066" s="12" t="n">
        <x:v>31985</x:v>
      </x:c>
      <x:c r="G1066" s="12" t="n">
        <x:v>1535736018</x:v>
      </x:c>
      <x:c r="H1066" s="12" t="n">
        <x:v>56474</x:v>
      </x:c>
      <x:c r="I1066" s="12" t="n">
        <x:v>27193.682367106987</x:v>
      </x:c>
      <x:c r="J1066" s="12" t="n">
        <x:v>48014.25724558387</x:v>
      </x:c>
      <x:c r="K1066" s="12" t="n">
        <x:v>265</x:v>
      </x:c>
      <x:c r="L1066" s="12" t="n">
        <x:v>82.85133656401439</x:v>
      </x:c>
      <x:c r="M1066" s="12" t="n">
        <x:v>4</x:v>
      </x:c>
      <x:c r="N1066" s="14" t="n">
        <x:v>0.6740752400586075</x:v>
      </x:c>
      <x:c r="O1066" s="14" t="n">
        <x:v>0.3259247599413925</x:v>
      </x:c>
      <x:c r="P1066" s="14" t="n">
        <x:v>0.7004424421853991</x:v>
      </x:c>
      <x:c r="Q1066" s="14" t="n">
        <x:v>0.14496646128670793</x:v>
      </x:c>
      <x:c r="R1066" s="14" t="n">
        <x:v>0.36845209552153646</x:v>
      </x:c>
      <x:c r="S1066" s="14" t="n">
        <x:v>0.3053523076255675</x:v>
      </x:c>
      <x:c r="T1066" t="str">
        <x:v>야간활성·2030소비</x:v>
      </x:c>
      <x:c r="U1066" s="16" t="n">
        <x:v>55.20189351348967</x:v>
      </x:c>
      <x:c r="V1066" t="str">
        <x:v>한식음식점</x:v>
      </x:c>
      <x:c r="W1066" t="str">
        <x:v>한식음식점 / 편의점 / 커피-음료</x:v>
      </x:c>
      <x:c r="X1066" s="16" t="n">
        <x:v>35.515816033856105</x:v>
      </x:c>
    </x:row>
    <x:row r="1067">
      <x:c r="A1067" t="str">
        <x:v>3110967</x:v>
      </x:c>
      <x:c r="B1067" t="str">
        <x:v>역삼역 8번</x:v>
      </x:c>
      <x:c r="C1067" t="str">
        <x:v>골목상권</x:v>
      </x:c>
      <x:c r="D1067" t="str">
        <x:v>강남구</x:v>
      </x:c>
      <x:c r="E1067" t="str">
        <x:v>역삼1동</x:v>
      </x:c>
      <x:c r="F1067" s="12" t="n">
        <x:v>68672</x:v>
      </x:c>
      <x:c r="G1067" s="12" t="n">
        <x:v>1534223786</x:v>
      </x:c>
      <x:c r="H1067" s="12" t="n">
        <x:v>70544</x:v>
      </x:c>
      <x:c r="I1067" s="12" t="n">
        <x:v>21748.46600703107</x:v>
      </x:c>
      <x:c r="J1067" s="12" t="n">
        <x:v>22341.32959575955</x:v>
      </x:c>
      <x:c r="K1067" s="12" t="n">
        <x:v>862</x:v>
      </x:c>
      <x:c r="L1067" s="12" t="n">
        <x:v>125.52423112767941</x:v>
      </x:c>
      <x:c r="M1067" s="12" t="n">
        <x:v>9</x:v>
      </x:c>
      <x:c r="N1067" s="14" t="n">
        <x:v>0.8400353708243186</x:v>
      </x:c>
      <x:c r="O1067" s="14" t="n">
        <x:v>0.1599646291756814</x:v>
      </x:c>
      <x:c r="P1067" s="14" t="n">
        <x:v>0.4348113430956806</x:v>
      </x:c>
      <x:c r="Q1067" s="14" t="n">
        <x:v>0.3092399689858543</x:v>
      </x:c>
      <x:c r="R1067" s="14" t="n">
        <x:v>0.2728364973999953</x:v>
      </x:c>
      <x:c r="S1067" s="14" t="n">
        <x:v>0.2543384788847225</x:v>
      </x:c>
      <x:c r="T1067" t="str">
        <x:v>평일집중·2030소비</x:v>
      </x:c>
      <x:c r="U1067" s="16" t="n">
        <x:v>52.170157897304236</x:v>
      </x:c>
      <x:c r="V1067" t="str">
        <x:v>일반의류</x:v>
      </x:c>
      <x:c r="W1067" t="str">
        <x:v>일반의류 / 커피-음료 / 예술학원</x:v>
      </x:c>
      <x:c r="X1067" s="16" t="n">
        <x:v>46.818136458660845</x:v>
      </x:c>
    </x:row>
    <x:row r="1068">
      <x:c r="A1068" t="str">
        <x:v>3110120</x:v>
      </x:c>
      <x:c r="B1068" t="str">
        <x:v>서울숲카페거리</x:v>
      </x:c>
      <x:c r="C1068" t="str">
        <x:v>골목상권</x:v>
      </x:c>
      <x:c r="D1068" t="str">
        <x:v>성동구</x:v>
      </x:c>
      <x:c r="E1068" t="str">
        <x:v>성수1가2동</x:v>
      </x:c>
      <x:c r="F1068" s="12" t="n">
        <x:v>34852</x:v>
      </x:c>
      <x:c r="G1068" s="12" t="n">
        <x:v>1519953488</x:v>
      </x:c>
      <x:c r="H1068" s="12" t="n">
        <x:v>15728</x:v>
      </x:c>
      <x:c r="I1068" s="12" t="n">
        <x:v>96639.97253306206</x:v>
      </x:c>
      <x:c r="J1068" s="12" t="n">
        <x:v>43611.657523241134</x:v>
      </x:c>
      <x:c r="K1068" s="12" t="n">
        <x:v>228</x:v>
      </x:c>
      <x:c r="L1068" s="12" t="n">
        <x:v>65.41948812119821</x:v>
      </x:c>
      <x:c r="M1068" s="12" t="n">
        <x:v>4</x:v>
      </x:c>
      <x:c r="N1068" s="14" t="n">
        <x:v>0.5186002764053002</x:v>
      </x:c>
      <x:c r="O1068" s="14" t="n">
        <x:v>0.4813997235946999</x:v>
      </x:c>
      <x:c r="P1068" s="14" t="n">
        <x:v>0.35128548617798233</x:v>
      </x:c>
      <x:c r="Q1068" s="14" t="n">
        <x:v>0.21122522204442615</x:v>
      </x:c>
      <x:c r="R1068" s="14" t="n">
        <x:v>0.6191580824215326</x:v>
      </x:c>
      <x:c r="S1068" s="14" t="n">
        <x:v>0.6769640644424773</x:v>
      </x:c>
      <x:c r="T1068" t="str">
        <x:v>2030소비·여성소비</x:v>
      </x:c>
      <x:c r="U1068" s="16" t="n">
        <x:v>66.90553778488605</x:v>
      </x:c>
      <x:c r="V1068" t="str">
        <x:v>가방</x:v>
      </x:c>
      <x:c r="W1068" t="str">
        <x:v>가방 / 일반의류 / 커피-음료</x:v>
      </x:c>
      <x:c r="X1068" s="16" t="n">
        <x:v>49.14157565232316</x:v>
      </x:c>
    </x:row>
    <x:row r="1069">
      <x:c r="A1069" t="str">
        <x:v>3110508</x:v>
      </x:c>
      <x:c r="B1069" t="str">
        <x:v>서연중학교</x:v>
      </x:c>
      <x:c r="C1069" t="str">
        <x:v>골목상권</x:v>
      </x:c>
      <x:c r="D1069" t="str">
        <x:v>서대문구</x:v>
      </x:c>
      <x:c r="E1069" t="str">
        <x:v>연희동</x:v>
      </x:c>
      <x:c r="F1069" s="12" t="n">
        <x:v>171649</x:v>
      </x:c>
      <x:c r="G1069" s="12" t="n">
        <x:v>1519049864</x:v>
      </x:c>
      <x:c r="H1069" s="12" t="n">
        <x:v>96772</x:v>
      </x:c>
      <x:c r="I1069" s="12" t="n">
        <x:v>15697.204397966354</x:v>
      </x:c>
      <x:c r="J1069" s="12" t="n">
        <x:v>8849.744909670315</x:v>
      </x:c>
      <x:c r="K1069" s="12" t="n">
        <x:v>582</x:v>
      </x:c>
      <x:c r="L1069" s="12" t="n">
        <x:v>33.906402018071766</x:v>
      </x:c>
      <x:c r="M1069" s="12" t="n">
        <x:v>6</x:v>
      </x:c>
      <x:c r="N1069" s="14" t="n">
        <x:v>0.5902725843633004</x:v>
      </x:c>
      <x:c r="O1069" s="14" t="n">
        <x:v>0.4097274156366996</x:v>
      </x:c>
      <x:c r="P1069" s="14" t="n">
        <x:v>0.21699293276129084</x:v>
      </x:c>
      <x:c r="Q1069" s="14" t="n">
        <x:v>0.2541607824402531</x:v>
      </x:c>
      <x:c r="R1069" s="14" t="n">
        <x:v>0.5340180432681306</x:v>
      </x:c>
      <x:c r="S1069" s="14" t="n">
        <x:v>0.5875888416524028</x:v>
      </x:c>
      <x:c r="T1069" t="str">
        <x:v>2030소비·여성소비</x:v>
      </x:c>
      <x:c r="U1069" s="16" t="n">
        <x:v>54.82515045182532</x:v>
      </x:c>
      <x:c r="V1069" t="str">
        <x:v>일반의류</x:v>
      </x:c>
      <x:c r="W1069" t="str">
        <x:v>일반의류 / 커피-음료 / 분식전문점</x:v>
      </x:c>
      <x:c r="X1069" s="16" t="n">
        <x:v>51.18445025598347</x:v>
      </x:c>
    </x:row>
    <x:row r="1070">
      <x:c r="A1070" t="str">
        <x:v>3110679</x:v>
      </x:c>
      <x:c r="B1070" t="str">
        <x:v>염창역 2번</x:v>
      </x:c>
      <x:c r="C1070" t="str">
        <x:v>골목상권</x:v>
      </x:c>
      <x:c r="D1070" t="str">
        <x:v>강서구</x:v>
      </x:c>
      <x:c r="E1070" t="str">
        <x:v>염창동</x:v>
      </x:c>
      <x:c r="F1070" s="12" t="n">
        <x:v>69101</x:v>
      </x:c>
      <x:c r="G1070" s="12" t="n">
        <x:v>1516651078</x:v>
      </x:c>
      <x:c r="H1070" s="12" t="n">
        <x:v>34403</x:v>
      </x:c>
      <x:c r="I1070" s="12" t="n">
        <x:v>44084.8495189373</x:v>
      </x:c>
      <x:c r="J1070" s="12" t="n">
        <x:v>21948.323150171487</x:v>
      </x:c>
      <x:c r="K1070" s="12" t="n">
        <x:v>1154</x:v>
      </x:c>
      <x:c r="L1070" s="12" t="n">
        <x:v>167.00192471888974</x:v>
      </x:c>
      <x:c r="M1070" s="12" t="n">
        <x:v>4</x:v>
      </x:c>
      <x:c r="N1070" s="14" t="n">
        <x:v>0.7443152043175484</x:v>
      </x:c>
      <x:c r="O1070" s="14" t="n">
        <x:v>0.2556847956824516</x:v>
      </x:c>
      <x:c r="P1070" s="14" t="n">
        <x:v>0.29745330586841806</x:v>
      </x:c>
      <x:c r="Q1070" s="14" t="n">
        <x:v>0.36813784864497356</x:v>
      </x:c>
      <x:c r="R1070" s="14" t="n">
        <x:v>0.21974375242556615</x:v>
      </x:c>
      <x:c r="S1070" s="14" t="n">
        <x:v>0.20024966085178889</x:v>
      </x:c>
      <x:c r="T1070" t="str">
        <x:v>직장밀집</x:v>
      </x:c>
      <x:c r="U1070" s="16" t="n">
        <x:v>62.80726477572415</x:v>
      </x:c>
      <x:c r="V1070" t="str">
        <x:v>당구장</x:v>
      </x:c>
      <x:c r="W1070" t="str">
        <x:v>당구장 / 자동차수리 / 한식음식점</x:v>
      </x:c>
      <x:c r="X1070" s="16" t="n">
        <x:v>54.252586402459066</x:v>
      </x:c>
    </x:row>
    <x:row r="1071">
      <x:c r="A1071" t="str">
        <x:v>3110670</x:v>
      </x:c>
      <x:c r="B1071" t="str">
        <x:v>신곡초등학교</x:v>
      </x:c>
      <x:c r="C1071" t="str">
        <x:v>골목상권</x:v>
      </x:c>
      <x:c r="D1071" t="str">
        <x:v>강서구</x:v>
      </x:c>
      <x:c r="E1071" t="str">
        <x:v>화곡4동</x:v>
      </x:c>
      <x:c r="F1071" s="12" t="n">
        <x:v>146128</x:v>
      </x:c>
      <x:c r="G1071" s="12" t="n">
        <x:v>1514626559</x:v>
      </x:c>
      <x:c r="H1071" s="12" t="n">
        <x:v>96515</x:v>
      </x:c>
      <x:c r="I1071" s="12" t="n">
        <x:v>15693.172657099933</x:v>
      </x:c>
      <x:c r="J1071" s="12" t="n">
        <x:v>10365.067331380707</x:v>
      </x:c>
      <x:c r="K1071" s="12" t="n">
        <x:v>342</x:v>
      </x:c>
      <x:c r="L1071" s="12" t="n">
        <x:v>23.40413883718384</x:v>
      </x:c>
      <x:c r="M1071" s="12" t="n">
        <x:v>9</x:v>
      </x:c>
      <x:c r="N1071" s="14" t="n">
        <x:v>0.7851314562878994</x:v>
      </x:c>
      <x:c r="O1071" s="14" t="n">
        <x:v>0.2148685437121006</x:v>
      </x:c>
      <x:c r="P1071" s="14" t="n">
        <x:v>0.6133560358358935</x:v>
      </x:c>
      <x:c r="Q1071" s="14" t="n">
        <x:v>0.10760386646567446</x:v>
      </x:c>
      <x:c r="R1071" s="14" t="n">
        <x:v>0.26058581810461967</x:v>
      </x:c>
      <x:c r="S1071" s="14" t="n">
        <x:v>0.4516221513054823</x:v>
      </x:c>
      <x:c r="T1071" t="str">
        <x:v>야간활성·평일집중</x:v>
      </x:c>
      <x:c r="U1071" s="16" t="n">
        <x:v>68.5850773185926</x:v>
      </x:c>
      <x:c r="V1071" t="str">
        <x:v>일반교습학원</x:v>
      </x:c>
      <x:c r="W1071" t="str">
        <x:v>일반교습학원 / 예술학원 / 미용실</x:v>
      </x:c>
      <x:c r="X1071" s="16" t="n">
        <x:v>52.38489230276525</x:v>
      </x:c>
    </x:row>
    <x:row r="1072">
      <x:c r="A1072" t="str">
        <x:v>3110459</x:v>
      </x:c>
      <x:c r="B1072" t="str">
        <x:v>응암역 2번</x:v>
      </x:c>
      <x:c r="C1072" t="str">
        <x:v>골목상권</x:v>
      </x:c>
      <x:c r="D1072" t="str">
        <x:v>은평구</x:v>
      </x:c>
      <x:c r="E1072" t="str">
        <x:v>신사1동</x:v>
      </x:c>
      <x:c r="F1072" s="12" t="n">
        <x:v>104660</x:v>
      </x:c>
      <x:c r="G1072" s="12" t="n">
        <x:v>1504860360</x:v>
      </x:c>
      <x:c r="H1072" s="12" t="n">
        <x:v>49202</x:v>
      </x:c>
      <x:c r="I1072" s="12" t="n">
        <x:v>30585.349376041624</x:v>
      </x:c>
      <x:c r="J1072" s="12" t="n">
        <x:v>14378.56258360405</x:v>
      </x:c>
      <x:c r="K1072" s="12" t="n">
        <x:v>616</x:v>
      </x:c>
      <x:c r="L1072" s="12" t="n">
        <x:v>58.857252054270965</x:v>
      </x:c>
      <x:c r="M1072" s="12" t="n">
        <x:v>12</x:v>
      </x:c>
      <x:c r="N1072" s="14" t="n">
        <x:v>0.8291889222199992</x:v>
      </x:c>
      <x:c r="O1072" s="14" t="n">
        <x:v>0.1708110777800008</x:v>
      </x:c>
      <x:c r="P1072" s="14" t="n">
        <x:v>0.35509904121602354</x:v>
      </x:c>
      <x:c r="Q1072" s="14" t="n">
        <x:v>0.21595871925286145</x:v>
      </x:c>
      <x:c r="R1072" s="14" t="n">
        <x:v>0.13925081327811706</x:v>
      </x:c>
      <x:c r="S1072" s="14" t="n">
        <x:v>0.5774039167328455</x:v>
      </x:c>
      <x:c r="T1072" t="str">
        <x:v>여성소비·평일집중</x:v>
      </x:c>
      <x:c r="U1072" s="16" t="n">
        <x:v>76.56147512967861</x:v>
      </x:c>
      <x:c r="V1072" t="str">
        <x:v>예술학원</x:v>
      </x:c>
      <x:c r="W1072" t="str">
        <x:v>예술학원 / 서적 / 분식전문점</x:v>
      </x:c>
      <x:c r="X1072" s="16" t="n">
        <x:v>59.63705714173234</x:v>
      </x:c>
    </x:row>
    <x:row r="1073">
      <x:c r="A1073" t="str">
        <x:v>3110530</x:v>
      </x:c>
      <x:c r="B1073" t="str">
        <x:v>아현역 1번</x:v>
      </x:c>
      <x:c r="C1073" t="str">
        <x:v>골목상권</x:v>
      </x:c>
      <x:c r="D1073" t="str">
        <x:v>서대문구</x:v>
      </x:c>
      <x:c r="E1073" t="str">
        <x:v>북아현동</x:v>
      </x:c>
      <x:c r="F1073" s="12" t="n">
        <x:v>17473</x:v>
      </x:c>
      <x:c r="G1073" s="12" t="n">
        <x:v>1500429878</x:v>
      </x:c>
      <x:c r="H1073" s="12" t="n">
        <x:v>40519</x:v>
      </x:c>
      <x:c r="I1073" s="12" t="n">
        <x:v>37030.27907895062</x:v>
      </x:c>
      <x:c r="J1073" s="12" t="n">
        <x:v>85871.3373776684</x:v>
      </x:c>
      <x:c r="K1073" s="12" t="n">
        <x:v>130</x:v>
      </x:c>
      <x:c r="L1073" s="12" t="n">
        <x:v>74.40050363417845</x:v>
      </x:c>
      <x:c r="M1073" s="12" t="n">
        <x:v>2</x:v>
      </x:c>
      <x:c r="N1073" s="14" t="n">
        <x:v>0.6513465589626175</x:v>
      </x:c>
      <x:c r="O1073" s="14" t="n">
        <x:v>0.3486534410373825</x:v>
      </x:c>
      <x:c r="P1073" s="14" t="n">
        <x:v>0.7487321583448233</x:v>
      </x:c>
      <x:c r="Q1073" s="14" t="n">
        <x:v>0.1353306808783769</x:v>
      </x:c>
      <x:c r="R1073" s="14" t="n">
        <x:v>0.25128870167700035</x:v>
      </x:c>
      <x:c r="S1073" s="14" t="n">
        <x:v>0.42177975610800256</x:v>
      </x:c>
      <x:c r="T1073" t="str">
        <x:v>야간활성·고매출밀도</x:v>
      </x:c>
      <x:c r="U1073" s="16" t="n">
        <x:v>60.77993295341847</x:v>
      </x:c>
      <x:c r="V1073" t="str">
        <x:v>한식음식점</x:v>
      </x:c>
      <x:c r="W1073" t="str">
        <x:v>한식음식점 / 미용실</x:v>
      </x:c>
      <x:c r="X1073" s="16" t="n">
        <x:v>56.500448340397035</x:v>
      </x:c>
    </x:row>
    <x:row r="1074">
      <x:c r="A1074" t="str">
        <x:v>3130201</x:v>
      </x:c>
      <x:c r="B1074" t="str">
        <x:v>월정로시장</x:v>
      </x:c>
      <x:c r="C1074" t="str">
        <x:v>전통시장</x:v>
      </x:c>
      <x:c r="D1074" t="str">
        <x:v>양천구</x:v>
      </x:c>
      <x:c r="E1074" t="str">
        <x:v>신월1동</x:v>
      </x:c>
      <x:c r="F1074" s="12" t="n">
        <x:v>34925</x:v>
      </x:c>
      <x:c r="G1074" s="12" t="n">
        <x:v>1495377042</x:v>
      </x:c>
      <x:c r="H1074" s="12" t="n">
        <x:v>93195</x:v>
      </x:c>
      <x:c r="I1074" s="12" t="n">
        <x:v>16045.678866892</x:v>
      </x:c>
      <x:c r="J1074" s="12" t="n">
        <x:v>42816.80864710093</x:v>
      </x:c>
      <x:c r="K1074" s="12" t="n">
        <x:v>74</x:v>
      </x:c>
      <x:c r="L1074" s="12" t="n">
        <x:v>21.188260558339298</x:v>
      </x:c>
      <x:c r="M1074" s="12" t="n">
        <x:v>5</x:v>
      </x:c>
      <x:c r="N1074" s="14" t="n">
        <x:v>0.6847879853969298</x:v>
      </x:c>
      <x:c r="O1074" s="14" t="n">
        <x:v>0.31521201460307025</x:v>
      </x:c>
      <x:c r="P1074" s="14" t="n">
        <x:v>0.412935319759978</x:v>
      </x:c>
      <x:c r="Q1074" s="14" t="n">
        <x:v>0.2010979094595462</x:v>
      </x:c>
      <x:c r="R1074" s="14" t="n">
        <x:v>0.11522381992006</x:v>
      </x:c>
      <x:c r="S1074" s="14" t="n">
        <x:v>0.43876722363108206</x:v>
      </x:c>
      <x:c r="T1074" t="str">
        <x:v>균형형</x:v>
      </x:c>
      <x:c r="U1074" s="16" t="n">
        <x:v>56.43246631156657</x:v>
      </x:c>
      <x:c r="V1074" t="str">
        <x:v>일반의류</x:v>
      </x:c>
      <x:c r="W1074" t="str">
        <x:v>일반의류 / 슈퍼마켓 / 한식음식점</x:v>
      </x:c>
      <x:c r="X1074" s="16" t="n">
        <x:v>43.91239819247196</x:v>
      </x:c>
    </x:row>
    <x:row r="1075">
      <x:c r="A1075" t="str">
        <x:v>3110905</x:v>
      </x:c>
      <x:c r="B1075" t="str">
        <x:v>방배노인종합복지관(이수중학교)</x:v>
      </x:c>
      <x:c r="C1075" t="str">
        <x:v>골목상권</x:v>
      </x:c>
      <x:c r="D1075" t="str">
        <x:v>서초구</x:v>
      </x:c>
      <x:c r="E1075" t="str">
        <x:v>방배2동</x:v>
      </x:c>
      <x:c r="F1075" s="12" t="n">
        <x:v>76869</x:v>
      </x:c>
      <x:c r="G1075" s="12" t="n">
        <x:v>1493579892</x:v>
      </x:c>
      <x:c r="H1075" s="12" t="n">
        <x:v>49816</x:v>
      </x:c>
      <x:c r="I1075" s="12" t="n">
        <x:v>29981.931347358277</x:v>
      </x:c>
      <x:c r="J1075" s="12" t="n">
        <x:v>19430.198025211725</x:v>
      </x:c>
      <x:c r="K1075" s="12" t="n">
        <x:v>360</x:v>
      </x:c>
      <x:c r="L1075" s="12" t="n">
        <x:v>46.832923545252314</x:v>
      </x:c>
      <x:c r="M1075" s="12" t="n">
        <x:v>9</x:v>
      </x:c>
      <x:c r="N1075" s="14" t="n">
        <x:v>0.7958035431291144</x:v>
      </x:c>
      <x:c r="O1075" s="14" t="n">
        <x:v>0.2041964568708856</x:v>
      </x:c>
      <x:c r="P1075" s="14" t="n">
        <x:v>0.22064271403568145</x:v>
      </x:c>
      <x:c r="Q1075" s="14" t="n">
        <x:v>0.3007031236866705</x:v>
      </x:c>
      <x:c r="R1075" s="14" t="n">
        <x:v>0.20807632297717088</x:v>
      </x:c>
      <x:c r="S1075" s="14" t="n">
        <x:v>0.3385659399329942</x:v>
      </x:c>
      <x:c r="T1075" t="str">
        <x:v>평일집중</x:v>
      </x:c>
      <x:c r="U1075" s="16" t="n">
        <x:v>66.30188924815826</x:v>
      </x:c>
      <x:c r="V1075" t="str">
        <x:v>육류판매</x:v>
      </x:c>
      <x:c r="W1075" t="str">
        <x:v>육류판매 / 미용실 / 컴퓨터및주변장치판매</x:v>
      </x:c>
      <x:c r="X1075" s="16" t="n">
        <x:v>59.10901955970282</x:v>
      </x:c>
    </x:row>
    <x:row r="1076">
      <x:c r="A1076" t="str">
        <x:v>3110618</x:v>
      </x:c>
      <x:c r="B1076" t="str">
        <x:v>강서고등학교</x:v>
      </x:c>
      <x:c r="C1076" t="str">
        <x:v>골목상권</x:v>
      </x:c>
      <x:c r="D1076" t="str">
        <x:v>양천구</x:v>
      </x:c>
      <x:c r="E1076" t="str">
        <x:v>목4동</x:v>
      </x:c>
      <x:c r="F1076" s="12" t="n">
        <x:v>123264</x:v>
      </x:c>
      <x:c r="G1076" s="12" t="n">
        <x:v>1493506043</x:v>
      </x:c>
      <x:c r="H1076" s="12" t="n">
        <x:v>152785</x:v>
      </x:c>
      <x:c r="I1076" s="12" t="n">
        <x:v>9775.213816801388</x:v>
      </x:c>
      <x:c r="J1076" s="12" t="n">
        <x:v>12116.3197932892</x:v>
      </x:c>
      <x:c r="K1076" s="12" t="n">
        <x:v>499</x:v>
      </x:c>
      <x:c r="L1076" s="12" t="n">
        <x:v>40.48221703011423</x:v>
      </x:c>
      <x:c r="M1076" s="12" t="n">
        <x:v>13</x:v>
      </x:c>
      <x:c r="N1076" s="14" t="n">
        <x:v>0.7153994555347105</x:v>
      </x:c>
      <x:c r="O1076" s="14" t="n">
        <x:v>0.28460054446528943</x:v>
      </x:c>
      <x:c r="P1076" s="14" t="n">
        <x:v>0.5413969228914597</x:v>
      </x:c>
      <x:c r="Q1076" s="14" t="n">
        <x:v>0.1446727711700327</x:v>
      </x:c>
      <x:c r="R1076" s="14" t="n">
        <x:v>0.33692318043068004</x:v>
      </x:c>
      <x:c r="S1076" s="14" t="n">
        <x:v>0.3491784525708812</x:v>
      </x:c>
      <x:c r="T1076" t="str">
        <x:v>야간활성·2030소비</x:v>
      </x:c>
      <x:c r="U1076" s="16" t="n">
        <x:v>52.87577767513872</x:v>
      </x:c>
      <x:c r="V1076" t="str">
        <x:v>편의점</x:v>
      </x:c>
      <x:c r="W1076" t="str">
        <x:v>편의점 / 일반의류 / 미용실</x:v>
      </x:c>
      <x:c r="X1076" s="16" t="n">
        <x:v>48.098563917064155</x:v>
      </x:c>
    </x:row>
    <x:row r="1077">
      <x:c r="A1077" t="str">
        <x:v>3110797</x:v>
      </x:c>
      <x:c r="B1077" t="str">
        <x:v>KT대방빌딩</x:v>
      </x:c>
      <x:c r="C1077" t="str">
        <x:v>골목상권</x:v>
      </x:c>
      <x:c r="D1077" t="str">
        <x:v>영등포구</x:v>
      </x:c>
      <x:c r="E1077" t="str">
        <x:v>신길6동</x:v>
      </x:c>
      <x:c r="F1077" s="12" t="n">
        <x:v>8947</x:v>
      </x:c>
      <x:c r="G1077" s="12" t="n">
        <x:v>1484334811</x:v>
      </x:c>
      <x:c r="H1077" s="12" t="n">
        <x:v>70138</x:v>
      </x:c>
      <x:c r="I1077" s="12" t="n">
        <x:v>21163.06155008697</x:v>
      </x:c>
      <x:c r="J1077" s="12" t="n">
        <x:v>165903.07488543645</x:v>
      </x:c>
      <x:c r="K1077" s="12" t="n">
        <x:v>53</x:v>
      </x:c>
      <x:c r="L1077" s="12" t="n">
        <x:v>59.237733318430756</x:v>
      </x:c>
      <x:c r="M1077" s="12" t="n">
        <x:v>5</x:v>
      </x:c>
      <x:c r="N1077" s="14" t="n">
        <x:v>0.7484665802936559</x:v>
      </x:c>
      <x:c r="O1077" s="14" t="n">
        <x:v>0.25153341970634413</x:v>
      </x:c>
      <x:c r="P1077" s="14" t="n">
        <x:v>0.17893326359506906</x:v>
      </x:c>
      <x:c r="Q1077" s="14" t="n">
        <x:v>0.3456149045338262</x:v>
      </x:c>
      <x:c r="R1077" s="14" t="n">
        <x:v>0.21087030748078306</x:v>
      </x:c>
      <x:c r="S1077" s="14" t="n">
        <x:v>0.6065559524225158</x:v>
      </x:c>
      <x:c r="T1077" t="str">
        <x:v>여성소비·고매출밀도</x:v>
      </x:c>
      <x:c r="U1077" s="16" t="n">
        <x:v>60.69935491234661</x:v>
      </x:c>
      <x:c r="V1077" t="str">
        <x:v>일반의원</x:v>
      </x:c>
      <x:c r="W1077" t="str">
        <x:v>일반의원 / 미용실 / 의약품</x:v>
      </x:c>
      <x:c r="X1077" s="16" t="n">
        <x:v>49.459643676793476</x:v>
      </x:c>
    </x:row>
    <x:row r="1078">
      <x:c r="A1078" t="str">
        <x:v>3130293</x:v>
      </x:c>
      <x:c r="B1078" t="str">
        <x:v>봉천중앙시장</x:v>
      </x:c>
      <x:c r="C1078" t="str">
        <x:v>전통시장</x:v>
      </x:c>
      <x:c r="D1078" t="str">
        <x:v>관악구</x:v>
      </x:c>
      <x:c r="E1078" t="str">
        <x:v>중앙동</x:v>
      </x:c>
      <x:c r="F1078" s="12" t="n">
        <x:v>17101</x:v>
      </x:c>
      <x:c r="G1078" s="12" t="n">
        <x:v>1481700023</x:v>
      </x:c>
      <x:c r="H1078" s="12" t="n">
        <x:v>83963</x:v>
      </x:c>
      <x:c r="I1078" s="12" t="n">
        <x:v>17647.059097459594</x:v>
      </x:c>
      <x:c r="J1078" s="12" t="n">
        <x:v>86644.05724811414</x:v>
      </x:c>
      <x:c r="K1078" s="12" t="n">
        <x:v>127</x:v>
      </x:c>
      <x:c r="L1078" s="12" t="n">
        <x:v>74.2646628852114</x:v>
      </x:c>
      <x:c r="M1078" s="12" t="n">
        <x:v>4</x:v>
      </x:c>
      <x:c r="N1078" s="14" t="n">
        <x:v>0.7528879609121799</x:v>
      </x:c>
      <x:c r="O1078" s="14" t="n">
        <x:v>0.24711203908782015</x:v>
      </x:c>
      <x:c r="P1078" s="14" t="n">
        <x:v>0.4520994287654135</x:v>
      </x:c>
      <x:c r="Q1078" s="14" t="n">
        <x:v>0.28763705364402226</x:v>
      </x:c>
      <x:c r="R1078" s="14" t="n">
        <x:v>0.24358156941190787</x:v>
      </x:c>
      <x:c r="S1078" s="14" t="n">
        <x:v>0.412722772833486</x:v>
      </x:c>
      <x:c r="T1078" t="str">
        <x:v>야간활성·고매출밀도</x:v>
      </x:c>
      <x:c r="U1078" s="16" t="n">
        <x:v>75.80018069162908</x:v>
      </x:c>
      <x:c r="V1078" t="str">
        <x:v>일반의류</x:v>
      </x:c>
      <x:c r="W1078" t="str">
        <x:v>일반의류 / 한식음식점 / 분식전문점</x:v>
      </x:c>
      <x:c r="X1078" s="16" t="n">
        <x:v>53.24698311411034</x:v>
      </x:c>
    </x:row>
    <x:row r="1079">
      <x:c r="A1079" t="str">
        <x:v>3110995</x:v>
      </x:c>
      <x:c r="B1079" t="str">
        <x:v>봉은사역 4번</x:v>
      </x:c>
      <x:c r="C1079" t="str">
        <x:v>골목상권</x:v>
      </x:c>
      <x:c r="D1079" t="str">
        <x:v>강남구</x:v>
      </x:c>
      <x:c r="E1079" t="str">
        <x:v>삼성1동</x:v>
      </x:c>
      <x:c r="F1079" s="12" t="n">
        <x:v>122757</x:v>
      </x:c>
      <x:c r="G1079" s="12" t="n">
        <x:v>1477369174</x:v>
      </x:c>
      <x:c r="H1079" s="12" t="n">
        <x:v>43792</x:v>
      </x:c>
      <x:c r="I1079" s="12" t="n">
        <x:v>33736.051653270006</x:v>
      </x:c>
      <x:c r="J1079" s="12" t="n">
        <x:v>12034.907777153237</x:v>
      </x:c>
      <x:c r="K1079" s="12" t="n">
        <x:v>2937</x:v>
      </x:c>
      <x:c r="L1079" s="12" t="n">
        <x:v>239.25315867934214</x:v>
      </x:c>
      <x:c r="M1079" s="12" t="n">
        <x:v>5</x:v>
      </x:c>
      <x:c r="N1079" s="14" t="n">
        <x:v>0.8138846627918067</x:v>
      </x:c>
      <x:c r="O1079" s="14" t="n">
        <x:v>0.1861153372081933</x:v>
      </x:c>
      <x:c r="P1079" s="14" t="n">
        <x:v>0.7464514661654907</x:v>
      </x:c>
      <x:c r="Q1079" s="14" t="n">
        <x:v>0.15301877755302346</x:v>
      </x:c>
      <x:c r="R1079" s="14" t="n">
        <x:v>0.1969331661444291</x:v>
      </x:c>
      <x:c r="S1079" s="14" t="n">
        <x:v>0.19454507516345404</x:v>
      </x:c>
      <x:c r="T1079" t="str">
        <x:v>야간활성·직장밀집</x:v>
      </x:c>
      <x:c r="U1079" s="16" t="n">
        <x:v>58.876923116770655</x:v>
      </x:c>
      <x:c r="V1079" t="str">
        <x:v>세탁소</x:v>
      </x:c>
      <x:c r="W1079" t="str">
        <x:v>세탁소 / 호프-간이주점 / 미용실</x:v>
      </x:c>
      <x:c r="X1079" s="16" t="n">
        <x:v>48.254308290086556</x:v>
      </x:c>
    </x:row>
    <x:row r="1080">
      <x:c r="A1080" t="str">
        <x:v>3110266</x:v>
      </x:c>
      <x:c r="B1080" t="str">
        <x:v>면목동우체국</x:v>
      </x:c>
      <x:c r="C1080" t="str">
        <x:v>골목상권</x:v>
      </x:c>
      <x:c r="D1080" t="str">
        <x:v>중랑구</x:v>
      </x:c>
      <x:c r="E1080" t="str">
        <x:v>면목3·8동</x:v>
      </x:c>
      <x:c r="F1080" s="12" t="n">
        <x:v>114047</x:v>
      </x:c>
      <x:c r="G1080" s="12" t="n">
        <x:v>1468005954</x:v>
      </x:c>
      <x:c r="H1080" s="12" t="n">
        <x:v>116602</x:v>
      </x:c>
      <x:c r="I1080" s="12" t="n">
        <x:v>12589.88657141387</x:v>
      </x:c>
      <x:c r="J1080" s="12" t="n">
        <x:v>12871.938358746833</x:v>
      </x:c>
      <x:c r="K1080" s="12" t="n">
        <x:v>299</x:v>
      </x:c>
      <x:c r="L1080" s="12" t="n">
        <x:v>26.21726130454988</x:v>
      </x:c>
      <x:c r="M1080" s="12" t="n">
        <x:v>14</x:v>
      </x:c>
      <x:c r="N1080" s="14" t="n">
        <x:v>0.7197580657768913</x:v>
      </x:c>
      <x:c r="O1080" s="14" t="n">
        <x:v>0.2802419342231087</x:v>
      </x:c>
      <x:c r="P1080" s="14" t="n">
        <x:v>0.5187703060228869</x:v>
      </x:c>
      <x:c r="Q1080" s="14" t="n">
        <x:v>0.20420237886855327</x:v>
      </x:c>
      <x:c r="R1080" s="14" t="n">
        <x:v>0.26217280723644804</x:v>
      </x:c>
      <x:c r="S1080" s="14" t="n">
        <x:v>0.42859100011524887</x:v>
      </x:c>
      <x:c r="T1080" t="str">
        <x:v>야간활성·2030소비</x:v>
      </x:c>
      <x:c r="U1080" s="16" t="n">
        <x:v>57.94893452706415</x:v>
      </x:c>
      <x:c r="V1080" t="str">
        <x:v>세탁소</x:v>
      </x:c>
      <x:c r="W1080" t="str">
        <x:v>세탁소 / 치킨전문점 / 일반의류</x:v>
      </x:c>
      <x:c r="X1080" s="16" t="n">
        <x:v>48.58936012061595</x:v>
      </x:c>
    </x:row>
    <x:row r="1081">
      <x:c r="A1081" t="str">
        <x:v>3110373</x:v>
      </x:c>
      <x:c r="B1081" t="str">
        <x:v>수유역 2번</x:v>
      </x:c>
      <x:c r="C1081" t="str">
        <x:v>골목상권</x:v>
      </x:c>
      <x:c r="D1081" t="str">
        <x:v>강북구</x:v>
      </x:c>
      <x:c r="E1081" t="str">
        <x:v>번1동</x:v>
      </x:c>
      <x:c r="F1081" s="12" t="n">
        <x:v>84732</x:v>
      </x:c>
      <x:c r="G1081" s="12" t="n">
        <x:v>1459914317</x:v>
      </x:c>
      <x:c r="H1081" s="12" t="n">
        <x:v>47335</x:v>
      </x:c>
      <x:c r="I1081" s="12" t="n">
        <x:v>30842.174226259638</x:v>
      </x:c>
      <x:c r="J1081" s="12" t="n">
        <x:v>17229.78705801822</x:v>
      </x:c>
      <x:c r="K1081" s="12" t="n">
        <x:v>228</x:v>
      </x:c>
      <x:c r="L1081" s="12" t="n">
        <x:v>26.908369919274893</x:v>
      </x:c>
      <x:c r="M1081" s="12" t="n">
        <x:v>10</x:v>
      </x:c>
      <x:c r="N1081" s="14" t="n">
        <x:v>0.743309886315746</x:v>
      </x:c>
      <x:c r="O1081" s="14" t="n">
        <x:v>0.256690113684254</x:v>
      </x:c>
      <x:c r="P1081" s="14" t="n">
        <x:v>0.48602285403849493</x:v>
      </x:c>
      <x:c r="Q1081" s="14" t="n">
        <x:v>0.32600622136374324</x:v>
      </x:c>
      <x:c r="R1081" s="14" t="n">
        <x:v>0.21142522982737486</x:v>
      </x:c>
      <x:c r="S1081" s="14" t="n">
        <x:v>0.33744678798159905</x:v>
      </x:c>
      <x:c r="T1081" t="str">
        <x:v>야간활성</x:v>
      </x:c>
      <x:c r="U1081" s="16" t="n">
        <x:v>54.48684722079819</x:v>
      </x:c>
      <x:c r="V1081" t="str">
        <x:v>한식음식점</x:v>
      </x:c>
      <x:c r="W1081" t="str">
        <x:v>한식음식점 / 피부관리실 / 분식전문점</x:v>
      </x:c>
      <x:c r="X1081" s="16" t="n">
        <x:v>48.69009487084126</x:v>
      </x:c>
    </x:row>
    <x:row r="1082">
      <x:c r="A1082" t="str">
        <x:v>3110088</x:v>
      </x:c>
      <x:c r="B1082" t="str">
        <x:v>오산고등학교</x:v>
      </x:c>
      <x:c r="C1082" t="str">
        <x:v>골목상권</x:v>
      </x:c>
      <x:c r="D1082" t="str">
        <x:v>용산구</x:v>
      </x:c>
      <x:c r="E1082" t="str">
        <x:v>서빙고동</x:v>
      </x:c>
      <x:c r="F1082" s="12" t="n">
        <x:v>96560</x:v>
      </x:c>
      <x:c r="G1082" s="12" t="n">
        <x:v>1459736141</x:v>
      </x:c>
      <x:c r="H1082" s="12" t="n">
        <x:v>100119</x:v>
      </x:c>
      <x:c r="I1082" s="12" t="n">
        <x:v>14580.011196675956</x:v>
      </x:c>
      <x:c r="J1082" s="12" t="n">
        <x:v>15117.399968931235</x:v>
      </x:c>
      <x:c r="K1082" s="12" t="n">
        <x:v>2001</x:v>
      </x:c>
      <x:c r="L1082" s="12" t="n">
        <x:v>207.22866611433307</x:v>
      </x:c>
      <x:c r="M1082" s="12" t="n">
        <x:v>8</x:v>
      </x:c>
      <x:c r="N1082" s="14" t="n">
        <x:v>0.7766484566336431</x:v>
      </x:c>
      <x:c r="O1082" s="14" t="n">
        <x:v>0.22335154336635693</x:v>
      </x:c>
      <x:c r="P1082" s="14" t="n">
        <x:v>0.46283277300866665</x:v>
      </x:c>
      <x:c r="Q1082" s="14" t="n">
        <x:v>0.23995954416805798</x:v>
      </x:c>
      <x:c r="R1082" s="14" t="n">
        <x:v>0.1982979128006669</x:v>
      </x:c>
      <x:c r="S1082" s="14" t="n">
        <x:v>0.352727315943053</x:v>
      </x:c>
      <x:c r="T1082" t="str">
        <x:v>직장밀집·야간활성</x:v>
      </x:c>
      <x:c r="U1082" s="16" t="n">
        <x:v>65.86302550237939</x:v>
      </x:c>
      <x:c r="V1082" t="str">
        <x:v>스포츠 강습</x:v>
      </x:c>
      <x:c r="W1082" t="str">
        <x:v>스포츠 강습 / 미용실 / 편의점</x:v>
      </x:c>
      <x:c r="X1082" s="16" t="n">
        <x:v>55.239255503307575</x:v>
      </x:c>
    </x:row>
    <x:row r="1083">
      <x:c r="A1083" t="str">
        <x:v>3110568</x:v>
      </x:c>
      <x:c r="B1083" t="str">
        <x:v>광흥창역 1번</x:v>
      </x:c>
      <x:c r="C1083" t="str">
        <x:v>골목상권</x:v>
      </x:c>
      <x:c r="D1083" t="str">
        <x:v>마포구</x:v>
      </x:c>
      <x:c r="E1083" t="str">
        <x:v>서강동</x:v>
      </x:c>
      <x:c r="F1083" s="12" t="n">
        <x:v>25225</x:v>
      </x:c>
      <x:c r="G1083" s="12" t="n">
        <x:v>1457127860</x:v>
      </x:c>
      <x:c r="H1083" s="12" t="n">
        <x:v>154776</x:v>
      </x:c>
      <x:c r="I1083" s="12" t="n">
        <x:v>9414.430273427404</x:v>
      </x:c>
      <x:c r="J1083" s="12" t="n">
        <x:v>57765.22735381566</x:v>
      </x:c>
      <x:c r="K1083" s="12" t="n">
        <x:v>171</x:v>
      </x:c>
      <x:c r="L1083" s="12" t="n">
        <x:v>67.78989098116948</x:v>
      </x:c>
      <x:c r="M1083" s="12" t="n">
        <x:v>9</x:v>
      </x:c>
      <x:c r="N1083" s="14" t="n">
        <x:v>0.7471272864139733</x:v>
      </x:c>
      <x:c r="O1083" s="14" t="n">
        <x:v>0.2528727135860267</x:v>
      </x:c>
      <x:c r="P1083" s="14" t="n">
        <x:v>0.48976214757159336</x:v>
      </x:c>
      <x:c r="Q1083" s="14" t="n">
        <x:v>0.17490044078904649</x:v>
      </x:c>
      <x:c r="R1083" s="14" t="n">
        <x:v>0.34029848828777454</x:v>
      </x:c>
      <x:c r="S1083" s="14" t="n">
        <x:v>0.34571558394333357</x:v>
      </x:c>
      <x:c r="T1083" t="str">
        <x:v>2030소비·야간활성</x:v>
      </x:c>
      <x:c r="U1083" s="16" t="n">
        <x:v>60.632803200558854</x:v>
      </x:c>
      <x:c r="V1083" t="str">
        <x:v>핸드폰</x:v>
      </x:c>
      <x:c r="W1083" t="str">
        <x:v>핸드폰 / 예술학원 / 편의점</x:v>
      </x:c>
      <x:c r="X1083" s="16" t="n">
        <x:v>49.33172244916099</x:v>
      </x:c>
    </x:row>
    <x:row r="1084">
      <x:c r="A1084" t="str">
        <x:v>3110466</x:v>
      </x:c>
      <x:c r="B1084" t="str">
        <x:v>구산역 2번</x:v>
      </x:c>
      <x:c r="C1084" t="str">
        <x:v>골목상권</x:v>
      </x:c>
      <x:c r="D1084" t="str">
        <x:v>은평구</x:v>
      </x:c>
      <x:c r="E1084" t="str">
        <x:v>역촌동</x:v>
      </x:c>
      <x:c r="F1084" s="12" t="n">
        <x:v>102377</x:v>
      </x:c>
      <x:c r="G1084" s="12" t="n">
        <x:v>1456716501</x:v>
      </x:c>
      <x:c r="H1084" s="12" t="n">
        <x:v>76236</x:v>
      </x:c>
      <x:c r="I1084" s="12" t="n">
        <x:v>19107.987053360615</x:v>
      </x:c>
      <x:c r="J1084" s="12" t="n">
        <x:v>14228.94303407992</x:v>
      </x:c>
      <x:c r="K1084" s="12" t="n">
        <x:v>252</x:v>
      </x:c>
      <x:c r="L1084" s="12" t="n">
        <x:v>24.61490373814431</x:v>
      </x:c>
      <x:c r="M1084" s="12" t="n">
        <x:v>6</x:v>
      </x:c>
      <x:c r="N1084" s="14" t="n">
        <x:v>0.7445271350022279</x:v>
      </x:c>
      <x:c r="O1084" s="14" t="n">
        <x:v>0.25547286499777216</x:v>
      </x:c>
      <x:c r="P1084" s="14" t="n">
        <x:v>0.5173902756525445</x:v>
      </x:c>
      <x:c r="Q1084" s="14" t="n">
        <x:v>0.16199809011430977</x:v>
      </x:c>
      <x:c r="R1084" s="14" t="n">
        <x:v>0.21368216656179692</x:v>
      </x:c>
      <x:c r="S1084" s="14" t="n">
        <x:v>0.42273640586707406</x:v>
      </x:c>
      <x:c r="T1084" t="str">
        <x:v>야간활성</x:v>
      </x:c>
      <x:c r="U1084" s="16" t="n">
        <x:v>56.401911200511336</x:v>
      </x:c>
      <x:c r="V1084" t="str">
        <x:v>일반교습학원</x:v>
      </x:c>
      <x:c r="W1084" t="str">
        <x:v>일반교습학원 / 미용실 / 한식음식점</x:v>
      </x:c>
      <x:c r="X1084" s="16" t="n">
        <x:v>41.57805349764703</x:v>
      </x:c>
    </x:row>
    <x:row r="1085">
      <x:c r="A1085" t="str">
        <x:v>3110003</x:v>
      </x:c>
      <x:c r="B1085" t="str">
        <x:v>세검정초등학교</x:v>
      </x:c>
      <x:c r="C1085" t="str">
        <x:v>골목상권</x:v>
      </x:c>
      <x:c r="D1085" t="str">
        <x:v>종로구</x:v>
      </x:c>
      <x:c r="E1085" t="str">
        <x:v>부암동</x:v>
      </x:c>
      <x:c r="F1085" s="12" t="n">
        <x:v>191570</x:v>
      </x:c>
      <x:c r="G1085" s="12" t="n">
        <x:v>1456498466</x:v>
      </x:c>
      <x:c r="H1085" s="12" t="n">
        <x:v>57250</x:v>
      </x:c>
      <x:c r="I1085" s="12" t="n">
        <x:v>25441.021240174672</x:v>
      </x:c>
      <x:c r="J1085" s="12" t="n">
        <x:v>7602.956966122044</x:v>
      </x:c>
      <x:c r="K1085" s="12" t="n">
        <x:v>1686</x:v>
      </x:c>
      <x:c r="L1085" s="12" t="n">
        <x:v>88.00960484418228</x:v>
      </x:c>
      <x:c r="M1085" s="12" t="n">
        <x:v>14</x:v>
      </x:c>
      <x:c r="N1085" s="14" t="n">
        <x:v>0.7522660267600996</x:v>
      </x:c>
      <x:c r="O1085" s="14" t="n">
        <x:v>0.2477339732399004</x:v>
      </x:c>
      <x:c r="P1085" s="14" t="n">
        <x:v>0.4274762147260648</x:v>
      </x:c>
      <x:c r="Q1085" s="14" t="n">
        <x:v>0.19737271525557515</x:v>
      </x:c>
      <x:c r="R1085" s="14" t="n">
        <x:v>0.11673897224688186</x:v>
      </x:c>
      <x:c r="S1085" s="14" t="n">
        <x:v>0.48404549023397325</x:v>
      </x:c>
      <x:c r="T1085" t="str">
        <x:v>여성소비·야간활성</x:v>
      </x:c>
      <x:c r="U1085" s="16" t="n">
        <x:v>66.67937857648177</x:v>
      </x:c>
      <x:c r="V1085" t="str">
        <x:v>스포츠 강습</x:v>
      </x:c>
      <x:c r="W1085" t="str">
        <x:v>스포츠 강습 / 일반의류 / 호프-간이주점</x:v>
      </x:c>
      <x:c r="X1085" s="16" t="n">
        <x:v>59.84722498410417</x:v>
      </x:c>
    </x:row>
    <x:row r="1086">
      <x:c r="A1086" t="str">
        <x:v>3110374</x:v>
      </x:c>
      <x:c r="B1086" t="str">
        <x:v>송중초등학교</x:v>
      </x:c>
      <x:c r="C1086" t="str">
        <x:v>골목상권</x:v>
      </x:c>
      <x:c r="D1086" t="str">
        <x:v>강북구</x:v>
      </x:c>
      <x:c r="E1086" t="str">
        <x:v>송중동</x:v>
      </x:c>
      <x:c r="F1086" s="12" t="n">
        <x:v>204374</x:v>
      </x:c>
      <x:c r="G1086" s="12" t="n">
        <x:v>1453760166</x:v>
      </x:c>
      <x:c r="H1086" s="12" t="n">
        <x:v>61586</x:v>
      </x:c>
      <x:c r="I1086" s="12" t="n">
        <x:v>23605.3675510668</x:v>
      </x:c>
      <x:c r="J1086" s="12" t="n">
        <x:v>7113.234393807432</x:v>
      </x:c>
      <x:c r="K1086" s="12" t="n">
        <x:v>218</x:v>
      </x:c>
      <x:c r="L1086" s="12" t="n">
        <x:v>10.666718858563222</x:v>
      </x:c>
      <x:c r="M1086" s="12" t="n">
        <x:v>15</x:v>
      </x:c>
      <x:c r="N1086" s="14" t="n">
        <x:v>0.7845924022931304</x:v>
      </x:c>
      <x:c r="O1086" s="14" t="n">
        <x:v>0.21540759770686962</x:v>
      </x:c>
      <x:c r="P1086" s="14" t="n">
        <x:v>0.4269058669475196</x:v>
      </x:c>
      <x:c r="Q1086" s="14" t="n">
        <x:v>0.22622580718035715</x:v>
      </x:c>
      <x:c r="R1086" s="14" t="n">
        <x:v>0.17245012201001522</x:v>
      </x:c>
      <x:c r="S1086" s="14" t="n">
        <x:v>0.38266505783458094</x:v>
      </x:c>
      <x:c r="T1086" t="str">
        <x:v>평일집중·야간활성</x:v>
      </x:c>
      <x:c r="U1086" s="16" t="n">
        <x:v>55.999252072900475</x:v>
      </x:c>
      <x:c r="V1086" t="str">
        <x:v>서적</x:v>
      </x:c>
      <x:c r="W1086" t="str">
        <x:v>서적 / 자동차수리 / 청과상</x:v>
      </x:c>
      <x:c r="X1086" s="16" t="n">
        <x:v>53.40617867954069</x:v>
      </x:c>
    </x:row>
    <x:row r="1087">
      <x:c r="A1087" t="str">
        <x:v>3110553</x:v>
      </x:c>
      <x:c r="B1087" t="str">
        <x:v>가좌역 2번</x:v>
      </x:c>
      <x:c r="C1087" t="str">
        <x:v>골목상권</x:v>
      </x:c>
      <x:c r="D1087" t="str">
        <x:v>마포구</x:v>
      </x:c>
      <x:c r="E1087" t="str">
        <x:v>성산2동</x:v>
      </x:c>
      <x:c r="F1087" s="12" t="n">
        <x:v>83965</x:v>
      </x:c>
      <x:c r="G1087" s="12" t="n">
        <x:v>1452416495</x:v>
      </x:c>
      <x:c r="H1087" s="12" t="n">
        <x:v>27349</x:v>
      </x:c>
      <x:c r="I1087" s="12" t="n">
        <x:v>53106.749606932615</x:v>
      </x:c>
      <x:c r="J1087" s="12" t="n">
        <x:v>17297.88000952778</x:v>
      </x:c>
      <x:c r="K1087" s="12" t="n">
        <x:v>349</x:v>
      </x:c>
      <x:c r="L1087" s="12" t="n">
        <x:v>41.56493777169059</x:v>
      </x:c>
      <x:c r="M1087" s="12" t="n">
        <x:v>10</x:v>
      </x:c>
      <x:c r="N1087" s="14" t="n">
        <x:v>0.8085834552574398</x:v>
      </x:c>
      <x:c r="O1087" s="14" t="n">
        <x:v>0.19141654474256023</x:v>
      </x:c>
      <x:c r="P1087" s="14" t="n">
        <x:v>0.44867700776146857</x:v>
      </x:c>
      <x:c r="Q1087" s="14" t="n">
        <x:v>0.16345571040901735</x:v>
      </x:c>
      <x:c r="R1087" s="14" t="n">
        <x:v>0.13173042764155607</x:v>
      </x:c>
      <x:c r="S1087" s="14" t="n">
        <x:v>0.4140538688938533</x:v>
      </x:c>
      <x:c r="T1087" t="str">
        <x:v>평일집중·야간활성</x:v>
      </x:c>
      <x:c r="U1087" s="16" t="n">
        <x:v>63.72470690534908</x:v>
      </x:c>
      <x:c r="V1087" t="str">
        <x:v>서적</x:v>
      </x:c>
      <x:c r="W1087" t="str">
        <x:v>서적 / 예술학원 / 일반교습학원</x:v>
      </x:c>
      <x:c r="X1087" s="16" t="n">
        <x:v>55.23138564135089</x:v>
      </x:c>
    </x:row>
    <x:row r="1088">
      <x:c r="A1088" t="str">
        <x:v>3110401</x:v>
      </x:c>
      <x:c r="B1088" t="str">
        <x:v>도봉구민회관</x:v>
      </x:c>
      <x:c r="C1088" t="str">
        <x:v>골목상권</x:v>
      </x:c>
      <x:c r="D1088" t="str">
        <x:v>도봉구</x:v>
      </x:c>
      <x:c r="E1088" t="str">
        <x:v>창5동</x:v>
      </x:c>
      <x:c r="F1088" s="12" t="n">
        <x:v>44767</x:v>
      </x:c>
      <x:c r="G1088" s="12" t="n">
        <x:v>1450273516</x:v>
      </x:c>
      <x:c r="H1088" s="12" t="n">
        <x:v>45671</x:v>
      </x:c>
      <x:c r="I1088" s="12" t="n">
        <x:v>31754.80098968711</x:v>
      </x:c>
      <x:c r="J1088" s="12" t="n">
        <x:v>32396.03985078294</x:v>
      </x:c>
      <x:c r="K1088" s="12" t="n">
        <x:v>689</x:v>
      </x:c>
      <x:c r="L1088" s="12" t="n">
        <x:v>153.9080125985659</x:v>
      </x:c>
      <x:c r="M1088" s="12" t="n">
        <x:v>5</x:v>
      </x:c>
      <x:c r="N1088" s="14" t="n">
        <x:v>0.6580033072878647</x:v>
      </x:c>
      <x:c r="O1088" s="14" t="n">
        <x:v>0.3419966927121353</x:v>
      </x:c>
      <x:c r="P1088" s="14" t="n">
        <x:v>0.4544704110834773</x:v>
      </x:c>
      <x:c r="Q1088" s="14" t="n">
        <x:v>0.29286991268480145</x:v>
      </x:c>
      <x:c r="R1088" s="14" t="n">
        <x:v>0.2056770538172056</x:v>
      </x:c>
      <x:c r="S1088" s="14" t="n">
        <x:v>0.36493621938277193</x:v>
      </x:c>
      <x:c r="T1088" t="str">
        <x:v>직장밀집·야간활성</x:v>
      </x:c>
      <x:c r="U1088" s="16" t="n">
        <x:v>56.98528114634063</x:v>
      </x:c>
      <x:c r="V1088" t="str">
        <x:v>스포츠클럽</x:v>
      </x:c>
      <x:c r="W1088" t="str">
        <x:v>스포츠클럽 / 한식음식점 / 미용실</x:v>
      </x:c>
      <x:c r="X1088" s="16" t="n">
        <x:v>51.41514262066348</x:v>
      </x:c>
    </x:row>
    <x:row r="1089">
      <x:c r="A1089" t="str">
        <x:v>3130012</x:v>
      </x:c>
      <x:c r="B1089" t="str">
        <x:v>동대문종합시장(동대문종합시장 신관, 동대문종합시장D동상가)</x:v>
      </x:c>
      <x:c r="C1089" t="str">
        <x:v>전통시장</x:v>
      </x:c>
      <x:c r="D1089" t="str">
        <x:v>종로구</x:v>
      </x:c>
      <x:c r="E1089" t="str">
        <x:v>종로5·6가동</x:v>
      </x:c>
      <x:c r="F1089" s="12" t="n">
        <x:v>39355</x:v>
      </x:c>
      <x:c r="G1089" s="12" t="n">
        <x:v>1450154677</x:v>
      </x:c>
      <x:c r="H1089" s="12" t="n">
        <x:v>30766</x:v>
      </x:c>
      <x:c r="I1089" s="12" t="n">
        <x:v>47134.97617499837</x:v>
      </x:c>
      <x:c r="J1089" s="12" t="n">
        <x:v>36848.04159573116</x:v>
      </x:c>
      <x:c r="K1089" s="12" t="n">
        <x:v>3532</x:v>
      </x:c>
      <x:c r="L1089" s="12" t="n">
        <x:v>897.4717316732308</x:v>
      </x:c>
      <x:c r="M1089" s="12" t="n">
        <x:v>2</x:v>
      </x:c>
      <x:c r="N1089" s="14" t="n">
        <x:v>0.7927355689933757</x:v>
      </x:c>
      <x:c r="O1089" s="14" t="n">
        <x:v>0.20726443100662426</x:v>
      </x:c>
      <x:c r="P1089" s="14" t="n">
        <x:v>0.045925204432519996</x:v>
      </x:c>
      <x:c r="Q1089" s="14" t="n">
        <x:v>0.49656038174471234</x:v>
      </x:c>
      <x:c r="R1089" s="14" t="n">
        <x:v>0.13587212945285007</x:v>
      </x:c>
      <x:c r="S1089" s="14" t="n">
        <x:v>0.5274862724178215</x:v>
      </x:c>
      <x:c r="T1089" t="str">
        <x:v>직장밀집·여성소비</x:v>
      </x:c>
      <x:c r="U1089" s="16" t="n">
        <x:v>58.71085881014183</x:v>
      </x:c>
      <x:c r="V1089" t="str">
        <x:v>섬유제품</x:v>
      </x:c>
      <x:c r="W1089" t="str">
        <x:v>섬유제품 / 한식음식점</x:v>
      </x:c>
      <x:c r="X1089" s="16" t="n">
        <x:v>43.458771715846154</x:v>
      </x:c>
    </x:row>
    <x:row r="1090">
      <x:c r="A1090" t="str">
        <x:v>3110918</x:v>
      </x:c>
      <x:c r="B1090" t="str">
        <x:v>방배역 3번</x:v>
      </x:c>
      <x:c r="C1090" t="str">
        <x:v>골목상권</x:v>
      </x:c>
      <x:c r="D1090" t="str">
        <x:v>서초구</x:v>
      </x:c>
      <x:c r="E1090" t="str">
        <x:v>방배1동</x:v>
      </x:c>
      <x:c r="F1090" s="12" t="n">
        <x:v>62846</x:v>
      </x:c>
      <x:c r="G1090" s="12" t="n">
        <x:v>1449208937</x:v>
      </x:c>
      <x:c r="H1090" s="12" t="n">
        <x:v>86230</x:v>
      </x:c>
      <x:c r="I1090" s="12" t="n">
        <x:v>16806.319575553753</x:v>
      </x:c>
      <x:c r="J1090" s="12" t="n">
        <x:v>23059.684578175224</x:v>
      </x:c>
      <x:c r="K1090" s="12" t="n">
        <x:v>916</x:v>
      </x:c>
      <x:c r="L1090" s="12" t="n">
        <x:v>145.75311077872897</x:v>
      </x:c>
      <x:c r="M1090" s="12" t="n">
        <x:v>5</x:v>
      </x:c>
      <x:c r="N1090" s="14" t="n">
        <x:v>0.8638283708017183</x:v>
      </x:c>
      <x:c r="O1090" s="14" t="n">
        <x:v>0.1361716291982817</x:v>
      </x:c>
      <x:c r="P1090" s="14" t="n">
        <x:v>0.25707890524829136</x:v>
      </x:c>
      <x:c r="Q1090" s="14" t="n">
        <x:v>0.2779751095338436</x:v>
      </x:c>
      <x:c r="R1090" s="14" t="n">
        <x:v>0.3894995135542695</x:v>
      </x:c>
      <x:c r="S1090" s="14" t="n">
        <x:v>0.4561167000310874</x:v>
      </x:c>
      <x:c r="T1090" t="str">
        <x:v>평일집중·2030소비</x:v>
      </x:c>
      <x:c r="U1090" s="16" t="n">
        <x:v>62.782064403468716</x:v>
      </x:c>
      <x:c r="V1090" t="str">
        <x:v>화장품</x:v>
      </x:c>
      <x:c r="W1090" t="str">
        <x:v>화장품 / 예술학원 / 편의점</x:v>
      </x:c>
      <x:c r="X1090" s="16" t="n">
        <x:v>45.08180947841199</x:v>
      </x:c>
    </x:row>
    <x:row r="1091">
      <x:c r="A1091" t="str">
        <x:v>3110422</x:v>
      </x:c>
      <x:c r="B1091" t="str">
        <x:v>노원역 9번</x:v>
      </x:c>
      <x:c r="C1091" t="str">
        <x:v>골목상권</x:v>
      </x:c>
      <x:c r="D1091" t="str">
        <x:v>노원구</x:v>
      </x:c>
      <x:c r="E1091" t="str">
        <x:v>상계10동</x:v>
      </x:c>
      <x:c r="F1091" s="12" t="n">
        <x:v>35324</x:v>
      </x:c>
      <x:c r="G1091" s="12" t="n">
        <x:v>1448036915</x:v>
      </x:c>
      <x:c r="H1091" s="12" t="n">
        <x:v>11545</x:v>
      </x:c>
      <x:c r="I1091" s="12" t="n">
        <x:v>125425.45820701602</x:v>
      </x:c>
      <x:c r="J1091" s="12" t="n">
        <x:v>40993.00518061375</x:v>
      </x:c>
      <x:c r="K1091" s="12" t="n">
        <x:v>55</x:v>
      </x:c>
      <x:c r="L1091" s="12" t="n">
        <x:v>15.570150605820405</x:v>
      </x:c>
      <x:c r="M1091" s="12" t="n">
        <x:v>7</x:v>
      </x:c>
      <x:c r="N1091" s="14" t="n">
        <x:v>0.8251130918164472</x:v>
      </x:c>
      <x:c r="O1091" s="14" t="n">
        <x:v>0.17488690818355276</x:v>
      </x:c>
      <x:c r="P1091" s="14" t="n">
        <x:v>0.32023777446309093</x:v>
      </x:c>
      <x:c r="Q1091" s="14" t="n">
        <x:v>0.2791661530258709</x:v>
      </x:c>
      <x:c r="R1091" s="14" t="n">
        <x:v>0.16702920726299303</x:v>
      </x:c>
      <x:c r="S1091" s="14" t="n">
        <x:v>0.5142006079313247</x:v>
      </x:c>
      <x:c r="T1091" t="str">
        <x:v>평일집중·여성소비</x:v>
      </x:c>
      <x:c r="U1091" s="16" t="n">
        <x:v>71.5896893421193</x:v>
      </x:c>
      <x:c r="V1091" t="str">
        <x:v>미용실</x:v>
      </x:c>
      <x:c r="W1091" t="str">
        <x:v>미용실 / 예술학원 / 자동차수리</x:v>
      </x:c>
      <x:c r="X1091" s="16" t="n">
        <x:v>61.90371656224435</x:v>
      </x:c>
    </x:row>
    <x:row r="1092">
      <x:c r="A1092" t="str">
        <x:v>3110388</x:v>
      </x:c>
      <x:c r="B1092" t="str">
        <x:v>도봉우체국</x:v>
      </x:c>
      <x:c r="C1092" t="str">
        <x:v>골목상권</x:v>
      </x:c>
      <x:c r="D1092" t="str">
        <x:v>도봉구</x:v>
      </x:c>
      <x:c r="E1092" t="str">
        <x:v>쌍문3동</x:v>
      </x:c>
      <x:c r="F1092" s="12" t="n">
        <x:v>55371</x:v>
      </x:c>
      <x:c r="G1092" s="12" t="n">
        <x:v>1447417278</x:v>
      </x:c>
      <x:c r="H1092" s="12" t="n">
        <x:v>25182</x:v>
      </x:c>
      <x:c r="I1092" s="12" t="n">
        <x:v>57478.24946390279</x:v>
      </x:c>
      <x:c r="J1092" s="12" t="n">
        <x:v>26140.349244189198</x:v>
      </x:c>
      <x:c r="K1092" s="12" t="n">
        <x:v>100</x:v>
      </x:c>
      <x:c r="L1092" s="12" t="n">
        <x:v>18.059995304401223</x:v>
      </x:c>
      <x:c r="M1092" s="12" t="n">
        <x:v>5</x:v>
      </x:c>
      <x:c r="N1092" s="14" t="n">
        <x:v>0.9031677836583073</x:v>
      </x:c>
      <x:c r="O1092" s="14" t="n">
        <x:v>0.09683221634169273</x:v>
      </x:c>
      <x:c r="P1092" s="14" t="n">
        <x:v>0.4619621833752906</x:v>
      </x:c>
      <x:c r="Q1092" s="14" t="n">
        <x:v>0.17470603525571565</x:v>
      </x:c>
      <x:c r="R1092" s="14" t="n">
        <x:v>0.13201016383058542</x:v>
      </x:c>
      <x:c r="S1092" s="14" t="n">
        <x:v>0.5154803313049853</x:v>
      </x:c>
      <x:c r="T1092" t="str">
        <x:v>평일집중·여성소비</x:v>
      </x:c>
      <x:c r="U1092" s="16" t="n">
        <x:v>69.6002230954033</x:v>
      </x:c>
      <x:c r="V1092" t="str">
        <x:v>일반교습학원</x:v>
      </x:c>
      <x:c r="W1092" t="str">
        <x:v>일반교습학원 / 미용실 / 커피-음료</x:v>
      </x:c>
      <x:c r="X1092" s="16" t="n">
        <x:v>46.70008684438726</x:v>
      </x:c>
    </x:row>
    <x:row r="1093">
      <x:c r="A1093" t="str">
        <x:v>3110781</x:v>
      </x:c>
      <x:c r="B1093" t="str">
        <x:v>대림한신아파트</x:v>
      </x:c>
      <x:c r="C1093" t="str">
        <x:v>골목상권</x:v>
      </x:c>
      <x:c r="D1093" t="str">
        <x:v>영등포구</x:v>
      </x:c>
      <x:c r="E1093" t="str">
        <x:v>대림1동</x:v>
      </x:c>
      <x:c r="F1093" s="12" t="n">
        <x:v>84160</x:v>
      </x:c>
      <x:c r="G1093" s="12" t="n">
        <x:v>1445909053</x:v>
      </x:c>
      <x:c r="H1093" s="12" t="n">
        <x:v>72495</x:v>
      </x:c>
      <x:c r="I1093" s="12" t="n">
        <x:v>19944.948658528174</x:v>
      </x:c>
      <x:c r="J1093" s="12" t="n">
        <x:v>17180.47829134981</x:v>
      </x:c>
      <x:c r="K1093" s="12" t="n">
        <x:v>225</x:v>
      </x:c>
      <x:c r="L1093" s="12" t="n">
        <x:v>26.734790874524712</x:v>
      </x:c>
      <x:c r="M1093" s="12" t="n">
        <x:v>11</x:v>
      </x:c>
      <x:c r="N1093" s="14" t="n">
        <x:v>0.751608895279529</x:v>
      </x:c>
      <x:c r="O1093" s="14" t="n">
        <x:v>0.24839110472047096</x:v>
      </x:c>
      <x:c r="P1093" s="14" t="n">
        <x:v>0.3785481285039025</x:v>
      </x:c>
      <x:c r="Q1093" s="14" t="n">
        <x:v>0.19745078669204513</x:v>
      </x:c>
      <x:c r="R1093" s="14" t="n">
        <x:v>0.19287747415466247</x:v>
      </x:c>
      <x:c r="S1093" s="14" t="n">
        <x:v>0.4517329728621597</x:v>
      </x:c>
      <x:c r="T1093" t="str">
        <x:v>균형형</x:v>
      </x:c>
      <x:c r="U1093" s="16" t="n">
        <x:v>65.53915282524463</x:v>
      </x:c>
      <x:c r="V1093" t="str">
        <x:v>미용실</x:v>
      </x:c>
      <x:c r="W1093" t="str">
        <x:v>미용실 / 육류판매 / 자동차수리</x:v>
      </x:c>
      <x:c r="X1093" s="16" t="n">
        <x:v>56.585818838683885</x:v>
      </x:c>
    </x:row>
    <x:row r="1094">
      <x:c r="A1094" t="str">
        <x:v>3111035</x:v>
      </x:c>
      <x:c r="B1094" t="str">
        <x:v>오금공원(오주중학교)</x:v>
      </x:c>
      <x:c r="C1094" t="str">
        <x:v>골목상권</x:v>
      </x:c>
      <x:c r="D1094" t="str">
        <x:v>송파구</x:v>
      </x:c>
      <x:c r="E1094" t="str">
        <x:v>오금동</x:v>
      </x:c>
      <x:c r="F1094" s="12" t="n">
        <x:v>95041</x:v>
      </x:c>
      <x:c r="G1094" s="12" t="n">
        <x:v>1432355324</x:v>
      </x:c>
      <x:c r="H1094" s="12" t="n">
        <x:v>222177</x:v>
      </x:c>
      <x:c r="I1094" s="12" t="n">
        <x:v>6446.910904369039</x:v>
      </x:c>
      <x:c r="J1094" s="12" t="n">
        <x:v>15070.920171294494</x:v>
      </x:c>
      <x:c r="K1094" s="12" t="n">
        <x:v>1085</x:v>
      </x:c>
      <x:c r="L1094" s="12" t="n">
        <x:v>114.16125672078365</x:v>
      </x:c>
      <x:c r="M1094" s="12" t="n">
        <x:v>8</x:v>
      </x:c>
      <x:c r="N1094" s="14" t="n">
        <x:v>0.6428730501231411</x:v>
      </x:c>
      <x:c r="O1094" s="14" t="n">
        <x:v>0.3571269498768589</x:v>
      </x:c>
      <x:c r="P1094" s="14" t="n">
        <x:v>0.5981834755968695</x:v>
      </x:c>
      <x:c r="Q1094" s="14" t="n">
        <x:v>0.1283934048476368</x:v>
      </x:c>
      <x:c r="R1094" s="14" t="n">
        <x:v>0.31788484209941753</x:v>
      </x:c>
      <x:c r="S1094" s="14" t="n">
        <x:v>0.3430415147463787</x:v>
      </x:c>
      <x:c r="T1094" t="str">
        <x:v>야간활성·2030소비</x:v>
      </x:c>
      <x:c r="U1094" s="16" t="n">
        <x:v>65.1135353711481</x:v>
      </x:c>
      <x:c r="V1094" t="str">
        <x:v>반찬가게</x:v>
      </x:c>
      <x:c r="W1094" t="str">
        <x:v>반찬가게 / 미용실 / 세탁소</x:v>
      </x:c>
      <x:c r="X1094" s="16" t="n">
        <x:v>50.86893376264135</x:v>
      </x:c>
    </x:row>
    <x:row r="1095">
      <x:c r="A1095" t="str">
        <x:v>3130301</x:v>
      </x:c>
      <x:c r="B1095" t="str">
        <x:v>양재시장</x:v>
      </x:c>
      <x:c r="C1095" t="str">
        <x:v>전통시장</x:v>
      </x:c>
      <x:c r="D1095" t="str">
        <x:v>서초구</x:v>
      </x:c>
      <x:c r="E1095" t="str">
        <x:v>양재1동</x:v>
      </x:c>
      <x:c r="F1095" s="12" t="n">
        <x:v>8409</x:v>
      </x:c>
      <x:c r="G1095" s="12" t="n">
        <x:v>1432235504</x:v>
      </x:c>
      <x:c r="H1095" s="12" t="n">
        <x:v>28004</x:v>
      </x:c>
      <x:c r="I1095" s="12" t="n">
        <x:v>51143.96171975432</x:v>
      </x:c>
      <x:c r="J1095" s="12" t="n">
        <x:v>170321.73908907123</x:v>
      </x:c>
      <x:c r="K1095" s="12" t="n">
        <x:v>408</x:v>
      </x:c>
      <x:c r="L1095" s="12" t="n">
        <x:v>485.1944345344274</x:v>
      </x:c>
      <x:c r="M1095" s="12" t="n">
        <x:v>3</x:v>
      </x:c>
      <x:c r="N1095" s="14" t="n">
        <x:v>0.8551296833373291</x:v>
      </x:c>
      <x:c r="O1095" s="14" t="n">
        <x:v>0.14487031666267086</x:v>
      </x:c>
      <x:c r="P1095" s="14" t="n">
        <x:v>0.7098094790701404</x:v>
      </x:c>
      <x:c r="Q1095" s="14" t="n">
        <x:v>0.20652933066795418</x:v>
      </x:c>
      <x:c r="R1095" s="14" t="n">
        <x:v>0.20406924432729326</x:v>
      </x:c>
      <x:c r="S1095" s="14" t="n">
        <x:v>0.19315665630922665</x:v>
      </x:c>
      <x:c r="T1095" t="str">
        <x:v>야간활성·직장밀집</x:v>
      </x:c>
      <x:c r="U1095" s="16" t="n">
        <x:v>56.745861830566575</x:v>
      </x:c>
      <x:c r="V1095" t="str">
        <x:v>노래방</x:v>
      </x:c>
      <x:c r="W1095" t="str">
        <x:v>노래방 / 한식음식점 / 호프-간이주점</x:v>
      </x:c>
      <x:c r="X1095" s="16" t="n">
        <x:v>45.73460060547242</x:v>
      </x:c>
    </x:row>
    <x:row r="1096">
      <x:c r="A1096" t="str">
        <x:v>3110268</x:v>
      </x:c>
      <x:c r="B1096" t="str">
        <x:v>망우3동주민센터</x:v>
      </x:c>
      <x:c r="C1096" t="str">
        <x:v>골목상권</x:v>
      </x:c>
      <x:c r="D1096" t="str">
        <x:v>중랑구</x:v>
      </x:c>
      <x:c r="E1096" t="str">
        <x:v>망우3동</x:v>
      </x:c>
      <x:c r="F1096" s="12" t="n">
        <x:v>71237</x:v>
      </x:c>
      <x:c r="G1096" s="12" t="n">
        <x:v>1425785843</x:v>
      </x:c>
      <x:c r="H1096" s="12" t="n">
        <x:v>61114</x:v>
      </x:c>
      <x:c r="I1096" s="12" t="n">
        <x:v>23329.93819746703</x:v>
      </x:c>
      <x:c r="J1096" s="12" t="n">
        <x:v>20014.68117691649</x:v>
      </x:c>
      <x:c r="K1096" s="12" t="n">
        <x:v>91</x:v>
      </x:c>
      <x:c r="L1096" s="12" t="n">
        <x:v>12.774260566840265</x:v>
      </x:c>
      <x:c r="M1096" s="12" t="n">
        <x:v>5</x:v>
      </x:c>
      <x:c r="N1096" s="14" t="n">
        <x:v>0.7433358019392258</x:v>
      </x:c>
      <x:c r="O1096" s="14" t="n">
        <x:v>0.2566641980607743</x:v>
      </x:c>
      <x:c r="P1096" s="14" t="n">
        <x:v>0.48917129064241943</x:v>
      </x:c>
      <x:c r="Q1096" s="14" t="n">
        <x:v>0.26163440100870744</x:v>
      </x:c>
      <x:c r="R1096" s="14" t="n">
        <x:v>0.1663297382031868</x:v>
      </x:c>
      <x:c r="S1096" s="14" t="n">
        <x:v>0.3553744059724122</x:v>
      </x:c>
      <x:c r="T1096" t="str">
        <x:v>야간활성</x:v>
      </x:c>
      <x:c r="U1096" s="16" t="n">
        <x:v>62.74744047255297</x:v>
      </x:c>
      <x:c r="V1096" t="str">
        <x:v>한식음식점</x:v>
      </x:c>
      <x:c r="W1096" t="str">
        <x:v>한식음식점 / 슈퍼마켓 / 자동차수리</x:v>
      </x:c>
      <x:c r="X1096" s="16" t="n">
        <x:v>45.803669519672376</x:v>
      </x:c>
    </x:row>
    <x:row r="1097">
      <x:c r="A1097" t="str">
        <x:v>3110811</x:v>
      </x:c>
      <x:c r="B1097" t="str">
        <x:v>보라매역 4번</x:v>
      </x:c>
      <x:c r="C1097" t="str">
        <x:v>골목상권</x:v>
      </x:c>
      <x:c r="D1097" t="str">
        <x:v>영등포구</x:v>
      </x:c>
      <x:c r="E1097" t="str">
        <x:v>신길6동</x:v>
      </x:c>
      <x:c r="F1097" s="12" t="n">
        <x:v>44661</x:v>
      </x:c>
      <x:c r="G1097" s="12" t="n">
        <x:v>1423326331</x:v>
      </x:c>
      <x:c r="H1097" s="12" t="n">
        <x:v>43898</x:v>
      </x:c>
      <x:c r="I1097" s="12" t="n">
        <x:v>32423.48924780172</x:v>
      </x:c>
      <x:c r="J1097" s="12" t="n">
        <x:v>31869.558026018225</x:v>
      </x:c>
      <x:c r="K1097" s="12" t="n">
        <x:v>161</x:v>
      </x:c>
      <x:c r="L1097" s="12" t="n">
        <x:v>36.049349544345176</x:v>
      </x:c>
      <x:c r="M1097" s="12" t="n">
        <x:v>6</x:v>
      </x:c>
      <x:c r="N1097" s="14" t="n">
        <x:v>0.6940027290199833</x:v>
      </x:c>
      <x:c r="O1097" s="14" t="n">
        <x:v>0.3059972709800167</x:v>
      </x:c>
      <x:c r="P1097" s="14" t="n">
        <x:v>0.5174038890172123</x:v>
      </x:c>
      <x:c r="Q1097" s="14" t="n">
        <x:v>0.2559166777615105</x:v>
      </x:c>
      <x:c r="R1097" s="14" t="n">
        <x:v>0.19746025481207793</x:v>
      </x:c>
      <x:c r="S1097" s="14" t="n">
        <x:v>0.25245763755915507</x:v>
      </x:c>
      <x:c r="T1097" t="str">
        <x:v>야간활성</x:v>
      </x:c>
      <x:c r="U1097" s="16" t="n">
        <x:v>59.17072104191324</x:v>
      </x:c>
      <x:c r="V1097" t="str">
        <x:v>한식음식점</x:v>
      </x:c>
      <x:c r="W1097" t="str">
        <x:v>한식음식점 / 자동차수리 / 자동차미용</x:v>
      </x:c>
      <x:c r="X1097" s="16" t="n">
        <x:v>48.808132776428714</x:v>
      </x:c>
    </x:row>
    <x:row r="1098">
      <x:c r="A1098" t="str">
        <x:v>3110858</x:v>
      </x:c>
      <x:c r="B1098" t="str">
        <x:v>신대방역 1번</x:v>
      </x:c>
      <x:c r="C1098" t="str">
        <x:v>골목상권</x:v>
      </x:c>
      <x:c r="D1098" t="str">
        <x:v>관악구</x:v>
      </x:c>
      <x:c r="E1098" t="str">
        <x:v>신사동</x:v>
      </x:c>
      <x:c r="F1098" s="12" t="n">
        <x:v>23709</x:v>
      </x:c>
      <x:c r="G1098" s="12" t="n">
        <x:v>1422680889</x:v>
      </x:c>
      <x:c r="H1098" s="12" t="n">
        <x:v>27934</x:v>
      </x:c>
      <x:c r="I1098" s="12" t="n">
        <x:v>50930.08122717835</x:v>
      </x:c>
      <x:c r="J1098" s="12" t="n">
        <x:v>60005.942426926485</x:v>
      </x:c>
      <x:c r="K1098" s="12" t="n">
        <x:v>209</x:v>
      </x:c>
      <x:c r="L1098" s="12" t="n">
        <x:v>88.15217849761693</x:v>
      </x:c>
      <x:c r="M1098" s="12" t="n">
        <x:v>8</x:v>
      </x:c>
      <x:c r="N1098" s="14" t="n">
        <x:v>0.7343009258627919</x:v>
      </x:c>
      <x:c r="O1098" s="14" t="n">
        <x:v>0.265699074137208</x:v>
      </x:c>
      <x:c r="P1098" s="14" t="n">
        <x:v>0.42119521716580816</x:v>
      </x:c>
      <x:c r="Q1098" s="14" t="n">
        <x:v>0.2505988621598754</x:v>
      </x:c>
      <x:c r="R1098" s="14" t="n">
        <x:v>0.3359049423486</x:v>
      </x:c>
      <x:c r="S1098" s="14" t="n">
        <x:v>0.46353644032115765</x:v>
      </x:c>
      <x:c r="T1098" t="str">
        <x:v>2030소비·여성소비</x:v>
      </x:c>
      <x:c r="U1098" s="16" t="n">
        <x:v>57.69409874552852</x:v>
      </x:c>
      <x:c r="V1098" t="str">
        <x:v>치과의원</x:v>
      </x:c>
      <x:c r="W1098" t="str">
        <x:v>치과의원 / 미용실 / 노래방</x:v>
      </x:c>
      <x:c r="X1098" s="16" t="n">
        <x:v>44.64324092695526</x:v>
      </x:c>
    </x:row>
    <x:row r="1099">
      <x:c r="A1099" t="str">
        <x:v>3110089</x:v>
      </x:c>
      <x:c r="B1099" t="str">
        <x:v>서빙고동주민센터</x:v>
      </x:c>
      <x:c r="C1099" t="str">
        <x:v>골목상권</x:v>
      </x:c>
      <x:c r="D1099" t="str">
        <x:v>용산구</x:v>
      </x:c>
      <x:c r="E1099" t="str">
        <x:v>서빙고동</x:v>
      </x:c>
      <x:c r="F1099" s="12" t="n">
        <x:v>105979</x:v>
      </x:c>
      <x:c r="G1099" s="12" t="n">
        <x:v>1419291476</x:v>
      </x:c>
      <x:c r="H1099" s="12" t="n">
        <x:v>29235</x:v>
      </x:c>
      <x:c r="I1099" s="12" t="n">
        <x:v>48547.681751325465</x:v>
      </x:c>
      <x:c r="J1099" s="12" t="n">
        <x:v>13392.195397201333</x:v>
      </x:c>
      <x:c r="K1099" s="12" t="n">
        <x:v>1948</x:v>
      </x:c>
      <x:c r="L1099" s="12" t="n">
        <x:v>183.81000009435832</x:v>
      </x:c>
      <x:c r="M1099" s="12" t="n">
        <x:v>4</x:v>
      </x:c>
      <x:c r="N1099" s="14" t="n">
        <x:v>0.8050606505580112</x:v>
      </x:c>
      <x:c r="O1099" s="14" t="n">
        <x:v>0.19493934944198876</x:v>
      </x:c>
      <x:c r="P1099" s="14" t="n">
        <x:v>0.23801890148179825</x:v>
      </x:c>
      <x:c r="Q1099" s="14" t="n">
        <x:v>0.3488017559262788</x:v>
      </x:c>
      <x:c r="R1099" s="14" t="n">
        <x:v>0.13670107182409372</x:v>
      </x:c>
      <x:c r="S1099" s="14" t="n">
        <x:v>0.25672662603942814</x:v>
      </x:c>
      <x:c r="T1099" t="str">
        <x:v>평일집중·직장밀집</x:v>
      </x:c>
      <x:c r="U1099" s="16" t="n">
        <x:v>65.87569824472989</x:v>
      </x:c>
      <x:c r="V1099" t="str">
        <x:v>자동차수리</x:v>
      </x:c>
      <x:c r="W1099" t="str">
        <x:v>자동차수리 / 미용실 / 한식음식점</x:v>
      </x:c>
      <x:c r="X1099" s="16" t="n">
        <x:v>54.60712580011926</x:v>
      </x:c>
    </x:row>
    <x:row r="1100">
      <x:c r="A1100" t="str">
        <x:v>3110457</x:v>
      </x:c>
      <x:c r="B1100" t="str">
        <x:v>예일여고</x:v>
      </x:c>
      <x:c r="C1100" t="str">
        <x:v>골목상권</x:v>
      </x:c>
      <x:c r="D1100" t="str">
        <x:v>은평구</x:v>
      </x:c>
      <x:c r="E1100" t="str">
        <x:v>구산동</x:v>
      </x:c>
      <x:c r="F1100" s="12" t="n">
        <x:v>93412</x:v>
      </x:c>
      <x:c r="G1100" s="12" t="n">
        <x:v>1417103336</x:v>
      </x:c>
      <x:c r="H1100" s="12" t="n">
        <x:v>101135</x:v>
      </x:c>
      <x:c r="I1100" s="12" t="n">
        <x:v>14011.99719187225</x:v>
      </x:c>
      <x:c r="J1100" s="12" t="n">
        <x:v>15170.46349505417</x:v>
      </x:c>
      <x:c r="K1100" s="12" t="n">
        <x:v>582</x:v>
      </x:c>
      <x:c r="L1100" s="12" t="n">
        <x:v>62.30462895559457</x:v>
      </x:c>
      <x:c r="M1100" s="12" t="n">
        <x:v>10</x:v>
      </x:c>
      <x:c r="N1100" s="14" t="n">
        <x:v>0.7046621503401782</x:v>
      </x:c>
      <x:c r="O1100" s="14" t="n">
        <x:v>0.29533784965982185</x:v>
      </x:c>
      <x:c r="P1100" s="14" t="n">
        <x:v>0.4203681008058822</x:v>
      </x:c>
      <x:c r="Q1100" s="14" t="n">
        <x:v>0.18777141880922085</x:v>
      </x:c>
      <x:c r="R1100" s="14" t="n">
        <x:v>0.21493658525972167</x:v>
      </x:c>
      <x:c r="S1100" s="14" t="n">
        <x:v>0.42007757929658845</x:v>
      </x:c>
      <x:c r="T1100" t="str">
        <x:v>야간활성</x:v>
      </x:c>
      <x:c r="U1100" s="16" t="n">
        <x:v>62.708336133230816</x:v>
      </x:c>
      <x:c r="V1100" t="str">
        <x:v>화초</x:v>
      </x:c>
      <x:c r="W1100" t="str">
        <x:v>화초 / 커피-음료 / 미용실</x:v>
      </x:c>
      <x:c r="X1100" s="16" t="n">
        <x:v>54.497205635812676</x:v>
      </x:c>
    </x:row>
    <x:row r="1101">
      <x:c r="A1101" t="str">
        <x:v>3110775</x:v>
      </x:c>
      <x:c r="B1101" t="str">
        <x:v>대동초등학교</x:v>
      </x:c>
      <x:c r="C1101" t="str">
        <x:v>골목상권</x:v>
      </x:c>
      <x:c r="D1101" t="str">
        <x:v>영등포구</x:v>
      </x:c>
      <x:c r="E1101" t="str">
        <x:v>대림2동</x:v>
      </x:c>
      <x:c r="F1101" s="12" t="n">
        <x:v>35075</x:v>
      </x:c>
      <x:c r="G1101" s="12" t="n">
        <x:v>1413860595</x:v>
      </x:c>
      <x:c r="H1101" s="12" t="n">
        <x:v>23643</x:v>
      </x:c>
      <x:c r="I1101" s="12" t="n">
        <x:v>59800.388910036796</x:v>
      </x:c>
      <x:c r="J1101" s="12" t="n">
        <x:v>40309.63920171062</x:v>
      </x:c>
      <x:c r="K1101" s="12" t="n">
        <x:v>426</x:v>
      </x:c>
      <x:c r="L1101" s="12" t="n">
        <x:v>121.45402708481825</x:v>
      </x:c>
      <x:c r="M1101" s="12" t="n">
        <x:v>8</x:v>
      </x:c>
      <x:c r="N1101" s="14" t="n">
        <x:v>0.6065970117796514</x:v>
      </x:c>
      <x:c r="O1101" s="14" t="n">
        <x:v>0.3934029882203486</x:v>
      </x:c>
      <x:c r="P1101" s="14" t="n">
        <x:v>0.5377721903339416</x:v>
      </x:c>
      <x:c r="Q1101" s="14" t="n">
        <x:v>0.1706875033178218</x:v>
      </x:c>
      <x:c r="R1101" s="14" t="n">
        <x:v>0.13952066964565202</x:v>
      </x:c>
      <x:c r="S1101" s="14" t="n">
        <x:v>0.358580580569897</x:v>
      </x:c>
      <x:c r="T1101" t="str">
        <x:v>야간활성·직장밀집</x:v>
      </x:c>
      <x:c r="U1101" s="16" t="n">
        <x:v>69.58300180427187</x:v>
      </x:c>
      <x:c r="V1101" t="str">
        <x:v>철물점</x:v>
      </x:c>
      <x:c r="W1101" t="str">
        <x:v>철물점 / 일반의류 / 중식음식점</x:v>
      </x:c>
      <x:c r="X1101" s="16" t="n">
        <x:v>54.17275988517038</x:v>
      </x:c>
    </x:row>
    <x:row r="1102">
      <x:c r="A1102" t="str">
        <x:v>3110728</x:v>
      </x:c>
      <x:c r="B1102" t="str">
        <x:v>두산초등학교</x:v>
      </x:c>
      <x:c r="C1102" t="str">
        <x:v>골목상권</x:v>
      </x:c>
      <x:c r="D1102" t="str">
        <x:v>금천구</x:v>
      </x:c>
      <x:c r="E1102" t="str">
        <x:v>독산1동</x:v>
      </x:c>
      <x:c r="F1102" s="12" t="n">
        <x:v>50102</x:v>
      </x:c>
      <x:c r="G1102" s="12" t="n">
        <x:v>1402848395</x:v>
      </x:c>
      <x:c r="H1102" s="12" t="n">
        <x:v>115673</x:v>
      </x:c>
      <x:c r="I1102" s="12" t="n">
        <x:v>12127.708237877465</x:v>
      </x:c>
      <x:c r="J1102" s="12" t="n">
        <x:v>27999.848209652308</x:v>
      </x:c>
      <x:c r="K1102" s="12" t="n">
        <x:v>390</x:v>
      </x:c>
      <x:c r="L1102" s="12" t="n">
        <x:v>77.84120394395433</x:v>
      </x:c>
      <x:c r="M1102" s="12" t="n">
        <x:v>4</x:v>
      </x:c>
      <x:c r="N1102" s="14" t="n">
        <x:v>0.7989250256796281</x:v>
      </x:c>
      <x:c r="O1102" s="14" t="n">
        <x:v>0.20107497432037194</x:v>
      </x:c>
      <x:c r="P1102" s="14" t="n">
        <x:v>0.5651823944953083</x:v>
      </x:c>
      <x:c r="Q1102" s="14" t="n">
        <x:v>0.24173941832110804</x:v>
      </x:c>
      <x:c r="R1102" s="14" t="n">
        <x:v>0.4010116609927761</x:v>
      </x:c>
      <x:c r="S1102" s="14" t="n">
        <x:v>0.25881547663601956</x:v>
      </x:c>
      <x:c r="T1102" t="str">
        <x:v>야간활성·2030소비</x:v>
      </x:c>
      <x:c r="U1102" s="16" t="n">
        <x:v>57.67699537866688</x:v>
      </x:c>
      <x:c r="V1102" t="str">
        <x:v>세탁소</x:v>
      </x:c>
      <x:c r="W1102" t="str">
        <x:v>세탁소 / 슈퍼마켓 / 한식음식점</x:v>
      </x:c>
      <x:c r="X1102" s="16" t="n">
        <x:v>41.01594279729028</x:v>
      </x:c>
    </x:row>
    <x:row r="1103">
      <x:c r="A1103" t="str">
        <x:v>3110135</x:v>
      </x:c>
      <x:c r="B1103" t="str">
        <x:v>성동세무서</x:v>
      </x:c>
      <x:c r="C1103" t="str">
        <x:v>골목상권</x:v>
      </x:c>
      <x:c r="D1103" t="str">
        <x:v>성동구</x:v>
      </x:c>
      <x:c r="E1103" t="str">
        <x:v>송정동</x:v>
      </x:c>
      <x:c r="F1103" s="12" t="n">
        <x:v>136762</x:v>
      </x:c>
      <x:c r="G1103" s="12" t="n">
        <x:v>1396934045</x:v>
      </x:c>
      <x:c r="H1103" s="12" t="n">
        <x:v>43664</x:v>
      </x:c>
      <x:c r="I1103" s="12" t="n">
        <x:v>31992.809751740566</x:v>
      </x:c>
      <x:c r="J1103" s="12" t="n">
        <x:v>10214.343494537956</x:v>
      </x:c>
      <x:c r="K1103" s="12" t="n">
        <x:v>531</x:v>
      </x:c>
      <x:c r="L1103" s="12" t="n">
        <x:v>38.826574633304574</x:v>
      </x:c>
      <x:c r="M1103" s="12" t="n">
        <x:v>4</x:v>
      </x:c>
      <x:c r="N1103" s="14" t="n">
        <x:v>0.9369564795738083</x:v>
      </x:c>
      <x:c r="O1103" s="14" t="n">
        <x:v>0.06304352042619163</x:v>
      </x:c>
      <x:c r="P1103" s="14" t="n">
        <x:v>0.2523157920458585</x:v>
      </x:c>
      <x:c r="Q1103" s="14" t="n">
        <x:v>0.4800245075278411</x:v>
      </x:c>
      <x:c r="R1103" s="14" t="n">
        <x:v>0.16683224511147196</x:v>
      </x:c>
      <x:c r="S1103" s="14" t="n">
        <x:v>0.3071232385921269</x:v>
      </x:c>
      <x:c r="T1103" t="str">
        <x:v>평일집중</x:v>
      </x:c>
      <x:c r="U1103" s="16" t="n">
        <x:v>60.897920701420894</x:v>
      </x:c>
      <x:c r="V1103" t="str">
        <x:v>일반의원</x:v>
      </x:c>
      <x:c r="W1103" t="str">
        <x:v>일반의원 / 한식음식점 / 커피-음료</x:v>
      </x:c>
      <x:c r="X1103" s="16" t="n">
        <x:v>52.5072977103833</x:v>
      </x:c>
    </x:row>
    <x:row r="1104">
      <x:c r="A1104" t="str">
        <x:v>3110155</x:v>
      </x:c>
      <x:c r="B1104" t="str">
        <x:v>광진구청</x:v>
      </x:c>
      <x:c r="C1104" t="str">
        <x:v>골목상권</x:v>
      </x:c>
      <x:c r="D1104" t="str">
        <x:v>광진구</x:v>
      </x:c>
      <x:c r="E1104" t="str">
        <x:v>자양1동</x:v>
      </x:c>
      <x:c r="F1104" s="12" t="n">
        <x:v>97314</x:v>
      </x:c>
      <x:c r="G1104" s="12" t="n">
        <x:v>1389492369</x:v>
      </x:c>
      <x:c r="H1104" s="12" t="n">
        <x:v>93623</x:v>
      </x:c>
      <x:c r="I1104" s="12" t="n">
        <x:v>14841.357027653461</x:v>
      </x:c>
      <x:c r="J1104" s="12" t="n">
        <x:v>14278.442659843393</x:v>
      </x:c>
      <x:c r="K1104" s="12" t="n">
        <x:v>1480</x:v>
      </x:c>
      <x:c r="L1104" s="12" t="n">
        <x:v>152.08500318556426</x:v>
      </x:c>
      <x:c r="M1104" s="12" t="n">
        <x:v>8</x:v>
      </x:c>
      <x:c r="N1104" s="14" t="n">
        <x:v>0.7881879105159735</x:v>
      </x:c>
      <x:c r="O1104" s="14" t="n">
        <x:v>0.21181208948402652</x:v>
      </x:c>
      <x:c r="P1104" s="14" t="n">
        <x:v>0.3866044708015233</x:v>
      </x:c>
      <x:c r="Q1104" s="14" t="n">
        <x:v>0.3322356857074614</x:v>
      </x:c>
      <x:c r="R1104" s="14" t="n">
        <x:v>0.30507132421682265</x:v>
      </x:c>
      <x:c r="S1104" s="14" t="n">
        <x:v>0.28216824125645845</x:v>
      </x:c>
      <x:c r="T1104" t="str">
        <x:v>2030소비·직장밀집</x:v>
      </x:c>
      <x:c r="U1104" s="16" t="n">
        <x:v>63.75531522055822</x:v>
      </x:c>
      <x:c r="V1104" t="str">
        <x:v>패스트푸드점</x:v>
      </x:c>
      <x:c r="W1104" t="str">
        <x:v>패스트푸드점 / 자동차수리 / 화초</x:v>
      </x:c>
      <x:c r="X1104" s="16" t="n">
        <x:v>55.22833777292776</x:v>
      </x:c>
    </x:row>
    <x:row r="1105">
      <x:c r="A1105" t="str">
        <x:v>3110251</x:v>
      </x:c>
      <x:c r="B1105" t="str">
        <x:v>장안중학교</x:v>
      </x:c>
      <x:c r="C1105" t="str">
        <x:v>골목상권</x:v>
      </x:c>
      <x:c r="D1105" t="str">
        <x:v>중랑구</x:v>
      </x:c>
      <x:c r="E1105" t="str">
        <x:v>중화1동</x:v>
      </x:c>
      <x:c r="F1105" s="12" t="n">
        <x:v>90556</x:v>
      </x:c>
      <x:c r="G1105" s="12" t="n">
        <x:v>1386255152</x:v>
      </x:c>
      <x:c r="H1105" s="12" t="n">
        <x:v>65345</x:v>
      </x:c>
      <x:c r="I1105" s="12" t="n">
        <x:v>21214.402815823705</x:v>
      </x:c>
      <x:c r="J1105" s="12" t="n">
        <x:v>15308.263969256592</x:v>
      </x:c>
      <x:c r="K1105" s="12" t="n">
        <x:v>378</x:v>
      </x:c>
      <x:c r="L1105" s="12" t="n">
        <x:v>41.74212641901144</x:v>
      </x:c>
      <x:c r="M1105" s="12" t="n">
        <x:v>12</x:v>
      </x:c>
      <x:c r="N1105" s="14" t="n">
        <x:v>0.65287667908339</x:v>
      </x:c>
      <x:c r="O1105" s="14" t="n">
        <x:v>0.34712332091661</x:v>
      </x:c>
      <x:c r="P1105" s="14" t="n">
        <x:v>0.47154549078278196</x:v>
      </x:c>
      <x:c r="Q1105" s="14" t="n">
        <x:v>0.2199528647811294</x:v>
      </x:c>
      <x:c r="R1105" s="14" t="n">
        <x:v>0.19217060193836524</x:v>
      </x:c>
      <x:c r="S1105" s="14" t="n">
        <x:v>0.5300567957780978</x:v>
      </x:c>
      <x:c r="T1105" t="str">
        <x:v>여성소비·야간활성</x:v>
      </x:c>
      <x:c r="U1105" s="16" t="n">
        <x:v>77.50406433644561</x:v>
      </x:c>
      <x:c r="V1105" t="str">
        <x:v>피부관리실</x:v>
      </x:c>
      <x:c r="W1105" t="str">
        <x:v>피부관리실 / 미용실 / 육류판매</x:v>
      </x:c>
      <x:c r="X1105" s="16" t="n">
        <x:v>58.33657469168365</x:v>
      </x:c>
    </x:row>
    <x:row r="1106">
      <x:c r="A1106" t="str">
        <x:v>3110143</x:v>
      </x:c>
      <x:c r="B1106" t="str">
        <x:v>뚝섬유원지역 1번</x:v>
      </x:c>
      <x:c r="C1106" t="str">
        <x:v>골목상권</x:v>
      </x:c>
      <x:c r="D1106" t="str">
        <x:v>광진구</x:v>
      </x:c>
      <x:c r="E1106" t="str">
        <x:v>자양3동</x:v>
      </x:c>
      <x:c r="F1106" s="12" t="n">
        <x:v>8061</x:v>
      </x:c>
      <x:c r="G1106" s="12" t="n">
        <x:v>1381328920</x:v>
      </x:c>
      <x:c r="H1106" s="12" t="n">
        <x:v>14870</x:v>
      </x:c>
      <x:c r="I1106" s="12" t="n">
        <x:v>92893.67316745124</x:v>
      </x:c>
      <x:c r="J1106" s="12" t="n">
        <x:v>171359.49882148617</x:v>
      </x:c>
      <x:c r="K1106" s="12" t="n">
        <x:v>60</x:v>
      </x:c>
      <x:c r="L1106" s="12" t="n">
        <x:v>74.4324525493115</x:v>
      </x:c>
      <x:c r="M1106" s="12" t="n">
        <x:v>3</x:v>
      </x:c>
      <x:c r="N1106" s="14" t="n">
        <x:v>0.8791620181238223</x:v>
      </x:c>
      <x:c r="O1106" s="14" t="n">
        <x:v>0.12083798187617761</x:v>
      </x:c>
      <x:c r="P1106" s="14" t="n">
        <x:v>0.3867709683512599</x:v>
      </x:c>
      <x:c r="Q1106" s="14" t="n">
        <x:v>0.16202273242784201</x:v>
      </x:c>
      <x:c r="R1106" s="14" t="n">
        <x:v>0.17738117435491035</x:v>
      </x:c>
      <x:c r="S1106" s="14" t="n">
        <x:v>0.4942776315723557</x:v>
      </x:c>
      <x:c r="T1106" t="str">
        <x:v>평일집중·고매출밀도</x:v>
      </x:c>
      <x:c r="U1106" s="16" t="n">
        <x:v>65.56105377653564</x:v>
      </x:c>
      <x:c r="V1106" t="str">
        <x:v>예술학원</x:v>
      </x:c>
      <x:c r="W1106" t="str">
        <x:v>예술학원 / 일반교습학원 / 한식음식점</x:v>
      </x:c>
      <x:c r="X1106" s="16" t="n">
        <x:v>50.60604659956778</x:v>
      </x:c>
    </x:row>
    <x:row r="1107">
      <x:c r="A1107" t="str">
        <x:v>3110524</x:v>
      </x:c>
      <x:c r="B1107" t="str">
        <x:v>연희세브란스병원</x:v>
      </x:c>
      <x:c r="C1107" t="str">
        <x:v>골목상권</x:v>
      </x:c>
      <x:c r="D1107" t="str">
        <x:v>서대문구</x:v>
      </x:c>
      <x:c r="E1107" t="str">
        <x:v>신촌동</x:v>
      </x:c>
      <x:c r="F1107" s="12" t="n">
        <x:v>30580</x:v>
      </x:c>
      <x:c r="G1107" s="12" t="n">
        <x:v>1381148132</x:v>
      </x:c>
      <x:c r="H1107" s="12" t="n">
        <x:v>66860</x:v>
      </x:c>
      <x:c r="I1107" s="12" t="n">
        <x:v>20657.315764283576</x:v>
      </x:c>
      <x:c r="J1107" s="12" t="n">
        <x:v>45165.07952910399</x:v>
      </x:c>
      <x:c r="K1107" s="12" t="n">
        <x:v>69</x:v>
      </x:c>
      <x:c r="L1107" s="12" t="n">
        <x:v>22.563767168083714</x:v>
      </x:c>
      <x:c r="M1107" s="12" t="n">
        <x:v>4</x:v>
      </x:c>
      <x:c r="N1107" s="14" t="n">
        <x:v>0.8499842129895449</x:v>
      </x:c>
      <x:c r="O1107" s="14" t="n">
        <x:v>0.15001578701045515</x:v>
      </x:c>
      <x:c r="P1107" s="14" t="n">
        <x:v>0.23075689682792114</x:v>
      </x:c>
      <x:c r="Q1107" s="14" t="n">
        <x:v>0.5447758112016908</x:v>
      </x:c>
      <x:c r="R1107" s="14" t="n">
        <x:v>0.251450735770897</x:v>
      </x:c>
      <x:c r="S1107" s="14" t="n">
        <x:v>0.38468359598085455</x:v>
      </x:c>
      <x:c r="T1107" t="str">
        <x:v>평일집중·2030소비</x:v>
      </x:c>
      <x:c r="U1107" s="16" t="n">
        <x:v>56.512140445117545</x:v>
      </x:c>
      <x:c r="V1107" t="str">
        <x:v>커피-음료</x:v>
      </x:c>
      <x:c r="W1107" t="str">
        <x:v>커피-음료 / 양식음식점 / 한식음식점</x:v>
      </x:c>
      <x:c r="X1107" s="16" t="n">
        <x:v>42.96867793297451</x:v>
      </x:c>
    </x:row>
    <x:row r="1108">
      <x:c r="A1108" t="str">
        <x:v>3110152</x:v>
      </x:c>
      <x:c r="B1108" t="str">
        <x:v>중곡어린이공원</x:v>
      </x:c>
      <x:c r="C1108" t="str">
        <x:v>골목상권</x:v>
      </x:c>
      <x:c r="D1108" t="str">
        <x:v>광진구</x:v>
      </x:c>
      <x:c r="E1108" t="str">
        <x:v>중곡1동</x:v>
      </x:c>
      <x:c r="F1108" s="12" t="n">
        <x:v>50806</x:v>
      </x:c>
      <x:c r="G1108" s="12" t="n">
        <x:v>1371796494</x:v>
      </x:c>
      <x:c r="H1108" s="12" t="n">
        <x:v>46027</x:v>
      </x:c>
      <x:c r="I1108" s="12" t="n">
        <x:v>29804.169161579073</x:v>
      </x:c>
      <x:c r="J1108" s="12" t="n">
        <x:v>27000.678935558793</x:v>
      </x:c>
      <x:c r="K1108" s="12" t="n">
        <x:v>256</x:v>
      </x:c>
      <x:c r="L1108" s="12" t="n">
        <x:v>50.38774947840806</x:v>
      </x:c>
      <x:c r="M1108" s="12" t="n">
        <x:v>5</x:v>
      </x:c>
      <x:c r="N1108" s="14" t="n">
        <x:v>0.7051352735123698</x:v>
      </x:c>
      <x:c r="O1108" s="14" t="n">
        <x:v>0.2948647264876302</x:v>
      </x:c>
      <x:c r="P1108" s="14" t="n">
        <x:v>0.3768542836062971</x:v>
      </x:c>
      <x:c r="Q1108" s="14" t="n">
        <x:v>0.29924737145450087</x:v>
      </x:c>
      <x:c r="R1108" s="14" t="n">
        <x:v>0.23430556383970463</x:v>
      </x:c>
      <x:c r="S1108" s="14" t="n">
        <x:v>0.3423251204197931</x:v>
      </x:c>
      <x:c r="T1108" t="str">
        <x:v>균형형</x:v>
      </x:c>
      <x:c r="U1108" s="16" t="n">
        <x:v>63.27198598256915</x:v>
      </x:c>
      <x:c r="V1108" t="str">
        <x:v>일반교습학원</x:v>
      </x:c>
      <x:c r="W1108" t="str">
        <x:v>일반교습학원 / 한식음식점 / 자동차수리</x:v>
      </x:c>
      <x:c r="X1108" s="16" t="n">
        <x:v>44.671937301364395</x:v>
      </x:c>
    </x:row>
    <x:row r="1109">
      <x:c r="A1109" t="str">
        <x:v>3111002</x:v>
      </x:c>
      <x:c r="B1109" t="str">
        <x:v>한국교통안전공단 강남자동차검사소</x:v>
      </x:c>
      <x:c r="C1109" t="str">
        <x:v>골목상권</x:v>
      </x:c>
      <x:c r="D1109" t="str">
        <x:v>강남구</x:v>
      </x:c>
      <x:c r="E1109" t="str">
        <x:v>세곡동</x:v>
      </x:c>
      <x:c r="F1109" s="12" t="n">
        <x:v>59241</x:v>
      </x:c>
      <x:c r="G1109" s="12" t="n">
        <x:v>1359768874</x:v>
      </x:c>
      <x:c r="H1109" s="12" t="n">
        <x:v>13685</x:v>
      </x:c>
      <x:c r="I1109" s="12" t="n">
        <x:v>99361.9929850201</x:v>
      </x:c>
      <x:c r="J1109" s="12" t="n">
        <x:v>22953.172194932562</x:v>
      </x:c>
      <x:c r="K1109" s="12" t="n">
        <x:v>102</x:v>
      </x:c>
      <x:c r="L1109" s="12" t="n">
        <x:v>17.217805236238416</x:v>
      </x:c>
      <x:c r="M1109" s="12" t="n">
        <x:v>3</x:v>
      </x:c>
      <x:c r="N1109" s="14" t="n">
        <x:v>0.9174743707216231</x:v>
      </x:c>
      <x:c r="O1109" s="14" t="n">
        <x:v>0.08252562927837691</x:v>
      </x:c>
      <x:c r="P1109" s="14" t="n">
        <x:v>0.09641154795252359</x:v>
      </x:c>
      <x:c r="Q1109" s="14" t="n">
        <x:v>0.33192390238519315</x:v>
      </x:c>
      <x:c r="R1109" s="14" t="n">
        <x:v>0.06311707279159266</x:v>
      </x:c>
      <x:c r="S1109" s="14" t="n">
        <x:v>0.1440534121242137</x:v>
      </x:c>
      <x:c r="T1109" t="str">
        <x:v>평일집중</x:v>
      </x:c>
      <x:c r="U1109" s="16" t="n">
        <x:v>57.821488437591995</x:v>
      </x:c>
      <x:c r="V1109" t="str">
        <x:v>자동차미용</x:v>
      </x:c>
      <x:c r="W1109" t="str">
        <x:v>자동차미용 / 자동차수리 / 한식음식점</x:v>
      </x:c>
      <x:c r="X1109" s="16" t="n">
        <x:v>44.627580750342126</x:v>
      </x:c>
    </x:row>
    <x:row r="1110">
      <x:c r="A1110" t="str">
        <x:v>3130060</x:v>
      </x:c>
      <x:c r="B1110" t="str">
        <x:v>신흥시장</x:v>
      </x:c>
      <x:c r="C1110" t="str">
        <x:v>전통시장</x:v>
      </x:c>
      <x:c r="D1110" t="str">
        <x:v>용산구</x:v>
      </x:c>
      <x:c r="E1110" t="str">
        <x:v>용산2가동</x:v>
      </x:c>
      <x:c r="F1110" s="12" t="n">
        <x:v>3810</x:v>
      </x:c>
      <x:c r="G1110" s="12" t="n">
        <x:v>1357979573</x:v>
      </x:c>
      <x:c r="H1110" s="12" t="n">
        <x:v>56208</x:v>
      </x:c>
      <x:c r="I1110" s="12" t="n">
        <x:v>24159.898466410476</x:v>
      </x:c>
      <x:c r="J1110" s="12" t="n">
        <x:v>356425.08477690286</x:v>
      </x:c>
      <x:c r="K1110" s="12" t="n">
        <x:v>153</x:v>
      </x:c>
      <x:c r="L1110" s="12" t="n">
        <x:v>401.5748031496063</x:v>
      </x:c>
      <x:c r="M1110" s="12" t="n">
        <x:v>3</x:v>
      </x:c>
      <x:c r="N1110" s="14" t="n">
        <x:v>0.576852710876528</x:v>
      </x:c>
      <x:c r="O1110" s="14" t="n">
        <x:v>0.42314728912347194</x:v>
      </x:c>
      <x:c r="P1110" s="14" t="n">
        <x:v>0.600279212005496</x:v>
      </x:c>
      <x:c r="Q1110" s="14" t="n">
        <x:v>0.13070332759710812</x:v>
      </x:c>
      <x:c r="R1110" s="14" t="n">
        <x:v>0.6711712113507616</x:v>
      </x:c>
      <x:c r="S1110" s="14" t="n">
        <x:v>0.58012460324394</x:v>
      </x:c>
      <x:c r="T1110" t="str">
        <x:v>2030소비·야간활성</x:v>
      </x:c>
      <x:c r="U1110" s="16" t="n">
        <x:v>63.5358299693718</x:v>
      </x:c>
      <x:c r="V1110" t="str">
        <x:v>커피-음료</x:v>
      </x:c>
      <x:c r="W1110" t="str">
        <x:v>커피-음료 / 한식음식점 / 제과점</x:v>
      </x:c>
      <x:c r="X1110" s="16" t="n">
        <x:v>62.24846994888461</x:v>
      </x:c>
    </x:row>
    <x:row r="1111">
      <x:c r="A1111" t="str">
        <x:v>3110105</x:v>
      </x:c>
      <x:c r="B1111" t="str">
        <x:v>금동어린이공원</x:v>
      </x:c>
      <x:c r="C1111" t="str">
        <x:v>골목상권</x:v>
      </x:c>
      <x:c r="D1111" t="str">
        <x:v>성동구</x:v>
      </x:c>
      <x:c r="E1111" t="str">
        <x:v>금호2·3가동</x:v>
      </x:c>
      <x:c r="F1111" s="12" t="n">
        <x:v>69009</x:v>
      </x:c>
      <x:c r="G1111" s="12" t="n">
        <x:v>1355215861</x:v>
      </x:c>
      <x:c r="H1111" s="12" t="n">
        <x:v>38587</x:v>
      </x:c>
      <x:c r="I1111" s="12" t="n">
        <x:v>35121.04752896053</x:v>
      </x:c>
      <x:c r="J1111" s="12" t="n">
        <x:v>19638.24806909244</x:v>
      </x:c>
      <x:c r="K1111" s="12" t="n">
        <x:v>49</x:v>
      </x:c>
      <x:c r="L1111" s="12" t="n">
        <x:v>7.100523120172731</x:v>
      </x:c>
      <x:c r="M1111" s="12" t="n">
        <x:v>10</x:v>
      </x:c>
      <x:c r="N1111" s="14" t="n">
        <x:v>0.7159443723482218</x:v>
      </x:c>
      <x:c r="O1111" s="14" t="n">
        <x:v>0.2840556276517782</x:v>
      </x:c>
      <x:c r="P1111" s="14" t="n">
        <x:v>0.37816700626705546</x:v>
      </x:c>
      <x:c r="Q1111" s="14" t="n">
        <x:v>0.254247496591246</x:v>
      </x:c>
      <x:c r="R1111" s="14" t="n">
        <x:v>0.12038829952861657</x:v>
      </x:c>
      <x:c r="S1111" s="14" t="n">
        <x:v>0.5617887776477256</x:v>
      </x:c>
      <x:c r="T1111" t="str">
        <x:v>여성소비</x:v>
      </x:c>
      <x:c r="U1111" s="16" t="n">
        <x:v>63.847679948273864</x:v>
      </x:c>
      <x:c r="V1111" t="str">
        <x:v>일반의류</x:v>
      </x:c>
      <x:c r="W1111" t="str">
        <x:v>일반의류 / 화장품 / 호프-간이주점</x:v>
      </x:c>
      <x:c r="X1111" s="16" t="n">
        <x:v>49.299293215736995</x:v>
      </x:c>
    </x:row>
    <x:row r="1112">
      <x:c r="A1112" t="str">
        <x:v>3111048</x:v>
      </x:c>
      <x:c r="B1112" t="str">
        <x:v>천호역 1번(천호문구완구거리)</x:v>
      </x:c>
      <x:c r="C1112" t="str">
        <x:v>골목상권</x:v>
      </x:c>
      <x:c r="D1112" t="str">
        <x:v>강동구</x:v>
      </x:c>
      <x:c r="E1112" t="str">
        <x:v>천호2동</x:v>
      </x:c>
      <x:c r="F1112" s="12" t="n">
        <x:v>69265</x:v>
      </x:c>
      <x:c r="G1112" s="12" t="n">
        <x:v>1350745881</x:v>
      </x:c>
      <x:c r="H1112" s="12" t="n">
        <x:v>42027</x:v>
      </x:c>
      <x:c r="I1112" s="12" t="n">
        <x:v>32139.95481476194</x:v>
      </x:c>
      <x:c r="J1112" s="12" t="n">
        <x:v>19501.131610481483</x:v>
      </x:c>
      <x:c r="K1112" s="12" t="n">
        <x:v>107</x:v>
      </x:c>
      <x:c r="L1112" s="12" t="n">
        <x:v>15.447917418609688</x:v>
      </x:c>
      <x:c r="M1112" s="12" t="n">
        <x:v>8</x:v>
      </x:c>
      <x:c r="N1112" s="14" t="n">
        <x:v>0.6951037135903729</x:v>
      </x:c>
      <x:c r="O1112" s="14" t="n">
        <x:v>0.304896286409627</x:v>
      </x:c>
      <x:c r="P1112" s="14" t="n">
        <x:v>0.42627528693533734</x:v>
      </x:c>
      <x:c r="Q1112" s="14" t="n">
        <x:v>0.3449494242803469</x:v>
      </x:c>
      <x:c r="R1112" s="14" t="n">
        <x:v>0.2084096875361858</x:v>
      </x:c>
      <x:c r="S1112" s="14" t="n">
        <x:v>0.28985435862306363</x:v>
      </x:c>
      <x:c r="T1112" t="str">
        <x:v>야간활성</x:v>
      </x:c>
      <x:c r="U1112" s="16" t="n">
        <x:v>44.71518204507066</x:v>
      </x:c>
      <x:c r="V1112" t="str">
        <x:v>커피-음료</x:v>
      </x:c>
      <x:c r="W1112" t="str">
        <x:v>커피-음료 / 한식음식점 / 미용실</x:v>
      </x:c>
      <x:c r="X1112" s="16" t="n">
        <x:v>39.816457538011456</x:v>
      </x:c>
    </x:row>
    <x:row r="1113">
      <x:c r="A1113" t="str">
        <x:v>3110868</x:v>
      </x:c>
      <x:c r="B1113" t="str">
        <x:v>남부초등학교</x:v>
      </x:c>
      <x:c r="C1113" t="str">
        <x:v>골목상권</x:v>
      </x:c>
      <x:c r="D1113" t="str">
        <x:v>관악구</x:v>
      </x:c>
      <x:c r="E1113" t="str">
        <x:v>신사동</x:v>
      </x:c>
      <x:c r="F1113" s="12" t="n">
        <x:v>87679</x:v>
      </x:c>
      <x:c r="G1113" s="12" t="n">
        <x:v>1346101583</x:v>
      </x:c>
      <x:c r="H1113" s="12" t="n">
        <x:v>16786</x:v>
      </x:c>
      <x:c r="I1113" s="12" t="n">
        <x:v>80191.92082687955</x:v>
      </x:c>
      <x:c r="J1113" s="12" t="n">
        <x:v>15352.611035709806</x:v>
      </x:c>
      <x:c r="K1113" s="12" t="n">
        <x:v>382</x:v>
      </x:c>
      <x:c r="L1113" s="12" t="n">
        <x:v>43.568015146158146</x:v>
      </x:c>
      <x:c r="M1113" s="12" t="n">
        <x:v>7</x:v>
      </x:c>
      <x:c r="N1113" s="14" t="n">
        <x:v>0.8143146496842059</x:v>
      </x:c>
      <x:c r="O1113" s="14" t="n">
        <x:v>0.1856853503157941</x:v>
      </x:c>
      <x:c r="P1113" s="14" t="n">
        <x:v>0.4292516391758823</x:v>
      </x:c>
      <x:c r="Q1113" s="14" t="n">
        <x:v>0.16861577972009562</x:v>
      </x:c>
      <x:c r="R1113" s="14" t="n">
        <x:v>0.3960460768583763</x:v>
      </x:c>
      <x:c r="S1113" s="14" t="n">
        <x:v>0.3461429701030223</x:v>
      </x:c>
      <x:c r="T1113" t="str">
        <x:v>2030소비·평일집중</x:v>
      </x:c>
      <x:c r="U1113" s="16" t="n">
        <x:v>65.35801394942614</x:v>
      </x:c>
      <x:c r="V1113" t="str">
        <x:v>자동차수리</x:v>
      </x:c>
      <x:c r="W1113" t="str">
        <x:v>자동차수리 / 한식음식점 / 분식전문점</x:v>
      </x:c>
      <x:c r="X1113" s="16" t="n">
        <x:v>46.48995408068366</x:v>
      </x:c>
    </x:row>
    <x:row r="1114">
      <x:c r="A1114" t="str">
        <x:v>3110104</x:v>
      </x:c>
      <x:c r="B1114" t="str">
        <x:v>신금호역 4번</x:v>
      </x:c>
      <x:c r="C1114" t="str">
        <x:v>골목상권</x:v>
      </x:c>
      <x:c r="D1114" t="str">
        <x:v>성동구</x:v>
      </x:c>
      <x:c r="E1114" t="str">
        <x:v>금호2·3가동</x:v>
      </x:c>
      <x:c r="F1114" s="12" t="n">
        <x:v>66838</x:v>
      </x:c>
      <x:c r="G1114" s="12" t="n">
        <x:v>1345074859</x:v>
      </x:c>
      <x:c r="H1114" s="12" t="n">
        <x:v>29093</x:v>
      </x:c>
      <x:c r="I1114" s="12" t="n">
        <x:v>46233.62523631114</x:v>
      </x:c>
      <x:c r="J1114" s="12" t="n">
        <x:v>20124.40316885604</x:v>
      </x:c>
      <x:c r="K1114" s="12" t="n">
        <x:v>67</x:v>
      </x:c>
      <x:c r="L1114" s="12" t="n">
        <x:v>10.024237709087645</x:v>
      </x:c>
      <x:c r="M1114" s="12" t="n">
        <x:v>8</x:v>
      </x:c>
      <x:c r="N1114" s="14" t="n">
        <x:v>0.8886764011697285</x:v>
      </x:c>
      <x:c r="O1114" s="14" t="n">
        <x:v>0.1113235988302715</x:v>
      </x:c>
      <x:c r="P1114" s="14" t="n">
        <x:v>0.4362600044701304</x:v>
      </x:c>
      <x:c r="Q1114" s="14" t="n">
        <x:v>0.26631639837972765</x:v>
      </x:c>
      <x:c r="R1114" s="14" t="n">
        <x:v>0.10405584942986433</x:v>
      </x:c>
      <x:c r="S1114" s="14" t="n">
        <x:v>0.6034174295722228</x:v>
      </x:c>
      <x:c r="T1114" t="str">
        <x:v>여성소비·평일집중</x:v>
      </x:c>
      <x:c r="U1114" s="16" t="n">
        <x:v>60.69895813554872</x:v>
      </x:c>
      <x:c r="V1114" t="str">
        <x:v>일반교습학원</x:v>
      </x:c>
      <x:c r="W1114" t="str">
        <x:v>일반교습학원 / 전자상거래업 / 예술학원</x:v>
      </x:c>
      <x:c r="X1114" s="16" t="n">
        <x:v>53.536837486982314</x:v>
      </x:c>
    </x:row>
    <x:row r="1115">
      <x:c r="A1115" t="str">
        <x:v>3110901</x:v>
      </x:c>
      <x:c r="B1115" t="str">
        <x:v>인헌고등학교(인헌중학교)</x:v>
      </x:c>
      <x:c r="C1115" t="str">
        <x:v>골목상권</x:v>
      </x:c>
      <x:c r="D1115" t="str">
        <x:v>관악구</x:v>
      </x:c>
      <x:c r="E1115" t="str">
        <x:v>인헌동</x:v>
      </x:c>
      <x:c r="F1115" s="12" t="n">
        <x:v>92180</x:v>
      </x:c>
      <x:c r="G1115" s="12" t="n">
        <x:v>1344567488</x:v>
      </x:c>
      <x:c r="H1115" s="12" t="n">
        <x:v>109605</x:v>
      </x:c>
      <x:c r="I1115" s="12" t="n">
        <x:v>12267.391889056156</x:v>
      </x:c>
      <x:c r="J1115" s="12" t="n">
        <x:v>14586.32553699284</x:v>
      </x:c>
      <x:c r="K1115" s="12" t="n">
        <x:v>362</x:v>
      </x:c>
      <x:c r="L1115" s="12" t="n">
        <x:v>39.27099153829464</x:v>
      </x:c>
      <x:c r="M1115" s="12" t="n">
        <x:v>10</x:v>
      </x:c>
      <x:c r="N1115" s="14" t="n">
        <x:v>0.7087454817292146</x:v>
      </x:c>
      <x:c r="O1115" s="14" t="n">
        <x:v>0.29125451827078536</x:v>
      </x:c>
      <x:c r="P1115" s="14" t="n">
        <x:v>0.5135956537422984</x:v>
      </x:c>
      <x:c r="Q1115" s="14" t="n">
        <x:v>0.17212357733284714</x:v>
      </x:c>
      <x:c r="R1115" s="14" t="n">
        <x:v>0.3084386821050369</x:v>
      </x:c>
      <x:c r="S1115" s="14" t="n">
        <x:v>0.47637282971399647</x:v>
      </x:c>
      <x:c r="T1115" t="str">
        <x:v>야간활성·2030소비</x:v>
      </x:c>
      <x:c r="U1115" s="16" t="n">
        <x:v>63.80922537913654</x:v>
      </x:c>
      <x:c r="V1115" t="str">
        <x:v>세탁소</x:v>
      </x:c>
      <x:c r="W1115" t="str">
        <x:v>세탁소 / 일반교습학원 / 슈퍼마켓</x:v>
      </x:c>
      <x:c r="X1115" s="16" t="n">
        <x:v>51.157905404399166</x:v>
      </x:c>
    </x:row>
    <x:row r="1116">
      <x:c r="A1116" t="str">
        <x:v>3110285</x:v>
      </x:c>
      <x:c r="B1116" t="str">
        <x:v>홍대부중</x:v>
      </x:c>
      <x:c r="C1116" t="str">
        <x:v>골목상권</x:v>
      </x:c>
      <x:c r="D1116" t="str">
        <x:v>성북구</x:v>
      </x:c>
      <x:c r="E1116" t="str">
        <x:v>성북동</x:v>
      </x:c>
      <x:c r="F1116" s="12" t="n">
        <x:v>90071</x:v>
      </x:c>
      <x:c r="G1116" s="12" t="n">
        <x:v>1343858957</x:v>
      </x:c>
      <x:c r="H1116" s="12" t="n">
        <x:v>51685</x:v>
      </x:c>
      <x:c r="I1116" s="12" t="n">
        <x:v>26000.947218728837</x:v>
      </x:c>
      <x:c r="J1116" s="12" t="n">
        <x:v>14919.99596984601</x:v>
      </x:c>
      <x:c r="K1116" s="12" t="n">
        <x:v>1777</x:v>
      </x:c>
      <x:c r="L1116" s="12" t="n">
        <x:v>197.288805497885</x:v>
      </x:c>
      <x:c r="M1116" s="12" t="n">
        <x:v>6</x:v>
      </x:c>
      <x:c r="N1116" s="14" t="n">
        <x:v>0.7549659565948036</x:v>
      </x:c>
      <x:c r="O1116" s="14" t="n">
        <x:v>0.24503404340519644</x:v>
      </x:c>
      <x:c r="P1116" s="14" t="n">
        <x:v>0.2747792453043865</x:v>
      </x:c>
      <x:c r="Q1116" s="14" t="n">
        <x:v>0.26450983501537206</x:v>
      </x:c>
      <x:c r="R1116" s="14" t="n">
        <x:v>0.17437363852760332</x:v>
      </x:c>
      <x:c r="S1116" s="14" t="n">
        <x:v>0.5414902480722164</x:v>
      </x:c>
      <x:c r="T1116" t="str">
        <x:v>여성소비·직장밀집</x:v>
      </x:c>
      <x:c r="U1116" s="16" t="n">
        <x:v>65.19962060684597</x:v>
      </x:c>
      <x:c r="V1116" t="str">
        <x:v>화초</x:v>
      </x:c>
      <x:c r="W1116" t="str">
        <x:v>화초 / 한식음식점 / 일반교습학원</x:v>
      </x:c>
      <x:c r="X1116" s="16" t="n">
        <x:v>53.80052303613718</x:v>
      </x:c>
    </x:row>
    <x:row r="1117">
      <x:c r="A1117" t="str">
        <x:v>3110110</x:v>
      </x:c>
      <x:c r="B1117" t="str">
        <x:v>상왕십리역 6번</x:v>
      </x:c>
      <x:c r="C1117" t="str">
        <x:v>골목상권</x:v>
      </x:c>
      <x:c r="D1117" t="str">
        <x:v>성동구</x:v>
      </x:c>
      <x:c r="E1117" t="str">
        <x:v>왕십리2동</x:v>
      </x:c>
      <x:c r="F1117" s="12" t="n">
        <x:v>51942</x:v>
      </x:c>
      <x:c r="G1117" s="12" t="n">
        <x:v>1340667742</x:v>
      </x:c>
      <x:c r="H1117" s="12" t="n">
        <x:v>59499</x:v>
      </x:c>
      <x:c r="I1117" s="12" t="n">
        <x:v>22532.609657305165</x:v>
      </x:c>
      <x:c r="J1117" s="12" t="n">
        <x:v>25810.86099880636</x:v>
      </x:c>
      <x:c r="K1117" s="12" t="n">
        <x:v>297</x:v>
      </x:c>
      <x:c r="L1117" s="12" t="n">
        <x:v>57.179161372299866</x:v>
      </x:c>
      <x:c r="M1117" s="12" t="n">
        <x:v>9</x:v>
      </x:c>
      <x:c r="N1117" s="14" t="n">
        <x:v>0.7540779346953214</x:v>
      </x:c>
      <x:c r="O1117" s="14" t="n">
        <x:v>0.2459220653046786</x:v>
      </x:c>
      <x:c r="P1117" s="14" t="n">
        <x:v>0.501314137682892</x:v>
      </x:c>
      <x:c r="Q1117" s="14" t="n">
        <x:v>0.2467657859108838</x:v>
      </x:c>
      <x:c r="R1117" s="14" t="n">
        <x:v>0.20232416243218598</x:v>
      </x:c>
      <x:c r="S1117" s="14" t="n">
        <x:v>0.35439469684801295</x:v>
      </x:c>
      <x:c r="T1117" t="str">
        <x:v>야간활성</x:v>
      </x:c>
      <x:c r="U1117" s="16" t="n">
        <x:v>69.87954686655263</x:v>
      </x:c>
      <x:c r="V1117" t="str">
        <x:v>화초</x:v>
      </x:c>
      <x:c r="W1117" t="str">
        <x:v>화초 / 네일숍 / 한식음식점</x:v>
      </x:c>
      <x:c r="X1117" s="16" t="n">
        <x:v>62.33884253036744</x:v>
      </x:c>
    </x:row>
    <x:row r="1118">
      <x:c r="A1118" t="str">
        <x:v>3110696</x:v>
      </x:c>
      <x:c r="B1118" t="str">
        <x:v>오류동역 1번</x:v>
      </x:c>
      <x:c r="C1118" t="str">
        <x:v>골목상권</x:v>
      </x:c>
      <x:c r="D1118" t="str">
        <x:v>구로구</x:v>
      </x:c>
      <x:c r="E1118" t="str">
        <x:v>개봉2동</x:v>
      </x:c>
      <x:c r="F1118" s="12" t="n">
        <x:v>87977</x:v>
      </x:c>
      <x:c r="G1118" s="12" t="n">
        <x:v>1338675212</x:v>
      </x:c>
      <x:c r="H1118" s="12" t="n">
        <x:v>62667</x:v>
      </x:c>
      <x:c r="I1118" s="12" t="n">
        <x:v>21361.724863165622</x:v>
      </x:c>
      <x:c r="J1118" s="12" t="n">
        <x:v>15216.195278311377</x:v>
      </x:c>
      <x:c r="K1118" s="12" t="n">
        <x:v>799</x:v>
      </x:c>
      <x:c r="L1118" s="12" t="n">
        <x:v>90.81919137956511</x:v>
      </x:c>
      <x:c r="M1118" s="12" t="n">
        <x:v>5</x:v>
      </x:c>
      <x:c r="N1118" s="14" t="n">
        <x:v>0.7635043226601554</x:v>
      </x:c>
      <x:c r="O1118" s="14" t="n">
        <x:v>0.23649567733984456</x:v>
      </x:c>
      <x:c r="P1118" s="14" t="n">
        <x:v>0.39008897178264923</x:v>
      </x:c>
      <x:c r="Q1118" s="14" t="n">
        <x:v>0.28929700686801096</x:v>
      </x:c>
      <x:c r="R1118" s="14" t="n">
        <x:v>0.25846294747108534</x:v>
      </x:c>
      <x:c r="S1118" s="14" t="n">
        <x:v>0.30772009095810465</x:v>
      </x:c>
      <x:c r="T1118" t="str">
        <x:v>2030소비·직장밀집</x:v>
      </x:c>
      <x:c r="U1118" s="16" t="n">
        <x:v>65.14849206905492</x:v>
      </x:c>
      <x:c r="V1118" t="str">
        <x:v>자동차수리</x:v>
      </x:c>
      <x:c r="W1118" t="str">
        <x:v>자동차수리 / 스포츠 강습 / 슈퍼마켓</x:v>
      </x:c>
      <x:c r="X1118" s="16" t="n">
        <x:v>51.965026812384906</x:v>
      </x:c>
    </x:row>
    <x:row r="1119">
      <x:c r="A1119" t="str">
        <x:v>3110664</x:v>
      </x:c>
      <x:c r="B1119" t="str">
        <x:v>강서구청옆</x:v>
      </x:c>
      <x:c r="C1119" t="str">
        <x:v>골목상권</x:v>
      </x:c>
      <x:c r="D1119" t="str">
        <x:v>강서구</x:v>
      </x:c>
      <x:c r="E1119" t="str">
        <x:v>화곡6동</x:v>
      </x:c>
      <x:c r="F1119" s="12" t="n">
        <x:v>22736</x:v>
      </x:c>
      <x:c r="G1119" s="12" t="n">
        <x:v>1334048149</x:v>
      </x:c>
      <x:c r="H1119" s="12" t="n">
        <x:v>16266</x:v>
      </x:c>
      <x:c r="I1119" s="12" t="n">
        <x:v>82014.51795155539</x:v>
      </x:c>
      <x:c r="J1119" s="12" t="n">
        <x:v>58675.58713054187</x:v>
      </x:c>
      <x:c r="K1119" s="12" t="n">
        <x:v>232</x:v>
      </x:c>
      <x:c r="L1119" s="12" t="n">
        <x:v>102.0408163265306</x:v>
      </x:c>
      <x:c r="M1119" s="12" t="n">
        <x:v>3</x:v>
      </x:c>
      <x:c r="N1119" s="14" t="n">
        <x:v>0.7459080924072404</x:v>
      </x:c>
      <x:c r="O1119" s="14" t="n">
        <x:v>0.2540919075927596</x:v>
      </x:c>
      <x:c r="P1119" s="14" t="n">
        <x:v>0.7850954845858416</x:v>
      </x:c>
      <x:c r="Q1119" s="14" t="n">
        <x:v>0.12541330770213452</x:v>
      </x:c>
      <x:c r="R1119" s="14" t="n">
        <x:v>0.20844005008997618</x:v>
      </x:c>
      <x:c r="S1119" s="14" t="n">
        <x:v>0.20824063974620455</x:v>
      </x:c>
      <x:c r="T1119" t="str">
        <x:v>야간활성·직장밀집</x:v>
      </x:c>
      <x:c r="U1119" s="16" t="n">
        <x:v>51.816597423973185</x:v>
      </x:c>
      <x:c r="V1119" t="str">
        <x:v>한식음식점</x:v>
      </x:c>
      <x:c r="W1119" t="str">
        <x:v>한식음식점 / 미용실 / 호프-간이주점</x:v>
      </x:c>
      <x:c r="X1119" s="16" t="n">
        <x:v>34.525408662487045</x:v>
      </x:c>
    </x:row>
    <x:row r="1120">
      <x:c r="A1120" t="str">
        <x:v>3110608</x:v>
      </x:c>
      <x:c r="B1120" t="str">
        <x:v>신월2동주민센터</x:v>
      </x:c>
      <x:c r="C1120" t="str">
        <x:v>골목상권</x:v>
      </x:c>
      <x:c r="D1120" t="str">
        <x:v>양천구</x:v>
      </x:c>
      <x:c r="E1120" t="str">
        <x:v>신월2동</x:v>
      </x:c>
      <x:c r="F1120" s="12" t="n">
        <x:v>199259</x:v>
      </x:c>
      <x:c r="G1120" s="12" t="n">
        <x:v>1330656103</x:v>
      </x:c>
      <x:c r="H1120" s="12" t="n">
        <x:v>94918</x:v>
      </x:c>
      <x:c r="I1120" s="12" t="n">
        <x:v>14019.006963905687</x:v>
      </x:c>
      <x:c r="J1120" s="12" t="n">
        <x:v>6678.0225886911</x:v>
      </x:c>
      <x:c r="K1120" s="12" t="n">
        <x:v>774</x:v>
      </x:c>
      <x:c r="L1120" s="12" t="n">
        <x:v>38.843916711415794</x:v>
      </x:c>
      <x:c r="M1120" s="12" t="n">
        <x:v>13</x:v>
      </x:c>
      <x:c r="N1120" s="14" t="n">
        <x:v>0.7414674969555225</x:v>
      </x:c>
      <x:c r="O1120" s="14" t="n">
        <x:v>0.25853250304447745</x:v>
      </x:c>
      <x:c r="P1120" s="14" t="n">
        <x:v>0.41189735181337084</x:v>
      </x:c>
      <x:c r="Q1120" s="14" t="n">
        <x:v>0.20183406245572977</x:v>
      </x:c>
      <x:c r="R1120" s="14" t="n">
        <x:v>0.1608161173405748</x:v>
      </x:c>
      <x:c r="S1120" s="14" t="n">
        <x:v>0.45797762143507037</x:v>
      </x:c>
      <x:c r="T1120" t="str">
        <x:v>여성소비·야간활성</x:v>
      </x:c>
      <x:c r="U1120" s="16" t="n">
        <x:v>59.77621396132169</x:v>
      </x:c>
      <x:c r="V1120" t="str">
        <x:v>미용실</x:v>
      </x:c>
      <x:c r="W1120" t="str">
        <x:v>미용실 / 슈퍼마켓 / 예술학원</x:v>
      </x:c>
      <x:c r="X1120" s="16" t="n">
        <x:v>55.02176742589778</x:v>
      </x:c>
    </x:row>
    <x:row r="1121">
      <x:c r="A1121" t="str">
        <x:v>3110173</x:v>
      </x:c>
      <x:c r="B1121" t="str">
        <x:v>구남초등학교</x:v>
      </x:c>
      <x:c r="C1121" t="str">
        <x:v>골목상권</x:v>
      </x:c>
      <x:c r="D1121" t="str">
        <x:v>광진구</x:v>
      </x:c>
      <x:c r="E1121" t="str">
        <x:v>구의3동</x:v>
      </x:c>
      <x:c r="F1121" s="12" t="n">
        <x:v>49267</x:v>
      </x:c>
      <x:c r="G1121" s="12" t="n">
        <x:v>1328860624</x:v>
      </x:c>
      <x:c r="H1121" s="12" t="n">
        <x:v>54590</x:v>
      </x:c>
      <x:c r="I1121" s="12" t="n">
        <x:v>24342.565011906943</x:v>
      </x:c>
      <x:c r="J1121" s="12" t="n">
        <x:v>26972.631254186374</x:v>
      </x:c>
      <x:c r="K1121" s="12" t="n">
        <x:v>542</x:v>
      </x:c>
      <x:c r="L1121" s="12" t="n">
        <x:v>110.01278746422555</x:v>
      </x:c>
      <x:c r="M1121" s="12" t="n">
        <x:v>7</x:v>
      </x:c>
      <x:c r="N1121" s="14" t="n">
        <x:v>0.7357378293421387</x:v>
      </x:c>
      <x:c r="O1121" s="14" t="n">
        <x:v>0.2642621706578613</x:v>
      </x:c>
      <x:c r="P1121" s="14" t="n">
        <x:v>0.4610294397586123</x:v>
      </x:c>
      <x:c r="Q1121" s="14" t="n">
        <x:v>0.24580986154647322</x:v>
      </x:c>
      <x:c r="R1121" s="14" t="n">
        <x:v>0.268369173981936</x:v>
      </x:c>
      <x:c r="S1121" s="14" t="n">
        <x:v>0.4786501462323411</x:v>
      </x:c>
      <x:c r="T1121" t="str">
        <x:v>야간활성·2030소비</x:v>
      </x:c>
      <x:c r="U1121" s="16" t="n">
        <x:v>64.85468093334443</x:v>
      </x:c>
      <x:c r="V1121" t="str">
        <x:v>조명용품</x:v>
      </x:c>
      <x:c r="W1121" t="str">
        <x:v>조명용품 / 미용실 / 예술학원</x:v>
      </x:c>
      <x:c r="X1121" s="16" t="n">
        <x:v>50.29128468833159</x:v>
      </x:c>
    </x:row>
    <x:row r="1122">
      <x:c r="A1122" t="str">
        <x:v>3110702</x:v>
      </x:c>
      <x:c r="B1122" t="str">
        <x:v>개봉초등학교</x:v>
      </x:c>
      <x:c r="C1122" t="str">
        <x:v>골목상권</x:v>
      </x:c>
      <x:c r="D1122" t="str">
        <x:v>구로구</x:v>
      </x:c>
      <x:c r="E1122" t="str">
        <x:v>개봉3동</x:v>
      </x:c>
      <x:c r="F1122" s="12" t="n">
        <x:v>91947</x:v>
      </x:c>
      <x:c r="G1122" s="12" t="n">
        <x:v>1325676669</x:v>
      </x:c>
      <x:c r="H1122" s="12" t="n">
        <x:v>22015</x:v>
      </x:c>
      <x:c r="I1122" s="12" t="n">
        <x:v>60216.973381785145</x:v>
      </x:c>
      <x:c r="J1122" s="12" t="n">
        <x:v>14417.834937518353</x:v>
      </x:c>
      <x:c r="K1122" s="12" t="n">
        <x:v>1970</x:v>
      </x:c>
      <x:c r="L1122" s="12" t="n">
        <x:v>214.2538636388354</x:v>
      </x:c>
      <x:c r="M1122" s="12" t="n">
        <x:v>8</x:v>
      </x:c>
      <x:c r="N1122" s="14" t="n">
        <x:v>0.8176089557475648</x:v>
      </x:c>
      <x:c r="O1122" s="14" t="n">
        <x:v>0.18239104425243527</x:v>
      </x:c>
      <x:c r="P1122" s="14" t="n">
        <x:v>0.5891010804234045</x:v>
      </x:c>
      <x:c r="Q1122" s="14" t="n">
        <x:v>0.20974080218952695</x:v>
      </x:c>
      <x:c r="R1122" s="14" t="n">
        <x:v>0.16125499075219826</x:v>
      </x:c>
      <x:c r="S1122" s="14" t="n">
        <x:v>0.5412171864963251</x:v>
      </x:c>
      <x:c r="T1122" t="str">
        <x:v>야간활성·여성소비</x:v>
      </x:c>
      <x:c r="U1122" s="16" t="n">
        <x:v>72.71594590436827</x:v>
      </x:c>
      <x:c r="V1122" t="str">
        <x:v>예술학원</x:v>
      </x:c>
      <x:c r="W1122" t="str">
        <x:v>예술학원 / 일반교습학원 / 세탁소</x:v>
      </x:c>
      <x:c r="X1122" s="16" t="n">
        <x:v>61.68937738498387</x:v>
      </x:c>
    </x:row>
    <x:row r="1123">
      <x:c r="A1123" t="str">
        <x:v>3110050</x:v>
      </x:c>
      <x:c r="B1123" t="str">
        <x:v>약수역 7번</x:v>
      </x:c>
      <x:c r="C1123" t="str">
        <x:v>골목상권</x:v>
      </x:c>
      <x:c r="D1123" t="str">
        <x:v>중구</x:v>
      </x:c>
      <x:c r="E1123" t="str">
        <x:v>약수동</x:v>
      </x:c>
      <x:c r="F1123" s="12" t="n">
        <x:v>34553</x:v>
      </x:c>
      <x:c r="G1123" s="12" t="n">
        <x:v>1323377238</x:v>
      </x:c>
      <x:c r="H1123" s="12" t="n">
        <x:v>55642</x:v>
      </x:c>
      <x:c r="I1123" s="12" t="n">
        <x:v>23783.78271809065</x:v>
      </x:c>
      <x:c r="J1123" s="12" t="n">
        <x:v>38299.92295893266</x:v>
      </x:c>
      <x:c r="K1123" s="12" t="n">
        <x:v>3447</x:v>
      </x:c>
      <x:c r="L1123" s="12" t="n">
        <x:v>997.597893091772</x:v>
      </x:c>
      <x:c r="M1123" s="12" t="n">
        <x:v>2</x:v>
      </x:c>
      <x:c r="N1123" s="14" t="n">
        <x:v>0.7549041500137997</x:v>
      </x:c>
      <x:c r="O1123" s="14" t="n">
        <x:v>0.24509584998620024</x:v>
      </x:c>
      <x:c r="P1123" s="14" t="n">
        <x:v>0.45085618587615456</x:v>
      </x:c>
      <x:c r="Q1123" s="14" t="n">
        <x:v>0.34360605724729865</x:v>
      </x:c>
      <x:c r="R1123" s="14" t="n">
        <x:v>0.36086140239326076</x:v>
      </x:c>
      <x:c r="S1123" s="14" t="n">
        <x:v>0.34360796373316493</x:v>
      </x:c>
      <x:c r="T1123" t="str">
        <x:v>직장밀집·2030소비</x:v>
      </x:c>
      <x:c r="U1123" s="16" t="n">
        <x:v>68.63583424012002</x:v>
      </x:c>
      <x:c r="V1123" t="str">
        <x:v>한식음식점</x:v>
      </x:c>
      <x:c r="W1123" t="str">
        <x:v>한식음식점 / 피부관리실</x:v>
      </x:c>
      <x:c r="X1123" s="16" t="n">
        <x:v>54.94264176814892</x:v>
      </x:c>
    </x:row>
    <x:row r="1124">
      <x:c r="A1124" t="str">
        <x:v>3110962</x:v>
      </x:c>
      <x:c r="B1124" t="str">
        <x:v>도산공원북측</x:v>
      </x:c>
      <x:c r="C1124" t="str">
        <x:v>골목상권</x:v>
      </x:c>
      <x:c r="D1124" t="str">
        <x:v>강남구</x:v>
      </x:c>
      <x:c r="E1124" t="str">
        <x:v>압구정동</x:v>
      </x:c>
      <x:c r="F1124" s="12" t="n">
        <x:v>10044</x:v>
      </x:c>
      <x:c r="G1124" s="12" t="n">
        <x:v>1321891435</x:v>
      </x:c>
      <x:c r="H1124" s="12" t="n">
        <x:v>7445</x:v>
      </x:c>
      <x:c r="I1124" s="12" t="n">
        <x:v>177554.25587642714</x:v>
      </x:c>
      <x:c r="J1124" s="12" t="n">
        <x:v>131610.05923934688</x:v>
      </x:c>
      <x:c r="K1124" s="12" t="n">
        <x:v>440</x:v>
      </x:c>
      <x:c r="L1124" s="12" t="n">
        <x:v>438.07248108323375</x:v>
      </x:c>
      <x:c r="M1124" s="12" t="n">
        <x:v>3</x:v>
      </x:c>
      <x:c r="N1124" s="14" t="n">
        <x:v>0.7284469280187144</x:v>
      </x:c>
      <x:c r="O1124" s="14" t="n">
        <x:v>0.27155307198128564</x:v>
      </x:c>
      <x:c r="P1124" s="14" t="n">
        <x:v>0.624321028299877</x:v>
      </x:c>
      <x:c r="Q1124" s="14" t="n">
        <x:v>0.11686228680345448</x:v>
      </x:c>
      <x:c r="R1124" s="14" t="n">
        <x:v>0.39109998167133897</x:v>
      </x:c>
      <x:c r="S1124" s="14" t="n">
        <x:v>0.21302089153788942</x:v>
      </x:c>
      <x:c r="T1124" t="str">
        <x:v>야간활성·직장밀집</x:v>
      </x:c>
      <x:c r="U1124" s="16" t="n">
        <x:v>51.707732350796846</x:v>
      </x:c>
      <x:c r="V1124" t="str">
        <x:v>일반의류</x:v>
      </x:c>
      <x:c r="W1124" t="str">
        <x:v>일반의류 / 일식음식점 / 한식음식점</x:v>
      </x:c>
      <x:c r="X1124" s="16" t="n">
        <x:v>45.82300923722496</x:v>
      </x:c>
    </x:row>
    <x:row r="1125">
      <x:c r="A1125" t="str">
        <x:v>3110847</x:v>
      </x:c>
      <x:c r="B1125" t="str">
        <x:v>예술인마을</x:v>
      </x:c>
      <x:c r="C1125" t="str">
        <x:v>골목상권</x:v>
      </x:c>
      <x:c r="D1125" t="str">
        <x:v>동작구</x:v>
      </x:c>
      <x:c r="E1125" t="str">
        <x:v>사당1동</x:v>
      </x:c>
      <x:c r="F1125" s="12" t="n">
        <x:v>104588</x:v>
      </x:c>
      <x:c r="G1125" s="12" t="n">
        <x:v>1320332337</x:v>
      </x:c>
      <x:c r="H1125" s="12" t="n">
        <x:v>106947</x:v>
      </x:c>
      <x:c r="I1125" s="12" t="n">
        <x:v>12345.669696204663</x:v>
      </x:c>
      <x:c r="J1125" s="12" t="n">
        <x:v>12624.128360806211</x:v>
      </x:c>
      <x:c r="K1125" s="12" t="n">
        <x:v>310</x:v>
      </x:c>
      <x:c r="L1125" s="12" t="n">
        <x:v>29.640111676291735</x:v>
      </x:c>
      <x:c r="M1125" s="12" t="n">
        <x:v>3</x:v>
      </x:c>
      <x:c r="N1125" s="14" t="n">
        <x:v>0.6865101630847962</x:v>
      </x:c>
      <x:c r="O1125" s="14" t="n">
        <x:v>0.3134898369152039</x:v>
      </x:c>
      <x:c r="P1125" s="14" t="n">
        <x:v>0.467055431968868</x:v>
      </x:c>
      <x:c r="Q1125" s="14" t="n">
        <x:v>0.22848897171258178</x:v>
      </x:c>
      <x:c r="R1125" s="14" t="n">
        <x:v>0.26454948743711637</x:v>
      </x:c>
      <x:c r="S1125" s="14" t="n">
        <x:v>0.48413816286012845</x:v>
      </x:c>
      <x:c r="T1125" t="str">
        <x:v>야간활성·여성소비</x:v>
      </x:c>
      <x:c r="U1125" s="16" t="n">
        <x:v>52.349553758385376</x:v>
      </x:c>
      <x:c r="V1125" t="str">
        <x:v>슈퍼마켓</x:v>
      </x:c>
      <x:c r="W1125" t="str">
        <x:v>슈퍼마켓 / 한식음식점 / 운동/경기용품</x:v>
      </x:c>
      <x:c r="X1125" s="16" t="n">
        <x:v>41.744315816899714</x:v>
      </x:c>
    </x:row>
    <x:row r="1126">
      <x:c r="A1126" t="str">
        <x:v>3110555</x:v>
      </x:c>
      <x:c r="B1126" t="str">
        <x:v>홍익지구대</x:v>
      </x:c>
      <x:c r="C1126" t="str">
        <x:v>골목상권</x:v>
      </x:c>
      <x:c r="D1126" t="str">
        <x:v>마포구</x:v>
      </x:c>
      <x:c r="E1126" t="str">
        <x:v>서교동</x:v>
      </x:c>
      <x:c r="F1126" s="12" t="n">
        <x:v>21035</x:v>
      </x:c>
      <x:c r="G1126" s="12" t="n">
        <x:v>1319859748</x:v>
      </x:c>
      <x:c r="H1126" s="12" t="n">
        <x:v>26040</x:v>
      </x:c>
      <x:c r="I1126" s="12" t="n">
        <x:v>50685.85821812596</x:v>
      </x:c>
      <x:c r="J1126" s="12" t="n">
        <x:v>62745.887710957926</x:v>
      </x:c>
      <x:c r="K1126" s="12" t="n">
        <x:v>275</x:v>
      </x:c>
      <x:c r="L1126" s="12" t="n">
        <x:v>130.73449013548847</x:v>
      </x:c>
      <x:c r="M1126" s="12" t="n">
        <x:v>1</x:v>
      </x:c>
      <x:c r="N1126" s="14" t="n">
        <x:v>0.687613744093058</x:v>
      </x:c>
      <x:c r="O1126" s="14" t="n">
        <x:v>0.312386255906942</x:v>
      </x:c>
      <x:c r="P1126" s="14" t="n">
        <x:v>0.6807388992364362</x:v>
      </x:c>
      <x:c r="Q1126" s="14" t="n">
        <x:v>0.1457462145440017</x:v>
      </x:c>
      <x:c r="R1126" s="14" t="n">
        <x:v>0.5372589376064524</x:v>
      </x:c>
      <x:c r="S1126" s="14" t="n">
        <x:v>0.3065099663907623</x:v>
      </x:c>
      <x:c r="T1126" t="str">
        <x:v>야간활성·2030소비</x:v>
      </x:c>
      <x:c r="U1126" s="16" t="n">
        <x:v>45.75677250842443</x:v>
      </x:c>
      <x:c r="V1126" t="str">
        <x:v>한식음식점</x:v>
      </x:c>
      <x:c r="W1126" t="str">
        <x:v>한식음식점</x:v>
      </x:c>
      <x:c r="X1126" s="16" t="n">
        <x:v>45.75677250842443</x:v>
      </x:c>
    </x:row>
    <x:row r="1127">
      <x:c r="A1127" t="str">
        <x:v>3110377</x:v>
      </x:c>
      <x:c r="B1127" t="str">
        <x:v>미아사거리역 3번</x:v>
      </x:c>
      <x:c r="C1127" t="str">
        <x:v>골목상권</x:v>
      </x:c>
      <x:c r="D1127" t="str">
        <x:v>강북구</x:v>
      </x:c>
      <x:c r="E1127" t="str">
        <x:v>송중동</x:v>
      </x:c>
      <x:c r="F1127" s="12" t="n">
        <x:v>35635</x:v>
      </x:c>
      <x:c r="G1127" s="12" t="n">
        <x:v>1317409833</x:v>
      </x:c>
      <x:c r="H1127" s="12" t="n">
        <x:v>26920</x:v>
      </x:c>
      <x:c r="I1127" s="12" t="n">
        <x:v>48937.95813521546</x:v>
      </x:c>
      <x:c r="J1127" s="12" t="n">
        <x:v>36969.547719938266</x:v>
      </x:c>
      <x:c r="K1127" s="12" t="n">
        <x:v>50</x:v>
      </x:c>
      <x:c r="L1127" s="12" t="n">
        <x:v>14.031149151115475</x:v>
      </x:c>
      <x:c r="M1127" s="12" t="n">
        <x:v>5</x:v>
      </x:c>
      <x:c r="N1127" s="14" t="n">
        <x:v>0.6949185660131626</x:v>
      </x:c>
      <x:c r="O1127" s="14" t="n">
        <x:v>0.3050814339868374</x:v>
      </x:c>
      <x:c r="P1127" s="14" t="n">
        <x:v>0.6577311860704778</x:v>
      </x:c>
      <x:c r="Q1127" s="14" t="n">
        <x:v>0.131856535945561</x:v>
      </x:c>
      <x:c r="R1127" s="14" t="n">
        <x:v>0.2391906315762257</x:v>
      </x:c>
      <x:c r="S1127" s="14" t="n">
        <x:v>0.31905441379835214</x:v>
      </x:c>
      <x:c r="T1127" t="str">
        <x:v>야간활성·2030소비</x:v>
      </x:c>
      <x:c r="U1127" s="16" t="n">
        <x:v>41.30772550186153</x:v>
      </x:c>
      <x:c r="V1127" t="str">
        <x:v>스포츠 강습</x:v>
      </x:c>
      <x:c r="W1127" t="str">
        <x:v>스포츠 강습 / 호프-간이주점 / 노래방</x:v>
      </x:c>
      <x:c r="X1127" s="16" t="n">
        <x:v>36.564449989557296</x:v>
      </x:c>
    </x:row>
    <x:row r="1128">
      <x:c r="A1128" t="str">
        <x:v>3110517</x:v>
      </x:c>
      <x:c r="B1128" t="str">
        <x:v>서대문소방서</x:v>
      </x:c>
      <x:c r="C1128" t="str">
        <x:v>골목상권</x:v>
      </x:c>
      <x:c r="D1128" t="str">
        <x:v>서대문구</x:v>
      </x:c>
      <x:c r="E1128" t="str">
        <x:v>연희동</x:v>
      </x:c>
      <x:c r="F1128" s="12" t="n">
        <x:v>63408</x:v>
      </x:c>
      <x:c r="G1128" s="12" t="n">
        <x:v>1310345618</x:v>
      </x:c>
      <x:c r="H1128" s="12" t="n">
        <x:v>50106</x:v>
      </x:c>
      <x:c r="I1128" s="12" t="n">
        <x:v>26151.471240969146</x:v>
      </x:c>
      <x:c r="J1128" s="12" t="n">
        <x:v>20665.304346454705</x:v>
      </x:c>
      <x:c r="K1128" s="12" t="n">
        <x:v>526</x:v>
      </x:c>
      <x:c r="L1128" s="12" t="n">
        <x:v>82.95483219782993</x:v>
      </x:c>
      <x:c r="M1128" s="12" t="n">
        <x:v>7</x:v>
      </x:c>
      <x:c r="N1128" s="14" t="n">
        <x:v>0.7236988691940663</x:v>
      </x:c>
      <x:c r="O1128" s="14" t="n">
        <x:v>0.27630113080593366</x:v>
      </x:c>
      <x:c r="P1128" s="14" t="n">
        <x:v>0.38023626679537614</x:v>
      </x:c>
      <x:c r="Q1128" s="14" t="n">
        <x:v>0.2855935127796184</x:v>
      </x:c>
      <x:c r="R1128" s="14" t="n">
        <x:v>0.14564643509190564</x:v>
      </x:c>
      <x:c r="S1128" s="14" t="n">
        <x:v>0.4601267236046116</x:v>
      </x:c>
      <x:c r="T1128" t="str">
        <x:v>여성소비</x:v>
      </x:c>
      <x:c r="U1128" s="16" t="n">
        <x:v>56.55396334210131</x:v>
      </x:c>
      <x:c r="V1128" t="str">
        <x:v>제과점</x:v>
      </x:c>
      <x:c r="W1128" t="str">
        <x:v>제과점 / 예술학원 / 일반교습학원</x:v>
      </x:c>
      <x:c r="X1128" s="16" t="n">
        <x:v>47.71043193555912</x:v>
      </x:c>
    </x:row>
    <x:row r="1129">
      <x:c r="A1129" t="str">
        <x:v>3110983</x:v>
      </x:c>
      <x:c r="B1129" t="str">
        <x:v>국립국악고등학교</x:v>
      </x:c>
      <x:c r="C1129" t="str">
        <x:v>골목상권</x:v>
      </x:c>
      <x:c r="D1129" t="str">
        <x:v>강남구</x:v>
      </x:c>
      <x:c r="E1129" t="str">
        <x:v>개포4동</x:v>
      </x:c>
      <x:c r="F1129" s="12" t="n">
        <x:v>56042</x:v>
      </x:c>
      <x:c r="G1129" s="12" t="n">
        <x:v>1304310694</x:v>
      </x:c>
      <x:c r="H1129" s="12" t="n">
        <x:v>34378</x:v>
      </x:c>
      <x:c r="I1129" s="12" t="n">
        <x:v>37940.27267438478</x:v>
      </x:c>
      <x:c r="J1129" s="12" t="n">
        <x:v>23273.807037578958</x:v>
      </x:c>
      <x:c r="K1129" s="12" t="n">
        <x:v>621</x:v>
      </x:c>
      <x:c r="L1129" s="12" t="n">
        <x:v>110.80974983048428</x:v>
      </x:c>
      <x:c r="M1129" s="12" t="n">
        <x:v>8</x:v>
      </x:c>
      <x:c r="N1129" s="14" t="n">
        <x:v>0.7405639656589368</x:v>
      </x:c>
      <x:c r="O1129" s="14" t="n">
        <x:v>0.2594360343410632</x:v>
      </x:c>
      <x:c r="P1129" s="14" t="n">
        <x:v>0.34454943524368586</x:v>
      </x:c>
      <x:c r="Q1129" s="14" t="n">
        <x:v>0.43032246042444855</x:v>
      </x:c>
      <x:c r="R1129" s="14" t="n">
        <x:v>0.12931680984898833</x:v>
      </x:c>
      <x:c r="S1129" s="14" t="n">
        <x:v>0.32564798859189603</x:v>
      </x:c>
      <x:c r="T1129" t="str">
        <x:v>직장밀집</x:v>
      </x:c>
      <x:c r="U1129" s="16" t="n">
        <x:v>59.86055781768925</x:v>
      </x:c>
      <x:c r="V1129" t="str">
        <x:v>자동차미용</x:v>
      </x:c>
      <x:c r="W1129" t="str">
        <x:v>자동차미용 / 미용실 / 한식음식점</x:v>
      </x:c>
      <x:c r="X1129" s="16" t="n">
        <x:v>53.122497698881375</x:v>
      </x:c>
    </x:row>
    <x:row r="1130">
      <x:c r="A1130" t="str">
        <x:v>3110644</x:v>
      </x:c>
      <x:c r="B1130" t="str">
        <x:v>신광명마을</x:v>
      </x:c>
      <x:c r="C1130" t="str">
        <x:v>골목상권</x:v>
      </x:c>
      <x:c r="D1130" t="str">
        <x:v>강서구</x:v>
      </x:c>
      <x:c r="E1130" t="str">
        <x:v>발산1동</x:v>
      </x:c>
      <x:c r="F1130" s="12" t="n">
        <x:v>121040</x:v>
      </x:c>
      <x:c r="G1130" s="12" t="n">
        <x:v>1300561676</x:v>
      </x:c>
      <x:c r="H1130" s="12" t="n">
        <x:v>8963</x:v>
      </x:c>
      <x:c r="I1130" s="12" t="n">
        <x:v>145103.38904384692</x:v>
      </x:c>
      <x:c r="J1130" s="12" t="n">
        <x:v>10744.891573033708</x:v>
      </x:c>
      <x:c r="K1130" s="12" t="n">
        <x:v>151</x:v>
      </x:c>
      <x:c r="L1130" s="12" t="n">
        <x:v>12.475214805023132</x:v>
      </x:c>
      <x:c r="M1130" s="12" t="n">
        <x:v>2</x:v>
      </x:c>
      <x:c r="N1130" s="14" t="n">
        <x:v>0.9321968480024626</x:v>
      </x:c>
      <x:c r="O1130" s="14" t="n">
        <x:v>0.0678031519975374</x:v>
      </x:c>
      <x:c r="P1130" s="14" t="n">
        <x:v>0.156747084557334</x:v>
      </x:c>
      <x:c r="Q1130" s="14" t="n">
        <x:v>0.30611718025128093</x:v>
      </x:c>
      <x:c r="R1130" s="14" t="n">
        <x:v>0.18833175505626693</x:v>
      </x:c>
      <x:c r="S1130" s="14" t="n">
        <x:v>0.18123573710471227</x:v>
      </x:c>
      <x:c r="T1130" t="str">
        <x:v>평일집중</x:v>
      </x:c>
      <x:c r="U1130" s="16" t="n">
        <x:v>61.65693268369956</x:v>
      </x:c>
      <x:c r="V1130" t="str">
        <x:v>자동차수리</x:v>
      </x:c>
      <x:c r="W1130" t="str">
        <x:v>자동차수리 / 한식음식점</x:v>
      </x:c>
      <x:c r="X1130" s="16" t="n">
        <x:v>44.358179334679406</x:v>
      </x:c>
    </x:row>
    <x:row r="1131">
      <x:c r="A1131" t="str">
        <x:v>3110769</x:v>
      </x:c>
      <x:c r="B1131" t="str">
        <x:v>대림차이나타운(대림역 12번)</x:v>
      </x:c>
      <x:c r="C1131" t="str">
        <x:v>골목상권</x:v>
      </x:c>
      <x:c r="D1131" t="str">
        <x:v>영등포구</x:v>
      </x:c>
      <x:c r="E1131" t="str">
        <x:v>대림2동</x:v>
      </x:c>
      <x:c r="F1131" s="12" t="n">
        <x:v>35768</x:v>
      </x:c>
      <x:c r="G1131" s="12" t="n">
        <x:v>1299806547</x:v>
      </x:c>
      <x:c r="H1131" s="12" t="n">
        <x:v>39140</x:v>
      </x:c>
      <x:c r="I1131" s="12" t="n">
        <x:v>33209.16062851303</x:v>
      </x:c>
      <x:c r="J1131" s="12" t="n">
        <x:v>36339.92806419146</x:v>
      </x:c>
      <x:c r="K1131" s="12" t="n">
        <x:v>204</x:v>
      </x:c>
      <x:c r="L1131" s="12" t="n">
        <x:v>57.034220532319395</x:v>
      </x:c>
      <x:c r="M1131" s="12" t="n">
        <x:v>4</x:v>
      </x:c>
      <x:c r="N1131" s="14" t="n">
        <x:v>0.580899579050974</x:v>
      </x:c>
      <x:c r="O1131" s="14" t="n">
        <x:v>0.41910042094902605</x:v>
      </x:c>
      <x:c r="P1131" s="14" t="n">
        <x:v>0.539926567241702</x:v>
      </x:c>
      <x:c r="Q1131" s="14" t="n">
        <x:v>0.1420988241875658</x:v>
      </x:c>
      <x:c r="R1131" s="14" t="n">
        <x:v>0.3300955730606887</x:v>
      </x:c>
      <x:c r="S1131" s="14" t="n">
        <x:v>0.363178924655778</x:v>
      </x:c>
      <x:c r="T1131" t="str">
        <x:v>야간활성·2030소비</x:v>
      </x:c>
      <x:c r="U1131" s="16" t="n">
        <x:v>55.994933291452206</x:v>
      </x:c>
      <x:c r="V1131" t="str">
        <x:v>중식음식점</x:v>
      </x:c>
      <x:c r="W1131" t="str">
        <x:v>중식음식점 / 슈퍼마켓 / 호프-간이주점</x:v>
      </x:c>
      <x:c r="X1131" s="16" t="n">
        <x:v>36.583100340146906</x:v>
      </x:c>
    </x:row>
    <x:row r="1132">
      <x:c r="A1132" t="str">
        <x:v>3110452</x:v>
      </x:c>
      <x:c r="B1132" t="str">
        <x:v>새절역 3번</x:v>
      </x:c>
      <x:c r="C1132" t="str">
        <x:v>골목상권</x:v>
      </x:c>
      <x:c r="D1132" t="str">
        <x:v>은평구</x:v>
      </x:c>
      <x:c r="E1132" t="str">
        <x:v>신사2동</x:v>
      </x:c>
      <x:c r="F1132" s="12" t="n">
        <x:v>112690</x:v>
      </x:c>
      <x:c r="G1132" s="12" t="n">
        <x:v>1296938386</x:v>
      </x:c>
      <x:c r="H1132" s="12" t="n">
        <x:v>65970</x:v>
      </x:c>
      <x:c r="I1132" s="12" t="n">
        <x:v>19659.517750492647</x:v>
      </x:c>
      <x:c r="J1132" s="12" t="n">
        <x:v>11508.903948886325</x:v>
      </x:c>
      <x:c r="K1132" s="12" t="n">
        <x:v>602</x:v>
      </x:c>
      <x:c r="L1132" s="12" t="n">
        <x:v>53.420889164965836</x:v>
      </x:c>
      <x:c r="M1132" s="12" t="n">
        <x:v>12</x:v>
      </x:c>
      <x:c r="N1132" s="14" t="n">
        <x:v>0.750001147702941</x:v>
      </x:c>
      <x:c r="O1132" s="14" t="n">
        <x:v>0.24999885229705893</x:v>
      </x:c>
      <x:c r="P1132" s="14" t="n">
        <x:v>0.484607155424267</x:v>
      </x:c>
      <x:c r="Q1132" s="14" t="n">
        <x:v>0.17997497376872304</x:v>
      </x:c>
      <x:c r="R1132" s="14" t="n">
        <x:v>0.2564588816172182</x:v>
      </x:c>
      <x:c r="S1132" s="14" t="n">
        <x:v>0.4066517366538953</x:v>
      </x:c>
      <x:c r="T1132" t="str">
        <x:v>야간활성·2030소비</x:v>
      </x:c>
      <x:c r="U1132" s="16" t="n">
        <x:v>63.21438934684532</x:v>
      </x:c>
      <x:c r="V1132" t="str">
        <x:v>일반의류</x:v>
      </x:c>
      <x:c r="W1132" t="str">
        <x:v>일반의류 / 미용실 / 예술학원</x:v>
      </x:c>
      <x:c r="X1132" s="16" t="n">
        <x:v>58.996129837698845</x:v>
      </x:c>
    </x:row>
    <x:row r="1133">
      <x:c r="A1133" t="str">
        <x:v>3111079</x:v>
      </x:c>
      <x:c r="B1133" t="str">
        <x:v>둔촌고등학교(둔촌중학교)</x:v>
      </x:c>
      <x:c r="C1133" t="str">
        <x:v>골목상권</x:v>
      </x:c>
      <x:c r="D1133" t="str">
        <x:v>강동구</x:v>
      </x:c>
      <x:c r="E1133" t="str">
        <x:v>둔촌2동</x:v>
      </x:c>
      <x:c r="F1133" s="12" t="n">
        <x:v>66695</x:v>
      </x:c>
      <x:c r="G1133" s="12" t="n">
        <x:v>1287845580</x:v>
      </x:c>
      <x:c r="H1133" s="12" t="n">
        <x:v>52747</x:v>
      </x:c>
      <x:c r="I1133" s="12" t="n">
        <x:v>24415.52277854665</x:v>
      </x:c>
      <x:c r="J1133" s="12" t="n">
        <x:v>19309.477172201816</x:v>
      </x:c>
      <x:c r="K1133" s="12" t="n">
        <x:v>152</x:v>
      </x:c>
      <x:c r="L1133" s="12" t="n">
        <x:v>22.790314116500486</x:v>
      </x:c>
      <x:c r="M1133" s="12" t="n">
        <x:v>7</x:v>
      </x:c>
      <x:c r="N1133" s="14" t="n">
        <x:v>0.9527448189867608</x:v>
      </x:c>
      <x:c r="O1133" s="14" t="n">
        <x:v>0.04725518101323918</x:v>
      </x:c>
      <x:c r="P1133" s="14" t="n">
        <x:v>0.1910244736018739</x:v>
      </x:c>
      <x:c r="Q1133" s="14" t="n">
        <x:v>0.31336573286992997</x:v>
      </x:c>
      <x:c r="R1133" s="14" t="n">
        <x:v>0.0908537691296809</x:v>
      </x:c>
      <x:c r="S1133" s="14" t="n">
        <x:v>0.4270225557632461</x:v>
      </x:c>
      <x:c r="T1133" t="str">
        <x:v>평일집중</x:v>
      </x:c>
      <x:c r="U1133" s="16" t="n">
        <x:v>67.1895874248741</x:v>
      </x:c>
      <x:c r="V1133" t="str">
        <x:v>예술학원</x:v>
      </x:c>
      <x:c r="W1133" t="str">
        <x:v>예술학원 / 일반교습학원 / 슈퍼마켓</x:v>
      </x:c>
      <x:c r="X1133" s="16" t="n">
        <x:v>49.01308649242433</x:v>
      </x:c>
    </x:row>
    <x:row r="1134">
      <x:c r="A1134" t="str">
        <x:v>3110206</x:v>
      </x:c>
      <x:c r="B1134" t="str">
        <x:v>텃골근린공원</x:v>
      </x:c>
      <x:c r="C1134" t="str">
        <x:v>골목상권</x:v>
      </x:c>
      <x:c r="D1134" t="str">
        <x:v>동대문구</x:v>
      </x:c>
      <x:c r="E1134" t="str">
        <x:v>전농1동</x:v>
      </x:c>
      <x:c r="F1134" s="12" t="n">
        <x:v>100623</x:v>
      </x:c>
      <x:c r="G1134" s="12" t="n">
        <x:v>1285874789</x:v>
      </x:c>
      <x:c r="H1134" s="12" t="n">
        <x:v>123689</x:v>
      </x:c>
      <x:c r="I1134" s="12" t="n">
        <x:v>10396.031894509617</x:v>
      </x:c>
      <x:c r="J1134" s="12" t="n">
        <x:v>12779.1338858909</x:v>
      </x:c>
      <x:c r="K1134" s="12" t="n">
        <x:v>20</x:v>
      </x:c>
      <x:c r="L1134" s="12" t="n">
        <x:v>1.9876171451854943</x:v>
      </x:c>
      <x:c r="M1134" s="12" t="n">
        <x:v>10</x:v>
      </x:c>
      <x:c r="N1134" s="14" t="n">
        <x:v>0.7591217506948105</x:v>
      </x:c>
      <x:c r="O1134" s="14" t="n">
        <x:v>0.24087824930518953</x:v>
      </x:c>
      <x:c r="P1134" s="14" t="n">
        <x:v>0.4082789984616457</x:v>
      </x:c>
      <x:c r="Q1134" s="14" t="n">
        <x:v>0.17027827815978747</x:v>
      </x:c>
      <x:c r="R1134" s="14" t="n">
        <x:v>0.30223614330461845</x:v>
      </x:c>
      <x:c r="S1134" s="14" t="n">
        <x:v>0.3570098993518723</x:v>
      </x:c>
      <x:c r="T1134" t="str">
        <x:v>2030소비·야간활성</x:v>
      </x:c>
      <x:c r="U1134" s="16" t="n">
        <x:v>49.40040508596417</x:v>
      </x:c>
      <x:c r="V1134" t="str">
        <x:v>미용실</x:v>
      </x:c>
      <x:c r="W1134" t="str">
        <x:v>미용실 / 편의점 / 슈퍼마켓</x:v>
      </x:c>
      <x:c r="X1134" s="16" t="n">
        <x:v>40.94033578263443</x:v>
      </x:c>
    </x:row>
    <x:row r="1135">
      <x:c r="A1135" t="str">
        <x:v>3110350</x:v>
      </x:c>
      <x:c r="B1135" t="str">
        <x:v>가오리역 2번</x:v>
      </x:c>
      <x:c r="C1135" t="str">
        <x:v>골목상권</x:v>
      </x:c>
      <x:c r="D1135" t="str">
        <x:v>강북구</x:v>
      </x:c>
      <x:c r="E1135" t="str">
        <x:v>인수동</x:v>
      </x:c>
      <x:c r="F1135" s="12" t="n">
        <x:v>75348</x:v>
      </x:c>
      <x:c r="G1135" s="12" t="n">
        <x:v>1283105234</x:v>
      </x:c>
      <x:c r="H1135" s="12" t="n">
        <x:v>47671</x:v>
      </x:c>
      <x:c r="I1135" s="12" t="n">
        <x:v>26915.844727402404</x:v>
      </x:c>
      <x:c r="J1135" s="12" t="n">
        <x:v>17029.05497159845</x:v>
      </x:c>
      <x:c r="K1135" s="12" t="n">
        <x:v>258</x:v>
      </x:c>
      <x:c r="L1135" s="12" t="n">
        <x:v>34.24112119764293</x:v>
      </x:c>
      <x:c r="M1135" s="12" t="n">
        <x:v>8</x:v>
      </x:c>
      <x:c r="N1135" s="14" t="n">
        <x:v>0.804989330282788</x:v>
      </x:c>
      <x:c r="O1135" s="14" t="n">
        <x:v>0.19501066971721198</x:v>
      </x:c>
      <x:c r="P1135" s="14" t="n">
        <x:v>0.37882797616270963</x:v>
      </x:c>
      <x:c r="Q1135" s="14" t="n">
        <x:v>0.3264928151637483</x:v>
      </x:c>
      <x:c r="R1135" s="14" t="n">
        <x:v>0.08405173413858898</x:v>
      </x:c>
      <x:c r="S1135" s="14" t="n">
        <x:v>0.43317533844616835</x:v>
      </x:c>
      <x:c r="T1135" t="str">
        <x:v>평일집중</x:v>
      </x:c>
      <x:c r="U1135" s="16" t="n">
        <x:v>57.73039104516296</x:v>
      </x:c>
      <x:c r="V1135" t="str">
        <x:v>일반교습학원</x:v>
      </x:c>
      <x:c r="W1135" t="str">
        <x:v>일반교습학원 / 커피-음료 / 한식음식점</x:v>
      </x:c>
      <x:c r="X1135" s="16" t="n">
        <x:v>49.58687830464159</x:v>
      </x:c>
    </x:row>
    <x:row r="1136">
      <x:c r="A1136" t="str">
        <x:v>3110035</x:v>
      </x:c>
      <x:c r="B1136" t="str">
        <x:v>동묘앞역 2번</x:v>
      </x:c>
      <x:c r="C1136" t="str">
        <x:v>골목상권</x:v>
      </x:c>
      <x:c r="D1136" t="str">
        <x:v>종로구</x:v>
      </x:c>
      <x:c r="E1136" t="str">
        <x:v>숭인2동</x:v>
      </x:c>
      <x:c r="F1136" s="12" t="n">
        <x:v>95779</x:v>
      </x:c>
      <x:c r="G1136" s="12" t="n">
        <x:v>1282850121</x:v>
      </x:c>
      <x:c r="H1136" s="12" t="n">
        <x:v>62077</x:v>
      </x:c>
      <x:c r="I1136" s="12" t="n">
        <x:v>20665.465808592555</x:v>
      </x:c>
      <x:c r="J1136" s="12" t="n">
        <x:v>13393.855866108437</x:v>
      </x:c>
      <x:c r="K1136" s="12" t="n">
        <x:v>213</x:v>
      </x:c>
      <x:c r="L1136" s="12" t="n">
        <x:v>22.23869532987398</x:v>
      </x:c>
      <x:c r="M1136" s="12" t="n">
        <x:v>9</x:v>
      </x:c>
      <x:c r="N1136" s="14" t="n">
        <x:v>0.6471783331577516</x:v>
      </x:c>
      <x:c r="O1136" s="14" t="n">
        <x:v>0.35282166684224836</x:v>
      </x:c>
      <x:c r="P1136" s="14" t="n">
        <x:v>0.4542436504942264</x:v>
      </x:c>
      <x:c r="Q1136" s="14" t="n">
        <x:v>0.2013814519490543</x:v>
      </x:c>
      <x:c r="R1136" s="14" t="n">
        <x:v>0.33392935229726656</x:v>
      </x:c>
      <x:c r="S1136" s="14" t="n">
        <x:v>0.3501330308562211</x:v>
      </x:c>
      <x:c r="T1136" t="str">
        <x:v>2030소비·야간활성</x:v>
      </x:c>
      <x:c r="U1136" s="16" t="n">
        <x:v>64.09702383414451</x:v>
      </x:c>
      <x:c r="V1136" t="str">
        <x:v>핸드폰</x:v>
      </x:c>
      <x:c r="W1136" t="str">
        <x:v>핸드폰 / 시계및귀금속 / 화초</x:v>
      </x:c>
      <x:c r="X1136" s="16" t="n">
        <x:v>55.94428769691581</x:v>
      </x:c>
    </x:row>
    <x:row r="1137">
      <x:c r="A1137" t="str">
        <x:v>3110633</x:v>
      </x:c>
      <x:c r="B1137" t="str">
        <x:v>개화산역 1번</x:v>
      </x:c>
      <x:c r="C1137" t="str">
        <x:v>골목상권</x:v>
      </x:c>
      <x:c r="D1137" t="str">
        <x:v>강서구</x:v>
      </x:c>
      <x:c r="E1137" t="str">
        <x:v>방화2동</x:v>
      </x:c>
      <x:c r="F1137" s="12" t="n">
        <x:v>21731</x:v>
      </x:c>
      <x:c r="G1137" s="12" t="n">
        <x:v>1277799112</x:v>
      </x:c>
      <x:c r="H1137" s="12" t="n">
        <x:v>27166</x:v>
      </x:c>
      <x:c r="I1137" s="12" t="n">
        <x:v>47036.70440992417</x:v>
      </x:c>
      <x:c r="J1137" s="12" t="n">
        <x:v>58800.75063273664</x:v>
      </x:c>
      <x:c r="K1137" s="12" t="n">
        <x:v>111</x:v>
      </x:c>
      <x:c r="L1137" s="12" t="n">
        <x:v>51.07910358474069</x:v>
      </x:c>
      <x:c r="M1137" s="12" t="n">
        <x:v>6</x:v>
      </x:c>
      <x:c r="N1137" s="14" t="n">
        <x:v>0.6966123818999805</x:v>
      </x:c>
      <x:c r="O1137" s="14" t="n">
        <x:v>0.30338761810001946</x:v>
      </x:c>
      <x:c r="P1137" s="14" t="n">
        <x:v>0.5075353636652081</x:v>
      </x:c>
      <x:c r="Q1137" s="14" t="n">
        <x:v>0.20706801445953735</x:v>
      </x:c>
      <x:c r="R1137" s="14" t="n">
        <x:v>0.213212898210247</x:v>
      </x:c>
      <x:c r="S1137" s="14" t="n">
        <x:v>0.25379622035611493</x:v>
      </x:c>
      <x:c r="T1137" t="str">
        <x:v>야간활성·고매출밀도</x:v>
      </x:c>
      <x:c r="U1137" s="16" t="n">
        <x:v>52.667664862341915</x:v>
      </x:c>
      <x:c r="V1137" t="str">
        <x:v>노래방</x:v>
      </x:c>
      <x:c r="W1137" t="str">
        <x:v>노래방 / 미용실 / 호프-간이주점</x:v>
      </x:c>
      <x:c r="X1137" s="16" t="n">
        <x:v>45.891834506052554</x:v>
      </x:c>
    </x:row>
    <x:row r="1138">
      <x:c r="A1138" t="str">
        <x:v>3110132</x:v>
      </x:c>
      <x:c r="B1138" t="str">
        <x:v>성수2가3동주민센터</x:v>
      </x:c>
      <x:c r="C1138" t="str">
        <x:v>골목상권</x:v>
      </x:c>
      <x:c r="D1138" t="str">
        <x:v>성동구</x:v>
      </x:c>
      <x:c r="E1138" t="str">
        <x:v>성수2가3동</x:v>
      </x:c>
      <x:c r="F1138" s="12" t="n">
        <x:v>76450</x:v>
      </x:c>
      <x:c r="G1138" s="12" t="n">
        <x:v>1271505811</x:v>
      </x:c>
      <x:c r="H1138" s="12" t="n">
        <x:v>50196</x:v>
      </x:c>
      <x:c r="I1138" s="12" t="n">
        <x:v>25330.81940792095</x:v>
      </x:c>
      <x:c r="J1138" s="12" t="n">
        <x:v>16631.8614911707</x:v>
      </x:c>
      <x:c r="K1138" s="12" t="n">
        <x:v>1105</x:v>
      </x:c>
      <x:c r="L1138" s="12" t="n">
        <x:v>144.538914323087</x:v>
      </x:c>
      <x:c r="M1138" s="12" t="n">
        <x:v>4</x:v>
      </x:c>
      <x:c r="N1138" s="14" t="n">
        <x:v>0.652292146701011</x:v>
      </x:c>
      <x:c r="O1138" s="14" t="n">
        <x:v>0.34770785329898896</x:v>
      </x:c>
      <x:c r="P1138" s="14" t="n">
        <x:v>0.3387612398414749</x:v>
      </x:c>
      <x:c r="Q1138" s="14" t="n">
        <x:v>0.3789149643139146</x:v>
      </x:c>
      <x:c r="R1138" s="14" t="n">
        <x:v>0.507166316835653</x:v>
      </x:c>
      <x:c r="S1138" s="14" t="n">
        <x:v>0.38208406662169786</x:v>
      </x:c>
      <x:c r="T1138" t="str">
        <x:v>2030소비·직장밀집</x:v>
      </x:c>
      <x:c r="U1138" s="16" t="n">
        <x:v>71.9433436179771</x:v>
      </x:c>
      <x:c r="V1138" t="str">
        <x:v>일반의류</x:v>
      </x:c>
      <x:c r="W1138" t="str">
        <x:v>일반의류 / 커피-음료 / 한식음식점</x:v>
      </x:c>
      <x:c r="X1138" s="16" t="n">
        <x:v>45.99784703649953</x:v>
      </x:c>
    </x:row>
    <x:row r="1139">
      <x:c r="A1139" t="str">
        <x:v>3130074</x:v>
      </x:c>
      <x:c r="B1139" t="str">
        <x:v>영동교골목시장</x:v>
      </x:c>
      <x:c r="C1139" t="str">
        <x:v>전통시장</x:v>
      </x:c>
      <x:c r="D1139" t="str">
        <x:v>광진구</x:v>
      </x:c>
      <x:c r="E1139" t="str">
        <x:v>자양4동</x:v>
      </x:c>
      <x:c r="F1139" s="12" t="n">
        <x:v>14261</x:v>
      </x:c>
      <x:c r="G1139" s="12" t="n">
        <x:v>1268937774</x:v>
      </x:c>
      <x:c r="H1139" s="12" t="n">
        <x:v>36027</x:v>
      </x:c>
      <x:c r="I1139" s="12" t="n">
        <x:v>35221.8551086685</x:v>
      </x:c>
      <x:c r="J1139" s="12" t="n">
        <x:v>88979.57885141294</x:v>
      </x:c>
      <x:c r="K1139" s="12" t="n">
        <x:v>5</x:v>
      </x:c>
      <x:c r="L1139" s="12" t="n">
        <x:v>3.5060654933034145</x:v>
      </x:c>
      <x:c r="M1139" s="12" t="n">
        <x:v>5</x:v>
      </x:c>
      <x:c r="N1139" s="14" t="n">
        <x:v>0.6417366427930138</x:v>
      </x:c>
      <x:c r="O1139" s="14" t="n">
        <x:v>0.35826335720698627</x:v>
      </x:c>
      <x:c r="P1139" s="14" t="n">
        <x:v>0.2702842282950275</x:v>
      </x:c>
      <x:c r="Q1139" s="14" t="n">
        <x:v>0.3212493987904564</x:v>
      </x:c>
      <x:c r="R1139" s="14" t="n">
        <x:v>0.2413880777104205</x:v>
      </x:c>
      <x:c r="S1139" s="14" t="n">
        <x:v>0.4059761546668245</x:v>
      </x:c>
      <x:c r="T1139" t="str">
        <x:v>고매출밀도·2030소비</x:v>
      </x:c>
      <x:c r="U1139" s="16" t="n">
        <x:v>61.44566177000976</x:v>
      </x:c>
      <x:c r="V1139" t="str">
        <x:v>육류판매</x:v>
      </x:c>
      <x:c r="W1139" t="str">
        <x:v>육류판매 / 미용실 / 한식음식점</x:v>
      </x:c>
      <x:c r="X1139" s="16" t="n">
        <x:v>44.38740271999622</x:v>
      </x:c>
    </x:row>
    <x:row r="1140">
      <x:c r="A1140" t="str">
        <x:v>3110245</x:v>
      </x:c>
      <x:c r="B1140" t="str">
        <x:v>KB국민은행 중화동지점</x:v>
      </x:c>
      <x:c r="C1140" t="str">
        <x:v>골목상권</x:v>
      </x:c>
      <x:c r="D1140" t="str">
        <x:v>중랑구</x:v>
      </x:c>
      <x:c r="E1140" t="str">
        <x:v>중화2동</x:v>
      </x:c>
      <x:c r="F1140" s="12" t="n">
        <x:v>62374</x:v>
      </x:c>
      <x:c r="G1140" s="12" t="n">
        <x:v>1261643017</x:v>
      </x:c>
      <x:c r="H1140" s="12" t="n">
        <x:v>86587</x:v>
      </x:c>
      <x:c r="I1140" s="12" t="n">
        <x:v>14570.813366902652</x:v>
      </x:c>
      <x:c r="J1140" s="12" t="n">
        <x:v>20227.066037130855</x:v>
      </x:c>
      <x:c r="K1140" s="12" t="n">
        <x:v>28</x:v>
      </x:c>
      <x:c r="L1140" s="12" t="n">
        <x:v>4.48904992464809</x:v>
      </x:c>
      <x:c r="M1140" s="12" t="n">
        <x:v>6</x:v>
      </x:c>
      <x:c r="N1140" s="14" t="n">
        <x:v>0.7586269904428916</x:v>
      </x:c>
      <x:c r="O1140" s="14" t="n">
        <x:v>0.24137300955710833</x:v>
      </x:c>
      <x:c r="P1140" s="14" t="n">
        <x:v>0.40874806902688227</x:v>
      </x:c>
      <x:c r="Q1140" s="14" t="n">
        <x:v>0.23878601945291789</x:v>
      </x:c>
      <x:c r="R1140" s="14" t="n">
        <x:v>0.1976117424981555</x:v>
      </x:c>
      <x:c r="S1140" s="14" t="n">
        <x:v>0.43210068430949833</x:v>
      </x:c>
      <x:c r="T1140" t="str">
        <x:v>균형형</x:v>
      </x:c>
      <x:c r="U1140" s="16" t="n">
        <x:v>59.484046348162394</x:v>
      </x:c>
      <x:c r="V1140" t="str">
        <x:v>미용실</x:v>
      </x:c>
      <x:c r="W1140" t="str">
        <x:v>미용실 / 슈퍼마켓 / 일반교습학원</x:v>
      </x:c>
      <x:c r="X1140" s="16" t="n">
        <x:v>49.05218507266328</x:v>
      </x:c>
    </x:row>
    <x:row r="1141">
      <x:c r="A1141" t="str">
        <x:v>3111033</x:v>
      </x:c>
      <x:c r="B1141" t="str">
        <x:v>문정동성당</x:v>
      </x:c>
      <x:c r="C1141" t="str">
        <x:v>골목상권</x:v>
      </x:c>
      <x:c r="D1141" t="str">
        <x:v>송파구</x:v>
      </x:c>
      <x:c r="E1141" t="str">
        <x:v>장지동</x:v>
      </x:c>
      <x:c r="F1141" s="12" t="n">
        <x:v>23375</x:v>
      </x:c>
      <x:c r="G1141" s="12" t="n">
        <x:v>1249157105</x:v>
      </x:c>
      <x:c r="H1141" s="12" t="n">
        <x:v>90857</x:v>
      </x:c>
      <x:c r="I1141" s="12" t="n">
        <x:v>13748.60610629891</x:v>
      </x:c>
      <x:c r="J1141" s="12" t="n">
        <x:v>53439.87614973262</x:v>
      </x:c>
      <x:c r="K1141" s="12" t="n">
        <x:v>256</x:v>
      </x:c>
      <x:c r="L1141" s="12" t="n">
        <x:v>109.51871657754012</x:v>
      </x:c>
      <x:c r="M1141" s="12" t="n">
        <x:v>5</x:v>
      </x:c>
      <x:c r="N1141" s="14" t="n">
        <x:v>0.8375316930211112</x:v>
      </x:c>
      <x:c r="O1141" s="14" t="n">
        <x:v>0.16246830697888878</x:v>
      </x:c>
      <x:c r="P1141" s="14" t="n">
        <x:v>0.3587928229411944</x:v>
      </x:c>
      <x:c r="Q1141" s="14" t="n">
        <x:v>0.30249450568509556</x:v>
      </x:c>
      <x:c r="R1141" s="14" t="n">
        <x:v>0.16503866981567542</x:v>
      </x:c>
      <x:c r="S1141" s="14" t="n">
        <x:v>0.4746450839744453</x:v>
      </x:c>
      <x:c r="T1141" t="str">
        <x:v>평일집중·여성소비</x:v>
      </x:c>
      <x:c r="U1141" s="16" t="n">
        <x:v>58.60888910120629</x:v>
      </x:c>
      <x:c r="V1141" t="str">
        <x:v>미용실</x:v>
      </x:c>
      <x:c r="W1141" t="str">
        <x:v>미용실 / 의약품 / 한식음식점</x:v>
      </x:c>
      <x:c r="X1141" s="16" t="n">
        <x:v>52.04586103110663</x:v>
      </x:c>
    </x:row>
    <x:row r="1142">
      <x:c r="A1142" t="str">
        <x:v>3130263</x:v>
      </x:c>
      <x:c r="B1142" t="str">
        <x:v>신노량진시장(기능상실)</x:v>
      </x:c>
      <x:c r="C1142" t="str">
        <x:v>전통시장</x:v>
      </x:c>
      <x:c r="D1142" t="str">
        <x:v>동작구</x:v>
      </x:c>
      <x:c r="E1142" t="str">
        <x:v>노량진2동</x:v>
      </x:c>
      <x:c r="F1142" s="12" t="n">
        <x:v>13242</x:v>
      </x:c>
      <x:c r="G1142" s="12" t="n">
        <x:v>1248023091</x:v>
      </x:c>
      <x:c r="H1142" s="12" t="n">
        <x:v>60463</x:v>
      </x:c>
      <x:c r="I1142" s="12" t="n">
        <x:v>20641.104328266872</x:v>
      </x:c>
      <x:c r="J1142" s="12" t="n">
        <x:v>94247.32600815587</x:v>
      </x:c>
      <x:c r="K1142" s="12" t="n">
        <x:v>60</x:v>
      </x:c>
      <x:c r="L1142" s="12" t="n">
        <x:v>45.31037607612143</x:v>
      </x:c>
      <x:c r="M1142" s="12" t="n">
        <x:v>2</x:v>
      </x:c>
      <x:c r="N1142" s="14" t="n">
        <x:v>0.8290099513871895</x:v>
      </x:c>
      <x:c r="O1142" s="14" t="n">
        <x:v>0.17099004861281047</x:v>
      </x:c>
      <x:c r="P1142" s="14" t="n">
        <x:v>0.21292602109394784</x:v>
      </x:c>
      <x:c r="Q1142" s="14" t="n">
        <x:v>0.3132995213147062</x:v>
      </x:c>
      <x:c r="R1142" s="14" t="n">
        <x:v>0.05519132418039531</x:v>
      </x:c>
      <x:c r="S1142" s="14" t="n">
        <x:v>0.6248856712860291</x:v>
      </x:c>
      <x:c r="T1142" t="str">
        <x:v>여성소비·평일집중</x:v>
      </x:c>
      <x:c r="U1142" s="16" t="n">
        <x:v>53.20498011417237</x:v>
      </x:c>
      <x:c r="V1142" t="str">
        <x:v>일반의원</x:v>
      </x:c>
      <x:c r="W1142" t="str">
        <x:v>일반의원 / 한식음식점</x:v>
      </x:c>
      <x:c r="X1142" s="16" t="n">
        <x:v>47.965256979499216</x:v>
      </x:c>
    </x:row>
    <x:row r="1143">
      <x:c r="A1143" t="str">
        <x:v>3110832</x:v>
      </x:c>
      <x:c r="B1143" t="str">
        <x:v>노량진초등학교</x:v>
      </x:c>
      <x:c r="C1143" t="str">
        <x:v>골목상권</x:v>
      </x:c>
      <x:c r="D1143" t="str">
        <x:v>동작구</x:v>
      </x:c>
      <x:c r="E1143" t="str">
        <x:v>노량진1동</x:v>
      </x:c>
      <x:c r="F1143" s="12" t="n">
        <x:v>100857</x:v>
      </x:c>
      <x:c r="G1143" s="12" t="n">
        <x:v>1247484148</x:v>
      </x:c>
      <x:c r="H1143" s="12" t="n">
        <x:v>22592</x:v>
      </x:c>
      <x:c r="I1143" s="12" t="n">
        <x:v>55217.95980878187</x:v>
      </x:c>
      <x:c r="J1143" s="12" t="n">
        <x:v>12368.84051677127</x:v>
      </x:c>
      <x:c r="K1143" s="12" t="n">
        <x:v>322</x:v>
      </x:c>
      <x:c r="L1143" s="12" t="n">
        <x:v>31.926390830581912</x:v>
      </x:c>
      <x:c r="M1143" s="12" t="n">
        <x:v>5</x:v>
      </x:c>
      <x:c r="N1143" s="14" t="n">
        <x:v>0.7374243315835706</x:v>
      </x:c>
      <x:c r="O1143" s="14" t="n">
        <x:v>0.26257566841642943</x:v>
      </x:c>
      <x:c r="P1143" s="14" t="n">
        <x:v>0.6829059971349631</x:v>
      </x:c>
      <x:c r="Q1143" s="14" t="n">
        <x:v>0.15198882751654813</x:v>
      </x:c>
      <x:c r="R1143" s="14" t="n">
        <x:v>0.49278777849448074</x:v>
      </x:c>
      <x:c r="S1143" s="14" t="n">
        <x:v>0.29562646675010096</x:v>
      </x:c>
      <x:c r="T1143" t="str">
        <x:v>야간활성·2030소비</x:v>
      </x:c>
      <x:c r="U1143" s="16" t="n">
        <x:v>51.44560734152331</x:v>
      </x:c>
      <x:c r="V1143" t="str">
        <x:v>미용실</x:v>
      </x:c>
      <x:c r="W1143" t="str">
        <x:v>미용실 / 커피-음료 / 일반교습학원</x:v>
      </x:c>
      <x:c r="X1143" s="16" t="n">
        <x:v>45.80558183840818</x:v>
      </x:c>
    </x:row>
    <x:row r="1144">
      <x:c r="A1144" t="str">
        <x:v>3110886</x:v>
      </x:c>
      <x:c r="B1144" t="str">
        <x:v>관악해태어린이공원</x:v>
      </x:c>
      <x:c r="C1144" t="str">
        <x:v>골목상권</x:v>
      </x:c>
      <x:c r="D1144" t="str">
        <x:v>관악구</x:v>
      </x:c>
      <x:c r="E1144" t="str">
        <x:v>서림동</x:v>
      </x:c>
      <x:c r="F1144" s="12" t="n">
        <x:v>78673</x:v>
      </x:c>
      <x:c r="G1144" s="12" t="n">
        <x:v>1239454204</x:v>
      </x:c>
      <x:c r="H1144" s="12" t="n">
        <x:v>165983</x:v>
      </x:c>
      <x:c r="I1144" s="12" t="n">
        <x:v>7467.356319623094</x:v>
      </x:c>
      <x:c r="J1144" s="12" t="n">
        <x:v>15754.505408462877</x:v>
      </x:c>
      <x:c r="K1144" s="12" t="n">
        <x:v>237</x:v>
      </x:c>
      <x:c r="L1144" s="12" t="n">
        <x:v>30.12469335095903</x:v>
      </x:c>
      <x:c r="M1144" s="12" t="n">
        <x:v>7</x:v>
      </x:c>
      <x:c r="N1144" s="14" t="n">
        <x:v>0.6945634531891103</x:v>
      </x:c>
      <x:c r="O1144" s="14" t="n">
        <x:v>0.30543654681088966</x:v>
      </x:c>
      <x:c r="P1144" s="14" t="n">
        <x:v>0.4786740043200499</x:v>
      </x:c>
      <x:c r="Q1144" s="14" t="n">
        <x:v>0.13334386092412656</x:v>
      </x:c>
      <x:c r="R1144" s="14" t="n">
        <x:v>0.5559211455948234</x:v>
      </x:c>
      <x:c r="S1144" s="14" t="n">
        <x:v>0.3090419821594312</x:v>
      </x:c>
      <x:c r="T1144" t="str">
        <x:v>2030소비·야간활성</x:v>
      </x:c>
      <x:c r="U1144" s="16" t="n">
        <x:v>55.02100658539077</x:v>
      </x:c>
      <x:c r="V1144" t="str">
        <x:v>커피-음료</x:v>
      </x:c>
      <x:c r="W1144" t="str">
        <x:v>커피-음료 / 미용실 / 한식음식점</x:v>
      </x:c>
      <x:c r="X1144" s="16" t="n">
        <x:v>48.15038609150971</x:v>
      </x:c>
    </x:row>
    <x:row r="1145">
      <x:c r="A1145" t="str">
        <x:v>3110549</x:v>
      </x:c>
      <x:c r="B1145" t="str">
        <x:v>새터산</x:v>
      </x:c>
      <x:c r="C1145" t="str">
        <x:v>골목상권</x:v>
      </x:c>
      <x:c r="D1145" t="str">
        <x:v>마포구</x:v>
      </x:c>
      <x:c r="E1145" t="str">
        <x:v>성산2동</x:v>
      </x:c>
      <x:c r="F1145" s="12" t="n">
        <x:v>101078</x:v>
      </x:c>
      <x:c r="G1145" s="12" t="n">
        <x:v>1231269954</x:v>
      </x:c>
      <x:c r="H1145" s="12" t="n">
        <x:v>46020</x:v>
      </x:c>
      <x:c r="I1145" s="12" t="n">
        <x:v>26755.105475880053</x:v>
      </x:c>
      <x:c r="J1145" s="12" t="n">
        <x:v>12181.384218128575</x:v>
      </x:c>
      <x:c r="K1145" s="12" t="n">
        <x:v>114</x:v>
      </x:c>
      <x:c r="L1145" s="12" t="n">
        <x:v>11.278418646985497</x:v>
      </x:c>
      <x:c r="M1145" s="12" t="n">
        <x:v>5</x:v>
      </x:c>
      <x:c r="N1145" s="14" t="n">
        <x:v>0.740686831541087</x:v>
      </x:c>
      <x:c r="O1145" s="14" t="n">
        <x:v>0.25931316845891295</x:v>
      </x:c>
      <x:c r="P1145" s="14" t="n">
        <x:v>0.4322891022158411</x:v>
      </x:c>
      <x:c r="Q1145" s="14" t="n">
        <x:v>0.2272154234667534</x:v>
      </x:c>
      <x:c r="R1145" s="14" t="n">
        <x:v>0.19548255540393053</x:v>
      </x:c>
      <x:c r="S1145" s="14" t="n">
        <x:v>0.4590516337735632</x:v>
      </x:c>
      <x:c r="T1145" t="str">
        <x:v>야간활성·여성소비</x:v>
      </x:c>
      <x:c r="U1145" s="16" t="n">
        <x:v>47.75209062689399</x:v>
      </x:c>
      <x:c r="V1145" t="str">
        <x:v>한식음식점</x:v>
      </x:c>
      <x:c r="W1145" t="str">
        <x:v>한식음식점 / 일반교습학원 / 미용실</x:v>
      </x:c>
      <x:c r="X1145" s="16" t="n">
        <x:v>39.41599580950641</x:v>
      </x:c>
    </x:row>
    <x:row r="1146">
      <x:c r="A1146" t="str">
        <x:v>3110328</x:v>
      </x:c>
      <x:c r="B1146" t="str">
        <x:v>상월곡역 3번</x:v>
      </x:c>
      <x:c r="C1146" t="str">
        <x:v>골목상권</x:v>
      </x:c>
      <x:c r="D1146" t="str">
        <x:v>성북구</x:v>
      </x:c>
      <x:c r="E1146" t="str">
        <x:v>석관동</x:v>
      </x:c>
      <x:c r="F1146" s="12" t="n">
        <x:v>88297</x:v>
      </x:c>
      <x:c r="G1146" s="12" t="n">
        <x:v>1223462923</x:v>
      </x:c>
      <x:c r="H1146" s="12" t="n">
        <x:v>62241</x:v>
      </x:c>
      <x:c r="I1146" s="12" t="n">
        <x:v>19656.86481579666</x:v>
      </x:c>
      <x:c r="J1146" s="12" t="n">
        <x:v>13856.223008709243</x:v>
      </x:c>
      <x:c r="K1146" s="12" t="n">
        <x:v>1784</x:v>
      </x:c>
      <x:c r="L1146" s="12" t="n">
        <x:v>202.04536960485635</x:v>
      </x:c>
      <x:c r="M1146" s="12" t="n">
        <x:v>5</x:v>
      </x:c>
      <x:c r="N1146" s="14" t="n">
        <x:v>0.8054937664833509</x:v>
      </x:c>
      <x:c r="O1146" s="14" t="n">
        <x:v>0.19450623351664903</x:v>
      </x:c>
      <x:c r="P1146" s="14" t="n">
        <x:v>0.2775963068559618</x:v>
      </x:c>
      <x:c r="Q1146" s="14" t="n">
        <x:v>0.37198827070626317</x:v>
      </x:c>
      <x:c r="R1146" s="14" t="n">
        <x:v>0.31709830163770314</x:v>
      </x:c>
      <x:c r="S1146" s="14" t="n">
        <x:v>0.3270252882031963</x:v>
      </x:c>
      <x:c r="T1146" t="str">
        <x:v>2030소비·직장밀집</x:v>
      </x:c>
      <x:c r="U1146" s="16" t="n">
        <x:v>62.45717835123727</x:v>
      </x:c>
      <x:c r="V1146" t="str">
        <x:v>자동차수리</x:v>
      </x:c>
      <x:c r="W1146" t="str">
        <x:v>자동차수리 / 반찬가게 / 커피-음료</x:v>
      </x:c>
      <x:c r="X1146" s="16" t="n">
        <x:v>48.912386378403795</x:v>
      </x:c>
    </x:row>
    <x:row r="1147">
      <x:c r="A1147" t="str">
        <x:v>3110596</x:v>
      </x:c>
      <x:c r="B1147" t="str">
        <x:v>서서울호수공원</x:v>
      </x:c>
      <x:c r="C1147" t="str">
        <x:v>골목상권</x:v>
      </x:c>
      <x:c r="D1147" t="str">
        <x:v>양천구</x:v>
      </x:c>
      <x:c r="E1147" t="str">
        <x:v>신월3동</x:v>
      </x:c>
      <x:c r="F1147" s="12" t="n">
        <x:v>118222</x:v>
      </x:c>
      <x:c r="G1147" s="12" t="n">
        <x:v>1217995388</x:v>
      </x:c>
      <x:c r="H1147" s="12" t="n">
        <x:v>96115</x:v>
      </x:c>
      <x:c r="I1147" s="12" t="n">
        <x:v>12672.271632939708</x:v>
      </x:c>
      <x:c r="J1147" s="12" t="n">
        <x:v>10302.611933481077</x:v>
      </x:c>
      <x:c r="K1147" s="12" t="n">
        <x:v>234</x:v>
      </x:c>
      <x:c r="L1147" s="12" t="n">
        <x:v>19.793270288102047</x:v>
      </x:c>
      <x:c r="M1147" s="12" t="n">
        <x:v>9</x:v>
      </x:c>
      <x:c r="N1147" s="14" t="n">
        <x:v>0.8039719137261626</x:v>
      </x:c>
      <x:c r="O1147" s="14" t="n">
        <x:v>0.19602808627383736</x:v>
      </x:c>
      <x:c r="P1147" s="14" t="n">
        <x:v>0.4871192886651554</x:v>
      </x:c>
      <x:c r="Q1147" s="14" t="n">
        <x:v>0.12604917843908947</x:v>
      </x:c>
      <x:c r="R1147" s="14" t="n">
        <x:v>0.4233218574387574</x:v>
      </x:c>
      <x:c r="S1147" s="14" t="n">
        <x:v>0.5763739180923729</x:v>
      </x:c>
      <x:c r="T1147" t="str">
        <x:v>여성소비·2030소비</x:v>
      </x:c>
      <x:c r="U1147" s="16" t="n">
        <x:v>56.33144027694914</x:v>
      </x:c>
      <x:c r="V1147" t="str">
        <x:v>편의점</x:v>
      </x:c>
      <x:c r="W1147" t="str">
        <x:v>편의점 / 슈퍼마켓 / 예술학원</x:v>
      </x:c>
      <x:c r="X1147" s="16" t="n">
        <x:v>51.40560480157436</x:v>
      </x:c>
    </x:row>
    <x:row r="1148">
      <x:c r="A1148" t="str">
        <x:v>3110782</x:v>
      </x:c>
      <x:c r="B1148" t="str">
        <x:v>영등포시장역 4번</x:v>
      </x:c>
      <x:c r="C1148" t="str">
        <x:v>골목상권</x:v>
      </x:c>
      <x:c r="D1148" t="str">
        <x:v>영등포구</x:v>
      </x:c>
      <x:c r="E1148" t="str">
        <x:v>영등포동</x:v>
      </x:c>
      <x:c r="F1148" s="12" t="n">
        <x:v>30037</x:v>
      </x:c>
      <x:c r="G1148" s="12" t="n">
        <x:v>1217508421</x:v>
      </x:c>
      <x:c r="H1148" s="12" t="n">
        <x:v>22725</x:v>
      </x:c>
      <x:c r="I1148" s="12" t="n">
        <x:v>53575.72809680968</x:v>
      </x:c>
      <x:c r="J1148" s="12" t="n">
        <x:v>40533.62256550255</x:v>
      </x:c>
      <x:c r="K1148" s="12" t="n">
        <x:v>250</x:v>
      </x:c>
      <x:c r="L1148" s="12" t="n">
        <x:v>83.23068215867097</x:v>
      </x:c>
      <x:c r="M1148" s="12" t="n">
        <x:v>5</x:v>
      </x:c>
      <x:c r="N1148" s="14" t="n">
        <x:v>0.8830420179902805</x:v>
      </x:c>
      <x:c r="O1148" s="14" t="n">
        <x:v>0.1169579820097195</x:v>
      </x:c>
      <x:c r="P1148" s="14" t="n">
        <x:v>0.3265565462565289</x:v>
      </x:c>
      <x:c r="Q1148" s="14" t="n">
        <x:v>0.22020553318209862</x:v>
      </x:c>
      <x:c r="R1148" s="14" t="n">
        <x:v>0.1523164199946014</x:v>
      </x:c>
      <x:c r="S1148" s="14" t="n">
        <x:v>0.23784534875098</x:v>
      </x:c>
      <x:c r="T1148" t="str">
        <x:v>평일집중</x:v>
      </x:c>
      <x:c r="U1148" s="16" t="n">
        <x:v>55.289886708330265</x:v>
      </x:c>
      <x:c r="V1148" t="str">
        <x:v>스포츠 강습</x:v>
      </x:c>
      <x:c r="W1148" t="str">
        <x:v>스포츠 강습 / 일반교습학원 / 세탁소</x:v>
      </x:c>
      <x:c r="X1148" s="16" t="n">
        <x:v>44.72845452157321</x:v>
      </x:c>
    </x:row>
    <x:row r="1149">
      <x:c r="A1149" t="str">
        <x:v>3110091</x:v>
      </x:c>
      <x:c r="B1149" t="str">
        <x:v>리움미술관</x:v>
      </x:c>
      <x:c r="C1149" t="str">
        <x:v>골목상권</x:v>
      </x:c>
      <x:c r="D1149" t="str">
        <x:v>용산구</x:v>
      </x:c>
      <x:c r="E1149" t="str">
        <x:v>한남동</x:v>
      </x:c>
      <x:c r="F1149" s="12" t="n">
        <x:v>55141</x:v>
      </x:c>
      <x:c r="G1149" s="12" t="n">
        <x:v>1209199998</x:v>
      </x:c>
      <x:c r="H1149" s="12" t="n">
        <x:v>30713</x:v>
      </x:c>
      <x:c r="I1149" s="12" t="n">
        <x:v>39370.9503467587</x:v>
      </x:c>
      <x:c r="J1149" s="12" t="n">
        <x:v>21929.235922453347</x:v>
      </x:c>
      <x:c r="K1149" s="12" t="n">
        <x:v>1263</x:v>
      </x:c>
      <x:c r="L1149" s="12" t="n">
        <x:v>229.04916486824686</x:v>
      </x:c>
      <x:c r="M1149" s="12" t="n">
        <x:v>6</x:v>
      </x:c>
      <x:c r="N1149" s="14" t="n">
        <x:v>0.6557975548392285</x:v>
      </x:c>
      <x:c r="O1149" s="14" t="n">
        <x:v>0.3442024451607715</x:v>
      </x:c>
      <x:c r="P1149" s="14" t="n">
        <x:v>0.44305726173181814</x:v>
      </x:c>
      <x:c r="Q1149" s="14" t="n">
        <x:v>0.3112159284009526</x:v>
      </x:c>
      <x:c r="R1149" s="14" t="n">
        <x:v>0.48276488171148674</x:v>
      </x:c>
      <x:c r="S1149" s="14" t="n">
        <x:v>0.5420824074463817</x:v>
      </x:c>
      <x:c r="T1149" t="str">
        <x:v>2030소비·여성소비</x:v>
      </x:c>
      <x:c r="U1149" s="16" t="n">
        <x:v>57.41130337526218</x:v>
      </x:c>
      <x:c r="V1149" t="str">
        <x:v>일반의류</x:v>
      </x:c>
      <x:c r="W1149" t="str">
        <x:v>일반의류 / 한식음식점 / 커피-음료</x:v>
      </x:c>
      <x:c r="X1149" s="16" t="n">
        <x:v>41.79204878995641</x:v>
      </x:c>
    </x:row>
    <x:row r="1150">
      <x:c r="A1150" t="str">
        <x:v>3111064</x:v>
      </x:c>
      <x:c r="B1150" t="str">
        <x:v>둔촌동역 4번</x:v>
      </x:c>
      <x:c r="C1150" t="str">
        <x:v>골목상권</x:v>
      </x:c>
      <x:c r="D1150" t="str">
        <x:v>강동구</x:v>
      </x:c>
      <x:c r="E1150" t="str">
        <x:v>성내3동</x:v>
      </x:c>
      <x:c r="F1150" s="12" t="n">
        <x:v>51128</x:v>
      </x:c>
      <x:c r="G1150" s="12" t="n">
        <x:v>1208886302</x:v>
      </x:c>
      <x:c r="H1150" s="12" t="n">
        <x:v>27254</x:v>
      </x:c>
      <x:c r="I1150" s="12" t="n">
        <x:v>44356.28905848683</x:v>
      </x:c>
      <x:c r="J1150" s="12" t="n">
        <x:v>23644.310397433892</x:v>
      </x:c>
      <x:c r="K1150" s="12" t="n">
        <x:v>170</x:v>
      </x:c>
      <x:c r="L1150" s="12" t="n">
        <x:v>33.24988264747301</x:v>
      </x:c>
      <x:c r="M1150" s="12" t="n">
        <x:v>11</x:v>
      </x:c>
      <x:c r="N1150" s="14" t="n">
        <x:v>0.7633409233550899</x:v>
      </x:c>
      <x:c r="O1150" s="14" t="n">
        <x:v>0.23665907664491015</x:v>
      </x:c>
      <x:c r="P1150" s="14" t="n">
        <x:v>0.5387250206430083</x:v>
      </x:c>
      <x:c r="Q1150" s="14" t="n">
        <x:v>0.16451383365910618</x:v>
      </x:c>
      <x:c r="R1150" s="14" t="n">
        <x:v>0.21413675262241494</x:v>
      </x:c>
      <x:c r="S1150" s="14" t="n">
        <x:v>0.46967767858784126</x:v>
      </x:c>
      <x:c r="T1150" t="str">
        <x:v>야간활성·여성소비</x:v>
      </x:c>
      <x:c r="U1150" s="16" t="n">
        <x:v>56.282654132023076</x:v>
      </x:c>
      <x:c r="V1150" t="str">
        <x:v>일반교습학원</x:v>
      </x:c>
      <x:c r="W1150" t="str">
        <x:v>일반교습학원 / 육류판매 / 예술학원</x:v>
      </x:c>
      <x:c r="X1150" s="16" t="n">
        <x:v>49.52950758078895</x:v>
      </x:c>
    </x:row>
    <x:row r="1151">
      <x:c r="A1151" t="str">
        <x:v>3110583</x:v>
      </x:c>
      <x:c r="B1151" t="str">
        <x:v>공덕래미안3차아파트</x:v>
      </x:c>
      <x:c r="C1151" t="str">
        <x:v>골목상권</x:v>
      </x:c>
      <x:c r="D1151" t="str">
        <x:v>마포구</x:v>
      </x:c>
      <x:c r="E1151" t="str">
        <x:v>아현동</x:v>
      </x:c>
      <x:c r="F1151" s="12" t="n">
        <x:v>7972</x:v>
      </x:c>
      <x:c r="G1151" s="12" t="n">
        <x:v>1191965833</x:v>
      </x:c>
      <x:c r="H1151" s="12" t="n">
        <x:v>12300</x:v>
      </x:c>
      <x:c r="I1151" s="12" t="n">
        <x:v>96907.79130081301</x:v>
      </x:c>
      <x:c r="J1151" s="12" t="n">
        <x:v>149519.04578524837</x:v>
      </x:c>
      <x:c r="K1151" s="12" t="n">
        <x:v>493</x:v>
      </x:c>
      <x:c r="L1151" s="12" t="n">
        <x:v>618.4144505770196</x:v>
      </x:c>
      <x:c r="M1151" s="12" t="n">
        <x:v>6</x:v>
      </x:c>
      <x:c r="N1151" s="14" t="n">
        <x:v>0.913048302954167</x:v>
      </x:c>
      <x:c r="O1151" s="14" t="n">
        <x:v>0.08695169704583303</x:v>
      </x:c>
      <x:c r="P1151" s="14" t="n">
        <x:v>0.3811100212970618</x:v>
      </x:c>
      <x:c r="Q1151" s="14" t="n">
        <x:v>0.27271430690413084</x:v>
      </x:c>
      <x:c r="R1151" s="14" t="n">
        <x:v>0.1271466931384769</x:v>
      </x:c>
      <x:c r="S1151" s="14" t="n">
        <x:v>0.49356108850814684</x:v>
      </x:c>
      <x:c r="T1151" t="str">
        <x:v>평일집중·직장밀집</x:v>
      </x:c>
      <x:c r="U1151" s="16" t="n">
        <x:v>78.6545593492371</x:v>
      </x:c>
      <x:c r="V1151" t="str">
        <x:v>예술학원</x:v>
      </x:c>
      <x:c r="W1151" t="str">
        <x:v>예술학원 / 피부관리실 / 일반교습학원</x:v>
      </x:c>
      <x:c r="X1151" s="16" t="n">
        <x:v>60.046982689650136</x:v>
      </x:c>
    </x:row>
    <x:row r="1152">
      <x:c r="A1152" t="str">
        <x:v>3110077</x:v>
      </x:c>
      <x:c r="B1152" t="str">
        <x:v>삼광초등학교</x:v>
      </x:c>
      <x:c r="C1152" t="str">
        <x:v>골목상권</x:v>
      </x:c>
      <x:c r="D1152" t="str">
        <x:v>용산구</x:v>
      </x:c>
      <x:c r="E1152" t="str">
        <x:v>후암동</x:v>
      </x:c>
      <x:c r="F1152" s="12" t="n">
        <x:v>45797</x:v>
      </x:c>
      <x:c r="G1152" s="12" t="n">
        <x:v>1189309290</x:v>
      </x:c>
      <x:c r="H1152" s="12" t="n">
        <x:v>31449</x:v>
      </x:c>
      <x:c r="I1152" s="12" t="n">
        <x:v>37817.07812649051</x:v>
      </x:c>
      <x:c r="J1152" s="12" t="n">
        <x:v>25969.15278293338</x:v>
      </x:c>
      <x:c r="K1152" s="12" t="n">
        <x:v>155</x:v>
      </x:c>
      <x:c r="L1152" s="12" t="n">
        <x:v>33.845011681987906</x:v>
      </x:c>
      <x:c r="M1152" s="12" t="n">
        <x:v>6</x:v>
      </x:c>
      <x:c r="N1152" s="14" t="n">
        <x:v>0.7334479023534745</x:v>
      </x:c>
      <x:c r="O1152" s="14" t="n">
        <x:v>0.2665520976465256</x:v>
      </x:c>
      <x:c r="P1152" s="14" t="n">
        <x:v>0.5009750104617445</x:v>
      </x:c>
      <x:c r="Q1152" s="14" t="n">
        <x:v>0.31230137115972584</x:v>
      </x:c>
      <x:c r="R1152" s="14" t="n">
        <x:v>0.24407378588626008</x:v>
      </x:c>
      <x:c r="S1152" s="14" t="n">
        <x:v>0.33683985349176915</x:v>
      </x:c>
      <x:c r="T1152" t="str">
        <x:v>야간활성·2030소비</x:v>
      </x:c>
      <x:c r="U1152" s="16" t="n">
        <x:v>61.917393617431436</x:v>
      </x:c>
      <x:c r="V1152" t="str">
        <x:v>예술학원</x:v>
      </x:c>
      <x:c r="W1152" t="str">
        <x:v>예술학원 / 일반교습학원 / 커피-음료</x:v>
      </x:c>
      <x:c r="X1152" s="16" t="n">
        <x:v>49.96053136393297</x:v>
      </x:c>
    </x:row>
    <x:row r="1153">
      <x:c r="A1153" t="str">
        <x:v>3110565</x:v>
      </x:c>
      <x:c r="B1153" t="str">
        <x:v>홍익대</x:v>
      </x:c>
      <x:c r="C1153" t="str">
        <x:v>골목상권</x:v>
      </x:c>
      <x:c r="D1153" t="str">
        <x:v>마포구</x:v>
      </x:c>
      <x:c r="E1153" t="str">
        <x:v>서강동</x:v>
      </x:c>
      <x:c r="F1153" s="12" t="n">
        <x:v>43573</x:v>
      </x:c>
      <x:c r="G1153" s="12" t="n">
        <x:v>1187285332</x:v>
      </x:c>
      <x:c r="H1153" s="12" t="n">
        <x:v>7614</x:v>
      </x:c>
      <x:c r="I1153" s="12" t="n">
        <x:v>155934.50643551353</x:v>
      </x:c>
      <x:c r="J1153" s="12" t="n">
        <x:v>27248.18883253391</x:v>
      </x:c>
      <x:c r="K1153" s="12" t="n">
        <x:v>237</x:v>
      </x:c>
      <x:c r="L1153" s="12" t="n">
        <x:v>54.39148096298166</x:v>
      </x:c>
      <x:c r="M1153" s="12" t="n">
        <x:v>5</x:v>
      </x:c>
      <x:c r="N1153" s="14" t="n">
        <x:v>0.6741786522803602</x:v>
      </x:c>
      <x:c r="O1153" s="14" t="n">
        <x:v>0.32582134771963983</x:v>
      </x:c>
      <x:c r="P1153" s="14" t="n">
        <x:v>0.3204877865028657</x:v>
      </x:c>
      <x:c r="Q1153" s="14" t="n">
        <x:v>0.0832026130008654</x:v>
      </x:c>
      <x:c r="R1153" s="14" t="n">
        <x:v>0.2505230966670445</x:v>
      </x:c>
      <x:c r="S1153" s="14" t="n">
        <x:v>0.5228889688666684</x:v>
      </x:c>
      <x:c r="T1153" t="str">
        <x:v>여성소비·2030소비</x:v>
      </x:c>
      <x:c r="U1153" s="16" t="n">
        <x:v>71.7411228910696</x:v>
      </x:c>
      <x:c r="V1153" t="str">
        <x:v>예술학원</x:v>
      </x:c>
      <x:c r="W1153" t="str">
        <x:v>예술학원 / 전자상거래업 / 일반교습학원</x:v>
      </x:c>
      <x:c r="X1153" s="16" t="n">
        <x:v>47.15347976845116</x:v>
      </x:c>
    </x:row>
    <x:row r="1154">
      <x:c r="A1154" t="str">
        <x:v>3110246</x:v>
      </x:c>
      <x:c r="B1154" t="str">
        <x:v>월드순복음교회</x:v>
      </x:c>
      <x:c r="C1154" t="str">
        <x:v>골목상권</x:v>
      </x:c>
      <x:c r="D1154" t="str">
        <x:v>중랑구</x:v>
      </x:c>
      <x:c r="E1154" t="str">
        <x:v>상봉2동</x:v>
      </x:c>
      <x:c r="F1154" s="12" t="n">
        <x:v>87353</x:v>
      </x:c>
      <x:c r="G1154" s="12" t="n">
        <x:v>1158922451</x:v>
      </x:c>
      <x:c r="H1154" s="12" t="n">
        <x:v>74489</x:v>
      </x:c>
      <x:c r="I1154" s="12" t="n">
        <x:v>15558.303252829277</x:v>
      </x:c>
      <x:c r="J1154" s="12" t="n">
        <x:v>13267.116767598136</x:v>
      </x:c>
      <x:c r="K1154" s="12" t="n">
        <x:v>721</x:v>
      </x:c>
      <x:c r="L1154" s="12" t="n">
        <x:v>82.53866495712798</x:v>
      </x:c>
      <x:c r="M1154" s="12" t="n">
        <x:v>9</x:v>
      </x:c>
      <x:c r="N1154" s="14" t="n">
        <x:v>0.7130054787419077</x:v>
      </x:c>
      <x:c r="O1154" s="14" t="n">
        <x:v>0.2869945212580924</x:v>
      </x:c>
      <x:c r="P1154" s="14" t="n">
        <x:v>0.5177889387527277</x:v>
      </x:c>
      <x:c r="Q1154" s="14" t="n">
        <x:v>0.16302927934217748</x:v>
      </x:c>
      <x:c r="R1154" s="14" t="n">
        <x:v>0.31303516959824607</x:v>
      </x:c>
      <x:c r="S1154" s="14" t="n">
        <x:v>0.32526671709115074</x:v>
      </x:c>
      <x:c r="T1154" t="str">
        <x:v>야간활성·2030소비</x:v>
      </x:c>
      <x:c r="U1154" s="16" t="n">
        <x:v>48.756871025448426</x:v>
      </x:c>
      <x:c r="V1154" t="str">
        <x:v>슈퍼마켓</x:v>
      </x:c>
      <x:c r="W1154" t="str">
        <x:v>슈퍼마켓 / 커피-음료 / 일반의원</x:v>
      </x:c>
      <x:c r="X1154" s="16" t="n">
        <x:v>37.53015105057336</x:v>
      </x:c>
    </x:row>
    <x:row r="1155">
      <x:c r="A1155" t="str">
        <x:v>3110175</x:v>
      </x:c>
      <x:c r="B1155" t="str">
        <x:v>푸른동산공원</x:v>
      </x:c>
      <x:c r="C1155" t="str">
        <x:v>골목상권</x:v>
      </x:c>
      <x:c r="D1155" t="str">
        <x:v>광진구</x:v>
      </x:c>
      <x:c r="E1155" t="str">
        <x:v>구의3동</x:v>
      </x:c>
      <x:c r="F1155" s="12" t="n">
        <x:v>96115</x:v>
      </x:c>
      <x:c r="G1155" s="12" t="n">
        <x:v>1151174760</x:v>
      </x:c>
      <x:c r="H1155" s="12" t="n">
        <x:v>103484</x:v>
      </x:c>
      <x:c r="I1155" s="12" t="n">
        <x:v>11124.181129449964</x:v>
      </x:c>
      <x:c r="J1155" s="12" t="n">
        <x:v>11977.056234718826</x:v>
      </x:c>
      <x:c r="K1155" s="12" t="n">
        <x:v>874</x:v>
      </x:c>
      <x:c r="L1155" s="12" t="n">
        <x:v>90.93273682567758</x:v>
      </x:c>
      <x:c r="M1155" s="12" t="n">
        <x:v>7</x:v>
      </x:c>
      <x:c r="N1155" s="14" t="n">
        <x:v>0.7382640477628262</x:v>
      </x:c>
      <x:c r="O1155" s="14" t="n">
        <x:v>0.2617359522371738</x:v>
      </x:c>
      <x:c r="P1155" s="14" t="n">
        <x:v>0.44954854465363714</x:v>
      </x:c>
      <x:c r="Q1155" s="14" t="n">
        <x:v>0.20182060628222948</x:v>
      </x:c>
      <x:c r="R1155" s="14" t="n">
        <x:v>0.3781700130395493</x:v>
      </x:c>
      <x:c r="S1155" s="14" t="n">
        <x:v>0.36992034206865343</x:v>
      </x:c>
      <x:c r="T1155" t="str">
        <x:v>2030소비·야간활성</x:v>
      </x:c>
      <x:c r="U1155" s="16" t="n">
        <x:v>59.40697862122393</x:v>
      </x:c>
      <x:c r="V1155" t="str">
        <x:v>예술학원</x:v>
      </x:c>
      <x:c r="W1155" t="str">
        <x:v>예술학원 / 슈퍼마켓 / 미용실</x:v>
      </x:c>
      <x:c r="X1155" s="16" t="n">
        <x:v>51.06845024750928</x:v>
      </x:c>
    </x:row>
    <x:row r="1156">
      <x:c r="A1156" t="str">
        <x:v>3110109</x:v>
      </x:c>
      <x:c r="B1156" t="str">
        <x:v>금호삼성래미안아파트</x:v>
      </x:c>
      <x:c r="C1156" t="str">
        <x:v>골목상권</x:v>
      </x:c>
      <x:c r="D1156" t="str">
        <x:v>성동구</x:v>
      </x:c>
      <x:c r="E1156" t="str">
        <x:v>금호1가동</x:v>
      </x:c>
      <x:c r="F1156" s="12" t="n">
        <x:v>29788</x:v>
      </x:c>
      <x:c r="G1156" s="12" t="n">
        <x:v>1150700716</x:v>
      </x:c>
      <x:c r="H1156" s="12" t="n">
        <x:v>22725</x:v>
      </x:c>
      <x:c r="I1156" s="12" t="n">
        <x:v>50635.89509350935</x:v>
      </x:c>
      <x:c r="J1156" s="12" t="n">
        <x:v>38629.673559822746</x:v>
      </x:c>
      <x:c r="K1156" s="12" t="n">
        <x:v>1253</x:v>
      </x:c>
      <x:c r="L1156" s="12" t="n">
        <x:v>420.6391835638512</x:v>
      </x:c>
      <x:c r="M1156" s="12" t="n">
        <x:v>6</x:v>
      </x:c>
      <x:c r="N1156" s="14" t="n">
        <x:v>0.8253749222486797</x:v>
      </x:c>
      <x:c r="O1156" s="14" t="n">
        <x:v>0.17462507775132036</x:v>
      </x:c>
      <x:c r="P1156" s="14" t="n">
        <x:v>0.35003222419129876</x:v>
      </x:c>
      <x:c r="Q1156" s="14" t="n">
        <x:v>0.24347450219193223</x:v>
      </x:c>
      <x:c r="R1156" s="14" t="n">
        <x:v>0.09723590108550867</x:v>
      </x:c>
      <x:c r="S1156" s="14" t="n">
        <x:v>0.47339322503732584</x:v>
      </x:c>
      <x:c r="T1156" t="str">
        <x:v>직장밀집·평일집중</x:v>
      </x:c>
      <x:c r="U1156" s="16" t="n">
        <x:v>61.03986467414199</x:v>
      </x:c>
      <x:c r="V1156" t="str">
        <x:v>일반의류</x:v>
      </x:c>
      <x:c r="W1156" t="str">
        <x:v>일반의류 / 한식음식점 / 커피-음료</x:v>
      </x:c>
      <x:c r="X1156" s="16" t="n">
        <x:v>41.43318809080587</x:v>
      </x:c>
    </x:row>
    <x:row r="1157">
      <x:c r="A1157" t="str">
        <x:v>3110825</x:v>
      </x:c>
      <x:c r="B1157" t="str">
        <x:v>신대방삼거리역 1번</x:v>
      </x:c>
      <x:c r="C1157" t="str">
        <x:v>골목상권</x:v>
      </x:c>
      <x:c r="D1157" t="str">
        <x:v>동작구</x:v>
      </x:c>
      <x:c r="E1157" t="str">
        <x:v>상도3동</x:v>
      </x:c>
      <x:c r="F1157" s="12" t="n">
        <x:v>182490</x:v>
      </x:c>
      <x:c r="G1157" s="12" t="n">
        <x:v>1139302720</x:v>
      </x:c>
      <x:c r="H1157" s="12" t="n">
        <x:v>93451</x:v>
      </x:c>
      <x:c r="I1157" s="12" t="n">
        <x:v>12191.444928358176</x:v>
      </x:c>
      <x:c r="J1157" s="12" t="n">
        <x:v>6243.096717628363</x:v>
      </x:c>
      <x:c r="K1157" s="12" t="n">
        <x:v>410</x:v>
      </x:c>
      <x:c r="L1157" s="12" t="n">
        <x:v>22.466984492300945</x:v>
      </x:c>
      <x:c r="M1157" s="12" t="n">
        <x:v>13</x:v>
      </x:c>
      <x:c r="N1157" s="14" t="n">
        <x:v>0.7607453723976012</x:v>
      </x:c>
      <x:c r="O1157" s="14" t="n">
        <x:v>0.23925462760239877</x:v>
      </x:c>
      <x:c r="P1157" s="14" t="n">
        <x:v>0.5240990936982929</x:v>
      </x:c>
      <x:c r="Q1157" s="14" t="n">
        <x:v>0.10991536647959552</x:v>
      </x:c>
      <x:c r="R1157" s="14" t="n">
        <x:v>0.33869209142237455</x:v>
      </x:c>
      <x:c r="S1157" s="14" t="n">
        <x:v>0.4453487164500055</x:v>
      </x:c>
      <x:c r="T1157" t="str">
        <x:v>야간활성·2030소비</x:v>
      </x:c>
      <x:c r="U1157" s="16" t="n">
        <x:v>68.52366100426008</x:v>
      </x:c>
      <x:c r="V1157" t="str">
        <x:v>일반교습학원</x:v>
      </x:c>
      <x:c r="W1157" t="str">
        <x:v>일반교습학원 / 피부관리실 / 미용실</x:v>
      </x:c>
      <x:c r="X1157" s="16" t="n">
        <x:v>52.198951288738144</x:v>
      </x:c>
    </x:row>
    <x:row r="1158">
      <x:c r="A1158" t="str">
        <x:v>3110022</x:v>
      </x:c>
      <x:c r="B1158" t="str">
        <x:v>경신고등학교</x:v>
      </x:c>
      <x:c r="C1158" t="str">
        <x:v>골목상권</x:v>
      </x:c>
      <x:c r="D1158" t="str">
        <x:v>종로구</x:v>
      </x:c>
      <x:c r="E1158" t="str">
        <x:v>혜화동</x:v>
      </x:c>
      <x:c r="F1158" s="12" t="n">
        <x:v>60182</x:v>
      </x:c>
      <x:c r="G1158" s="12" t="n">
        <x:v>1137363402</x:v>
      </x:c>
      <x:c r="H1158" s="12" t="n">
        <x:v>14823</x:v>
      </x:c>
      <x:c r="I1158" s="12" t="n">
        <x:v>76729.63651082777</x:v>
      </x:c>
      <x:c r="J1158" s="12" t="n">
        <x:v>18898.73055066299</x:v>
      </x:c>
      <x:c r="K1158" s="12" t="n">
        <x:v>325</x:v>
      </x:c>
      <x:c r="L1158" s="12" t="n">
        <x:v>54.00285799740786</x:v>
      </x:c>
      <x:c r="M1158" s="12" t="n">
        <x:v>6</x:v>
      </x:c>
      <x:c r="N1158" s="14" t="n">
        <x:v>0.8571372133881973</x:v>
      </x:c>
      <x:c r="O1158" s="14" t="n">
        <x:v>0.1428627866118027</x:v>
      </x:c>
      <x:c r="P1158" s="14" t="n">
        <x:v>0.3192691837643638</x:v>
      </x:c>
      <x:c r="Q1158" s="14" t="n">
        <x:v>0.29669774357659523</x:v>
      </x:c>
      <x:c r="R1158" s="14" t="n">
        <x:v>0.14538892117437766</x:v>
      </x:c>
      <x:c r="S1158" s="14" t="n">
        <x:v>0.4178027674922496</x:v>
      </x:c>
      <x:c r="T1158" t="str">
        <x:v>평일집중</x:v>
      </x:c>
      <x:c r="U1158" s="16" t="n">
        <x:v>70.74969597141381</x:v>
      </x:c>
      <x:c r="V1158" t="str">
        <x:v>일반교습학원</x:v>
      </x:c>
      <x:c r="W1158" t="str">
        <x:v>일반교습학원 / 자동차수리 / 예술학원</x:v>
      </x:c>
      <x:c r="X1158" s="16" t="n">
        <x:v>56.20453027944207</x:v>
      </x:c>
    </x:row>
    <x:row r="1159">
      <x:c r="A1159" t="str">
        <x:v>3110525</x:v>
      </x:c>
      <x:c r="B1159" t="str">
        <x:v>홍은종합사회복지관</x:v>
      </x:c>
      <x:c r="C1159" t="str">
        <x:v>골목상권</x:v>
      </x:c>
      <x:c r="D1159" t="str">
        <x:v>서대문구</x:v>
      </x:c>
      <x:c r="E1159" t="str">
        <x:v>홍은1동</x:v>
      </x:c>
      <x:c r="F1159" s="12" t="n">
        <x:v>35519</x:v>
      </x:c>
      <x:c r="G1159" s="12" t="n">
        <x:v>1133500228</x:v>
      </x:c>
      <x:c r="H1159" s="12" t="n">
        <x:v>43767</x:v>
      </x:c>
      <x:c r="I1159" s="12" t="n">
        <x:v>25898.513217721113</x:v>
      </x:c>
      <x:c r="J1159" s="12" t="n">
        <x:v>31912.50395562938</x:v>
      </x:c>
      <x:c r="K1159" s="12" t="n">
        <x:v>952</x:v>
      </x:c>
      <x:c r="L1159" s="12" t="n">
        <x:v>268.02556378276415</x:v>
      </x:c>
      <x:c r="M1159" s="12" t="n">
        <x:v>7</x:v>
      </x:c>
      <x:c r="N1159" s="14" t="n">
        <x:v>0.8467995367708033</x:v>
      </x:c>
      <x:c r="O1159" s="14" t="n">
        <x:v>0.15320046322919664</x:v>
      </x:c>
      <x:c r="P1159" s="14" t="n">
        <x:v>0.3672894223714263</x:v>
      </x:c>
      <x:c r="Q1159" s="14" t="n">
        <x:v>0.2804019700647118</x:v>
      </x:c>
      <x:c r="R1159" s="14" t="n">
        <x:v>0.12720603881519466</x:v>
      </x:c>
      <x:c r="S1159" s="14" t="n">
        <x:v>0.5715884099495744</x:v>
      </x:c>
      <x:c r="T1159" t="str">
        <x:v>여성소비·평일집중</x:v>
      </x:c>
      <x:c r="U1159" s="16" t="n">
        <x:v>63.41293099507929</x:v>
      </x:c>
      <x:c r="V1159" t="str">
        <x:v>예술학원</x:v>
      </x:c>
      <x:c r="W1159" t="str">
        <x:v>예술학원 / 일반교습학원 / 치킨전문점</x:v>
      </x:c>
      <x:c r="X1159" s="16" t="n">
        <x:v>56.87489508857648</x:v>
      </x:c>
    </x:row>
    <x:row r="1160">
      <x:c r="A1160" t="str">
        <x:v>3110330</x:v>
      </x:c>
      <x:c r="B1160" t="str">
        <x:v>돌곶이역 1번</x:v>
      </x:c>
      <x:c r="C1160" t="str">
        <x:v>골목상권</x:v>
      </x:c>
      <x:c r="D1160" t="str">
        <x:v>성북구</x:v>
      </x:c>
      <x:c r="E1160" t="str">
        <x:v>장위2동</x:v>
      </x:c>
      <x:c r="F1160" s="12" t="n">
        <x:v>72476</x:v>
      </x:c>
      <x:c r="G1160" s="12" t="n">
        <x:v>1131789676</x:v>
      </x:c>
      <x:c r="H1160" s="12" t="n">
        <x:v>22571</x:v>
      </x:c>
      <x:c r="I1160" s="12" t="n">
        <x:v>50143.53267467104</x:v>
      </x:c>
      <x:c r="J1160" s="12" t="n">
        <x:v>15616.061537612452</x:v>
      </x:c>
      <x:c r="K1160" s="12" t="n">
        <x:v>225</x:v>
      </x:c>
      <x:c r="L1160" s="12" t="n">
        <x:v>31.044759644571997</x:v>
      </x:c>
      <x:c r="M1160" s="12" t="n">
        <x:v>6</x:v>
      </x:c>
      <x:c r="N1160" s="14" t="n">
        <x:v>0.8076186763166764</x:v>
      </x:c>
      <x:c r="O1160" s="14" t="n">
        <x:v>0.19238132368332364</x:v>
      </x:c>
      <x:c r="P1160" s="14" t="n">
        <x:v>0.6283010643048135</x:v>
      </x:c>
      <x:c r="Q1160" s="14" t="n">
        <x:v>0.24823540447280065</x:v>
      </x:c>
      <x:c r="R1160" s="14" t="n">
        <x:v>0.12842750475840178</x:v>
      </x:c>
      <x:c r="S1160" s="14" t="n">
        <x:v>0.1960599736023745</x:v>
      </x:c>
      <x:c r="T1160" t="str">
        <x:v>야간활성·평일집중</x:v>
      </x:c>
      <x:c r="U1160" s="16" t="n">
        <x:v>61.74659549176343</x:v>
      </x:c>
      <x:c r="V1160" t="str">
        <x:v>미용실</x:v>
      </x:c>
      <x:c r="W1160" t="str">
        <x:v>미용실 / 한식음식점 / 일반의류</x:v>
      </x:c>
      <x:c r="X1160" s="16" t="n">
        <x:v>42.0032200025626</x:v>
      </x:c>
    </x:row>
    <x:row r="1161">
      <x:c r="A1161" t="str">
        <x:v>3110976</x:v>
      </x:c>
      <x:c r="B1161" t="str">
        <x:v>언북초등학교</x:v>
      </x:c>
      <x:c r="C1161" t="str">
        <x:v>골목상권</x:v>
      </x:c>
      <x:c r="D1161" t="str">
        <x:v>강남구</x:v>
      </x:c>
      <x:c r="E1161" t="str">
        <x:v>청담동</x:v>
      </x:c>
      <x:c r="F1161" s="12" t="n">
        <x:v>55724</x:v>
      </x:c>
      <x:c r="G1161" s="12" t="n">
        <x:v>1123682267</x:v>
      </x:c>
      <x:c r="H1161" s="12" t="n">
        <x:v>12459</x:v>
      </x:c>
      <x:c r="I1161" s="12" t="n">
        <x:v>90190.40589132353</x:v>
      </x:c>
      <x:c r="J1161" s="12" t="n">
        <x:v>20165.14010121312</x:v>
      </x:c>
      <x:c r="K1161" s="12" t="n">
        <x:v>1088</x:v>
      </x:c>
      <x:c r="L1161" s="12" t="n">
        <x:v>195.24800803962384</x:v>
      </x:c>
      <x:c r="M1161" s="12" t="n">
        <x:v>6</x:v>
      </x:c>
      <x:c r="N1161" s="14" t="n">
        <x:v>0.7177225917724659</x:v>
      </x:c>
      <x:c r="O1161" s="14" t="n">
        <x:v>0.2822774082275341</x:v>
      </x:c>
      <x:c r="P1161" s="14" t="n">
        <x:v>0.4060382666873571</x:v>
      </x:c>
      <x:c r="Q1161" s="14" t="n">
        <x:v>0.22547392037824157</x:v>
      </x:c>
      <x:c r="R1161" s="14" t="n">
        <x:v>0.36869190977452704</x:v>
      </x:c>
      <x:c r="S1161" s="14" t="n">
        <x:v>0.3947956411062594</x:v>
      </x:c>
      <x:c r="T1161" t="str">
        <x:v>2030소비·직장밀집</x:v>
      </x:c>
      <x:c r="U1161" s="16" t="n">
        <x:v>59.67235378459209</x:v>
      </x:c>
      <x:c r="V1161" t="str">
        <x:v>피부관리실</x:v>
      </x:c>
      <x:c r="W1161" t="str">
        <x:v>피부관리실 / 한식음식점 / 일반의류</x:v>
      </x:c>
      <x:c r="X1161" s="16" t="n">
        <x:v>49.81534902666364</x:v>
      </x:c>
    </x:row>
    <x:row r="1162">
      <x:c r="A1162" t="str">
        <x:v>3110764</x:v>
      </x:c>
      <x:c r="B1162" t="str">
        <x:v>문래역 3번</x:v>
      </x:c>
      <x:c r="C1162" t="str">
        <x:v>골목상권</x:v>
      </x:c>
      <x:c r="D1162" t="str">
        <x:v>영등포구</x:v>
      </x:c>
      <x:c r="E1162" t="str">
        <x:v>당산1동</x:v>
      </x:c>
      <x:c r="F1162" s="12" t="n">
        <x:v>18152</x:v>
      </x:c>
      <x:c r="G1162" s="12" t="n">
        <x:v>1123206467</x:v>
      </x:c>
      <x:c r="H1162" s="12" t="n">
        <x:v>32537</x:v>
      </x:c>
      <x:c r="I1162" s="12" t="n">
        <x:v>34520.89826966223</x:v>
      </x:c>
      <x:c r="J1162" s="12" t="n">
        <x:v>61877.83533494932</x:v>
      </x:c>
      <x:c r="K1162" s="12" t="n">
        <x:v>367</x:v>
      </x:c>
      <x:c r="L1162" s="12" t="n">
        <x:v>202.18157778757163</x:v>
      </x:c>
      <x:c r="M1162" s="12" t="n">
        <x:v>1</x:v>
      </x:c>
      <x:c r="N1162" s="14" t="n">
        <x:v>0.6713609689357317</x:v>
      </x:c>
      <x:c r="O1162" s="14" t="n">
        <x:v>0.3286390310642683</x:v>
      </x:c>
      <x:c r="P1162" s="14" t="n">
        <x:v>0.4370789533568453</x:v>
      </x:c>
      <x:c r="Q1162" s="14" t="n">
        <x:v>0.46613213365695483</x:v>
      </x:c>
      <x:c r="R1162" s="14" t="n">
        <x:v>0.26833254068149875</x:v>
      </x:c>
      <x:c r="S1162" s="14" t="n">
        <x:v>0.4264830127620695</x:v>
      </x:c>
      <x:c r="T1162" t="str">
        <x:v>직장밀집·2030소비</x:v>
      </x:c>
      <x:c r="U1162" s="16" t="n">
        <x:v>41.77505458977024</x:v>
      </x:c>
      <x:c r="V1162" t="str">
        <x:v>한식음식점</x:v>
      </x:c>
      <x:c r="W1162" t="str">
        <x:v>한식음식점</x:v>
      </x:c>
      <x:c r="X1162" s="16" t="n">
        <x:v>41.77505458977024</x:v>
      </x:c>
    </x:row>
    <x:row r="1163">
      <x:c r="A1163" t="str">
        <x:v>3110413</x:v>
      </x:c>
      <x:c r="B1163" t="str">
        <x:v>누원고등학교</x:v>
      </x:c>
      <x:c r="C1163" t="str">
        <x:v>골목상권</x:v>
      </x:c>
      <x:c r="D1163" t="str">
        <x:v>도봉구</x:v>
      </x:c>
      <x:c r="E1163" t="str">
        <x:v>도봉2동</x:v>
      </x:c>
      <x:c r="F1163" s="12" t="n">
        <x:v>74353</x:v>
      </x:c>
      <x:c r="G1163" s="12" t="n">
        <x:v>1106873516</x:v>
      </x:c>
      <x:c r="H1163" s="12" t="n">
        <x:v>51848</x:v>
      </x:c>
      <x:c r="I1163" s="12" t="n">
        <x:v>21348.432263539577</x:v>
      </x:c>
      <x:c r="J1163" s="12" t="n">
        <x:v>14886.736459860396</x:v>
      </x:c>
      <x:c r="K1163" s="12" t="n">
        <x:v>219</x:v>
      </x:c>
      <x:c r="L1163" s="12" t="n">
        <x:v>29.454090621763747</x:v>
      </x:c>
      <x:c r="M1163" s="12" t="n">
        <x:v>4</x:v>
      </x:c>
      <x:c r="N1163" s="14" t="n">
        <x:v>0.6640413284583457</x:v>
      </x:c>
      <x:c r="O1163" s="14" t="n">
        <x:v>0.33595867154165426</x:v>
      </x:c>
      <x:c r="P1163" s="14" t="n">
        <x:v>0.5143976052996465</x:v>
      </x:c>
      <x:c r="Q1163" s="14" t="n">
        <x:v>0.24887894417739415</x:v>
      </x:c>
      <x:c r="R1163" s="14" t="n">
        <x:v>0.19116824997735332</x:v>
      </x:c>
      <x:c r="S1163" s="14" t="n">
        <x:v>0.4002933267399633</x:v>
      </x:c>
      <x:c r="T1163" t="str">
        <x:v>야간활성</x:v>
      </x:c>
      <x:c r="U1163" s="16" t="n">
        <x:v>64.08479442898854</x:v>
      </x:c>
      <x:c r="V1163" t="str">
        <x:v>한식음식점</x:v>
      </x:c>
      <x:c r="W1163" t="str">
        <x:v>한식음식점 / 일반의원 / 슈퍼마켓</x:v>
      </x:c>
      <x:c r="X1163" s="16" t="n">
        <x:v>49.49516312970862</x:v>
      </x:c>
    </x:row>
    <x:row r="1164">
      <x:c r="A1164" t="str">
        <x:v>3110320</x:v>
      </x:c>
      <x:c r="B1164" t="str">
        <x:v>KB국민은행 종암동지점</x:v>
      </x:c>
      <x:c r="C1164" t="str">
        <x:v>골목상권</x:v>
      </x:c>
      <x:c r="D1164" t="str">
        <x:v>성북구</x:v>
      </x:c>
      <x:c r="E1164" t="str">
        <x:v>종암동</x:v>
      </x:c>
      <x:c r="F1164" s="12" t="n">
        <x:v>52907</x:v>
      </x:c>
      <x:c r="G1164" s="12" t="n">
        <x:v>1102174141</x:v>
      </x:c>
      <x:c r="H1164" s="12" t="n">
        <x:v>124094</x:v>
      </x:c>
      <x:c r="I1164" s="12" t="n">
        <x:v>8881.768183796155</x:v>
      </x:c>
      <x:c r="J1164" s="12" t="n">
        <x:v>20832.29328822273</x:v>
      </x:c>
      <x:c r="K1164" s="12" t="n">
        <x:v>3150</x:v>
      </x:c>
      <x:c r="L1164" s="12" t="n">
        <x:v>595.3843536772072</x:v>
      </x:c>
      <x:c r="M1164" s="12" t="n">
        <x:v>2</x:v>
      </x:c>
      <x:c r="N1164" s="14" t="n">
        <x:v>0.748417941698017</x:v>
      </x:c>
      <x:c r="O1164" s="14" t="n">
        <x:v>0.251582058301983</x:v>
      </x:c>
      <x:c r="P1164" s="14" t="n">
        <x:v>0.43961693254786677</x:v>
      </x:c>
      <x:c r="Q1164" s="14" t="n">
        <x:v>0.17184328134223573</x:v>
      </x:c>
      <x:c r="R1164" s="14" t="n">
        <x:v>0.3020135744592832</x:v>
      </x:c>
      <x:c r="S1164" s="14" t="n">
        <x:v>0.3740962209709473</x:v>
      </x:c>
      <x:c r="T1164" t="str">
        <x:v>직장밀집·2030소비</x:v>
      </x:c>
      <x:c r="U1164" s="16" t="n">
        <x:v>47.92769909404439</x:v>
      </x:c>
      <x:c r="V1164" t="str">
        <x:v>슈퍼마켓</x:v>
      </x:c>
      <x:c r="W1164" t="str">
        <x:v>슈퍼마켓 / 한식음식점</x:v>
      </x:c>
      <x:c r="X1164" s="16" t="n">
        <x:v>41.880832621262655</x:v>
      </x:c>
    </x:row>
    <x:row r="1165">
      <x:c r="A1165" t="str">
        <x:v>3110332</x:v>
      </x:c>
      <x:c r="B1165" t="str">
        <x:v>돌곶이역 3번</x:v>
      </x:c>
      <x:c r="C1165" t="str">
        <x:v>골목상권</x:v>
      </x:c>
      <x:c r="D1165" t="str">
        <x:v>성북구</x:v>
      </x:c>
      <x:c r="E1165" t="str">
        <x:v>장위2동</x:v>
      </x:c>
      <x:c r="F1165" s="12" t="n">
        <x:v>34428</x:v>
      </x:c>
      <x:c r="G1165" s="12" t="n">
        <x:v>1099371947</x:v>
      </x:c>
      <x:c r="H1165" s="12" t="n">
        <x:v>27459</x:v>
      </x:c>
      <x:c r="I1165" s="12" t="n">
        <x:v>40036.85301722568</x:v>
      </x:c>
      <x:c r="J1165" s="12" t="n">
        <x:v>31932.495265481586</x:v>
      </x:c>
      <x:c r="K1165" s="12" t="n">
        <x:v>152</x:v>
      </x:c>
      <x:c r="L1165" s="12" t="n">
        <x:v>44.150110375275936</x:v>
      </x:c>
      <x:c r="M1165" s="12" t="n">
        <x:v>2</x:v>
      </x:c>
      <x:c r="N1165" s="14" t="n">
        <x:v>0.6105455481483193</x:v>
      </x:c>
      <x:c r="O1165" s="14" t="n">
        <x:v>0.3894544518516807</x:v>
      </x:c>
      <x:c r="P1165" s="14" t="n">
        <x:v>0.644707394921366</x:v>
      </x:c>
      <x:c r="Q1165" s="14" t="n">
        <x:v>0.1463416793916063</x:v>
      </x:c>
      <x:c r="R1165" s="14" t="n">
        <x:v>0.2170613072774723</x:v>
      </x:c>
      <x:c r="S1165" s="14" t="n">
        <x:v>0.3188839518387311</x:v>
      </x:c>
      <x:c r="T1165" t="str">
        <x:v>야간활성</x:v>
      </x:c>
      <x:c r="U1165" s="16" t="n">
        <x:v>65.11471124527684</x:v>
      </x:c>
      <x:c r="V1165" t="str">
        <x:v>한식음식점</x:v>
      </x:c>
      <x:c r="W1165" t="str">
        <x:v>한식음식점 / 슈퍼마켓</x:v>
      </x:c>
      <x:c r="X1165" s="16" t="n">
        <x:v>49.310885361422365</x:v>
      </x:c>
    </x:row>
    <x:row r="1166">
      <x:c r="A1166" t="str">
        <x:v>3110737</x:v>
      </x:c>
      <x:c r="B1166" t="str">
        <x:v>금천세무서</x:v>
      </x:c>
      <x:c r="C1166" t="str">
        <x:v>골목상권</x:v>
      </x:c>
      <x:c r="D1166" t="str">
        <x:v>금천구</x:v>
      </x:c>
      <x:c r="E1166" t="str">
        <x:v>독산3동</x:v>
      </x:c>
      <x:c r="F1166" s="12" t="n">
        <x:v>84015</x:v>
      </x:c>
      <x:c r="G1166" s="12" t="n">
        <x:v>1099119864</x:v>
      </x:c>
      <x:c r="H1166" s="12" t="n">
        <x:v>139773</x:v>
      </x:c>
      <x:c r="I1166" s="12" t="n">
        <x:v>7863.606447597175</x:v>
      </x:c>
      <x:c r="J1166" s="12" t="n">
        <x:v>13082.424138546688</x:v>
      </x:c>
      <x:c r="K1166" s="12" t="n">
        <x:v>480</x:v>
      </x:c>
      <x:c r="L1166" s="12" t="n">
        <x:v>57.132654883056595</x:v>
      </x:c>
      <x:c r="M1166" s="12" t="n">
        <x:v>4</x:v>
      </x:c>
      <x:c r="N1166" s="14" t="n">
        <x:v>0.7014488075888328</x:v>
      </x:c>
      <x:c r="O1166" s="14" t="n">
        <x:v>0.2985511924111673</x:v>
      </x:c>
      <x:c r="P1166" s="14" t="n">
        <x:v>0.4977815731660728</x:v>
      </x:c>
      <x:c r="Q1166" s="14" t="n">
        <x:v>0.11478975872644223</x:v>
      </x:c>
      <x:c r="R1166" s="14" t="n">
        <x:v>0.46450018030062645</x:v>
      </x:c>
      <x:c r="S1166" s="14" t="n">
        <x:v>0.28322929481693</x:v>
      </x:c>
      <x:c r="T1166" t="str">
        <x:v>2030소비·야간활성</x:v>
      </x:c>
      <x:c r="U1166" s="16" t="n">
        <x:v>56.28113173366955</x:v>
      </x:c>
      <x:c r="V1166" t="str">
        <x:v>편의점</x:v>
      </x:c>
      <x:c r="W1166" t="str">
        <x:v>편의점 / 한식음식점 / 미용실</x:v>
      </x:c>
      <x:c r="X1166" s="16" t="n">
        <x:v>35.86060830224879</x:v>
      </x:c>
    </x:row>
    <x:row r="1167">
      <x:c r="A1167" t="str">
        <x:v>3110490</x:v>
      </x:c>
      <x:c r="B1167" t="str">
        <x:v>녹번동근린공원</x:v>
      </x:c>
      <x:c r="C1167" t="str">
        <x:v>골목상권</x:v>
      </x:c>
      <x:c r="D1167" t="str">
        <x:v>은평구</x:v>
      </x:c>
      <x:c r="E1167" t="str">
        <x:v>녹번동</x:v>
      </x:c>
      <x:c r="F1167" s="12" t="n">
        <x:v>128235</x:v>
      </x:c>
      <x:c r="G1167" s="12" t="n">
        <x:v>1074104499</x:v>
      </x:c>
      <x:c r="H1167" s="12" t="n">
        <x:v>28725</x:v>
      </x:c>
      <x:c r="I1167" s="12" t="n">
        <x:v>37392.6718537859</x:v>
      </x:c>
      <x:c r="J1167" s="12" t="n">
        <x:v>8376.063469411627</x:v>
      </x:c>
      <x:c r="K1167" s="12" t="n">
        <x:v>2101</x:v>
      </x:c>
      <x:c r="L1167" s="12" t="n">
        <x:v>163.8398253207003</x:v>
      </x:c>
      <x:c r="M1167" s="12" t="n">
        <x:v>5</x:v>
      </x:c>
      <x:c r="N1167" s="14" t="n">
        <x:v>0.8459145165539429</x:v>
      </x:c>
      <x:c r="O1167" s="14" t="n">
        <x:v>0.15408548344605713</x:v>
      </x:c>
      <x:c r="P1167" s="14" t="n">
        <x:v>0.3783680818564377</x:v>
      </x:c>
      <x:c r="Q1167" s="14" t="n">
        <x:v>0.14958303419228114</x:v>
      </x:c>
      <x:c r="R1167" s="14" t="n">
        <x:v>0.12196162302826366</x:v>
      </x:c>
      <x:c r="S1167" s="14" t="n">
        <x:v>0.1988551246166971</x:v>
      </x:c>
      <x:c r="T1167" t="str">
        <x:v>평일집중·직장밀집</x:v>
      </x:c>
      <x:c r="U1167" s="16" t="n">
        <x:v>65.90975881503059</x:v>
      </x:c>
      <x:c r="V1167" t="str">
        <x:v>조명용품</x:v>
      </x:c>
      <x:c r="W1167" t="str">
        <x:v>조명용품 / 호프-간이주점 / 미용실</x:v>
      </x:c>
      <x:c r="X1167" s="16" t="n">
        <x:v>50.19191355810029</x:v>
      </x:c>
    </x:row>
    <x:row r="1168">
      <x:c r="A1168" t="str">
        <x:v>3110061</x:v>
      </x:c>
      <x:c r="B1168" t="str">
        <x:v>효창동주민센터</x:v>
      </x:c>
      <x:c r="C1168" t="str">
        <x:v>골목상권</x:v>
      </x:c>
      <x:c r="D1168" t="str">
        <x:v>용산구</x:v>
      </x:c>
      <x:c r="E1168" t="str">
        <x:v>효창동</x:v>
      </x:c>
      <x:c r="F1168" s="12" t="n">
        <x:v>100249</x:v>
      </x:c>
      <x:c r="G1168" s="12" t="n">
        <x:v>1073798087</x:v>
      </x:c>
      <x:c r="H1168" s="12" t="n">
        <x:v>108573</x:v>
      </x:c>
      <x:c r="I1168" s="12" t="n">
        <x:v>9890.102391939065</x:v>
      </x:c>
      <x:c r="J1168" s="12" t="n">
        <x:v>10711.309708825025</x:v>
      </x:c>
      <x:c r="K1168" s="12" t="n">
        <x:v>675</x:v>
      </x:c>
      <x:c r="L1168" s="12" t="n">
        <x:v>67.33234246725654</x:v>
      </x:c>
      <x:c r="M1168" s="12" t="n">
        <x:v>6</x:v>
      </x:c>
      <x:c r="N1168" s="14" t="n">
        <x:v>0.7172868254513849</x:v>
      </x:c>
      <x:c r="O1168" s="14" t="n">
        <x:v>0.2827131745486151</x:v>
      </x:c>
      <x:c r="P1168" s="14" t="n">
        <x:v>0.44296964276487855</x:v>
      </x:c>
      <x:c r="Q1168" s="14" t="n">
        <x:v>0.23155352482947755</x:v>
      </x:c>
      <x:c r="R1168" s="14" t="n">
        <x:v>0.32045681694346323</x:v>
      </x:c>
      <x:c r="S1168" s="14" t="n">
        <x:v>0.4639647183502572</x:v>
      </x:c>
      <x:c r="T1168" t="str">
        <x:v>2030소비·야간활성</x:v>
      </x:c>
      <x:c r="U1168" s="16" t="n">
        <x:v>58.56087636333935</x:v>
      </x:c>
      <x:c r="V1168" t="str">
        <x:v>커피-음료</x:v>
      </x:c>
      <x:c r="W1168" t="str">
        <x:v>커피-음료 / 슈퍼마켓 / 가방</x:v>
      </x:c>
      <x:c r="X1168" s="16" t="n">
        <x:v>55.86682067939665</x:v>
      </x:c>
    </x:row>
    <x:row r="1169">
      <x:c r="A1169" t="str">
        <x:v>3110611</x:v>
      </x:c>
      <x:c r="B1169" t="str">
        <x:v>신정역 1번</x:v>
      </x:c>
      <x:c r="C1169" t="str">
        <x:v>골목상권</x:v>
      </x:c>
      <x:c r="D1169" t="str">
        <x:v>양천구</x:v>
      </x:c>
      <x:c r="E1169" t="str">
        <x:v>신정4동</x:v>
      </x:c>
      <x:c r="F1169" s="12" t="n">
        <x:v>105248</x:v>
      </x:c>
      <x:c r="G1169" s="12" t="n">
        <x:v>1071410923</x:v>
      </x:c>
      <x:c r="H1169" s="12" t="n">
        <x:v>81631</x:v>
      </x:c>
      <x:c r="I1169" s="12" t="n">
        <x:v>13125.049589004177</x:v>
      </x:c>
      <x:c r="J1169" s="12" t="n">
        <x:v>10179.869669732441</x:v>
      </x:c>
      <x:c r="K1169" s="12" t="n">
        <x:v>489</x:v>
      </x:c>
      <x:c r="L1169" s="12" t="n">
        <x:v>46.461690483429614</x:v>
      </x:c>
      <x:c r="M1169" s="12" t="n">
        <x:v>6</x:v>
      </x:c>
      <x:c r="N1169" s="14" t="n">
        <x:v>0.79241805340452</x:v>
      </x:c>
      <x:c r="O1169" s="14" t="n">
        <x:v>0.20758194659548007</x:v>
      </x:c>
      <x:c r="P1169" s="14" t="n">
        <x:v>0.4423835260824572</x:v>
      </x:c>
      <x:c r="Q1169" s="14" t="n">
        <x:v>0.18136239777723454</x:v>
      </x:c>
      <x:c r="R1169" s="14" t="n">
        <x:v>0.28450360497211397</x:v>
      </x:c>
      <x:c r="S1169" s="14" t="n">
        <x:v>0.21544061670911302</x:v>
      </x:c>
      <x:c r="T1169" t="str">
        <x:v>2030소비·평일집중</x:v>
      </x:c>
      <x:c r="U1169" s="16" t="n">
        <x:v>42.103369086508785</x:v>
      </x:c>
      <x:c r="V1169" t="str">
        <x:v>자동차수리</x:v>
      </x:c>
      <x:c r="W1169" t="str">
        <x:v>자동차수리 / 편의점 / 슈퍼마켓</x:v>
      </x:c>
      <x:c r="X1169" s="16" t="n">
        <x:v>34.10170380604703</x:v>
      </x:c>
    </x:row>
    <x:row r="1170">
      <x:c r="A1170" t="str">
        <x:v>3110623</x:v>
      </x:c>
      <x:c r="B1170" t="str">
        <x:v>갈산공원</x:v>
      </x:c>
      <x:c r="C1170" t="str">
        <x:v>골목상권</x:v>
      </x:c>
      <x:c r="D1170" t="str">
        <x:v>양천구</x:v>
      </x:c>
      <x:c r="E1170" t="str">
        <x:v>신정7동</x:v>
      </x:c>
      <x:c r="F1170" s="12" t="n">
        <x:v>156540</x:v>
      </x:c>
      <x:c r="G1170" s="12" t="n">
        <x:v>1070683540</x:v>
      </x:c>
      <x:c r="H1170" s="12" t="n">
        <x:v>58504</x:v>
      </x:c>
      <x:c r="I1170" s="12" t="n">
        <x:v>18301.031382469573</x:v>
      </x:c>
      <x:c r="J1170" s="12" t="n">
        <x:v>6839.68020953111</x:v>
      </x:c>
      <x:c r="K1170" s="12" t="n">
        <x:v>391</x:v>
      </x:c>
      <x:c r="L1170" s="12" t="n">
        <x:v>24.977641497380862</x:v>
      </x:c>
      <x:c r="M1170" s="12" t="n">
        <x:v>3</x:v>
      </x:c>
      <x:c r="N1170" s="14" t="n">
        <x:v>0.7328412389715079</x:v>
      </x:c>
      <x:c r="O1170" s="14" t="n">
        <x:v>0.2671587610284921</x:v>
      </x:c>
      <x:c r="P1170" s="14" t="n">
        <x:v>0.44245753044825925</x:v>
      </x:c>
      <x:c r="Q1170" s="14" t="n">
        <x:v>0.29405931373522376</x:v>
      </x:c>
      <x:c r="R1170" s="14" t="n">
        <x:v>0.07841386073797305</x:v>
      </x:c>
      <x:c r="S1170" s="14" t="n">
        <x:v>0.1114834407559866</x:v>
      </x:c>
      <x:c r="T1170" t="str">
        <x:v>야간활성</x:v>
      </x:c>
      <x:c r="U1170" s="16" t="n">
        <x:v>58.90789239988162</x:v>
      </x:c>
      <x:c r="V1170" t="str">
        <x:v>한식음식점</x:v>
      </x:c>
      <x:c r="W1170" t="str">
        <x:v>한식음식점 / 자동차미용 / 자동차수리</x:v>
      </x:c>
      <x:c r="X1170" s="16" t="n">
        <x:v>51.42232720980252</x:v>
      </x:c>
    </x:row>
    <x:row r="1171">
      <x:c r="A1171" t="str">
        <x:v>3110451</x:v>
      </x:c>
      <x:c r="B1171" t="str">
        <x:v>증산역 4번</x:v>
      </x:c>
      <x:c r="C1171" t="str">
        <x:v>골목상권</x:v>
      </x:c>
      <x:c r="D1171" t="str">
        <x:v>은평구</x:v>
      </x:c>
      <x:c r="E1171" t="str">
        <x:v>증산동</x:v>
      </x:c>
      <x:c r="F1171" s="12" t="n">
        <x:v>178167</x:v>
      </x:c>
      <x:c r="G1171" s="12" t="n">
        <x:v>1070318190</x:v>
      </x:c>
      <x:c r="H1171" s="12" t="n">
        <x:v>58790</x:v>
      </x:c>
      <x:c r="I1171" s="12" t="n">
        <x:v>18205.786528321143</x:v>
      </x:c>
      <x:c r="J1171" s="12" t="n">
        <x:v>6007.387394972133</x:v>
      </x:c>
      <x:c r="K1171" s="12" t="n">
        <x:v>541</x:v>
      </x:c>
      <x:c r="L1171" s="12" t="n">
        <x:v>30.36477013139358</x:v>
      </x:c>
      <x:c r="M1171" s="12" t="n">
        <x:v>12</x:v>
      </x:c>
      <x:c r="N1171" s="14" t="n">
        <x:v>0.8704906323230852</x:v>
      </x:c>
      <x:c r="O1171" s="14" t="n">
        <x:v>0.12950936767691484</x:v>
      </x:c>
      <x:c r="P1171" s="14" t="n">
        <x:v>0.3023032758137092</x:v>
      </x:c>
      <x:c r="Q1171" s="14" t="n">
        <x:v>0.21928631055032335</x:v>
      </x:c>
      <x:c r="R1171" s="14" t="n">
        <x:v>0.1321947326710387</x:v>
      </x:c>
      <x:c r="S1171" s="14" t="n">
        <x:v>0.5102309155373693</x:v>
      </x:c>
      <x:c r="T1171" t="str">
        <x:v>평일집중·여성소비</x:v>
      </x:c>
      <x:c r="U1171" s="16" t="n">
        <x:v>63.33030780728162</x:v>
      </x:c>
      <x:c r="V1171" t="str">
        <x:v>화장품</x:v>
      </x:c>
      <x:c r="W1171" t="str">
        <x:v>화장품 / 미용실 / 당구장</x:v>
      </x:c>
      <x:c r="X1171" s="16" t="n">
        <x:v>54.913152501662374</x:v>
      </x:c>
    </x:row>
    <x:row r="1172">
      <x:c r="A1172" t="str">
        <x:v>3110499</x:v>
      </x:c>
      <x:c r="B1172" t="str">
        <x:v>연가초등학교</x:v>
      </x:c>
      <x:c r="C1172" t="str">
        <x:v>골목상권</x:v>
      </x:c>
      <x:c r="D1172" t="str">
        <x:v>서대문구</x:v>
      </x:c>
      <x:c r="E1172" t="str">
        <x:v>북가좌2동</x:v>
      </x:c>
      <x:c r="F1172" s="12" t="n">
        <x:v>122136</x:v>
      </x:c>
      <x:c r="G1172" s="12" t="n">
        <x:v>1065469745</x:v>
      </x:c>
      <x:c r="H1172" s="12" t="n">
        <x:v>114850</x:v>
      </x:c>
      <x:c r="I1172" s="12" t="n">
        <x:v>9277.05481062255</x:v>
      </x:c>
      <x:c r="J1172" s="12" t="n">
        <x:v>8723.633858976878</x:v>
      </x:c>
      <x:c r="K1172" s="12" t="n">
        <x:v>129</x:v>
      </x:c>
      <x:c r="L1172" s="12" t="n">
        <x:v>10.561996462959325</x:v>
      </x:c>
      <x:c r="M1172" s="12" t="n">
        <x:v>9</x:v>
      </x:c>
      <x:c r="N1172" s="14" t="n">
        <x:v>0.7255817395359265</x:v>
      </x:c>
      <x:c r="O1172" s="14" t="n">
        <x:v>0.2744182604640735</x:v>
      </x:c>
      <x:c r="P1172" s="14" t="n">
        <x:v>0.5034275806677176</x:v>
      </x:c>
      <x:c r="Q1172" s="14" t="n">
        <x:v>0.13025120952636718</x:v>
      </x:c>
      <x:c r="R1172" s="14" t="n">
        <x:v>0.33409338526078936</x:v>
      </x:c>
      <x:c r="S1172" s="14" t="n">
        <x:v>0.4086168753670241</x:v>
      </x:c>
      <x:c r="T1172" t="str">
        <x:v>2030소비·야간활성</x:v>
      </x:c>
      <x:c r="U1172" s="16" t="n">
        <x:v>62.01309700000596</x:v>
      </x:c>
      <x:c r="V1172" t="str">
        <x:v>편의점</x:v>
      </x:c>
      <x:c r="W1172" t="str">
        <x:v>편의점 / 일반의류 / 세탁소</x:v>
      </x:c>
      <x:c r="X1172" s="16" t="n">
        <x:v>46.430904417847565</x:v>
      </x:c>
    </x:row>
    <x:row r="1173">
      <x:c r="A1173" t="str">
        <x:v>3111022</x:v>
      </x:c>
      <x:c r="B1173" t="str">
        <x:v>석촌중학교(방이육교)</x:v>
      </x:c>
      <x:c r="C1173" t="str">
        <x:v>골목상권</x:v>
      </x:c>
      <x:c r="D1173" t="str">
        <x:v>송파구</x:v>
      </x:c>
      <x:c r="E1173" t="str">
        <x:v>가락본동</x:v>
      </x:c>
      <x:c r="F1173" s="12" t="n">
        <x:v>80535</x:v>
      </x:c>
      <x:c r="G1173" s="12" t="n">
        <x:v>1059329592</x:v>
      </x:c>
      <x:c r="H1173" s="12" t="n">
        <x:v>7076</x:v>
      </x:c>
      <x:c r="I1173" s="12" t="n">
        <x:v>149707.4041831543</x:v>
      </x:c>
      <x:c r="J1173" s="12" t="n">
        <x:v>13153.654833302291</x:v>
      </x:c>
      <x:c r="K1173" s="12" t="n">
        <x:v>888</x:v>
      </x:c>
      <x:c r="L1173" s="12" t="n">
        <x:v>110.262618737195</x:v>
      </x:c>
      <x:c r="M1173" s="12" t="n">
        <x:v>5</x:v>
      </x:c>
      <x:c r="N1173" s="14" t="n">
        <x:v>0.9175155620499271</x:v>
      </x:c>
      <x:c r="O1173" s="14" t="n">
        <x:v>0.08248443795007286</x:v>
      </x:c>
      <x:c r="P1173" s="14" t="n">
        <x:v>0.21717571730026777</x:v>
      </x:c>
      <x:c r="Q1173" s="14" t="n">
        <x:v>0.27872441611165716</x:v>
      </x:c>
      <x:c r="R1173" s="14" t="n">
        <x:v>0.05162031950486662</x:v>
      </x:c>
      <x:c r="S1173" s="14" t="n">
        <x:v>0.672494561069526</x:v>
      </x:c>
      <x:c r="T1173" t="str">
        <x:v>여성소비·평일집중</x:v>
      </x:c>
      <x:c r="U1173" s="16" t="n">
        <x:v>64.5101985179954</x:v>
      </x:c>
      <x:c r="V1173" t="str">
        <x:v>가전제품</x:v>
      </x:c>
      <x:c r="W1173" t="str">
        <x:v>가전제품 / 예술학원 / 일반교습학원</x:v>
      </x:c>
      <x:c r="X1173" s="16" t="n">
        <x:v>57.023289697320216</x:v>
      </x:c>
    </x:row>
    <x:row r="1174">
      <x:c r="A1174" t="str">
        <x:v>3110470</x:v>
      </x:c>
      <x:c r="B1174" t="str">
        <x:v>신진과학기술고등학교</x:v>
      </x:c>
      <x:c r="C1174" t="str">
        <x:v>골목상권</x:v>
      </x:c>
      <x:c r="D1174" t="str">
        <x:v>은평구</x:v>
      </x:c>
      <x:c r="E1174" t="str">
        <x:v>응암1동</x:v>
      </x:c>
      <x:c r="F1174" s="12" t="n">
        <x:v>34929</x:v>
      </x:c>
      <x:c r="G1174" s="12" t="n">
        <x:v>1057058034</x:v>
      </x:c>
      <x:c r="H1174" s="12" t="n">
        <x:v>33733</x:v>
      </x:c>
      <x:c r="I1174" s="12" t="n">
        <x:v>31336.022114843032</x:v>
      </x:c>
      <x:c r="J1174" s="12" t="n">
        <x:v>30263.048870566006</x:v>
      </x:c>
      <x:c r="K1174" s="12" t="n">
        <x:v>93</x:v>
      </x:c>
      <x:c r="L1174" s="12" t="n">
        <x:v>26.625440178648113</x:v>
      </x:c>
      <x:c r="M1174" s="12" t="n">
        <x:v>7</x:v>
      </x:c>
      <x:c r="N1174" s="14" t="n">
        <x:v>0.7611075940226003</x:v>
      </x:c>
      <x:c r="O1174" s="14" t="n">
        <x:v>0.23889240597739972</x:v>
      </x:c>
      <x:c r="P1174" s="14" t="n">
        <x:v>0.4989029221076806</x:v>
      </x:c>
      <x:c r="Q1174" s="14" t="n">
        <x:v>0.19925068939024781</x:v>
      </x:c>
      <x:c r="R1174" s="14" t="n">
        <x:v>0.19047567921895195</x:v>
      </x:c>
      <x:c r="S1174" s="14" t="n">
        <x:v>0.4363525881872253</x:v>
      </x:c>
      <x:c r="T1174" t="str">
        <x:v>야간활성</x:v>
      </x:c>
      <x:c r="U1174" s="16" t="n">
        <x:v>61.77161889299634</x:v>
      </x:c>
      <x:c r="V1174" t="str">
        <x:v>예술학원</x:v>
      </x:c>
      <x:c r="W1174" t="str">
        <x:v>예술학원 / 스포츠 강습 / 한식음식점</x:v>
      </x:c>
      <x:c r="X1174" s="16" t="n">
        <x:v>50.174571476357535</x:v>
      </x:c>
    </x:row>
    <x:row r="1175">
      <x:c r="A1175" t="str">
        <x:v>3110461</x:v>
      </x:c>
      <x:c r="B1175" t="str">
        <x:v>새절역 2번</x:v>
      </x:c>
      <x:c r="C1175" t="str">
        <x:v>골목상권</x:v>
      </x:c>
      <x:c r="D1175" t="str">
        <x:v>은평구</x:v>
      </x:c>
      <x:c r="E1175" t="str">
        <x:v>응암3동</x:v>
      </x:c>
      <x:c r="F1175" s="12" t="n">
        <x:v>33922</x:v>
      </x:c>
      <x:c r="G1175" s="12" t="n">
        <x:v>1055619583</x:v>
      </x:c>
      <x:c r="H1175" s="12" t="n">
        <x:v>25404</x:v>
      </x:c>
      <x:c r="I1175" s="12" t="n">
        <x:v>41553.28227838136</x:v>
      </x:c>
      <x:c r="J1175" s="12" t="n">
        <x:v>31119.025499675725</x:v>
      </x:c>
      <x:c r="K1175" s="12" t="n">
        <x:v>82</x:v>
      </x:c>
      <x:c r="L1175" s="12" t="n">
        <x:v>24.1731030010023</x:v>
      </x:c>
      <x:c r="M1175" s="12" t="n">
        <x:v>5</x:v>
      </x:c>
      <x:c r="N1175" s="14" t="n">
        <x:v>0.6286107274688556</x:v>
      </x:c>
      <x:c r="O1175" s="14" t="n">
        <x:v>0.3713892725311444</x:v>
      </x:c>
      <x:c r="P1175" s="14" t="n">
        <x:v>0.7526266884345968</x:v>
      </x:c>
      <x:c r="Q1175" s="14" t="n">
        <x:v>0.09758980380719216</x:v>
      </x:c>
      <x:c r="R1175" s="14" t="n">
        <x:v>0.23561481143913185</x:v>
      </x:c>
      <x:c r="S1175" s="14" t="n">
        <x:v>0.3226100675701466</x:v>
      </x:c>
      <x:c r="T1175" t="str">
        <x:v>야간활성·2030소비</x:v>
      </x:c>
      <x:c r="U1175" s="16" t="n">
        <x:v>53.32044353775245</x:v>
      </x:c>
      <x:c r="V1175" t="str">
        <x:v>일식음식점</x:v>
      </x:c>
      <x:c r="W1175" t="str">
        <x:v>일식음식점 / 한식음식점 / 커피-음료</x:v>
      </x:c>
      <x:c r="X1175" s="16" t="n">
        <x:v>40.986950900508454</x:v>
      </x:c>
    </x:row>
    <x:row r="1176">
      <x:c r="A1176" t="str">
        <x:v>3110765</x:v>
      </x:c>
      <x:c r="B1176" t="str">
        <x:v>문래동사거리</x:v>
      </x:c>
      <x:c r="C1176" t="str">
        <x:v>골목상권</x:v>
      </x:c>
      <x:c r="D1176" t="str">
        <x:v>영등포구</x:v>
      </x:c>
      <x:c r="E1176" t="str">
        <x:v>문래동</x:v>
      </x:c>
      <x:c r="F1176" s="12" t="n">
        <x:v>81024</x:v>
      </x:c>
      <x:c r="G1176" s="12" t="n">
        <x:v>1055156701</x:v>
      </x:c>
      <x:c r="H1176" s="12" t="n">
        <x:v>31041</x:v>
      </x:c>
      <x:c r="I1176" s="12" t="n">
        <x:v>33992.35530427499</x:v>
      </x:c>
      <x:c r="J1176" s="12" t="n">
        <x:v>13022.767340541075</x:v>
      </x:c>
      <x:c r="K1176" s="12" t="n">
        <x:v>2977</x:v>
      </x:c>
      <x:c r="L1176" s="12" t="n">
        <x:v>367.42199842022114</x:v>
      </x:c>
      <x:c r="M1176" s="12" t="n">
        <x:v>3</x:v>
      </x:c>
      <x:c r="N1176" s="14" t="n">
        <x:v>0.8178728990510387</x:v>
      </x:c>
      <x:c r="O1176" s="14" t="n">
        <x:v>0.1821271009489613</x:v>
      </x:c>
      <x:c r="P1176" s="14" t="n">
        <x:v>0.44037622900904083</x:v>
      </x:c>
      <x:c r="Q1176" s="14" t="n">
        <x:v>0.3577559727784925</x:v>
      </x:c>
      <x:c r="R1176" s="14" t="n">
        <x:v>0.2558727255810699</x:v>
      </x:c>
      <x:c r="S1176" s="14" t="n">
        <x:v>0.18229591568503908</x:v>
      </x:c>
      <x:c r="T1176" t="str">
        <x:v>직장밀집·평일집중</x:v>
      </x:c>
      <x:c r="U1176" s="16" t="n">
        <x:v>46.63882973415187</x:v>
      </x:c>
      <x:c r="V1176" t="str">
        <x:v>커피-음료</x:v>
      </x:c>
      <x:c r="W1176" t="str">
        <x:v>커피-음료 / 한식음식점 / 문구</x:v>
      </x:c>
      <x:c r="X1176" s="16" t="n">
        <x:v>41.673392263047894</x:v>
      </x:c>
    </x:row>
    <x:row r="1177">
      <x:c r="A1177" t="str">
        <x:v>3111074</x:v>
      </x:c>
      <x:c r="B1177" t="str">
        <x:v>명일역 1번</x:v>
      </x:c>
      <x:c r="C1177" t="str">
        <x:v>골목상권</x:v>
      </x:c>
      <x:c r="D1177" t="str">
        <x:v>강동구</x:v>
      </x:c>
      <x:c r="E1177" t="str">
        <x:v>암사1동</x:v>
      </x:c>
      <x:c r="F1177" s="12" t="n">
        <x:v>49436</x:v>
      </x:c>
      <x:c r="G1177" s="12" t="n">
        <x:v>1053389724</x:v>
      </x:c>
      <x:c r="H1177" s="12" t="n">
        <x:v>46286</x:v>
      </x:c>
      <x:c r="I1177" s="12" t="n">
        <x:v>22758.279479756296</x:v>
      </x:c>
      <x:c r="J1177" s="12" t="n">
        <x:v>21308.15041670038</x:v>
      </x:c>
      <x:c r="K1177" s="12" t="n">
        <x:v>226</x:v>
      </x:c>
      <x:c r="L1177" s="12" t="n">
        <x:v>45.7156727890606</x:v>
      </x:c>
      <x:c r="M1177" s="12" t="n">
        <x:v>7</x:v>
      </x:c>
      <x:c r="N1177" s="14" t="n">
        <x:v>0.7005652079059013</x:v>
      </x:c>
      <x:c r="O1177" s="14" t="n">
        <x:v>0.2994347920940987</x:v>
      </x:c>
      <x:c r="P1177" s="14" t="n">
        <x:v>0.5855938091532019</x:v>
      </x:c>
      <x:c r="Q1177" s="14" t="n">
        <x:v>0.15732449465208567</x:v>
      </x:c>
      <x:c r="R1177" s="14" t="n">
        <x:v>0.2637612658161833</x:v>
      </x:c>
      <x:c r="S1177" s="14" t="n">
        <x:v>0.3160039018949078</x:v>
      </x:c>
      <x:c r="T1177" t="str">
        <x:v>야간활성·2030소비</x:v>
      </x:c>
      <x:c r="U1177" s="16" t="n">
        <x:v>52.64322273983793</x:v>
      </x:c>
      <x:c r="V1177" t="str">
        <x:v>슈퍼마켓</x:v>
      </x:c>
      <x:c r="W1177" t="str">
        <x:v>슈퍼마켓 / 자동차수리 / 호프-간이주점</x:v>
      </x:c>
      <x:c r="X1177" s="16" t="n">
        <x:v>41.12536325141311</x:v>
      </x:c>
    </x:row>
    <x:row r="1178">
      <x:c r="A1178" t="str">
        <x:v>3110751</x:v>
      </x:c>
      <x:c r="B1178" t="str">
        <x:v>난곡중학교</x:v>
      </x:c>
      <x:c r="C1178" t="str">
        <x:v>골목상권</x:v>
      </x:c>
      <x:c r="D1178" t="str">
        <x:v>금천구</x:v>
      </x:c>
      <x:c r="E1178" t="str">
        <x:v>독산3동</x:v>
      </x:c>
      <x:c r="F1178" s="12" t="n">
        <x:v>142894</x:v>
      </x:c>
      <x:c r="G1178" s="12" t="n">
        <x:v>1052876801</x:v>
      </x:c>
      <x:c r="H1178" s="12" t="n">
        <x:v>74446</x:v>
      </x:c>
      <x:c r="I1178" s="12" t="n">
        <x:v>14142.82568573194</x:v>
      </x:c>
      <x:c r="J1178" s="12" t="n">
        <x:v>7368.236601956695</x:v>
      </x:c>
      <x:c r="K1178" s="12" t="n">
        <x:v>373</x:v>
      </x:c>
      <x:c r="L1178" s="12" t="n">
        <x:v>26.103265357537754</x:v>
      </x:c>
      <x:c r="M1178" s="12" t="n">
        <x:v>8</x:v>
      </x:c>
      <x:c r="N1178" s="14" t="n">
        <x:v>0.691994968744686</x:v>
      </x:c>
      <x:c r="O1178" s="14" t="n">
        <x:v>0.308005031255314</x:v>
      </x:c>
      <x:c r="P1178" s="14" t="n">
        <x:v>0.4643590803175081</x:v>
      </x:c>
      <x:c r="Q1178" s="14" t="n">
        <x:v>0.21025804138693335</x:v>
      </x:c>
      <x:c r="R1178" s="14" t="n">
        <x:v>0.1865218369456694</x:v>
      </x:c>
      <x:c r="S1178" s="14" t="n">
        <x:v>0.4090762609556253</x:v>
      </x:c>
      <x:c r="T1178" t="str">
        <x:v>야간활성</x:v>
      </x:c>
      <x:c r="U1178" s="16" t="n">
        <x:v>57.75677478867291</x:v>
      </x:c>
      <x:c r="V1178" t="str">
        <x:v>일반교습학원</x:v>
      </x:c>
      <x:c r="W1178" t="str">
        <x:v>일반교습학원 / 슈퍼마켓 / 예술학원</x:v>
      </x:c>
      <x:c r="X1178" s="16" t="n">
        <x:v>46.97724357913858</x:v>
      </x:c>
    </x:row>
    <x:row r="1179">
      <x:c r="A1179" t="str">
        <x:v>3110071</x:v>
      </x:c>
      <x:c r="B1179" t="str">
        <x:v>한강미주맨션아파트</x:v>
      </x:c>
      <x:c r="C1179" t="str">
        <x:v>골목상권</x:v>
      </x:c>
      <x:c r="D1179" t="str">
        <x:v>용산구</x:v>
      </x:c>
      <x:c r="E1179" t="str">
        <x:v>이촌1동</x:v>
      </x:c>
      <x:c r="F1179" s="12" t="n">
        <x:v>27783</x:v>
      </x:c>
      <x:c r="G1179" s="12" t="n">
        <x:v>1049809959</x:v>
      </x:c>
      <x:c r="H1179" s="12" t="n">
        <x:v>12620</x:v>
      </x:c>
      <x:c r="I1179" s="12" t="n">
        <x:v>83186.2091125198</x:v>
      </x:c>
      <x:c r="J1179" s="12" t="n">
        <x:v>37786.05474570781</x:v>
      </x:c>
      <x:c r="K1179" s="12" t="n">
        <x:v>2205</x:v>
      </x:c>
      <x:c r="L1179" s="12" t="n">
        <x:v>793.6507936507936</x:v>
      </x:c>
      <x:c r="M1179" s="12" t="n">
        <x:v>2</x:v>
      </x:c>
      <x:c r="N1179" s="14" t="n">
        <x:v>0.7363534317547848</x:v>
      </x:c>
      <x:c r="O1179" s="14" t="n">
        <x:v>0.26364656824521515</x:v>
      </x:c>
      <x:c r="P1179" s="14" t="n">
        <x:v>0.3351167846941715</x:v>
      </x:c>
      <x:c r="Q1179" s="14" t="n">
        <x:v>0.2902256607378974</x:v>
      </x:c>
      <x:c r="R1179" s="14" t="n">
        <x:v>0.2371537161232055</x:v>
      </x:c>
      <x:c r="S1179" s="14" t="n">
        <x:v>0.2529169834251877</x:v>
      </x:c>
      <x:c r="T1179" t="str">
        <x:v>직장밀집·2030소비</x:v>
      </x:c>
      <x:c r="U1179" s="16" t="n">
        <x:v>68.2225741832008</x:v>
      </x:c>
      <x:c r="V1179" t="str">
        <x:v>양식음식점</x:v>
      </x:c>
      <x:c r="W1179" t="str">
        <x:v>양식음식점 / 한식음식점</x:v>
      </x:c>
      <x:c r="X1179" s="16" t="n">
        <x:v>56.12392742865441</x:v>
      </x:c>
    </x:row>
    <x:row r="1180">
      <x:c r="A1180" t="str">
        <x:v>3110879</x:v>
      </x:c>
      <x:c r="B1180" t="str">
        <x:v>신림현대아파트</x:v>
      </x:c>
      <x:c r="C1180" t="str">
        <x:v>골목상권</x:v>
      </x:c>
      <x:c r="D1180" t="str">
        <x:v>관악구</x:v>
      </x:c>
      <x:c r="E1180" t="str">
        <x:v>삼성동</x:v>
      </x:c>
      <x:c r="F1180" s="12" t="n">
        <x:v>51568</x:v>
      </x:c>
      <x:c r="G1180" s="12" t="n">
        <x:v>1043090499</x:v>
      </x:c>
      <x:c r="H1180" s="12" t="n">
        <x:v>54970</x:v>
      </x:c>
      <x:c r="I1180" s="12" t="n">
        <x:v>18975.63214480626</x:v>
      </x:c>
      <x:c r="J1180" s="12" t="n">
        <x:v>20227.476322525596</x:v>
      </x:c>
      <x:c r="K1180" s="12" t="n">
        <x:v>468</x:v>
      </x:c>
      <x:c r="L1180" s="12" t="n">
        <x:v>90.75395594166926</x:v>
      </x:c>
      <x:c r="M1180" s="12" t="n">
        <x:v>6</x:v>
      </x:c>
      <x:c r="N1180" s="14" t="n">
        <x:v>0.8094241399086888</x:v>
      </x:c>
      <x:c r="O1180" s="14" t="n">
        <x:v>0.19057586009131122</x:v>
      </x:c>
      <x:c r="P1180" s="14" t="n">
        <x:v>0.5336333515966576</x:v>
      </x:c>
      <x:c r="Q1180" s="14" t="n">
        <x:v>0.16387893396007244</x:v>
      </x:c>
      <x:c r="R1180" s="14" t="n">
        <x:v>0.1530739175105841</x:v>
      </x:c>
      <x:c r="S1180" s="14" t="n">
        <x:v>0.525711965093836</x:v>
      </x:c>
      <x:c r="T1180" t="str">
        <x:v>야간활성·여성소비</x:v>
      </x:c>
      <x:c r="U1180" s="16" t="n">
        <x:v>72.75270277371229</x:v>
      </x:c>
      <x:c r="V1180" t="str">
        <x:v>일반의류</x:v>
      </x:c>
      <x:c r="W1180" t="str">
        <x:v>일반의류 / 일반교습학원 / 한식음식점</x:v>
      </x:c>
      <x:c r="X1180" s="16" t="n">
        <x:v>54.2579329183532</x:v>
      </x:c>
    </x:row>
    <x:row r="1181">
      <x:c r="A1181" t="str">
        <x:v>3130166</x:v>
      </x:c>
      <x:c r="B1181" t="str">
        <x:v>응암시장(신응암시장)</x:v>
      </x:c>
      <x:c r="C1181" t="str">
        <x:v>전통시장</x:v>
      </x:c>
      <x:c r="D1181" t="str">
        <x:v>은평구</x:v>
      </x:c>
      <x:c r="E1181" t="str">
        <x:v>응암2동</x:v>
      </x:c>
      <x:c r="F1181" s="12" t="n">
        <x:v>8255</x:v>
      </x:c>
      <x:c r="G1181" s="12" t="n">
        <x:v>1038607404</x:v>
      </x:c>
      <x:c r="H1181" s="12" t="n">
        <x:v>18719</x:v>
      </x:c>
      <x:c r="I1181" s="12" t="n">
        <x:v>55484.12863935039</x:v>
      </x:c>
      <x:c r="J1181" s="12" t="n">
        <x:v>125815.55469412477</x:v>
      </x:c>
      <x:c r="K1181" s="12" t="n">
        <x:v>76</x:v>
      </x:c>
      <x:c r="L1181" s="12" t="n">
        <x:v>92.06541490006057</x:v>
      </x:c>
      <x:c r="M1181" s="12" t="n">
        <x:v>5</x:v>
      </x:c>
      <x:c r="N1181" s="14" t="n">
        <x:v>0.7033278996343454</x:v>
      </x:c>
      <x:c r="O1181" s="14" t="n">
        <x:v>0.2966721003656546</x:v>
      </x:c>
      <x:c r="P1181" s="14" t="n">
        <x:v>0.3491802307621524</x:v>
      </x:c>
      <x:c r="Q1181" s="14" t="n">
        <x:v>0.12859856716369028</x:v>
      </x:c>
      <x:c r="R1181" s="14" t="n">
        <x:v>0.11923227633759484</x:v>
      </x:c>
      <x:c r="S1181" s="14" t="n">
        <x:v>0.278503689542348</x:v>
      </x:c>
      <x:c r="T1181" t="str">
        <x:v>고매출밀도·직장밀집</x:v>
      </x:c>
      <x:c r="U1181" s="16" t="n">
        <x:v>73.52814216742068</x:v>
      </x:c>
      <x:c r="V1181" t="str">
        <x:v>일반의류</x:v>
      </x:c>
      <x:c r="W1181" t="str">
        <x:v>일반의류 / 노래방 / 반찬가게</x:v>
      </x:c>
      <x:c r="X1181" s="16" t="n">
        <x:v>59.55762056522538</x:v>
      </x:c>
    </x:row>
    <x:row r="1182">
      <x:c r="A1182" t="str">
        <x:v>3110289</x:v>
      </x:c>
      <x:c r="B1182" t="str">
        <x:v>북한산보국문역 2번</x:v>
      </x:c>
      <x:c r="C1182" t="str">
        <x:v>골목상권</x:v>
      </x:c>
      <x:c r="D1182" t="str">
        <x:v>성북구</x:v>
      </x:c>
      <x:c r="E1182" t="str">
        <x:v>정릉3동</x:v>
      </x:c>
      <x:c r="F1182" s="12" t="n">
        <x:v>162270</x:v>
      </x:c>
      <x:c r="G1182" s="12" t="n">
        <x:v>1025747707</x:v>
      </x:c>
      <x:c r="H1182" s="12" t="n">
        <x:v>48838</x:v>
      </x:c>
      <x:c r="I1182" s="12" t="n">
        <x:v>21003.065379417665</x:v>
      </x:c>
      <x:c r="J1182" s="12" t="n">
        <x:v>6321.240568188821</x:v>
      </x:c>
      <x:c r="K1182" s="12" t="n">
        <x:v>98</x:v>
      </x:c>
      <x:c r="L1182" s="12" t="n">
        <x:v>6.03931718740371</x:v>
      </x:c>
      <x:c r="M1182" s="12" t="n">
        <x:v>6</x:v>
      </x:c>
      <x:c r="N1182" s="14" t="n">
        <x:v>0.7645095754525533</x:v>
      </x:c>
      <x:c r="O1182" s="14" t="n">
        <x:v>0.23549042454744673</x:v>
      </x:c>
      <x:c r="P1182" s="14" t="n">
        <x:v>0.36454378444932756</x:v>
      </x:c>
      <x:c r="Q1182" s="14" t="n">
        <x:v>0.29876657477139257</x:v>
      </x:c>
      <x:c r="R1182" s="14" t="n">
        <x:v>0.12964871292663782</x:v>
      </x:c>
      <x:c r="S1182" s="14" t="n">
        <x:v>0.3120150099443508</x:v>
      </x:c>
      <x:c r="T1182" t="str">
        <x:v>균형형</x:v>
      </x:c>
      <x:c r="U1182" s="16" t="n">
        <x:v>53.55126439046915</x:v>
      </x:c>
      <x:c r="V1182" t="str">
        <x:v>일반의류</x:v>
      </x:c>
      <x:c r="W1182" t="str">
        <x:v>일반의류 / 자동차수리 / 슈퍼마켓</x:v>
      </x:c>
      <x:c r="X1182" s="16" t="n">
        <x:v>49.05493227000361</x:v>
      </x:c>
    </x:row>
    <x:row r="1183">
      <x:c r="A1183" t="str">
        <x:v>3110594</x:v>
      </x:c>
      <x:c r="B1183" t="str">
        <x:v>신월중학교</x:v>
      </x:c>
      <x:c r="C1183" t="str">
        <x:v>골목상권</x:v>
      </x:c>
      <x:c r="D1183" t="str">
        <x:v>양천구</x:v>
      </x:c>
      <x:c r="E1183" t="str">
        <x:v>신월5동</x:v>
      </x:c>
      <x:c r="F1183" s="12" t="n">
        <x:v>77868</x:v>
      </x:c>
      <x:c r="G1183" s="12" t="n">
        <x:v>1024606306</x:v>
      </x:c>
      <x:c r="H1183" s="12" t="n">
        <x:v>34572</x:v>
      </x:c>
      <x:c r="I1183" s="12" t="n">
        <x:v>29636.882621774846</x:v>
      </x:c>
      <x:c r="J1183" s="12" t="n">
        <x:v>13158.246083115015</x:v>
      </x:c>
      <x:c r="K1183" s="12" t="n">
        <x:v>160</x:v>
      </x:c>
      <x:c r="L1183" s="12" t="n">
        <x:v>20.547593363127344</x:v>
      </x:c>
      <x:c r="M1183" s="12" t="n">
        <x:v>9</x:v>
      </x:c>
      <x:c r="N1183" s="14" t="n">
        <x:v>0.857382539865024</x:v>
      </x:c>
      <x:c r="O1183" s="14" t="n">
        <x:v>0.14261746013497598</x:v>
      </x:c>
      <x:c r="P1183" s="14" t="n">
        <x:v>0.2642940321704403</x:v>
      </x:c>
      <x:c r="Q1183" s="14" t="n">
        <x:v>0.47644671532989763</x:v>
      </x:c>
      <x:c r="R1183" s="14" t="n">
        <x:v>0.1760176683901846</x:v>
      </x:c>
      <x:c r="S1183" s="14" t="n">
        <x:v>0.6051311917262395</x:v>
      </x:c>
      <x:c r="T1183" t="str">
        <x:v>여성소비·평일집중</x:v>
      </x:c>
      <x:c r="U1183" s="16" t="n">
        <x:v>56.020597233120114</x:v>
      </x:c>
      <x:c r="V1183" t="str">
        <x:v>반찬가게</x:v>
      </x:c>
      <x:c r="W1183" t="str">
        <x:v>반찬가게 / 서적 / 미용실</x:v>
      </x:c>
      <x:c r="X1183" s="16" t="n">
        <x:v>53.042811714265476</x:v>
      </x:c>
    </x:row>
    <x:row r="1184">
      <x:c r="A1184" t="str">
        <x:v>3110482</x:v>
      </x:c>
      <x:c r="B1184" t="str">
        <x:v>연신초등학교</x:v>
      </x:c>
      <x:c r="C1184" t="str">
        <x:v>골목상권</x:v>
      </x:c>
      <x:c r="D1184" t="str">
        <x:v>은평구</x:v>
      </x:c>
      <x:c r="E1184" t="str">
        <x:v>불광2동</x:v>
      </x:c>
      <x:c r="F1184" s="12" t="n">
        <x:v>35348</x:v>
      </x:c>
      <x:c r="G1184" s="12" t="n">
        <x:v>1023845804</x:v>
      </x:c>
      <x:c r="H1184" s="12" t="n">
        <x:v>53121</x:v>
      </x:c>
      <x:c r="I1184" s="12" t="n">
        <x:v>19273.842811694056</x:v>
      </x:c>
      <x:c r="J1184" s="12" t="n">
        <x:v>28964.744936064275</x:v>
      </x:c>
      <x:c r="K1184" s="12" t="n">
        <x:v>341</x:v>
      </x:c>
      <x:c r="L1184" s="12" t="n">
        <x:v>96.46939006450152</x:v>
      </x:c>
      <x:c r="M1184" s="12" t="n">
        <x:v>7</x:v>
      </x:c>
      <x:c r="N1184" s="14" t="n">
        <x:v>0.7560305907157872</x:v>
      </x:c>
      <x:c r="O1184" s="14" t="n">
        <x:v>0.24396940928421287</x:v>
      </x:c>
      <x:c r="P1184" s="14" t="n">
        <x:v>0.4724681842813901</x:v>
      </x:c>
      <x:c r="Q1184" s="14" t="n">
        <x:v>0.1804713017117566</x:v>
      </x:c>
      <x:c r="R1184" s="14" t="n">
        <x:v>0.16937019258419503</x:v>
      </x:c>
      <x:c r="S1184" s="14" t="n">
        <x:v>0.42973818252811824</x:v>
      </x:c>
      <x:c r="T1184" t="str">
        <x:v>야간활성·직장밀집</x:v>
      </x:c>
      <x:c r="U1184" s="16" t="n">
        <x:v>57.5810363366315</x:v>
      </x:c>
      <x:c r="V1184" t="str">
        <x:v>슈퍼마켓</x:v>
      </x:c>
      <x:c r="W1184" t="str">
        <x:v>슈퍼마켓 / 커피-음료 / 일반교습학원</x:v>
      </x:c>
      <x:c r="X1184" s="16" t="n">
        <x:v>52.02026769959251</x:v>
      </x:c>
    </x:row>
    <x:row r="1185">
      <x:c r="A1185" t="str">
        <x:v>3130249</x:v>
      </x:c>
      <x:c r="B1185" t="str">
        <x:v>동남상가</x:v>
      </x:c>
      <x:c r="C1185" t="str">
        <x:v>전통시장</x:v>
      </x:c>
      <x:c r="D1185" t="str">
        <x:v>영등포구</x:v>
      </x:c>
      <x:c r="E1185" t="str">
        <x:v>영등포동</x:v>
      </x:c>
      <x:c r="F1185" s="12" t="n">
        <x:v>1854</x:v>
      </x:c>
      <x:c r="G1185" s="12" t="n">
        <x:v>1022421928</x:v>
      </x:c>
      <x:c r="H1185" s="12" t="n">
        <x:v>15522</x:v>
      </x:c>
      <x:c r="I1185" s="12" t="n">
        <x:v>65869.21324571576</x:v>
      </x:c>
      <x:c r="J1185" s="12" t="n">
        <x:v>551468.1380798274</x:v>
      </x:c>
      <x:c r="K1185" s="12"/>
      <x:c r="L1185" s="12"/>
      <x:c r="M1185" s="12" t="n">
        <x:v>5</x:v>
      </x:c>
      <x:c r="N1185" s="14" t="n">
        <x:v>0.7527455964344302</x:v>
      </x:c>
      <x:c r="O1185" s="14" t="n">
        <x:v>0.24725440356556985</x:v>
      </x:c>
      <x:c r="P1185" s="14" t="n">
        <x:v>0.2772819109568237</x:v>
      </x:c>
      <x:c r="Q1185" s="14" t="n">
        <x:v>0.2563227536723958</x:v>
      </x:c>
      <x:c r="R1185" s="14" t="n">
        <x:v>0.0732964082124029</x:v>
      </x:c>
      <x:c r="S1185" s="14" t="n">
        <x:v>0.4294344105655762</x:v>
      </x:c>
      <x:c r="T1185" t="str">
        <x:v>고매출밀도</x:v>
      </x:c>
      <x:c r="U1185" s="16" t="n">
        <x:v>59.61229100056303</x:v>
      </x:c>
      <x:c r="V1185" t="str">
        <x:v>일반의류</x:v>
      </x:c>
      <x:c r="W1185" t="str">
        <x:v>일반의류 / 시계및귀금속 / 신발</x:v>
      </x:c>
      <x:c r="X1185" s="16" t="n">
        <x:v>38.5014321553607</x:v>
      </x:c>
    </x:row>
    <x:row r="1186">
      <x:c r="A1186" t="str">
        <x:v>3110094</x:v>
      </x:c>
      <x:c r="B1186" t="str">
        <x:v>오산중학교</x:v>
      </x:c>
      <x:c r="C1186" t="str">
        <x:v>골목상권</x:v>
      </x:c>
      <x:c r="D1186" t="str">
        <x:v>용산구</x:v>
      </x:c>
      <x:c r="E1186" t="str">
        <x:v>보광동</x:v>
      </x:c>
      <x:c r="F1186" s="12" t="n">
        <x:v>21603</x:v>
      </x:c>
      <x:c r="G1186" s="12" t="n">
        <x:v>1010973943</x:v>
      </x:c>
      <x:c r="H1186" s="12" t="n">
        <x:v>15176</x:v>
      </x:c>
      <x:c r="I1186" s="12" t="n">
        <x:v>66616.62776752768</x:v>
      </x:c>
      <x:c r="J1186" s="12" t="n">
        <x:v>46797.8495116419</x:v>
      </x:c>
      <x:c r="K1186" s="12" t="n">
        <x:v>24</x:v>
      </x:c>
      <x:c r="L1186" s="12" t="n">
        <x:v>11.109568115539508</x:v>
      </x:c>
      <x:c r="M1186" s="12" t="n">
        <x:v>2</x:v>
      </x:c>
      <x:c r="N1186" s="14" t="n">
        <x:v>0.6384263001722092</x:v>
      </x:c>
      <x:c r="O1186" s="14" t="n">
        <x:v>0.3615736998277907</x:v>
      </x:c>
      <x:c r="P1186" s="14" t="n">
        <x:v>0.7016030570433802</x:v>
      </x:c>
      <x:c r="Q1186" s="14" t="n">
        <x:v>0.15305430775083784</x:v>
      </x:c>
      <x:c r="R1186" s="14" t="n">
        <x:v>0.291136102011286</x:v>
      </x:c>
      <x:c r="S1186" s="14" t="n">
        <x:v>0.34688068810097905</x:v>
      </x:c>
      <x:c r="T1186" t="str">
        <x:v>야간활성·2030소비</x:v>
      </x:c>
      <x:c r="U1186" s="16" t="n">
        <x:v>47.71725995066171</x:v>
      </x:c>
      <x:c r="V1186" t="str">
        <x:v>한식음식점</x:v>
      </x:c>
      <x:c r="W1186" t="str">
        <x:v>한식음식점 / 호프-간이주점</x:v>
      </x:c>
      <x:c r="X1186" s="16" t="n">
        <x:v>38.35925368787663</x:v>
      </x:c>
    </x:row>
    <x:row r="1187">
      <x:c r="A1187" t="str">
        <x:v>3110588</x:v>
      </x:c>
      <x:c r="B1187" t="str">
        <x:v>한겨레신문사</x:v>
      </x:c>
      <x:c r="C1187" t="str">
        <x:v>골목상권</x:v>
      </x:c>
      <x:c r="D1187" t="str">
        <x:v>마포구</x:v>
      </x:c>
      <x:c r="E1187" t="str">
        <x:v>공덕동</x:v>
      </x:c>
      <x:c r="F1187" s="12" t="n">
        <x:v>72183</x:v>
      </x:c>
      <x:c r="G1187" s="12" t="n">
        <x:v>1005860217</x:v>
      </x:c>
      <x:c r="H1187" s="12" t="n">
        <x:v>34637</x:v>
      </x:c>
      <x:c r="I1187" s="12" t="n">
        <x:v>29040.05014868493</x:v>
      </x:c>
      <x:c r="J1187" s="12" t="n">
        <x:v>13934.863014837289</x:v>
      </x:c>
      <x:c r="K1187" s="12" t="n">
        <x:v>716</x:v>
      </x:c>
      <x:c r="L1187" s="12" t="n">
        <x:v>99.19233060415887</x:v>
      </x:c>
      <x:c r="M1187" s="12" t="n">
        <x:v>6</x:v>
      </x:c>
      <x:c r="N1187" s="14" t="n">
        <x:v>0.7462221393333026</x:v>
      </x:c>
      <x:c r="O1187" s="14" t="n">
        <x:v>0.2537778606666974</x:v>
      </x:c>
      <x:c r="P1187" s="14" t="n">
        <x:v>0.6353119709873166</x:v>
      </x:c>
      <x:c r="Q1187" s="14" t="n">
        <x:v>0.16544638229786954</x:v>
      </x:c>
      <x:c r="R1187" s="14" t="n">
        <x:v>0.42371100953881347</x:v>
      </x:c>
      <x:c r="S1187" s="14" t="n">
        <x:v>0.3500723699464098</x:v>
      </x:c>
      <x:c r="T1187" t="str">
        <x:v>야간활성·2030소비</x:v>
      </x:c>
      <x:c r="U1187" s="16" t="n">
        <x:v>49.40706322208553</x:v>
      </x:c>
      <x:c r="V1187" t="str">
        <x:v>커피-음료</x:v>
      </x:c>
      <x:c r="W1187" t="str">
        <x:v>커피-음료 / 치킨전문점 / 한식음식점</x:v>
      </x:c>
      <x:c r="X1187" s="16" t="n">
        <x:v>41.103024718852076</x:v>
      </x:c>
    </x:row>
    <x:row r="1188">
      <x:c r="A1188" t="str">
        <x:v>3110684</x:v>
      </x:c>
      <x:c r="B1188" t="str">
        <x:v>서울공연예술고등학교</x:v>
      </x:c>
      <x:c r="C1188" t="str">
        <x:v>골목상권</x:v>
      </x:c>
      <x:c r="D1188" t="str">
        <x:v>구로구</x:v>
      </x:c>
      <x:c r="E1188" t="str">
        <x:v>수궁동</x:v>
      </x:c>
      <x:c r="F1188" s="12" t="n">
        <x:v>56085</x:v>
      </x:c>
      <x:c r="G1188" s="12" t="n">
        <x:v>988296016</x:v>
      </x:c>
      <x:c r="H1188" s="12" t="n">
        <x:v>64727</x:v>
      </x:c>
      <x:c r="I1188" s="12" t="n">
        <x:v>15268.682559055726</x:v>
      </x:c>
      <x:c r="J1188" s="12" t="n">
        <x:v>17621.396380493894</x:v>
      </x:c>
      <x:c r="K1188" s="12" t="n">
        <x:v>165</x:v>
      </x:c>
      <x:c r="L1188" s="12" t="n">
        <x:v>29.41963091735758</x:v>
      </x:c>
      <x:c r="M1188" s="12" t="n">
        <x:v>7</x:v>
      </x:c>
      <x:c r="N1188" s="14" t="n">
        <x:v>0.8209616115663873</x:v>
      </x:c>
      <x:c r="O1188" s="14" t="n">
        <x:v>0.17903838843361278</x:v>
      </x:c>
      <x:c r="P1188" s="14" t="n">
        <x:v>0.411441389438931</x:v>
      </x:c>
      <x:c r="Q1188" s="14" t="n">
        <x:v>0.26906885962798416</x:v>
      </x:c>
      <x:c r="R1188" s="14" t="n">
        <x:v>0.17250113249469984</x:v>
      </x:c>
      <x:c r="S1188" s="14" t="n">
        <x:v>0.4238924990263241</x:v>
      </x:c>
      <x:c r="T1188" t="str">
        <x:v>평일집중·야간활성</x:v>
      </x:c>
      <x:c r="U1188" s="16" t="n">
        <x:v>63.71587361667417</x:v>
      </x:c>
      <x:c r="V1188" t="str">
        <x:v>일반교습학원</x:v>
      </x:c>
      <x:c r="W1188" t="str">
        <x:v>일반교습학원 / 커피-음료 / 편의점</x:v>
      </x:c>
      <x:c r="X1188" s="16" t="n">
        <x:v>51.968732865857554</x:v>
      </x:c>
    </x:row>
    <x:row r="1189">
      <x:c r="A1189" t="str">
        <x:v>3110698</x:v>
      </x:c>
      <x:c r="B1189" t="str">
        <x:v>개웅초등학교(개웅중학교)</x:v>
      </x:c>
      <x:c r="C1189" t="str">
        <x:v>골목상권</x:v>
      </x:c>
      <x:c r="D1189" t="str">
        <x:v>구로구</x:v>
      </x:c>
      <x:c r="E1189" t="str">
        <x:v>개봉3동</x:v>
      </x:c>
      <x:c r="F1189" s="12" t="n">
        <x:v>131201</x:v>
      </x:c>
      <x:c r="G1189" s="12" t="n">
        <x:v>988113798</x:v>
      </x:c>
      <x:c r="H1189" s="12" t="n">
        <x:v>54166</x:v>
      </x:c>
      <x:c r="I1189" s="12" t="n">
        <x:v>18242.325407081935</x:v>
      </x:c>
      <x:c r="J1189" s="12" t="n">
        <x:v>7531.297764498746</x:v>
      </x:c>
      <x:c r="K1189" s="12" t="n">
        <x:v>273</x:v>
      </x:c>
      <x:c r="L1189" s="12" t="n">
        <x:v>20.807768233473833</x:v>
      </x:c>
      <x:c r="M1189" s="12" t="n">
        <x:v>8</x:v>
      </x:c>
      <x:c r="N1189" s="14" t="n">
        <x:v>0.7287849035784844</x:v>
      </x:c>
      <x:c r="O1189" s="14" t="n">
        <x:v>0.2712150964215156</x:v>
      </x:c>
      <x:c r="P1189" s="14" t="n">
        <x:v>0.602496546657878</x:v>
      </x:c>
      <x:c r="Q1189" s="14" t="n">
        <x:v>0.12595418893239663</x:v>
      </x:c>
      <x:c r="R1189" s="14" t="n">
        <x:v>0.21786068612311799</x:v>
      </x:c>
      <x:c r="S1189" s="14" t="n">
        <x:v>0.3869795571865904</x:v>
      </x:c>
      <x:c r="T1189" t="str">
        <x:v>야간활성</x:v>
      </x:c>
      <x:c r="U1189" s="16" t="n">
        <x:v>67.37759083544252</x:v>
      </x:c>
      <x:c r="V1189" t="str">
        <x:v>예술학원</x:v>
      </x:c>
      <x:c r="W1189" t="str">
        <x:v>예술학원 / 일반교습학원 / 슈퍼마켓</x:v>
      </x:c>
      <x:c r="X1189" s="16" t="n">
        <x:v>50.73428497712339</x:v>
      </x:c>
    </x:row>
    <x:row r="1190">
      <x:c r="A1190" t="str">
        <x:v>3110816</x:v>
      </x:c>
      <x:c r="B1190" t="str">
        <x:v>대방역 6번</x:v>
      </x:c>
      <x:c r="C1190" t="str">
        <x:v>골목상권</x:v>
      </x:c>
      <x:c r="D1190" t="str">
        <x:v>영등포구</x:v>
      </x:c>
      <x:c r="E1190" t="str">
        <x:v>신길1동</x:v>
      </x:c>
      <x:c r="F1190" s="12" t="n">
        <x:v>92336</x:v>
      </x:c>
      <x:c r="G1190" s="12" t="n">
        <x:v>976977656</x:v>
      </x:c>
      <x:c r="H1190" s="12" t="n">
        <x:v>52653</x:v>
      </x:c>
      <x:c r="I1190" s="12" t="n">
        <x:v>18555.02356940725</x:v>
      </x:c>
      <x:c r="J1190" s="12" t="n">
        <x:v>10580.679864841448</x:v>
      </x:c>
      <x:c r="K1190" s="12" t="n">
        <x:v>614</x:v>
      </x:c>
      <x:c r="L1190" s="12" t="n">
        <x:v>66.49627447582742</x:v>
      </x:c>
      <x:c r="M1190" s="12" t="n">
        <x:v>4</x:v>
      </x:c>
      <x:c r="N1190" s="14" t="n">
        <x:v>0.8473280590564499</x:v>
      </x:c>
      <x:c r="O1190" s="14" t="n">
        <x:v>0.1526719409435501</x:v>
      </x:c>
      <x:c r="P1190" s="14" t="n">
        <x:v>0.17741978021245555</x:v>
      </x:c>
      <x:c r="Q1190" s="14" t="n">
        <x:v>0.5273087125751011</x:v>
      </x:c>
      <x:c r="R1190" s="14" t="n">
        <x:v>0.1309027214845536</x:v>
      </x:c>
      <x:c r="S1190" s="14" t="n">
        <x:v>0.15261866234533414</x:v>
      </x:c>
      <x:c r="T1190" t="str">
        <x:v>평일집중</x:v>
      </x:c>
      <x:c r="U1190" s="16" t="n">
        <x:v>62.23184785171569</x:v>
      </x:c>
      <x:c r="V1190" t="str">
        <x:v>수산물판매</x:v>
      </x:c>
      <x:c r="W1190" t="str">
        <x:v>수산물판매 / 분식전문점 / 한식음식점</x:v>
      </x:c>
      <x:c r="X1190" s="16" t="n">
        <x:v>50.20237246854118</x:v>
      </x:c>
    </x:row>
    <x:row r="1191">
      <x:c r="A1191" t="str">
        <x:v>3130270</x:v>
      </x:c>
      <x:c r="B1191" t="str">
        <x:v>흑석시장</x:v>
      </x:c>
      <x:c r="C1191" t="str">
        <x:v>전통시장</x:v>
      </x:c>
      <x:c r="D1191" t="str">
        <x:v>동작구</x:v>
      </x:c>
      <x:c r="E1191" t="str">
        <x:v>흑석동</x:v>
      </x:c>
      <x:c r="F1191" s="12" t="n">
        <x:v>2989</x:v>
      </x:c>
      <x:c r="G1191" s="12" t="n">
        <x:v>976420496</x:v>
      </x:c>
      <x:c r="H1191" s="12" t="n">
        <x:v>42004</x:v>
      </x:c>
      <x:c r="I1191" s="12" t="n">
        <x:v>23245.893153033045</x:v>
      </x:c>
      <x:c r="J1191" s="12" t="n">
        <x:v>326671.293409167</x:v>
      </x:c>
      <x:c r="K1191" s="12" t="n">
        <x:v>3</x:v>
      </x:c>
      <x:c r="L1191" s="12" t="n">
        <x:v>10.036801605888257</x:v>
      </x:c>
      <x:c r="M1191" s="12" t="n">
        <x:v>4</x:v>
      </x:c>
      <x:c r="N1191" s="14" t="n">
        <x:v>0.7479869902280298</x:v>
      </x:c>
      <x:c r="O1191" s="14" t="n">
        <x:v>0.2520130097719702</x:v>
      </x:c>
      <x:c r="P1191" s="14" t="n">
        <x:v>0.3201128901743169</x:v>
      </x:c>
      <x:c r="Q1191" s="14" t="n">
        <x:v>0.37162240703312727</x:v>
      </x:c>
      <x:c r="R1191" s="14" t="n">
        <x:v>0.17726211474364625</x:v>
      </x:c>
      <x:c r="S1191" s="14" t="n">
        <x:v>0.4409495844913112</x:v>
      </x:c>
      <x:c r="T1191" t="str">
        <x:v>고매출밀도</x:v>
      </x:c>
      <x:c r="U1191" s="16" t="n">
        <x:v>57.60629882674679</x:v>
      </x:c>
      <x:c r="V1191" t="str">
        <x:v>육류판매</x:v>
      </x:c>
      <x:c r="W1191" t="str">
        <x:v>육류판매 / 일반의류 / 청과상</x:v>
      </x:c>
      <x:c r="X1191" s="16" t="n">
        <x:v>50.070875883980584</x:v>
      </x:c>
    </x:row>
    <x:row r="1192">
      <x:c r="A1192" t="str">
        <x:v>3110339</x:v>
      </x:c>
      <x:c r="B1192" t="str">
        <x:v>국립4.19민주묘지</x:v>
      </x:c>
      <x:c r="C1192" t="str">
        <x:v>골목상권</x:v>
      </x:c>
      <x:c r="D1192" t="str">
        <x:v>강북구</x:v>
      </x:c>
      <x:c r="E1192" t="str">
        <x:v>우이동</x:v>
      </x:c>
      <x:c r="F1192" s="12" t="n">
        <x:v>12372</x:v>
      </x:c>
      <x:c r="G1192" s="12" t="n">
        <x:v>975197362</x:v>
      </x:c>
      <x:c r="H1192" s="12" t="n">
        <x:v>20062</x:v>
      </x:c>
      <x:c r="I1192" s="12" t="n">
        <x:v>48609.17964310637</x:v>
      </x:c>
      <x:c r="J1192" s="12" t="n">
        <x:v>78822.93582282573</x:v>
      </x:c>
      <x:c r="K1192" s="12" t="n">
        <x:v>137</x:v>
      </x:c>
      <x:c r="L1192" s="12" t="n">
        <x:v>110.7339152925962</x:v>
      </x:c>
      <x:c r="M1192" s="12" t="n">
        <x:v>2</x:v>
      </x:c>
      <x:c r="N1192" s="14" t="n">
        <x:v>0.620050597511768</x:v>
      </x:c>
      <x:c r="O1192" s="14" t="n">
        <x:v>0.3799494024882319</x:v>
      </x:c>
      <x:c r="P1192" s="14" t="n">
        <x:v>0.3602120295727379</x:v>
      </x:c>
      <x:c r="Q1192" s="14" t="n">
        <x:v>0.37592078412533686</x:v>
      </x:c>
      <x:c r="R1192" s="14" t="n">
        <x:v>0.09534277124100753</x:v>
      </x:c>
      <x:c r="S1192" s="14" t="n">
        <x:v>0.3746695286897218</x:v>
      </x:c>
      <x:c r="T1192" t="str">
        <x:v>고매출밀도·직장밀집</x:v>
      </x:c>
      <x:c r="U1192" s="16" t="n">
        <x:v>49.078988640274034</x:v>
      </x:c>
      <x:c r="V1192" t="str">
        <x:v>한식음식점</x:v>
      </x:c>
      <x:c r="W1192" t="str">
        <x:v>한식음식점 / 호프-간이주점</x:v>
      </x:c>
      <x:c r="X1192" s="16" t="n">
        <x:v>38.478860874860814</x:v>
      </x:c>
    </x:row>
    <x:row r="1193">
      <x:c r="A1193" t="str">
        <x:v>3110395</x:v>
      </x:c>
      <x:c r="B1193" t="str">
        <x:v>신한은행 방학동지점</x:v>
      </x:c>
      <x:c r="C1193" t="str">
        <x:v>골목상권</x:v>
      </x:c>
      <x:c r="D1193" t="str">
        <x:v>도봉구</x:v>
      </x:c>
      <x:c r="E1193" t="str">
        <x:v>방학1동</x:v>
      </x:c>
      <x:c r="F1193" s="12" t="n">
        <x:v>52472</x:v>
      </x:c>
      <x:c r="G1193" s="12" t="n">
        <x:v>967649660</x:v>
      </x:c>
      <x:c r="H1193" s="12" t="n">
        <x:v>26798</x:v>
      </x:c>
      <x:c r="I1193" s="12" t="n">
        <x:v>36109.02530039555</x:v>
      </x:c>
      <x:c r="J1193" s="12" t="n">
        <x:v>18441.257432535447</x:v>
      </x:c>
      <x:c r="K1193" s="12" t="n">
        <x:v>321</x:v>
      </x:c>
      <x:c r="L1193" s="12" t="n">
        <x:v>61.17548406769324</x:v>
      </x:c>
      <x:c r="M1193" s="12" t="n">
        <x:v>8</x:v>
      </x:c>
      <x:c r="N1193" s="14" t="n">
        <x:v>0.7737229040105279</x:v>
      </x:c>
      <x:c r="O1193" s="14" t="n">
        <x:v>0.22627709598947207</x:v>
      </x:c>
      <x:c r="P1193" s="14" t="n">
        <x:v>0.4832642435899786</x:v>
      </x:c>
      <x:c r="Q1193" s="14" t="n">
        <x:v>0.1957613492056619</x:v>
      </x:c>
      <x:c r="R1193" s="14" t="n">
        <x:v>0.11629622543349005</x:v>
      </x:c>
      <x:c r="S1193" s="14" t="n">
        <x:v>0.37038857431107863</x:v>
      </x:c>
      <x:c r="T1193" t="str">
        <x:v>야간활성·평일집중</x:v>
      </x:c>
      <x:c r="U1193" s="16" t="n">
        <x:v>42.940790470713395</x:v>
      </x:c>
      <x:c r="V1193" t="str">
        <x:v>한식음식점</x:v>
      </x:c>
      <x:c r="W1193" t="str">
        <x:v>한식음식점 / 자동차수리 / 미용실</x:v>
      </x:c>
      <x:c r="X1193" s="16" t="n">
        <x:v>34.35139301074143</x:v>
      </x:c>
    </x:row>
    <x:row r="1194">
      <x:c r="A1194" t="str">
        <x:v>3110354</x:v>
      </x:c>
      <x:c r="B1194" t="str">
        <x:v>삼각산119안전센터</x:v>
      </x:c>
      <x:c r="C1194" t="str">
        <x:v>골목상권</x:v>
      </x:c>
      <x:c r="D1194" t="str">
        <x:v>강북구</x:v>
      </x:c>
      <x:c r="E1194" t="str">
        <x:v>삼각산동</x:v>
      </x:c>
      <x:c r="F1194" s="12" t="n">
        <x:v>17571</x:v>
      </x:c>
      <x:c r="G1194" s="12" t="n">
        <x:v>965620885</x:v>
      </x:c>
      <x:c r="H1194" s="12" t="n">
        <x:v>29704</x:v>
      </x:c>
      <x:c r="I1194" s="12" t="n">
        <x:v>32508.109513870186</x:v>
      </x:c>
      <x:c r="J1194" s="12" t="n">
        <x:v>54955.37448067839</x:v>
      </x:c>
      <x:c r="K1194" s="12" t="n">
        <x:v>180</x:v>
      </x:c>
      <x:c r="L1194" s="12" t="n">
        <x:v>102.44152296397473</x:v>
      </x:c>
      <x:c r="M1194" s="12" t="n">
        <x:v>4</x:v>
      </x:c>
      <x:c r="N1194" s="14" t="n">
        <x:v>0.739663579252431</x:v>
      </x:c>
      <x:c r="O1194" s="14" t="n">
        <x:v>0.2603364207475691</x:v>
      </x:c>
      <x:c r="P1194" s="14" t="n">
        <x:v>0.4197255592706034</x:v>
      </x:c>
      <x:c r="Q1194" s="14" t="n">
        <x:v>0.23932636978952665</x:v>
      </x:c>
      <x:c r="R1194" s="14" t="n">
        <x:v>0.17175887512002186</x:v>
      </x:c>
      <x:c r="S1194" s="14" t="n">
        <x:v>0.4581415179312324</x:v>
      </x:c>
      <x:c r="T1194" t="str">
        <x:v>야간활성·여성소비</x:v>
      </x:c>
      <x:c r="U1194" s="16" t="n">
        <x:v>58.30072240695575</x:v>
      </x:c>
      <x:c r="V1194" t="str">
        <x:v>커피-음료</x:v>
      </x:c>
      <x:c r="W1194" t="str">
        <x:v>커피-음료 / 한식음식점 / 일반교습학원</x:v>
      </x:c>
      <x:c r="X1194" s="16" t="n">
        <x:v>49.09571428643042</x:v>
      </x:c>
    </x:row>
    <x:row r="1195">
      <x:c r="A1195" t="str">
        <x:v>3110830</x:v>
      </x:c>
      <x:c r="B1195" t="str">
        <x:v>상도초등학교</x:v>
      </x:c>
      <x:c r="C1195" t="str">
        <x:v>골목상권</x:v>
      </x:c>
      <x:c r="D1195" t="str">
        <x:v>동작구</x:v>
      </x:c>
      <x:c r="E1195" t="str">
        <x:v>상도4동</x:v>
      </x:c>
      <x:c r="F1195" s="12" t="n">
        <x:v>126620</x:v>
      </x:c>
      <x:c r="G1195" s="12" t="n">
        <x:v>964298127</x:v>
      </x:c>
      <x:c r="H1195" s="12" t="n">
        <x:v>48400</x:v>
      </x:c>
      <x:c r="I1195" s="12" t="n">
        <x:v>19923.515020661158</x:v>
      </x:c>
      <x:c r="J1195" s="12" t="n">
        <x:v>7615.6857289527725</x:v>
      </x:c>
      <x:c r="K1195" s="12" t="n">
        <x:v>216</x:v>
      </x:c>
      <x:c r="L1195" s="12" t="n">
        <x:v>17.058916442900014</x:v>
      </x:c>
      <x:c r="M1195" s="12" t="n">
        <x:v>7</x:v>
      </x:c>
      <x:c r="N1195" s="14" t="n">
        <x:v>0.8077653872701134</x:v>
      </x:c>
      <x:c r="O1195" s="14" t="n">
        <x:v>0.1922346127298866</x:v>
      </x:c>
      <x:c r="P1195" s="14" t="n">
        <x:v>0.4413550675703013</x:v>
      </x:c>
      <x:c r="Q1195" s="14" t="n">
        <x:v>0.18990991050633868</x:v>
      </x:c>
      <x:c r="R1195" s="14" t="n">
        <x:v>0.14198363158284968</x:v>
      </x:c>
      <x:c r="S1195" s="14" t="n">
        <x:v>0.3691352715859833</x:v>
      </x:c>
      <x:c r="T1195" t="str">
        <x:v>평일집중·야간활성</x:v>
      </x:c>
      <x:c r="U1195" s="16" t="n">
        <x:v>61.12267382335718</x:v>
      </x:c>
      <x:c r="V1195" t="str">
        <x:v>예술학원</x:v>
      </x:c>
      <x:c r="W1195" t="str">
        <x:v>예술학원 / 스포츠 강습 / 일반교습학원</x:v>
      </x:c>
      <x:c r="X1195" s="16" t="n">
        <x:v>48.28908194297201</x:v>
      </x:c>
    </x:row>
    <x:row r="1196">
      <x:c r="A1196" t="str">
        <x:v>3110356</x:v>
      </x:c>
      <x:c r="B1196" t="str">
        <x:v>덕수교</x:v>
      </x:c>
      <x:c r="C1196" t="str">
        <x:v>골목상권</x:v>
      </x:c>
      <x:c r="D1196" t="str">
        <x:v>강북구</x:v>
      </x:c>
      <x:c r="E1196" t="str">
        <x:v>수유2동</x:v>
      </x:c>
      <x:c r="F1196" s="12" t="n">
        <x:v>102062</x:v>
      </x:c>
      <x:c r="G1196" s="12" t="n">
        <x:v>960870591</x:v>
      </x:c>
      <x:c r="H1196" s="12" t="n">
        <x:v>21066</x:v>
      </x:c>
      <x:c r="I1196" s="12" t="n">
        <x:v>45612.3892053546</x:v>
      </x:c>
      <x:c r="J1196" s="12" t="n">
        <x:v>9414.577325547216</x:v>
      </x:c>
      <x:c r="K1196" s="12" t="n">
        <x:v>218</x:v>
      </x:c>
      <x:c r="L1196" s="12" t="n">
        <x:v>21.35956575414944</x:v>
      </x:c>
      <x:c r="M1196" s="12" t="n">
        <x:v>4</x:v>
      </x:c>
      <x:c r="N1196" s="14" t="n">
        <x:v>0.7446132566669428</x:v>
      </x:c>
      <x:c r="O1196" s="14" t="n">
        <x:v>0.2553867433330572</x:v>
      </x:c>
      <x:c r="P1196" s="14" t="n">
        <x:v>0.6888842818168841</x:v>
      </x:c>
      <x:c r="Q1196" s="14" t="n">
        <x:v>0.09541027986358674</x:v>
      </x:c>
      <x:c r="R1196" s="14" t="n">
        <x:v>0.17974662625510618</x:v>
      </x:c>
      <x:c r="S1196" s="14" t="n">
        <x:v>0.32089326896674686</x:v>
      </x:c>
      <x:c r="T1196" t="str">
        <x:v>야간활성</x:v>
      </x:c>
      <x:c r="U1196" s="16" t="n">
        <x:v>55.11059833594181</x:v>
      </x:c>
      <x:c r="V1196" t="str">
        <x:v>한식음식점</x:v>
      </x:c>
      <x:c r="W1196" t="str">
        <x:v>한식음식점 / 슈퍼마켓 / 미용실</x:v>
      </x:c>
      <x:c r="X1196" s="16" t="n">
        <x:v>46.904195875380104</x:v>
      </x:c>
    </x:row>
    <x:row r="1197">
      <x:c r="A1197" t="str">
        <x:v>3130289</x:v>
      </x:c>
      <x:c r="B1197" t="str">
        <x:v>봉일시장</x:v>
      </x:c>
      <x:c r="C1197" t="str">
        <x:v>전통시장</x:v>
      </x:c>
      <x:c r="D1197" t="str">
        <x:v>관악구</x:v>
      </x:c>
      <x:c r="E1197" t="str">
        <x:v>은천동</x:v>
      </x:c>
      <x:c r="F1197" s="12" t="n">
        <x:v>4844</x:v>
      </x:c>
      <x:c r="G1197" s="12" t="n">
        <x:v>953665332</x:v>
      </x:c>
      <x:c r="H1197" s="12" t="n">
        <x:v>36034</x:v>
      </x:c>
      <x:c r="I1197" s="12" t="n">
        <x:v>26465.708275517565</x:v>
      </x:c>
      <x:c r="J1197" s="12" t="n">
        <x:v>196875.58464079275</x:v>
      </x:c>
      <x:c r="K1197" s="12" t="n">
        <x:v>157</x:v>
      </x:c>
      <x:c r="L1197" s="12" t="n">
        <x:v>324.11230388109004</x:v>
      </x:c>
      <x:c r="M1197" s="12" t="n">
        <x:v>3</x:v>
      </x:c>
      <x:c r="N1197" s="14" t="n">
        <x:v>0.6758966645544372</x:v>
      </x:c>
      <x:c r="O1197" s="14" t="n">
        <x:v>0.3241033354455628</x:v>
      </x:c>
      <x:c r="P1197" s="14" t="n">
        <x:v>0.40519319622284433</x:v>
      </x:c>
      <x:c r="Q1197" s="14" t="n">
        <x:v>0.1959375576840199</x:v>
      </x:c>
      <x:c r="R1197" s="14" t="n">
        <x:v>0.2012315018283584</x:v>
      </x:c>
      <x:c r="S1197" s="14" t="n">
        <x:v>0.5118023027809928</x:v>
      </x:c>
      <x:c r="T1197" t="str">
        <x:v>직장밀집·고매출밀도</x:v>
      </x:c>
      <x:c r="U1197" s="16" t="n">
        <x:v>73.31200977240582</x:v>
      </x:c>
      <x:c r="V1197" t="str">
        <x:v>육류판매</x:v>
      </x:c>
      <x:c r="W1197" t="str">
        <x:v>육류판매 / 일반의류 / 한식음식점</x:v>
      </x:c>
      <x:c r="X1197" s="16" t="n">
        <x:v>52.46676342757971</x:v>
      </x:c>
    </x:row>
    <x:row r="1198">
      <x:c r="A1198" t="str">
        <x:v>3110023</x:v>
      </x:c>
      <x:c r="B1198" t="str">
        <x:v>서울대병원</x:v>
      </x:c>
      <x:c r="C1198" t="str">
        <x:v>골목상권</x:v>
      </x:c>
      <x:c r="D1198" t="str">
        <x:v>종로구</x:v>
      </x:c>
      <x:c r="E1198" t="str">
        <x:v>이화동</x:v>
      </x:c>
      <x:c r="F1198" s="12" t="n">
        <x:v>15969</x:v>
      </x:c>
      <x:c r="G1198" s="12" t="n">
        <x:v>950658160</x:v>
      </x:c>
      <x:c r="H1198" s="12" t="n">
        <x:v>119803</x:v>
      </x:c>
      <x:c r="I1198" s="12" t="n">
        <x:v>7935.178250961996</x:v>
      </x:c>
      <x:c r="J1198" s="12" t="n">
        <x:v>59531.47723714697</x:v>
      </x:c>
      <x:c r="K1198" s="12" t="n">
        <x:v>87</x:v>
      </x:c>
      <x:c r="L1198" s="12" t="n">
        <x:v>54.48055607739997</x:v>
      </x:c>
      <x:c r="M1198" s="12" t="n">
        <x:v>2</x:v>
      </x:c>
      <x:c r="N1198" s="14" t="n">
        <x:v>0.8623324413477922</x:v>
      </x:c>
      <x:c r="O1198" s="14" t="n">
        <x:v>0.13766755865220787</x:v>
      </x:c>
      <x:c r="P1198" s="14" t="n">
        <x:v>0.2004454555988874</x:v>
      </x:c>
      <x:c r="Q1198" s="14" t="n">
        <x:v>0.498529497711354</x:v>
      </x:c>
      <x:c r="R1198" s="14" t="n">
        <x:v>0.3296005443218412</x:v>
      </x:c>
      <x:c r="S1198" s="14" t="n">
        <x:v>0.4487040315311657</x:v>
      </x:c>
      <x:c r="T1198" t="str">
        <x:v>평일집중·2030소비</x:v>
      </x:c>
      <x:c r="U1198" s="16" t="n">
        <x:v>58.27347190951846</x:v>
      </x:c>
      <x:c r="V1198" t="str">
        <x:v>커피-음료</x:v>
      </x:c>
      <x:c r="W1198" t="str">
        <x:v>커피-음료 / 한식음식점</x:v>
      </x:c>
      <x:c r="X1198" s="16" t="n">
        <x:v>55.28887775010065</x:v>
      </x:c>
    </x:row>
    <x:row r="1199">
      <x:c r="A1199" t="str">
        <x:v>3110833</x:v>
      </x:c>
      <x:c r="B1199" t="str">
        <x:v>상도역 2번</x:v>
      </x:c>
      <x:c r="C1199" t="str">
        <x:v>골목상권</x:v>
      </x:c>
      <x:c r="D1199" t="str">
        <x:v>동작구</x:v>
      </x:c>
      <x:c r="E1199" t="str">
        <x:v>상도2동</x:v>
      </x:c>
      <x:c r="F1199" s="12" t="n">
        <x:v>54544</x:v>
      </x:c>
      <x:c r="G1199" s="12" t="n">
        <x:v>948599181</x:v>
      </x:c>
      <x:c r="H1199" s="12" t="n">
        <x:v>19297</x:v>
      </x:c>
      <x:c r="I1199" s="12" t="n">
        <x:v>49157.857749909315</x:v>
      </x:c>
      <x:c r="J1199" s="12" t="n">
        <x:v>17391.448756966853</x:v>
      </x:c>
      <x:c r="K1199" s="12" t="n">
        <x:v>169</x:v>
      </x:c>
      <x:c r="L1199" s="12" t="n">
        <x:v>30.984159577588738</x:v>
      </x:c>
      <x:c r="M1199" s="12" t="n">
        <x:v>8</x:v>
      </x:c>
      <x:c r="N1199" s="14" t="n">
        <x:v>0.7610370412073969</x:v>
      </x:c>
      <x:c r="O1199" s="14" t="n">
        <x:v>0.23896295879260304</x:v>
      </x:c>
      <x:c r="P1199" s="14" t="n">
        <x:v>0.3974248950990819</x:v>
      </x:c>
      <x:c r="Q1199" s="14" t="n">
        <x:v>0.24538632824309808</x:v>
      </x:c>
      <x:c r="R1199" s="14" t="n">
        <x:v>0.26044897143970863</x:v>
      </x:c>
      <x:c r="S1199" s="14" t="n">
        <x:v>0.5667932291836967</x:v>
      </x:c>
      <x:c r="T1199" t="str">
        <x:v>여성소비·2030소비</x:v>
      </x:c>
      <x:c r="U1199" s="16" t="n">
        <x:v>61.681849941216065</x:v>
      </x:c>
      <x:c r="V1199" t="str">
        <x:v>미용실</x:v>
      </x:c>
      <x:c r="W1199" t="str">
        <x:v>미용실 / 스포츠 강습 / 일반교습학원</x:v>
      </x:c>
      <x:c r="X1199" s="16" t="n">
        <x:v>46.374043418756855</x:v>
      </x:c>
    </x:row>
    <x:row r="1200">
      <x:c r="A1200" t="str">
        <x:v>3110106</x:v>
      </x:c>
      <x:c r="B1200" t="str">
        <x:v>금북초등학교</x:v>
      </x:c>
      <x:c r="C1200" t="str">
        <x:v>골목상권</x:v>
      </x:c>
      <x:c r="D1200" t="str">
        <x:v>성동구</x:v>
      </x:c>
      <x:c r="E1200" t="str">
        <x:v>금호1가동</x:v>
      </x:c>
      <x:c r="F1200" s="12" t="n">
        <x:v>21366</x:v>
      </x:c>
      <x:c r="G1200" s="12" t="n">
        <x:v>944811397</x:v>
      </x:c>
      <x:c r="H1200" s="12" t="n">
        <x:v>6499</x:v>
      </x:c>
      <x:c r="I1200" s="12" t="n">
        <x:v>145377.96537928912</x:v>
      </x:c>
      <x:c r="J1200" s="12" t="n">
        <x:v>44220.3218665169</x:v>
      </x:c>
      <x:c r="K1200" s="12" t="n">
        <x:v>237</x:v>
      </x:c>
      <x:c r="L1200" s="12" t="n">
        <x:v>110.92389778152206</x:v>
      </x:c>
      <x:c r="M1200" s="12" t="n">
        <x:v>4</x:v>
      </x:c>
      <x:c r="N1200" s="14" t="n">
        <x:v>0.8689679533999102</x:v>
      </x:c>
      <x:c r="O1200" s="14" t="n">
        <x:v>0.13103204660008985</x:v>
      </x:c>
      <x:c r="P1200" s="14" t="n">
        <x:v>0.47607776052261147</x:v>
      </x:c>
      <x:c r="Q1200" s="14" t="n">
        <x:v>0.12468554504534624</x:v>
      </x:c>
      <x:c r="R1200" s="14" t="n">
        <x:v>0.14945743293145308</x:v>
      </x:c>
      <x:c r="S1200" s="14" t="n">
        <x:v>0.626454168397378</x:v>
      </x:c>
      <x:c r="T1200" t="str">
        <x:v>여성소비·평일집중</x:v>
      </x:c>
      <x:c r="U1200" s="16" t="n">
        <x:v>60.94623471898649</x:v>
      </x:c>
      <x:c r="V1200" t="str">
        <x:v>일반교습학원</x:v>
      </x:c>
      <x:c r="W1200" t="str">
        <x:v>일반교습학원 / 예술학원 / 미용실</x:v>
      </x:c>
      <x:c r="X1200" s="16" t="n">
        <x:v>52.815872013902734</x:v>
      </x:c>
    </x:row>
    <x:row r="1201">
      <x:c r="A1201" t="str">
        <x:v>3130178</x:v>
      </x:c>
      <x:c r="B1201" t="str">
        <x:v>이대 앞 스타트업 상점가</x:v>
      </x:c>
      <x:c r="C1201" t="str">
        <x:v>전통시장</x:v>
      </x:c>
      <x:c r="D1201" t="str">
        <x:v>서대문구</x:v>
      </x:c>
      <x:c r="E1201" t="str">
        <x:v>신촌동</x:v>
      </x:c>
      <x:c r="F1201" s="12" t="n">
        <x:v>7526</x:v>
      </x:c>
      <x:c r="G1201" s="12" t="n">
        <x:v>942826628</x:v>
      </x:c>
      <x:c r="H1201" s="12" t="n">
        <x:v>52450</x:v>
      </x:c>
      <x:c r="I1201" s="12" t="n">
        <x:v>17975.72217349857</x:v>
      </x:c>
      <x:c r="J1201" s="12" t="n">
        <x:v>125275.92718575605</x:v>
      </x:c>
      <x:c r="K1201" s="12" t="n">
        <x:v>19</x:v>
      </x:c>
      <x:c r="L1201" s="12" t="n">
        <x:v>25.245814509699706</x:v>
      </x:c>
      <x:c r="M1201" s="12" t="n">
        <x:v>10</x:v>
      </x:c>
      <x:c r="N1201" s="14" t="n">
        <x:v>0.8028716250894857</x:v>
      </x:c>
      <x:c r="O1201" s="14" t="n">
        <x:v>0.1971283749105143</x:v>
      </x:c>
      <x:c r="P1201" s="14" t="n">
        <x:v>0.32975783857475016</x:v>
      </x:c>
      <x:c r="Q1201" s="14" t="n">
        <x:v>0.40287641091104187</x:v>
      </x:c>
      <x:c r="R1201" s="14" t="n">
        <x:v>0.476934591838872</x:v>
      </x:c>
      <x:c r="S1201" s="14" t="n">
        <x:v>0.688500648710995</x:v>
      </x:c>
      <x:c r="T1201" t="str">
        <x:v>여성소비·2030소비</x:v>
      </x:c>
      <x:c r="U1201" s="16" t="n">
        <x:v>52.881732383014665</x:v>
      </x:c>
      <x:c r="V1201" t="str">
        <x:v>미용실</x:v>
      </x:c>
      <x:c r="W1201" t="str">
        <x:v>미용실 / 일반의류 / 네일숍</x:v>
      </x:c>
      <x:c r="X1201" s="16" t="n">
        <x:v>45.567189179283375</x:v>
      </x:c>
    </x:row>
    <x:row r="1202">
      <x:c r="A1202" t="str">
        <x:v>3110650</x:v>
      </x:c>
      <x:c r="B1202" t="str">
        <x:v>우장산힐스테이트</x:v>
      </x:c>
      <x:c r="C1202" t="str">
        <x:v>골목상권</x:v>
      </x:c>
      <x:c r="D1202" t="str">
        <x:v>강서구</x:v>
      </x:c>
      <x:c r="E1202" t="str">
        <x:v>우장산동</x:v>
      </x:c>
      <x:c r="F1202" s="12" t="n">
        <x:v>18832</x:v>
      </x:c>
      <x:c r="G1202" s="12" t="n">
        <x:v>940816672</x:v>
      </x:c>
      <x:c r="H1202" s="12" t="n">
        <x:v>20516</x:v>
      </x:c>
      <x:c r="I1202" s="12" t="n">
        <x:v>45857.70481575356</x:v>
      </x:c>
      <x:c r="J1202" s="12" t="n">
        <x:v>49958.404418011894</x:v>
      </x:c>
      <x:c r="K1202" s="12" t="n">
        <x:v>429</x:v>
      </x:c>
      <x:c r="L1202" s="12" t="n">
        <x:v>227.803738317757</x:v>
      </x:c>
      <x:c r="M1202" s="12" t="n">
        <x:v>3</x:v>
      </x:c>
      <x:c r="N1202" s="14" t="n">
        <x:v>0.7043784966004514</x:v>
      </x:c>
      <x:c r="O1202" s="14" t="n">
        <x:v>0.2956215033995486</x:v>
      </x:c>
      <x:c r="P1202" s="14" t="n">
        <x:v>0.38188858222104294</x:v>
      </x:c>
      <x:c r="Q1202" s="14" t="n">
        <x:v>0.3506719457879675</x:v>
      </x:c>
      <x:c r="R1202" s="14" t="n">
        <x:v>0.15806060992082419</x:v>
      </x:c>
      <x:c r="S1202" s="14" t="n">
        <x:v>0.3911485222914927</x:v>
      </x:c>
      <x:c r="T1202" t="str">
        <x:v>직장밀집</x:v>
      </x:c>
      <x:c r="U1202" s="16" t="n">
        <x:v>48.15878515900246</x:v>
      </x:c>
      <x:c r="V1202" t="str">
        <x:v>일반교습학원</x:v>
      </x:c>
      <x:c r="W1202" t="str">
        <x:v>일반교습학원 / 한식음식점 / 미용실</x:v>
      </x:c>
      <x:c r="X1202" s="16" t="n">
        <x:v>46.155458109182696</x:v>
      </x:c>
    </x:row>
    <x:row r="1203">
      <x:c r="A1203" t="str">
        <x:v>3110351</x:v>
      </x:c>
      <x:c r="B1203" t="str">
        <x:v>수유북부시장옆</x:v>
      </x:c>
      <x:c r="C1203" t="str">
        <x:v>골목상권</x:v>
      </x:c>
      <x:c r="D1203" t="str">
        <x:v>강북구</x:v>
      </x:c>
      <x:c r="E1203" t="str">
        <x:v>인수동</x:v>
      </x:c>
      <x:c r="F1203" s="12" t="n">
        <x:v>78839</x:v>
      </x:c>
      <x:c r="G1203" s="12" t="n">
        <x:v>939011405</x:v>
      </x:c>
      <x:c r="H1203" s="12" t="n">
        <x:v>52947</x:v>
      </x:c>
      <x:c r="I1203" s="12" t="n">
        <x:v>17734.931252006725</x:v>
      </x:c>
      <x:c r="J1203" s="12" t="n">
        <x:v>11910.493600882812</x:v>
      </x:c>
      <x:c r="K1203" s="12" t="n">
        <x:v>368</x:v>
      </x:c>
      <x:c r="L1203" s="12" t="n">
        <x:v>46.677405852433445</x:v>
      </x:c>
      <x:c r="M1203" s="12" t="n">
        <x:v>9</x:v>
      </x:c>
      <x:c r="N1203" s="14" t="n">
        <x:v>0.7243185507422032</x:v>
      </x:c>
      <x:c r="O1203" s="14" t="n">
        <x:v>0.2756814492577968</x:v>
      </x:c>
      <x:c r="P1203" s="14" t="n">
        <x:v>0.42161095050810377</x:v>
      </x:c>
      <x:c r="Q1203" s="14" t="n">
        <x:v>0.18606026196241993</x:v>
      </x:c>
      <x:c r="R1203" s="14" t="n">
        <x:v>0.16717328156413605</x:v>
      </x:c>
      <x:c r="S1203" s="14" t="n">
        <x:v>0.537415423617778</x:v>
      </x:c>
      <x:c r="T1203" t="str">
        <x:v>여성소비·야간활성</x:v>
      </x:c>
      <x:c r="U1203" s="16" t="n">
        <x:v>65.22049154046819</x:v>
      </x:c>
      <x:c r="V1203" t="str">
        <x:v>예술학원</x:v>
      </x:c>
      <x:c r="W1203" t="str">
        <x:v>예술학원 / 반찬가게 / 미용실</x:v>
      </x:c>
      <x:c r="X1203" s="16" t="n">
        <x:v>52.761559163728656</x:v>
      </x:c>
    </x:row>
    <x:row r="1204">
      <x:c r="A1204" t="str">
        <x:v>3110982</x:v>
      </x:c>
      <x:c r="B1204" t="str">
        <x:v>강남구보훈회관</x:v>
      </x:c>
      <x:c r="C1204" t="str">
        <x:v>골목상권</x:v>
      </x:c>
      <x:c r="D1204" t="str">
        <x:v>강남구</x:v>
      </x:c>
      <x:c r="E1204" t="str">
        <x:v>삼성2동</x:v>
      </x:c>
      <x:c r="F1204" s="12" t="n">
        <x:v>19865</x:v>
      </x:c>
      <x:c r="G1204" s="12" t="n">
        <x:v>937597023</x:v>
      </x:c>
      <x:c r="H1204" s="12" t="n">
        <x:v>8744</x:v>
      </x:c>
      <x:c r="I1204" s="12" t="n">
        <x:v>107227.4728956999</x:v>
      </x:c>
      <x:c r="J1204" s="12" t="n">
        <x:v>47198.44062421344</x:v>
      </x:c>
      <x:c r="K1204" s="12" t="n">
        <x:v>364</x:v>
      </x:c>
      <x:c r="L1204" s="12" t="n">
        <x:v>183.23684872892022</x:v>
      </x:c>
      <x:c r="M1204" s="12" t="n">
        <x:v>8</x:v>
      </x:c>
      <x:c r="N1204" s="14" t="n">
        <x:v>0.8416855169558276</x:v>
      </x:c>
      <x:c r="O1204" s="14" t="n">
        <x:v>0.15831448304417237</x:v>
      </x:c>
      <x:c r="P1204" s="14" t="n">
        <x:v>0.42128768896485713</x:v>
      </x:c>
      <x:c r="Q1204" s="14" t="n">
        <x:v>0.16741405971806292</x:v>
      </x:c>
      <x:c r="R1204" s="14" t="n">
        <x:v>0.08719560748861294</x:v>
      </x:c>
      <x:c r="S1204" s="14" t="n">
        <x:v>0.48835445481144624</x:v>
      </x:c>
      <x:c r="T1204" t="str">
        <x:v>평일집중·직장밀집</x:v>
      </x:c>
      <x:c r="U1204" s="16" t="n">
        <x:v>66.95574790927519</x:v>
      </x:c>
      <x:c r="V1204" t="str">
        <x:v>세탁소</x:v>
      </x:c>
      <x:c r="W1204" t="str">
        <x:v>세탁소 / 화초 / 일반교습학원</x:v>
      </x:c>
      <x:c r="X1204" s="16" t="n">
        <x:v>52.88405892925259</x:v>
      </x:c>
    </x:row>
    <x:row r="1205">
      <x:c r="A1205" t="str">
        <x:v>3110444</x:v>
      </x:c>
      <x:c r="B1205" t="str">
        <x:v>수색성당</x:v>
      </x:c>
      <x:c r="C1205" t="str">
        <x:v>골목상권</x:v>
      </x:c>
      <x:c r="D1205" t="str">
        <x:v>은평구</x:v>
      </x:c>
      <x:c r="E1205" t="str">
        <x:v>증산동</x:v>
      </x:c>
      <x:c r="F1205" s="12" t="n">
        <x:v>73705</x:v>
      </x:c>
      <x:c r="G1205" s="12" t="n">
        <x:v>932841020</x:v>
      </x:c>
      <x:c r="H1205" s="12" t="n">
        <x:v>6707</x:v>
      </x:c>
      <x:c r="I1205" s="12" t="n">
        <x:v>139084.6906217385</x:v>
      </x:c>
      <x:c r="J1205" s="12" t="n">
        <x:v>12656.414354521403</x:v>
      </x:c>
      <x:c r="K1205" s="12" t="n">
        <x:v>375</x:v>
      </x:c>
      <x:c r="L1205" s="12" t="n">
        <x:v>50.87850213689709</x:v>
      </x:c>
      <x:c r="M1205" s="12" t="n">
        <x:v>1</x:v>
      </x:c>
      <x:c r="N1205" s="14" t="n">
        <x:v>0.6174308951379518</x:v>
      </x:c>
      <x:c r="O1205" s="14" t="n">
        <x:v>0.3825691048620482</x:v>
      </x:c>
      <x:c r="P1205" s="14" t="n">
        <x:v>0.6229153580746267</x:v>
      </x:c>
      <x:c r="Q1205" s="14" t="n">
        <x:v>0.20004691260253543</x:v>
      </x:c>
      <x:c r="R1205" s="14" t="n">
        <x:v>0.30615961656574664</x:v>
      </x:c>
      <x:c r="S1205" s="14" t="n">
        <x:v>0.3540825059343981</x:v>
      </x:c>
      <x:c r="T1205" t="str">
        <x:v>야간활성·2030소비</x:v>
      </x:c>
      <x:c r="U1205" s="16" t="n">
        <x:v>61.48837184758066</x:v>
      </x:c>
      <x:c r="V1205" t="str">
        <x:v>한식음식점</x:v>
      </x:c>
      <x:c r="W1205" t="str">
        <x:v>한식음식점</x:v>
      </x:c>
      <x:c r="X1205" s="16" t="n">
        <x:v>61.48837184758066</x:v>
      </x:c>
    </x:row>
    <x:row r="1206">
      <x:c r="A1206" t="str">
        <x:v>3130050</x:v>
      </x:c>
      <x:c r="B1206" t="str">
        <x:v>청평화시장</x:v>
      </x:c>
      <x:c r="C1206" t="str">
        <x:v>전통시장</x:v>
      </x:c>
      <x:c r="D1206" t="str">
        <x:v>중구</x:v>
      </x:c>
      <x:c r="E1206" t="str">
        <x:v>신당동</x:v>
      </x:c>
      <x:c r="F1206" s="12" t="n">
        <x:v>14440</x:v>
      </x:c>
      <x:c r="G1206" s="12" t="n">
        <x:v>931972995</x:v>
      </x:c>
      <x:c r="H1206" s="12" t="n">
        <x:v>34101</x:v>
      </x:c>
      <x:c r="I1206" s="12" t="n">
        <x:v>27329.784903668515</x:v>
      </x:c>
      <x:c r="J1206" s="12" t="n">
        <x:v>64541.06613573407</x:v>
      </x:c>
      <x:c r="K1206" s="12" t="n">
        <x:v>274</x:v>
      </x:c>
      <x:c r="L1206" s="12" t="n">
        <x:v>189.7506925207756</x:v>
      </x:c>
      <x:c r="M1206" s="12" t="n">
        <x:v>2</x:v>
      </x:c>
      <x:c r="N1206" s="14" t="n">
        <x:v>0.640048306335314</x:v>
      </x:c>
      <x:c r="O1206" s="14" t="n">
        <x:v>0.35995169366468605</x:v>
      </x:c>
      <x:c r="P1206" s="14" t="n">
        <x:v>0.32455562513375186</x:v>
      </x:c>
      <x:c r="Q1206" s="14" t="n">
        <x:v>0.16551209512245577</x:v>
      </x:c>
      <x:c r="R1206" s="14" t="n">
        <x:v>0.10036045411380187</x:v>
      </x:c>
      <x:c r="S1206" s="14" t="n">
        <x:v>0.5736279053879667</x:v>
      </x:c>
      <x:c r="T1206" t="str">
        <x:v>여성소비·직장밀집</x:v>
      </x:c>
      <x:c r="U1206" s="16" t="n">
        <x:v>50.52803293283852</x:v>
      </x:c>
      <x:c r="V1206" t="str">
        <x:v>일반의류</x:v>
      </x:c>
      <x:c r="W1206" t="str">
        <x:v>일반의류 / 슈퍼마켓</x:v>
      </x:c>
      <x:c r="X1206" s="16" t="n">
        <x:v>42.190328039389954</x:v>
      </x:c>
    </x:row>
    <x:row r="1207">
      <x:c r="A1207" t="str">
        <x:v>3110381</x:v>
      </x:c>
      <x:c r="B1207" t="str">
        <x:v>번동주공2단지</x:v>
      </x:c>
      <x:c r="C1207" t="str">
        <x:v>골목상권</x:v>
      </x:c>
      <x:c r="D1207" t="str">
        <x:v>강북구</x:v>
      </x:c>
      <x:c r="E1207" t="str">
        <x:v>번3동</x:v>
      </x:c>
      <x:c r="F1207" s="12" t="n">
        <x:v>50484</x:v>
      </x:c>
      <x:c r="G1207" s="12" t="n">
        <x:v>931732321</x:v>
      </x:c>
      <x:c r="H1207" s="12" t="n">
        <x:v>33896</x:v>
      </x:c>
      <x:c r="I1207" s="12" t="n">
        <x:v>27487.97265164031</x:v>
      </x:c>
      <x:c r="J1207" s="12" t="n">
        <x:v>18455.99241343792</x:v>
      </x:c>
      <x:c r="K1207" s="12" t="n">
        <x:v>262</x:v>
      </x:c>
      <x:c r="L1207" s="12" t="n">
        <x:v>51.8976309325727</x:v>
      </x:c>
      <x:c r="M1207" s="12" t="n">
        <x:v>5</x:v>
      </x:c>
      <x:c r="N1207" s="14" t="n">
        <x:v>0.7098983421441275</x:v>
      </x:c>
      <x:c r="O1207" s="14" t="n">
        <x:v>0.29010165785587255</x:v>
      </x:c>
      <x:c r="P1207" s="14" t="n">
        <x:v>0.43018389613211666</x:v>
      </x:c>
      <x:c r="Q1207" s="14" t="n">
        <x:v>0.2073772924316103</x:v>
      </x:c>
      <x:c r="R1207" s="14" t="n">
        <x:v>0.14304153563864616</x:v>
      </x:c>
      <x:c r="S1207" s="14" t="n">
        <x:v>0.42001971400968496</x:v>
      </x:c>
      <x:c r="T1207" t="str">
        <x:v>야간활성</x:v>
      </x:c>
      <x:c r="U1207" s="16" t="n">
        <x:v>65.0321097403641</x:v>
      </x:c>
      <x:c r="V1207" t="str">
        <x:v>미용실</x:v>
      </x:c>
      <x:c r="W1207" t="str">
        <x:v>미용실 / 일반교습학원 / 한식음식점</x:v>
      </x:c>
      <x:c r="X1207" s="16" t="n">
        <x:v>55.078994539041176</x:v>
      </x:c>
    </x:row>
    <x:row r="1208">
      <x:c r="A1208" t="str">
        <x:v>3130118</x:v>
      </x:c>
      <x:c r="B1208" t="str">
        <x:v>정릉골 골목형상점가</x:v>
      </x:c>
      <x:c r="C1208" t="str">
        <x:v>전통시장</x:v>
      </x:c>
      <x:c r="D1208" t="str">
        <x:v>성북구</x:v>
      </x:c>
      <x:c r="E1208" t="str">
        <x:v>정릉4동</x:v>
      </x:c>
      <x:c r="F1208" s="12" t="n">
        <x:v>26683</x:v>
      </x:c>
      <x:c r="G1208" s="12" t="n">
        <x:v>927379566</x:v>
      </x:c>
      <x:c r="H1208" s="12" t="n">
        <x:v>15371</x:v>
      </x:c>
      <x:c r="I1208" s="12" t="n">
        <x:v>60333.0665539002</x:v>
      </x:c>
      <x:c r="J1208" s="12" t="n">
        <x:v>34755.44601431623</x:v>
      </x:c>
      <x:c r="K1208" s="12" t="n">
        <x:v>179</x:v>
      </x:c>
      <x:c r="L1208" s="12" t="n">
        <x:v>67.08391110444852</x:v>
      </x:c>
      <x:c r="M1208" s="12" t="n">
        <x:v>8</x:v>
      </x:c>
      <x:c r="N1208" s="14" t="n">
        <x:v>0.8224312276900007</x:v>
      </x:c>
      <x:c r="O1208" s="14" t="n">
        <x:v>0.17756877230999935</x:v>
      </x:c>
      <x:c r="P1208" s="14" t="n">
        <x:v>0.3634601153159331</x:v>
      </x:c>
      <x:c r="Q1208" s="14" t="n">
        <x:v>0.20234127953602118</x:v>
      </x:c>
      <x:c r="R1208" s="14" t="n">
        <x:v>0.5093449082961571</x:v>
      </x:c>
      <x:c r="S1208" s="14" t="n">
        <x:v>0.5234313497910305</x:v>
      </x:c>
      <x:c r="T1208" t="str">
        <x:v>2030소비·여성소비</x:v>
      </x:c>
      <x:c r="U1208" s="16" t="n">
        <x:v>72.15632474925224</x:v>
      </x:c>
      <x:c r="V1208" t="str">
        <x:v>일반의류</x:v>
      </x:c>
      <x:c r="W1208" t="str">
        <x:v>일반의류 / 당구장 / 예술학원</x:v>
      </x:c>
      <x:c r="X1208" s="16" t="n">
        <x:v>51.68962974521016</x:v>
      </x:c>
    </x:row>
    <x:row r="1209">
      <x:c r="A1209" t="str">
        <x:v>3130161</x:v>
      </x:c>
      <x:c r="B1209" t="str">
        <x:v>증산종합시장</x:v>
      </x:c>
      <x:c r="C1209" t="str">
        <x:v>전통시장</x:v>
      </x:c>
      <x:c r="D1209" t="str">
        <x:v>은평구</x:v>
      </x:c>
      <x:c r="E1209" t="str">
        <x:v>증산동</x:v>
      </x:c>
      <x:c r="F1209" s="12" t="n">
        <x:v>8072</x:v>
      </x:c>
      <x:c r="G1209" s="12" t="n">
        <x:v>926264429</x:v>
      </x:c>
      <x:c r="H1209" s="12" t="n">
        <x:v>54607</x:v>
      </x:c>
      <x:c r="I1209" s="12" t="n">
        <x:v>16962.37531818265</x:v>
      </x:c>
      <x:c r="J1209" s="12" t="n">
        <x:v>114750.30091674926</x:v>
      </x:c>
      <x:c r="K1209" s="12" t="n">
        <x:v>65</x:v>
      </x:c>
      <x:c r="L1209" s="12" t="n">
        <x:v>80.52527254707633</x:v>
      </x:c>
      <x:c r="M1209" s="12" t="n">
        <x:v>4</x:v>
      </x:c>
      <x:c r="N1209" s="14" t="n">
        <x:v>0.7614704904100339</x:v>
      </x:c>
      <x:c r="O1209" s="14" t="n">
        <x:v>0.23852950958996613</x:v>
      </x:c>
      <x:c r="P1209" s="14" t="n">
        <x:v>0.38102912402782124</x:v>
      </x:c>
      <x:c r="Q1209" s="14" t="n">
        <x:v>0.22249470512701724</x:v>
      </x:c>
      <x:c r="R1209" s="14" t="n">
        <x:v>0.13206854238380777</x:v>
      </x:c>
      <x:c r="S1209" s="14" t="n">
        <x:v>0.38905499846199965</x:v>
      </x:c>
      <x:c r="T1209" t="str">
        <x:v>고매출밀도</x:v>
      </x:c>
      <x:c r="U1209" s="16" t="n">
        <x:v>75.55643377569608</x:v>
      </x:c>
      <x:c r="V1209" t="str">
        <x:v>반찬가게</x:v>
      </x:c>
      <x:c r="W1209" t="str">
        <x:v>반찬가게 / 예술학원 / 일반교습학원</x:v>
      </x:c>
      <x:c r="X1209" s="16" t="n">
        <x:v>52.01381391530532</x:v>
      </x:c>
    </x:row>
    <x:row r="1210">
      <x:c r="A1210" t="str">
        <x:v>3110908</x:v>
      </x:c>
      <x:c r="B1210" t="str">
        <x:v>구반포역</x:v>
      </x:c>
      <x:c r="C1210" t="str">
        <x:v>골목상권</x:v>
      </x:c>
      <x:c r="D1210" t="str">
        <x:v>서초구</x:v>
      </x:c>
      <x:c r="E1210" t="str">
        <x:v>반포본동</x:v>
      </x:c>
      <x:c r="F1210" s="12" t="n">
        <x:v>28724</x:v>
      </x:c>
      <x:c r="G1210" s="12" t="n">
        <x:v>926263619</x:v>
      </x:c>
      <x:c r="H1210" s="12" t="n">
        <x:v>19529</x:v>
      </x:c>
      <x:c r="I1210" s="12" t="n">
        <x:v>47430.1612473757</x:v>
      </x:c>
      <x:c r="J1210" s="12" t="n">
        <x:v>32247.02753794736</x:v>
      </x:c>
      <x:c r="K1210" s="12" t="n">
        <x:v>5670</x:v>
      </x:c>
      <x:c r="L1210" s="12" t="n">
        <x:v>1973.9590586269321</x:v>
      </x:c>
      <x:c r="M1210" s="12" t="n">
        <x:v>11</x:v>
      </x:c>
      <x:c r="N1210" s="14" t="n">
        <x:v>0.8071163615463126</x:v>
      </x:c>
      <x:c r="O1210" s="14" t="n">
        <x:v>0.19288363845368733</x:v>
      </x:c>
      <x:c r="P1210" s="14" t="n">
        <x:v>0.2773891748845638</x:v>
      </x:c>
      <x:c r="Q1210" s="14" t="n">
        <x:v>0.33585237357789394</x:v>
      </x:c>
      <x:c r="R1210" s="14" t="n">
        <x:v>0.1376087955798251</x:v>
      </x:c>
      <x:c r="S1210" s="14" t="n">
        <x:v>0.6766547796367678</x:v>
      </x:c>
      <x:c r="T1210" t="str">
        <x:v>직장밀집·여성소비</x:v>
      </x:c>
      <x:c r="U1210" s="16" t="n">
        <x:v>75.29236273220783</x:v>
      </x:c>
      <x:c r="V1210" t="str">
        <x:v>화초</x:v>
      </x:c>
      <x:c r="W1210" t="str">
        <x:v>화초 / 커피-음료 / 가방</x:v>
      </x:c>
      <x:c r="X1210" s="16" t="n">
        <x:v>66.04000475848622</x:v>
      </x:c>
    </x:row>
    <x:row r="1211">
      <x:c r="A1211" t="str">
        <x:v>3110009</x:v>
      </x:c>
      <x:c r="B1211" t="str">
        <x:v>자하문터널</x:v>
      </x:c>
      <x:c r="C1211" t="str">
        <x:v>골목상권</x:v>
      </x:c>
      <x:c r="D1211" t="str">
        <x:v>종로구</x:v>
      </x:c>
      <x:c r="E1211" t="str">
        <x:v>부암동</x:v>
      </x:c>
      <x:c r="F1211" s="12" t="n">
        <x:v>178306</x:v>
      </x:c>
      <x:c r="G1211" s="12" t="n">
        <x:v>924945845</x:v>
      </x:c>
      <x:c r="H1211" s="12" t="n">
        <x:v>29265</x:v>
      </x:c>
      <x:c r="I1211" s="12" t="n">
        <x:v>31605.87203143687</x:v>
      </x:c>
      <x:c r="J1211" s="12" t="n">
        <x:v>5187.407294202102</x:v>
      </x:c>
      <x:c r="K1211" s="12" t="n">
        <x:v>347</x:v>
      </x:c>
      <x:c r="L1211" s="12" t="n">
        <x:v>19.460926721478806</x:v>
      </x:c>
      <x:c r="M1211" s="12" t="n">
        <x:v>5</x:v>
      </x:c>
      <x:c r="N1211" s="14" t="n">
        <x:v>0.5737868404609137</x:v>
      </x:c>
      <x:c r="O1211" s="14" t="n">
        <x:v>0.42621315953908634</x:v>
      </x:c>
      <x:c r="P1211" s="14" t="n">
        <x:v>0.34339113983478675</x:v>
      </x:c>
      <x:c r="Q1211" s="14" t="n">
        <x:v>0.3607099343205331</x:v>
      </x:c>
      <x:c r="R1211" s="14" t="n">
        <x:v>0.34291782131309534</x:v>
      </x:c>
      <x:c r="S1211" s="14" t="n">
        <x:v>0.5371457460841937</x:v>
      </x:c>
      <x:c r="T1211" t="str">
        <x:v>여성소비·2030소비</x:v>
      </x:c>
      <x:c r="U1211" s="16" t="n">
        <x:v>61.16903137933932</x:v>
      </x:c>
      <x:c r="V1211" t="str">
        <x:v>커피-음료</x:v>
      </x:c>
      <x:c r="W1211" t="str">
        <x:v>커피-음료 / 한식음식점 / 양식음식점</x:v>
      </x:c>
      <x:c r="X1211" s="16" t="n">
        <x:v>47.491273974735634</x:v>
      </x:c>
    </x:row>
    <x:row r="1212">
      <x:c r="A1212" t="str">
        <x:v>3110635</x:v>
      </x:c>
      <x:c r="B1212" t="str">
        <x:v>공항시장역 3번</x:v>
      </x:c>
      <x:c r="C1212" t="str">
        <x:v>골목상권</x:v>
      </x:c>
      <x:c r="D1212" t="str">
        <x:v>강서구</x:v>
      </x:c>
      <x:c r="E1212" t="str">
        <x:v>공항동</x:v>
      </x:c>
      <x:c r="F1212" s="12" t="n">
        <x:v>95722</x:v>
      </x:c>
      <x:c r="G1212" s="12" t="n">
        <x:v>921300776</x:v>
      </x:c>
      <x:c r="H1212" s="12" t="n">
        <x:v>25639</x:v>
      </x:c>
      <x:c r="I1212" s="12" t="n">
        <x:v>35933.569015952264</x:v>
      </x:c>
      <x:c r="J1212" s="12" t="n">
        <x:v>9624.754769018617</x:v>
      </x:c>
      <x:c r="K1212" s="12" t="n">
        <x:v>473</x:v>
      </x:c>
      <x:c r="L1212" s="12" t="n">
        <x:v>49.41392783268214</x:v>
      </x:c>
      <x:c r="M1212" s="12" t="n">
        <x:v>5</x:v>
      </x:c>
      <x:c r="N1212" s="14" t="n">
        <x:v>0.7471830697774209</x:v>
      </x:c>
      <x:c r="O1212" s="14" t="n">
        <x:v>0.2528169302225791</x:v>
      </x:c>
      <x:c r="P1212" s="14" t="n">
        <x:v>0.563147089979223</x:v>
      </x:c>
      <x:c r="Q1212" s="14" t="n">
        <x:v>0.24147332423390905</x:v>
      </x:c>
      <x:c r="R1212" s="14" t="n">
        <x:v>0.24067443637972144</x:v>
      </x:c>
      <x:c r="S1212" s="14" t="n">
        <x:v>0.3131665754724166</x:v>
      </x:c>
      <x:c r="T1212" t="str">
        <x:v>야간활성·2030소비</x:v>
      </x:c>
      <x:c r="U1212" s="16" t="n">
        <x:v>42.888584250255505</x:v>
      </x:c>
      <x:c r="V1212" t="str">
        <x:v>미용실</x:v>
      </x:c>
      <x:c r="W1212" t="str">
        <x:v>미용실 / 한식음식점 / 일반의원</x:v>
      </x:c>
      <x:c r="X1212" s="16" t="n">
        <x:v>31.93990102372817</x:v>
      </x:c>
    </x:row>
    <x:row r="1213">
      <x:c r="A1213" t="str">
        <x:v>3110980</x:v>
      </x:c>
      <x:c r="B1213" t="str">
        <x:v>개포지구대옆</x:v>
      </x:c>
      <x:c r="C1213" t="str">
        <x:v>골목상권</x:v>
      </x:c>
      <x:c r="D1213" t="str">
        <x:v>강남구</x:v>
      </x:c>
      <x:c r="E1213" t="str">
        <x:v>개포4동</x:v>
      </x:c>
      <x:c r="F1213" s="12" t="n">
        <x:v>85828</x:v>
      </x:c>
      <x:c r="G1213" s="12" t="n">
        <x:v>913417552</x:v>
      </x:c>
      <x:c r="H1213" s="12" t="n">
        <x:v>15910</x:v>
      </x:c>
      <x:c r="I1213" s="12" t="n">
        <x:v>57411.53689503457</x:v>
      </x:c>
      <x:c r="J1213" s="12" t="n">
        <x:v>10642.419163909213</x:v>
      </x:c>
      <x:c r="K1213" s="12" t="n">
        <x:v>576</x:v>
      </x:c>
      <x:c r="L1213" s="12" t="n">
        <x:v>67.11096611828307</x:v>
      </x:c>
      <x:c r="M1213" s="12" t="n">
        <x:v>5</x:v>
      </x:c>
      <x:c r="N1213" s="14" t="n">
        <x:v>0.8968797842851174</x:v>
      </x:c>
      <x:c r="O1213" s="14" t="n">
        <x:v>0.10312021571488261</x:v>
      </x:c>
      <x:c r="P1213" s="14" t="n">
        <x:v>0.030812675909691736</x:v>
      </x:c>
      <x:c r="Q1213" s="14" t="n">
        <x:v>0.5471835097821725</x:v>
      </x:c>
      <x:c r="R1213" s="14" t="n">
        <x:v>0.19085239890376007</x:v>
      </x:c>
      <x:c r="S1213" s="14" t="n">
        <x:v>0.2660543072200566</x:v>
      </x:c>
      <x:c r="T1213" t="str">
        <x:v>평일집중</x:v>
      </x:c>
      <x:c r="U1213" s="16" t="n">
        <x:v>67.07724250279392</x:v>
      </x:c>
      <x:c r="V1213" t="str">
        <x:v>일반의류</x:v>
      </x:c>
      <x:c r="W1213" t="str">
        <x:v>일반의류 / 문구 / 커피-음료</x:v>
      </x:c>
      <x:c r="X1213" s="16" t="n">
        <x:v>45.206208657684776</x:v>
      </x:c>
    </x:row>
    <x:row r="1214">
      <x:c r="A1214" t="str">
        <x:v>3110239</x:v>
      </x:c>
      <x:c r="B1214" t="str">
        <x:v>중랑역 2번</x:v>
      </x:c>
      <x:c r="C1214" t="str">
        <x:v>골목상권</x:v>
      </x:c>
      <x:c r="D1214" t="str">
        <x:v>중랑구</x:v>
      </x:c>
      <x:c r="E1214" t="str">
        <x:v>중화2동</x:v>
      </x:c>
      <x:c r="F1214" s="12" t="n">
        <x:v>10368</x:v>
      </x:c>
      <x:c r="G1214" s="12" t="n">
        <x:v>910803974</x:v>
      </x:c>
      <x:c r="H1214" s="12" t="n">
        <x:v>22775</x:v>
      </x:c>
      <x:c r="I1214" s="12" t="n">
        <x:v>39991.39293084523</x:v>
      </x:c>
      <x:c r="J1214" s="12" t="n">
        <x:v>87847.60551697531</x:v>
      </x:c>
      <x:c r="K1214" s="12" t="n">
        <x:v>4</x:v>
      </x:c>
      <x:c r="L1214" s="12" t="n">
        <x:v>3.8580246913580245</x:v>
      </x:c>
      <x:c r="M1214" s="12" t="n">
        <x:v>3</x:v>
      </x:c>
      <x:c r="N1214" s="14" t="n">
        <x:v>0.6435876706001284</x:v>
      </x:c>
      <x:c r="O1214" s="14" t="n">
        <x:v>0.3564123293998715</x:v>
      </x:c>
      <x:c r="P1214" s="14" t="n">
        <x:v>0.7916199627824637</x:v>
      </x:c>
      <x:c r="Q1214" s="14" t="n">
        <x:v>0.048720834852220354</x:v>
      </x:c>
      <x:c r="R1214" s="14" t="n">
        <x:v>0.40142554538305075</x:v>
      </x:c>
      <x:c r="S1214" s="14" t="n">
        <x:v>0.38245520764493285</x:v>
      </x:c>
      <x:c r="T1214" t="str">
        <x:v>야간활성·2030소비</x:v>
      </x:c>
      <x:c r="U1214" s="16" t="n">
        <x:v>39.6362318296291</x:v>
      </x:c>
      <x:c r="V1214" t="str">
        <x:v>호프-간이주점</x:v>
      </x:c>
      <x:c r="W1214" t="str">
        <x:v>호프-간이주점 / 노래방 / 한식음식점</x:v>
      </x:c>
      <x:c r="X1214" s="16" t="n">
        <x:v>36.781263884128656</x:v>
      </x:c>
    </x:row>
    <x:row r="1215">
      <x:c r="A1215" t="str">
        <x:v>3110292</x:v>
      </x:c>
      <x:c r="B1215" t="str">
        <x:v>정릉역 2번</x:v>
      </x:c>
      <x:c r="C1215" t="str">
        <x:v>골목상권</x:v>
      </x:c>
      <x:c r="D1215" t="str">
        <x:v>성북구</x:v>
      </x:c>
      <x:c r="E1215" t="str">
        <x:v>정릉2동</x:v>
      </x:c>
      <x:c r="F1215" s="12" t="n">
        <x:v>21672</x:v>
      </x:c>
      <x:c r="G1215" s="12" t="n">
        <x:v>895855510</x:v>
      </x:c>
      <x:c r="H1215" s="12" t="n">
        <x:v>10429</x:v>
      </x:c>
      <x:c r="I1215" s="12" t="n">
        <x:v>85900.42285933455</x:v>
      </x:c>
      <x:c r="J1215" s="12" t="n">
        <x:v>41337.00212255445</x:v>
      </x:c>
      <x:c r="K1215" s="12" t="n">
        <x:v>161</x:v>
      </x:c>
      <x:c r="L1215" s="12" t="n">
        <x:v>74.28940568475451</x:v>
      </x:c>
      <x:c r="M1215" s="12" t="n">
        <x:v>1</x:v>
      </x:c>
      <x:c r="N1215" s="14" t="n">
        <x:v>0.6443016753895949</x:v>
      </x:c>
      <x:c r="O1215" s="14" t="n">
        <x:v>0.35569832461040507</x:v>
      </x:c>
      <x:c r="P1215" s="14" t="n">
        <x:v>0.6660048091907143</x:v>
      </x:c>
      <x:c r="Q1215" s="14" t="n">
        <x:v>0.20193097433759155</x:v>
      </x:c>
      <x:c r="R1215" s="14" t="n">
        <x:v>0.13852607883161872</x:v>
      </x:c>
      <x:c r="S1215" s="14" t="n">
        <x:v>0.3410057264703322</x:v>
      </x:c>
      <x:c r="T1215" t="str">
        <x:v>야간활성</x:v>
      </x:c>
      <x:c r="U1215" s="16" t="n">
        <x:v>51.2034788337418</x:v>
      </x:c>
      <x:c r="V1215" t="str">
        <x:v>한식음식점</x:v>
      </x:c>
      <x:c r="W1215" t="str">
        <x:v>한식음식점</x:v>
      </x:c>
      <x:c r="X1215" s="16" t="n">
        <x:v>51.2034788337418</x:v>
      </x:c>
    </x:row>
    <x:row r="1216">
      <x:c r="A1216" t="str">
        <x:v>3110242</x:v>
      </x:c>
      <x:c r="B1216" t="str">
        <x:v>면목5동주민센터</x:v>
      </x:c>
      <x:c r="C1216" t="str">
        <x:v>골목상권</x:v>
      </x:c>
      <x:c r="D1216" t="str">
        <x:v>중랑구</x:v>
      </x:c>
      <x:c r="E1216" t="str">
        <x:v>면목5동</x:v>
      </x:c>
      <x:c r="F1216" s="12" t="n">
        <x:v>105010</x:v>
      </x:c>
      <x:c r="G1216" s="12" t="n">
        <x:v>890028316</x:v>
      </x:c>
      <x:c r="H1216" s="12" t="n">
        <x:v>61828</x:v>
      </x:c>
      <x:c r="I1216" s="12" t="n">
        <x:v>14395.230575143947</x:v>
      </x:c>
      <x:c r="J1216" s="12" t="n">
        <x:v>8475.652947338349</x:v>
      </x:c>
      <x:c r="K1216" s="12" t="n">
        <x:v>269</x:v>
      </x:c>
      <x:c r="L1216" s="12" t="n">
        <x:v>25.616607942100753</x:v>
      </x:c>
      <x:c r="M1216" s="12" t="n">
        <x:v>10</x:v>
      </x:c>
      <x:c r="N1216" s="14" t="n">
        <x:v>0.721258059389652</x:v>
      </x:c>
      <x:c r="O1216" s="14" t="n">
        <x:v>0.27874194061034796</x:v>
      </x:c>
      <x:c r="P1216" s="14" t="n">
        <x:v>0.5062417980418502</x:v>
      </x:c>
      <x:c r="Q1216" s="14" t="n">
        <x:v>0.20781080295427365</x:v>
      </x:c>
      <x:c r="R1216" s="14" t="n">
        <x:v>0.27908946550864566</x:v>
      </x:c>
      <x:c r="S1216" s="14" t="n">
        <x:v>0.35968894499756565</x:v>
      </x:c>
      <x:c r="T1216" t="str">
        <x:v>야간활성·2030소비</x:v>
      </x:c>
      <x:c r="U1216" s="16" t="n">
        <x:v>50.02715218054782</x:v>
      </x:c>
      <x:c r="V1216" t="str">
        <x:v>미용실</x:v>
      </x:c>
      <x:c r="W1216" t="str">
        <x:v>미용실 / 노래방 / 분식전문점</x:v>
      </x:c>
      <x:c r="X1216" s="16" t="n">
        <x:v>47.032191618845744</x:v>
      </x:c>
    </x:row>
    <x:row r="1217">
      <x:c r="A1217" t="str">
        <x:v>3110843</x:v>
      </x:c>
      <x:c r="B1217" t="str">
        <x:v>사당5동주민센터</x:v>
      </x:c>
      <x:c r="C1217" t="str">
        <x:v>골목상권</x:v>
      </x:c>
      <x:c r="D1217" t="str">
        <x:v>동작구</x:v>
      </x:c>
      <x:c r="E1217" t="str">
        <x:v>사당5동</x:v>
      </x:c>
      <x:c r="F1217" s="12" t="n">
        <x:v>42412</x:v>
      </x:c>
      <x:c r="G1217" s="12" t="n">
        <x:v>885449487</x:v>
      </x:c>
      <x:c r="H1217" s="12" t="n">
        <x:v>65340</x:v>
      </x:c>
      <x:c r="I1217" s="12" t="n">
        <x:v>13551.415472910927</x:v>
      </x:c>
      <x:c r="J1217" s="12" t="n">
        <x:v>20877.33393850797</x:v>
      </x:c>
      <x:c r="K1217" s="12" t="n">
        <x:v>589</x:v>
      </x:c>
      <x:c r="L1217" s="12" t="n">
        <x:v>138.87578987079127</x:v>
      </x:c>
      <x:c r="M1217" s="12" t="n">
        <x:v>6</x:v>
      </x:c>
      <x:c r="N1217" s="14" t="n">
        <x:v>0.7291817878708647</x:v>
      </x:c>
      <x:c r="O1217" s="14" t="n">
        <x:v>0.27081821212913526</x:v>
      </x:c>
      <x:c r="P1217" s="14" t="n">
        <x:v>0.5518350636302306</x:v>
      </x:c>
      <x:c r="Q1217" s="14" t="n">
        <x:v>0.1382595233238867</x:v>
      </x:c>
      <x:c r="R1217" s="14" t="n">
        <x:v>0.21571202175195342</x:v>
      </x:c>
      <x:c r="S1217" s="14" t="n">
        <x:v>0.3800760810650286</x:v>
      </x:c>
      <x:c r="T1217" t="str">
        <x:v>야간활성·직장밀집</x:v>
      </x:c>
      <x:c r="U1217" s="16" t="n">
        <x:v>59.11172956578148</x:v>
      </x:c>
      <x:c r="V1217" t="str">
        <x:v>화초</x:v>
      </x:c>
      <x:c r="W1217" t="str">
        <x:v>화초 / 일반교습학원 / 미용실</x:v>
      </x:c>
      <x:c r="X1217" s="16" t="n">
        <x:v>53.40625154011177</x:v>
      </x:c>
    </x:row>
    <x:row r="1218">
      <x:c r="A1218" t="str">
        <x:v>3110015</x:v>
      </x:c>
      <x:c r="B1218" t="str">
        <x:v>청와대사랑채</x:v>
      </x:c>
      <x:c r="C1218" t="str">
        <x:v>골목상권</x:v>
      </x:c>
      <x:c r="D1218" t="str">
        <x:v>종로구</x:v>
      </x:c>
      <x:c r="E1218" t="str">
        <x:v>청운효자동</x:v>
      </x:c>
      <x:c r="F1218" s="12" t="n">
        <x:v>69399</x:v>
      </x:c>
      <x:c r="G1218" s="12" t="n">
        <x:v>881178205</x:v>
      </x:c>
      <x:c r="H1218" s="12" t="n">
        <x:v>23308</x:v>
      </x:c>
      <x:c r="I1218" s="12" t="n">
        <x:v>37805.826540243695</x:v>
      </x:c>
      <x:c r="J1218" s="12" t="n">
        <x:v>12697.275248922895</x:v>
      </x:c>
      <x:c r="K1218" s="12" t="n">
        <x:v>1114</x:v>
      </x:c>
      <x:c r="L1218" s="12" t="n">
        <x:v>160.52104497182955</x:v>
      </x:c>
      <x:c r="M1218" s="12" t="n">
        <x:v>2</x:v>
      </x:c>
      <x:c r="N1218" s="14" t="n">
        <x:v>0.7760363512395316</x:v>
      </x:c>
      <x:c r="O1218" s="14" t="n">
        <x:v>0.22396364876046837</x:v>
      </x:c>
      <x:c r="P1218" s="14" t="n">
        <x:v>0.45661561953861535</x:v>
      </x:c>
      <x:c r="Q1218" s="14" t="n">
        <x:v>0.30129039335465635</x:v>
      </x:c>
      <x:c r="R1218" s="14" t="n">
        <x:v>0.405455245003478</x:v>
      </x:c>
      <x:c r="S1218" s="14" t="n">
        <x:v>0.48767544471892604</x:v>
      </x:c>
      <x:c r="T1218" t="str">
        <x:v>2030소비·직장밀집</x:v>
      </x:c>
      <x:c r="U1218" s="16" t="n">
        <x:v>49.723934453821535</x:v>
      </x:c>
      <x:c r="V1218" t="str">
        <x:v>커피-음료</x:v>
      </x:c>
      <x:c r="W1218" t="str">
        <x:v>커피-음료 / 양식음식점</x:v>
      </x:c>
      <x:c r="X1218" s="16" t="n">
        <x:v>49.26716065960733</x:v>
      </x:c>
    </x:row>
    <x:row r="1219">
      <x:c r="A1219" t="str">
        <x:v>3110890</x:v>
      </x:c>
      <x:c r="B1219" t="str">
        <x:v>봉천역 1번(관악초등학교)</x:v>
      </x:c>
      <x:c r="C1219" t="str">
        <x:v>골목상권</x:v>
      </x:c>
      <x:c r="D1219" t="str">
        <x:v>관악구</x:v>
      </x:c>
      <x:c r="E1219" t="str">
        <x:v>청룡동</x:v>
      </x:c>
      <x:c r="F1219" s="12" t="n">
        <x:v>53715</x:v>
      </x:c>
      <x:c r="G1219" s="12" t="n">
        <x:v>880738303</x:v>
      </x:c>
      <x:c r="H1219" s="12" t="n">
        <x:v>72074</x:v>
      </x:c>
      <x:c r="I1219" s="12" t="n">
        <x:v>12219.917071343341</x:v>
      </x:c>
      <x:c r="J1219" s="12" t="n">
        <x:v>16396.50568742437</x:v>
      </x:c>
      <x:c r="K1219" s="12" t="n">
        <x:v>624</x:v>
      </x:c>
      <x:c r="L1219" s="12" t="n">
        <x:v>116.16866796984083</x:v>
      </x:c>
      <x:c r="M1219" s="12" t="n">
        <x:v>9</x:v>
      </x:c>
      <x:c r="N1219" s="14" t="n">
        <x:v>0.7594904612658818</x:v>
      </x:c>
      <x:c r="O1219" s="14" t="n">
        <x:v>0.24050953873411818</x:v>
      </x:c>
      <x:c r="P1219" s="14" t="n">
        <x:v>0.4794377836886243</x:v>
      </x:c>
      <x:c r="Q1219" s="14" t="n">
        <x:v>0.21328762398562334</x:v>
      </x:c>
      <x:c r="R1219" s="14" t="n">
        <x:v>0.39850574546886713</x:v>
      </x:c>
      <x:c r="S1219" s="14" t="n">
        <x:v>0.3859248312946371</x:v>
      </x:c>
      <x:c r="T1219" t="str">
        <x:v>2030소비·야간활성</x:v>
      </x:c>
      <x:c r="U1219" s="16" t="n">
        <x:v>46.53452244434726</x:v>
      </x:c>
      <x:c r="V1219" t="str">
        <x:v>미용실</x:v>
      </x:c>
      <x:c r="W1219" t="str">
        <x:v>미용실 / 일반교습학원 / 화장품</x:v>
      </x:c>
      <x:c r="X1219" s="16" t="n">
        <x:v>42.741087360601874</x:v>
      </x:c>
    </x:row>
    <x:row r="1220">
      <x:c r="A1220" t="str">
        <x:v>3110724</x:v>
      </x:c>
      <x:c r="B1220" t="str">
        <x:v>금천구립가산도서관</x:v>
      </x:c>
      <x:c r="C1220" t="str">
        <x:v>골목상권</x:v>
      </x:c>
      <x:c r="D1220" t="str">
        <x:v>금천구</x:v>
      </x:c>
      <x:c r="E1220" t="str">
        <x:v>가산동</x:v>
      </x:c>
      <x:c r="F1220" s="12" t="n">
        <x:v>64563</x:v>
      </x:c>
      <x:c r="G1220" s="12" t="n">
        <x:v>879871724</x:v>
      </x:c>
      <x:c r="H1220" s="12" t="n">
        <x:v>103506</x:v>
      </x:c>
      <x:c r="I1220" s="12" t="n">
        <x:v>8500.683284060828</x:v>
      </x:c>
      <x:c r="J1220" s="12" t="n">
        <x:v>13628.110899431564</x:v>
      </x:c>
      <x:c r="K1220" s="12" t="n">
        <x:v>265</x:v>
      </x:c>
      <x:c r="L1220" s="12" t="n">
        <x:v>41.045180676238715</x:v>
      </x:c>
      <x:c r="M1220" s="12" t="n">
        <x:v>4</x:v>
      </x:c>
      <x:c r="N1220" s="14" t="n">
        <x:v>0.7346879077568812</x:v>
      </x:c>
      <x:c r="O1220" s="14" t="n">
        <x:v>0.26531209224311886</x:v>
      </x:c>
      <x:c r="P1220" s="14" t="n">
        <x:v>0.5479065946208314</x:v>
      </x:c>
      <x:c r="Q1220" s="14" t="n">
        <x:v>0.13998164009643752</x:v>
      </x:c>
      <x:c r="R1220" s="14" t="n">
        <x:v>0.5444436182381512</x:v>
      </x:c>
      <x:c r="S1220" s="14" t="n">
        <x:v>0.29432811049170615</x:v>
      </x:c>
      <x:c r="T1220" t="str">
        <x:v>2030소비·야간활성</x:v>
      </x:c>
      <x:c r="U1220" s="16" t="n">
        <x:v>36.8449829178735</x:v>
      </x:c>
      <x:c r="V1220" t="str">
        <x:v>분식전문점</x:v>
      </x:c>
      <x:c r="W1220" t="str">
        <x:v>분식전문점 / 편의점 / 한식음식점</x:v>
      </x:c>
      <x:c r="X1220" s="16" t="n">
        <x:v>31.875407371663957</x:v>
      </x:c>
    </x:row>
    <x:row r="1221">
      <x:c r="A1221" t="str">
        <x:v>3110033</x:v>
      </x:c>
      <x:c r="B1221" t="str">
        <x:v>창신역 4번</x:v>
      </x:c>
      <x:c r="C1221" t="str">
        <x:v>골목상권</x:v>
      </x:c>
      <x:c r="D1221" t="str">
        <x:v>종로구</x:v>
      </x:c>
      <x:c r="E1221" t="str">
        <x:v>숭인1동</x:v>
      </x:c>
      <x:c r="F1221" s="12" t="n">
        <x:v>77869</x:v>
      </x:c>
      <x:c r="G1221" s="12" t="n">
        <x:v>871380118</x:v>
      </x:c>
      <x:c r="H1221" s="12" t="n">
        <x:v>23461</x:v>
      </x:c>
      <x:c r="I1221" s="12" t="n">
        <x:v>37141.644345935805</x:v>
      </x:c>
      <x:c r="J1221" s="12" t="n">
        <x:v>11190.333996840847</x:v>
      </x:c>
      <x:c r="K1221" s="12" t="n">
        <x:v>143</x:v>
      </x:c>
      <x:c r="L1221" s="12" t="n">
        <x:v>18.364175731035456</x:v>
      </x:c>
      <x:c r="M1221" s="12" t="n">
        <x:v>4</x:v>
      </x:c>
      <x:c r="N1221" s="14" t="n">
        <x:v>0.8273512513169368</x:v>
      </x:c>
      <x:c r="O1221" s="14" t="n">
        <x:v>0.17264874868306326</x:v>
      </x:c>
      <x:c r="P1221" s="14" t="n">
        <x:v>0.44226837982548506</x:v>
      </x:c>
      <x:c r="Q1221" s="14" t="n">
        <x:v>0.3429655793454769</x:v>
      </x:c>
      <x:c r="R1221" s="14" t="n">
        <x:v>0.17431186673001414</x:v>
      </x:c>
      <x:c r="S1221" s="14" t="n">
        <x:v>0.4101045635746305</x:v>
      </x:c>
      <x:c r="T1221" t="str">
        <x:v>평일집중·야간활성</x:v>
      </x:c>
      <x:c r="U1221" s="16" t="n">
        <x:v>65.23857506686767</x:v>
      </x:c>
      <x:c r="V1221" t="str">
        <x:v>일반교습학원</x:v>
      </x:c>
      <x:c r="W1221" t="str">
        <x:v>일반교습학원 / 한식음식점 / 미용실</x:v>
      </x:c>
      <x:c r="X1221" s="16" t="n">
        <x:v>51.487766098811576</x:v>
      </x:c>
    </x:row>
    <x:row r="1222">
      <x:c r="A1222" t="str">
        <x:v>3110329</x:v>
      </x:c>
      <x:c r="B1222" t="str">
        <x:v>우리은행체육관</x:v>
      </x:c>
      <x:c r="C1222" t="str">
        <x:v>골목상권</x:v>
      </x:c>
      <x:c r="D1222" t="str">
        <x:v>성북구</x:v>
      </x:c>
      <x:c r="E1222" t="str">
        <x:v>장위2동</x:v>
      </x:c>
      <x:c r="F1222" s="12" t="n">
        <x:v>88610</x:v>
      </x:c>
      <x:c r="G1222" s="12" t="n">
        <x:v>869458998</x:v>
      </x:c>
      <x:c r="H1222" s="12" t="n">
        <x:v>33689</x:v>
      </x:c>
      <x:c r="I1222" s="12" t="n">
        <x:v>25808.394372050225</x:v>
      </x:c>
      <x:c r="J1222" s="12" t="n">
        <x:v>9812.199503442049</x:v>
      </x:c>
      <x:c r="K1222" s="12" t="n">
        <x:v>252</x:v>
      </x:c>
      <x:c r="L1222" s="12" t="n">
        <x:v>28.439228078095024</x:v>
      </x:c>
      <x:c r="M1222" s="12" t="n">
        <x:v>6</x:v>
      </x:c>
      <x:c r="N1222" s="14" t="n">
        <x:v>0.6285417061150479</x:v>
      </x:c>
      <x:c r="O1222" s="14" t="n">
        <x:v>0.3714582938849521</x:v>
      </x:c>
      <x:c r="P1222" s="14" t="n">
        <x:v>0.5634821781440693</x:v>
      </x:c>
      <x:c r="Q1222" s="14" t="n">
        <x:v>0.17856517484680745</x:v>
      </x:c>
      <x:c r="R1222" s="14" t="n">
        <x:v>0.15942854616359953</x:v>
      </x:c>
      <x:c r="S1222" s="14" t="n">
        <x:v>0.399701151865013</x:v>
      </x:c>
      <x:c r="T1222" t="str">
        <x:v>야간활성</x:v>
      </x:c>
      <x:c r="U1222" s="16" t="n">
        <x:v>55.63181575196008</x:v>
      </x:c>
      <x:c r="V1222" t="str">
        <x:v>인테리어</x:v>
      </x:c>
      <x:c r="W1222" t="str">
        <x:v>인테리어 / 반찬가게 / 미용실</x:v>
      </x:c>
      <x:c r="X1222" s="16" t="n">
        <x:v>48.2278271532581</x:v>
      </x:c>
    </x:row>
    <x:row r="1223">
      <x:c r="A1223" t="str">
        <x:v>3110382</x:v>
      </x:c>
      <x:c r="B1223" t="str">
        <x:v>솔밭공원역 1번</x:v>
      </x:c>
      <x:c r="C1223" t="str">
        <x:v>골목상권</x:v>
      </x:c>
      <x:c r="D1223" t="str">
        <x:v>도봉구</x:v>
      </x:c>
      <x:c r="E1223" t="str">
        <x:v>쌍문1동</x:v>
      </x:c>
      <x:c r="F1223" s="12" t="n">
        <x:v>40166</x:v>
      </x:c>
      <x:c r="G1223" s="12" t="n">
        <x:v>868738664</x:v>
      </x:c>
      <x:c r="H1223" s="12" t="n">
        <x:v>77587</x:v>
      </x:c>
      <x:c r="I1223" s="12" t="n">
        <x:v>11196.961655947516</x:v>
      </x:c>
      <x:c r="J1223" s="12" t="n">
        <x:v>21628.7074640243</x:v>
      </x:c>
      <x:c r="K1223" s="12" t="n">
        <x:v>155</x:v>
      </x:c>
      <x:c r="L1223" s="12" t="n">
        <x:v>38.58985211372803</x:v>
      </x:c>
      <x:c r="M1223" s="12" t="n">
        <x:v>6</x:v>
      </x:c>
      <x:c r="N1223" s="14" t="n">
        <x:v>0.6864235859542681</x:v>
      </x:c>
      <x:c r="O1223" s="14" t="n">
        <x:v>0.31357641404573194</x:v>
      </x:c>
      <x:c r="P1223" s="14" t="n">
        <x:v>0.5376930777424223</x:v>
      </x:c>
      <x:c r="Q1223" s="14" t="n">
        <x:v>0.13835974842717488</x:v>
      </x:c>
      <x:c r="R1223" s="14" t="n">
        <x:v>0.29394112704070924</x:v>
      </x:c>
      <x:c r="S1223" s="14" t="n">
        <x:v>0.426544815323196</x:v>
      </x:c>
      <x:c r="T1223" t="str">
        <x:v>야간활성·2030소비</x:v>
      </x:c>
      <x:c r="U1223" s="16" t="n">
        <x:v>55.9233082129467</x:v>
      </x:c>
      <x:c r="V1223" t="str">
        <x:v>스포츠클럽</x:v>
      </x:c>
      <x:c r="W1223" t="str">
        <x:v>스포츠클럽 / 슈퍼마켓 / 미용실</x:v>
      </x:c>
      <x:c r="X1223" s="16" t="n">
        <x:v>51.50020881466527</x:v>
      </x:c>
    </x:row>
    <x:row r="1224">
      <x:c r="A1224" t="str">
        <x:v>3110637</x:v>
      </x:c>
      <x:c r="B1224" t="str">
        <x:v>송정역 2번</x:v>
      </x:c>
      <x:c r="C1224" t="str">
        <x:v>골목상권</x:v>
      </x:c>
      <x:c r="D1224" t="str">
        <x:v>강서구</x:v>
      </x:c>
      <x:c r="E1224" t="str">
        <x:v>공항동</x:v>
      </x:c>
      <x:c r="F1224" s="12" t="n">
        <x:v>86547</x:v>
      </x:c>
      <x:c r="G1224" s="12" t="n">
        <x:v>860420685</x:v>
      </x:c>
      <x:c r="H1224" s="12" t="n">
        <x:v>69334</x:v>
      </x:c>
      <x:c r="I1224" s="12" t="n">
        <x:v>12409.794401015375</x:v>
      </x:c>
      <x:c r="J1224" s="12" t="n">
        <x:v>9941.658116399181</x:v>
      </x:c>
      <x:c r="K1224" s="12" t="n">
        <x:v>794</x:v>
      </x:c>
      <x:c r="L1224" s="12" t="n">
        <x:v>91.74205922793395</x:v>
      </x:c>
      <x:c r="M1224" s="12" t="n">
        <x:v>4</x:v>
      </x:c>
      <x:c r="N1224" s="14" t="n">
        <x:v>0.7205792478129462</x:v>
      </x:c>
      <x:c r="O1224" s="14" t="n">
        <x:v>0.2794207521870537</x:v>
      </x:c>
      <x:c r="P1224" s="14" t="n">
        <x:v>0.535768428207883</x:v>
      </x:c>
      <x:c r="Q1224" s="14" t="n">
        <x:v>0.22328957839966387</x:v>
      </x:c>
      <x:c r="R1224" s="14" t="n">
        <x:v>0.24708609021876315</x:v>
      </x:c>
      <x:c r="S1224" s="14" t="n">
        <x:v>0.3086051528386954</x:v>
      </x:c>
      <x:c r="T1224" t="str">
        <x:v>야간활성·2030소비</x:v>
      </x:c>
      <x:c r="U1224" s="16" t="n">
        <x:v>49.68466881382541</x:v>
      </x:c>
      <x:c r="V1224" t="str">
        <x:v>한식음식점</x:v>
      </x:c>
      <x:c r="W1224" t="str">
        <x:v>한식음식점 / 컴퓨터및주변장치판매 / 슈퍼마켓</x:v>
      </x:c>
      <x:c r="X1224" s="16" t="n">
        <x:v>39.533728517053014</x:v>
      </x:c>
    </x:row>
    <x:row r="1225">
      <x:c r="A1225" t="str">
        <x:v>3110726</x:v>
      </x:c>
      <x:c r="B1225" t="str">
        <x:v>금천철쭉어린이공원(금하마을)</x:v>
      </x:c>
      <x:c r="C1225" t="str">
        <x:v>골목상권</x:v>
      </x:c>
      <x:c r="D1225" t="str">
        <x:v>금천구</x:v>
      </x:c>
      <x:c r="E1225" t="str">
        <x:v>독산1동</x:v>
      </x:c>
      <x:c r="F1225" s="12" t="n">
        <x:v>44361</x:v>
      </x:c>
      <x:c r="G1225" s="12" t="n">
        <x:v>852011262</x:v>
      </x:c>
      <x:c r="H1225" s="12" t="n">
        <x:v>61522</x:v>
      </x:c>
      <x:c r="I1225" s="12" t="n">
        <x:v>13848.887584928969</x:v>
      </x:c>
      <x:c r="J1225" s="12" t="n">
        <x:v>19206.31324812335</x:v>
      </x:c>
      <x:c r="K1225" s="12" t="n">
        <x:v>177</x:v>
      </x:c>
      <x:c r="L1225" s="12" t="n">
        <x:v>39.89991208493947</x:v>
      </x:c>
      <x:c r="M1225" s="12" t="n">
        <x:v>9</x:v>
      </x:c>
      <x:c r="N1225" s="14" t="n">
        <x:v>0.695678077785784</x:v>
      </x:c>
      <x:c r="O1225" s="14" t="n">
        <x:v>0.304321922214216</x:v>
      </x:c>
      <x:c r="P1225" s="14" t="n">
        <x:v>0.5055031127041605</x:v>
      </x:c>
      <x:c r="Q1225" s="14" t="n">
        <x:v>0.19922564004793636</x:v>
      </x:c>
      <x:c r="R1225" s="14" t="n">
        <x:v>0.13353160700357034</x:v>
      </x:c>
      <x:c r="S1225" s="14" t="n">
        <x:v>0.41307569711443554</x:v>
      </x:c>
      <x:c r="T1225" t="str">
        <x:v>야간활성</x:v>
      </x:c>
      <x:c r="U1225" s="16" t="n">
        <x:v>45.701305147663916</x:v>
      </x:c>
      <x:c r="V1225" t="str">
        <x:v>슈퍼마켓</x:v>
      </x:c>
      <x:c r="W1225" t="str">
        <x:v>슈퍼마켓 / 피부관리실 / 미용실</x:v>
      </x:c>
      <x:c r="X1225" s="16" t="n">
        <x:v>41.29680531708182</x:v>
      </x:c>
    </x:row>
    <x:row r="1226">
      <x:c r="A1226" t="str">
        <x:v>3110535</x:v>
      </x:c>
      <x:c r="B1226" t="str">
        <x:v>영천시장입구</x:v>
      </x:c>
      <x:c r="C1226" t="str">
        <x:v>골목상권</x:v>
      </x:c>
      <x:c r="D1226" t="str">
        <x:v>서대문구</x:v>
      </x:c>
      <x:c r="E1226" t="str">
        <x:v>천연동</x:v>
      </x:c>
      <x:c r="F1226" s="12" t="n">
        <x:v>34671</x:v>
      </x:c>
      <x:c r="G1226" s="12" t="n">
        <x:v>850356776</x:v>
      </x:c>
      <x:c r="H1226" s="12" t="n">
        <x:v>46003</x:v>
      </x:c>
      <x:c r="I1226" s="12" t="n">
        <x:v>18484.811338390973</x:v>
      </x:c>
      <x:c r="J1226" s="12" t="n">
        <x:v>24526.45657754319</x:v>
      </x:c>
      <x:c r="K1226" s="12" t="n">
        <x:v>201</x:v>
      </x:c>
      <x:c r="L1226" s="12" t="n">
        <x:v>57.973522540451675</x:v>
      </x:c>
      <x:c r="M1226" s="12" t="n">
        <x:v>6</x:v>
      </x:c>
      <x:c r="N1226" s="14" t="n">
        <x:v>0.694475549166436</x:v>
      </x:c>
      <x:c r="O1226" s="14" t="n">
        <x:v>0.305524450833564</x:v>
      </x:c>
      <x:c r="P1226" s="14" t="n">
        <x:v>0.2653611676518234</x:v>
      </x:c>
      <x:c r="Q1226" s="14" t="n">
        <x:v>0.3190054958767095</x:v>
      </x:c>
      <x:c r="R1226" s="14" t="n">
        <x:v>0.1175696940645064</x:v>
      </x:c>
      <x:c r="S1226" s="14" t="n">
        <x:v>0.49703054638797867</x:v>
      </x:c>
      <x:c r="T1226" t="str">
        <x:v>여성소비</x:v>
      </x:c>
      <x:c r="U1226" s="16" t="n">
        <x:v>63.87160651775416</x:v>
      </x:c>
      <x:c r="V1226" t="str">
        <x:v>청과상</x:v>
      </x:c>
      <x:c r="W1226" t="str">
        <x:v>청과상 / 미용실 / 일반교습학원</x:v>
      </x:c>
      <x:c r="X1226" s="16" t="n">
        <x:v>44.79797795528572</x:v>
      </x:c>
    </x:row>
    <x:row r="1227">
      <x:c r="A1227" t="str">
        <x:v>3110121</x:v>
      </x:c>
      <x:c r="B1227" t="str">
        <x:v>한양대역 4번</x:v>
      </x:c>
      <x:c r="C1227" t="str">
        <x:v>골목상권</x:v>
      </x:c>
      <x:c r="D1227" t="str">
        <x:v>성동구</x:v>
      </x:c>
      <x:c r="E1227" t="str">
        <x:v>사근동</x:v>
      </x:c>
      <x:c r="F1227" s="12" t="n">
        <x:v>29267</x:v>
      </x:c>
      <x:c r="G1227" s="12" t="n">
        <x:v>848022544</x:v>
      </x:c>
      <x:c r="H1227" s="12" t="n">
        <x:v>74179</x:v>
      </x:c>
      <x:c r="I1227" s="12" t="n">
        <x:v>11432.11075910972</x:v>
      </x:c>
      <x:c r="J1227" s="12" t="n">
        <x:v>28975.383332763864</x:v>
      </x:c>
      <x:c r="K1227" s="12" t="n">
        <x:v>70</x:v>
      </x:c>
      <x:c r="L1227" s="12" t="n">
        <x:v>23.917723032767277</x:v>
      </x:c>
      <x:c r="M1227" s="12" t="n">
        <x:v>3</x:v>
      </x:c>
      <x:c r="N1227" s="14" t="n">
        <x:v>0.7752731099563787</x:v>
      </x:c>
      <x:c r="O1227" s="14" t="n">
        <x:v>0.22472689004362129</x:v>
      </x:c>
      <x:c r="P1227" s="14" t="n">
        <x:v>0.43633283291581926</x:v>
      </x:c>
      <x:c r="Q1227" s="14" t="n">
        <x:v>0.3117981955441977</x:v>
      </x:c>
      <x:c r="R1227" s="14" t="n">
        <x:v>0.47453160396169847</x:v>
      </x:c>
      <x:c r="S1227" s="14" t="n">
        <x:v>0.25785256246678273</x:v>
      </x:c>
      <x:c r="T1227" t="str">
        <x:v>2030소비·야간활성</x:v>
      </x:c>
      <x:c r="U1227" s="16" t="n">
        <x:v>59.95418977047586</x:v>
      </x:c>
      <x:c r="V1227" t="str">
        <x:v>패스트푸드점</x:v>
      </x:c>
      <x:c r="W1227" t="str">
        <x:v>패스트푸드점 / 한식음식점 / 커피-음료</x:v>
      </x:c>
      <x:c r="X1227" s="16" t="n">
        <x:v>45.873693432069594</x:v>
      </x:c>
    </x:row>
    <x:row r="1228">
      <x:c r="A1228" t="str">
        <x:v>3110579</x:v>
      </x:c>
      <x:c r="B1228" t="str">
        <x:v>마포역 4번</x:v>
      </x:c>
      <x:c r="C1228" t="str">
        <x:v>골목상권</x:v>
      </x:c>
      <x:c r="D1228" t="str">
        <x:v>마포구</x:v>
      </x:c>
      <x:c r="E1228" t="str">
        <x:v>도화동</x:v>
      </x:c>
      <x:c r="F1228" s="12" t="n">
        <x:v>55046</x:v>
      </x:c>
      <x:c r="G1228" s="12" t="n">
        <x:v>847142246</x:v>
      </x:c>
      <x:c r="H1228" s="12" t="n">
        <x:v>72099</x:v>
      </x:c>
      <x:c r="I1228" s="12" t="n">
        <x:v>11749.708678345054</x:v>
      </x:c>
      <x:c r="J1228" s="12" t="n">
        <x:v>15389.714892998583</x:v>
      </x:c>
      <x:c r="K1228" s="12" t="n">
        <x:v>1346</x:v>
      </x:c>
      <x:c r="L1228" s="12" t="n">
        <x:v>244.52276278022018</x:v>
      </x:c>
      <x:c r="M1228" s="12" t="n">
        <x:v>5</x:v>
      </x:c>
      <x:c r="N1228" s="14" t="n">
        <x:v>0.8537820365058266</x:v>
      </x:c>
      <x:c r="O1228" s="14" t="n">
        <x:v>0.14621796349417332</x:v>
      </x:c>
      <x:c r="P1228" s="14" t="n">
        <x:v>0.5794542856501576</x:v>
      </x:c>
      <x:c r="Q1228" s="14" t="n">
        <x:v>0.15621545687853702</x:v>
      </x:c>
      <x:c r="R1228" s="14" t="n">
        <x:v>0.4454414471498332</x:v>
      </x:c>
      <x:c r="S1228" s="14" t="n">
        <x:v>0.3054503682490178</x:v>
      </x:c>
      <x:c r="T1228" t="str">
        <x:v>야간활성·2030소비</x:v>
      </x:c>
      <x:c r="U1228" s="16" t="n">
        <x:v>51.54154448848271</x:v>
      </x:c>
      <x:c r="V1228" t="str">
        <x:v>화장품</x:v>
      </x:c>
      <x:c r="W1228" t="str">
        <x:v>화장품 / 편의점 / 분식전문점</x:v>
      </x:c>
      <x:c r="X1228" s="16" t="n">
        <x:v>40.001561680060554</x:v>
      </x:c>
    </x:row>
    <x:row r="1229">
      <x:c r="A1229" t="str">
        <x:v>3110221</x:v>
      </x:c>
      <x:c r="B1229" t="str">
        <x:v>의릉</x:v>
      </x:c>
      <x:c r="C1229" t="str">
        <x:v>골목상권</x:v>
      </x:c>
      <x:c r="D1229" t="str">
        <x:v>성북구</x:v>
      </x:c>
      <x:c r="E1229" t="str">
        <x:v>석관동</x:v>
      </x:c>
      <x:c r="F1229" s="12" t="n">
        <x:v>47130</x:v>
      </x:c>
      <x:c r="G1229" s="12" t="n">
        <x:v>846967195</x:v>
      </x:c>
      <x:c r="H1229" s="12" t="n">
        <x:v>29515</x:v>
      </x:c>
      <x:c r="I1229" s="12" t="n">
        <x:v>28696.161104523122</x:v>
      </x:c>
      <x:c r="J1229" s="12" t="n">
        <x:v>17970.87194992574</x:v>
      </x:c>
      <x:c r="K1229" s="12" t="n">
        <x:v>244</x:v>
      </x:c>
      <x:c r="L1229" s="12" t="n">
        <x:v>51.771695310842354</x:v>
      </x:c>
      <x:c r="M1229" s="12" t="n">
        <x:v>4</x:v>
      </x:c>
      <x:c r="N1229" s="14" t="n">
        <x:v>0.7140163179519603</x:v>
      </x:c>
      <x:c r="O1229" s="14" t="n">
        <x:v>0.28598368204803964</x:v>
      </x:c>
      <x:c r="P1229" s="14" t="n">
        <x:v>0.7168208161828511</x:v>
      </x:c>
      <x:c r="Q1229" s="14" t="n">
        <x:v>0.13889546690176116</x:v>
      </x:c>
      <x:c r="R1229" s="14" t="n">
        <x:v>0.29166595997853256</x:v>
      </x:c>
      <x:c r="S1229" s="14" t="n">
        <x:v>0.3706596239539124</x:v>
      </x:c>
      <x:c r="T1229" t="str">
        <x:v>야간활성·2030소비</x:v>
      </x:c>
      <x:c r="U1229" s="16" t="n">
        <x:v>49.617892006529615</x:v>
      </x:c>
      <x:c r="V1229" t="str">
        <x:v>한식음식점</x:v>
      </x:c>
      <x:c r="W1229" t="str">
        <x:v>한식음식점 / 커피-음료 / 호프-간이주점</x:v>
      </x:c>
      <x:c r="X1229" s="16" t="n">
        <x:v>43.336112650714625</x:v>
      </x:c>
    </x:row>
    <x:row r="1230">
      <x:c r="A1230" t="str">
        <x:v>3130079</x:v>
      </x:c>
      <x:c r="B1230" t="str">
        <x:v>한아름시장</x:v>
      </x:c>
      <x:c r="C1230" t="str">
        <x:v>전통시장</x:v>
      </x:c>
      <x:c r="D1230" t="str">
        <x:v>광진구</x:v>
      </x:c>
      <x:c r="E1230" t="str">
        <x:v>화양동</x:v>
      </x:c>
      <x:c r="F1230" s="12" t="n">
        <x:v>11040</x:v>
      </x:c>
      <x:c r="G1230" s="12" t="n">
        <x:v>844768846</x:v>
      </x:c>
      <x:c r="H1230" s="12" t="n">
        <x:v>24990</x:v>
      </x:c>
      <x:c r="I1230" s="12" t="n">
        <x:v>33804.27555022009</x:v>
      </x:c>
      <x:c r="J1230" s="12" t="n">
        <x:v>76518.91721014492</x:v>
      </x:c>
      <x:c r="K1230" s="12" t="n">
        <x:v>26</x:v>
      </x:c>
      <x:c r="L1230" s="12" t="n">
        <x:v>23.55072463768116</x:v>
      </x:c>
      <x:c r="M1230" s="12" t="n">
        <x:v>4</x:v>
      </x:c>
      <x:c r="N1230" s="14" t="n">
        <x:v>0.7500459705636445</x:v>
      </x:c>
      <x:c r="O1230" s="14" t="n">
        <x:v>0.24995402943635542</x:v>
      </x:c>
      <x:c r="P1230" s="14" t="n">
        <x:v>0.500273968436568</x:v>
      </x:c>
      <x:c r="Q1230" s="14" t="n">
        <x:v>0.17860393374402445</x:v>
      </x:c>
      <x:c r="R1230" s="14" t="n">
        <x:v>0.5694934741947147</x:v>
      </x:c>
      <x:c r="S1230" s="14" t="n">
        <x:v>0.3881779560795972</x:v>
      </x:c>
      <x:c r="T1230" t="str">
        <x:v>2030소비·야간활성</x:v>
      </x:c>
      <x:c r="U1230" s="16" t="n">
        <x:v>58.6313694941558</x:v>
      </x:c>
      <x:c r="V1230" t="str">
        <x:v>당구장</x:v>
      </x:c>
      <x:c r="W1230" t="str">
        <x:v>당구장 / 예술학원 / 한식음식점</x:v>
      </x:c>
      <x:c r="X1230" s="16" t="n">
        <x:v>44.20649629386068</x:v>
      </x:c>
    </x:row>
    <x:row r="1231">
      <x:c r="A1231" t="str">
        <x:v>3110480</x:v>
      </x:c>
      <x:c r="B1231" t="str">
        <x:v>연신내역 3번</x:v>
      </x:c>
      <x:c r="C1231" t="str">
        <x:v>골목상권</x:v>
      </x:c>
      <x:c r="D1231" t="str">
        <x:v>은평구</x:v>
      </x:c>
      <x:c r="E1231" t="str">
        <x:v>불광1동</x:v>
      </x:c>
      <x:c r="F1231" s="12" t="n">
        <x:v>77808</x:v>
      </x:c>
      <x:c r="G1231" s="12" t="n">
        <x:v>842799494</x:v>
      </x:c>
      <x:c r="H1231" s="12" t="n">
        <x:v>24451</x:v>
      </x:c>
      <x:c r="I1231" s="12" t="n">
        <x:v>34468.91718130138</x:v>
      </x:c>
      <x:c r="J1231" s="12" t="n">
        <x:v>10831.784572280485</x:v>
      </x:c>
      <x:c r="K1231" s="12" t="n">
        <x:v>233</x:v>
      </x:c>
      <x:c r="L1231" s="12" t="n">
        <x:v>29.945506888751797</x:v>
      </x:c>
      <x:c r="M1231" s="12" t="n">
        <x:v>6</x:v>
      </x:c>
      <x:c r="N1231" s="14" t="n">
        <x:v>0.8342021121336839</x:v>
      </x:c>
      <x:c r="O1231" s="14" t="n">
        <x:v>0.16579788786631616</x:v>
      </x:c>
      <x:c r="P1231" s="14" t="n">
        <x:v>0.19164806831267509</x:v>
      </x:c>
      <x:c r="Q1231" s="14" t="n">
        <x:v>0.2023996397890576</x:v>
      </x:c>
      <x:c r="R1231" s="14" t="n">
        <x:v>0.10724396685506316</x:v>
      </x:c>
      <x:c r="S1231" s="14" t="n">
        <x:v>0.5536554937703843</x:v>
      </x:c>
      <x:c r="T1231" t="str">
        <x:v>여성소비·평일집중</x:v>
      </x:c>
      <x:c r="U1231" s="16" t="n">
        <x:v>54.002845413155754</x:v>
      </x:c>
      <x:c r="V1231" t="str">
        <x:v>가구</x:v>
      </x:c>
      <x:c r="W1231" t="str">
        <x:v>가구 / 일반의류 / 미용실</x:v>
      </x:c>
      <x:c r="X1231" s="16" t="n">
        <x:v>44.234616470440265</x:v>
      </x:c>
    </x:row>
    <x:row r="1232">
      <x:c r="A1232" t="str">
        <x:v>3130218</x:v>
      </x:c>
      <x:c r="B1232" t="str">
        <x:v>신월중앙시장</x:v>
      </x:c>
      <x:c r="C1232" t="str">
        <x:v>전통시장</x:v>
      </x:c>
      <x:c r="D1232" t="str">
        <x:v>강서구</x:v>
      </x:c>
      <x:c r="E1232" t="str">
        <x:v>등촌3동</x:v>
      </x:c>
      <x:c r="F1232" s="12" t="n">
        <x:v>6449</x:v>
      </x:c>
      <x:c r="G1232" s="12" t="n">
        <x:v>842627844</x:v>
      </x:c>
      <x:c r="H1232" s="12" t="n">
        <x:v>16337</x:v>
      </x:c>
      <x:c r="I1232" s="12" t="n">
        <x:v>51577.88112872621</x:v>
      </x:c>
      <x:c r="J1232" s="12" t="n">
        <x:v>130660.23321445186</x:v>
      </x:c>
      <x:c r="K1232" s="12" t="n">
        <x:v>258</x:v>
      </x:c>
      <x:c r="L1232" s="12" t="n">
        <x:v>400.06202512017364</x:v>
      </x:c>
      <x:c r="M1232" s="12" t="n">
        <x:v>1</x:v>
      </x:c>
      <x:c r="N1232" s="14" t="n">
        <x:v>0.6943672656513828</x:v>
      </x:c>
      <x:c r="O1232" s="14" t="n">
        <x:v>0.30563273434861715</x:v>
      </x:c>
      <x:c r="P1232" s="14" t="n">
        <x:v>0.5086631910540094</x:v>
      </x:c>
      <x:c r="Q1232" s="14" t="n">
        <x:v>0.3625659467289097</x:v>
      </x:c>
      <x:c r="R1232" s="14" t="n">
        <x:v>0.09543930641817243</x:v>
      </x:c>
      <x:c r="S1232" s="14" t="n">
        <x:v>0.3582066770630001</x:v>
      </x:c>
      <x:c r="T1232" t="str">
        <x:v>직장밀집·야간활성</x:v>
      </x:c>
      <x:c r="U1232" s="16" t="n">
        <x:v>41.041447131245455</x:v>
      </x:c>
      <x:c r="V1232" t="str">
        <x:v>한식음식점</x:v>
      </x:c>
      <x:c r="W1232" t="str">
        <x:v>한식음식점</x:v>
      </x:c>
      <x:c r="X1232" s="16" t="n">
        <x:v>41.041447131245455</x:v>
      </x:c>
    </x:row>
    <x:row r="1233">
      <x:c r="A1233" t="str">
        <x:v>3110037</x:v>
      </x:c>
      <x:c r="B1233" t="str">
        <x:v>신설동역 12번</x:v>
      </x:c>
      <x:c r="C1233" t="str">
        <x:v>골목상권</x:v>
      </x:c>
      <x:c r="D1233" t="str">
        <x:v>종로구</x:v>
      </x:c>
      <x:c r="E1233" t="str">
        <x:v>숭인2동</x:v>
      </x:c>
      <x:c r="F1233" s="12" t="n">
        <x:v>55232</x:v>
      </x:c>
      <x:c r="G1233" s="12" t="n">
        <x:v>838021586</x:v>
      </x:c>
      <x:c r="H1233" s="12" t="n">
        <x:v>69292</x:v>
      </x:c>
      <x:c r="I1233" s="12" t="n">
        <x:v>12094.059718293598</x:v>
      </x:c>
      <x:c r="J1233" s="12" t="n">
        <x:v>15172.754671205099</x:v>
      </x:c>
      <x:c r="K1233" s="12" t="n">
        <x:v>1055</x:v>
      </x:c>
      <x:c r="L1233" s="12" t="n">
        <x:v>191.01245654692931</x:v>
      </x:c>
      <x:c r="M1233" s="12" t="n">
        <x:v>7</x:v>
      </x:c>
      <x:c r="N1233" s="14" t="n">
        <x:v>0.796141820385042</x:v>
      </x:c>
      <x:c r="O1233" s="14" t="n">
        <x:v>0.20385817961495803</x:v>
      </x:c>
      <x:c r="P1233" s="14" t="n">
        <x:v>0.36240894754231306</x:v>
      </x:c>
      <x:c r="Q1233" s="14" t="n">
        <x:v>0.2879181193311171</x:v>
      </x:c>
      <x:c r="R1233" s="14" t="n">
        <x:v>0.3505665043811891</x:v>
      </x:c>
      <x:c r="S1233" s="14" t="n">
        <x:v>0.31515435450847684</x:v>
      </x:c>
      <x:c r="T1233" t="str">
        <x:v>2030소비·직장밀집</x:v>
      </x:c>
      <x:c r="U1233" s="16" t="n">
        <x:v>53.576630622711036</x:v>
      </x:c>
      <x:c r="V1233" t="str">
        <x:v>여관</x:v>
      </x:c>
      <x:c r="W1233" t="str">
        <x:v>여관 / 편의점 / 한식음식점</x:v>
      </x:c>
      <x:c r="X1233" s="16" t="n">
        <x:v>45.311948124454425</x:v>
      </x:c>
    </x:row>
    <x:row r="1234">
      <x:c r="A1234" t="str">
        <x:v>3110663</x:v>
      </x:c>
      <x:c r="B1234" t="str">
        <x:v>우장산롯데캐슬아파트앞</x:v>
      </x:c>
      <x:c r="C1234" t="str">
        <x:v>골목상권</x:v>
      </x:c>
      <x:c r="D1234" t="str">
        <x:v>강서구</x:v>
      </x:c>
      <x:c r="E1234" t="str">
        <x:v>화곡6동</x:v>
      </x:c>
      <x:c r="F1234" s="12" t="n">
        <x:v>38550</x:v>
      </x:c>
      <x:c r="G1234" s="12" t="n">
        <x:v>835708083</x:v>
      </x:c>
      <x:c r="H1234" s="12" t="n">
        <x:v>52729</x:v>
      </x:c>
      <x:c r="I1234" s="12" t="n">
        <x:v>15849.116861689014</x:v>
      </x:c>
      <x:c r="J1234" s="12" t="n">
        <x:v>21678.549494163424</x:v>
      </x:c>
      <x:c r="K1234" s="12" t="n">
        <x:v>541</x:v>
      </x:c>
      <x:c r="L1234" s="12" t="n">
        <x:v>140.337224383917</x:v>
      </x:c>
      <x:c r="M1234" s="12" t="n">
        <x:v>6</x:v>
      </x:c>
      <x:c r="N1234" s="14" t="n">
        <x:v>0.7951267715571443</x:v>
      </x:c>
      <x:c r="O1234" s="14" t="n">
        <x:v>0.2048732284428557</x:v>
      </x:c>
      <x:c r="P1234" s="14" t="n">
        <x:v>0.41178864007708776</x:v>
      </x:c>
      <x:c r="Q1234" s="14" t="n">
        <x:v>0.3661635770010854</x:v>
      </x:c>
      <x:c r="R1234" s="14" t="n">
        <x:v>0.20628346728578908</x:v>
      </x:c>
      <x:c r="S1234" s="14" t="n">
        <x:v>0.42949411559059913</x:v>
      </x:c>
      <x:c r="T1234" t="str">
        <x:v>평일집중·직장밀집</x:v>
      </x:c>
      <x:c r="U1234" s="16" t="n">
        <x:v>51.64440482836074</x:v>
      </x:c>
      <x:c r="V1234" t="str">
        <x:v>스포츠 강습</x:v>
      </x:c>
      <x:c r="W1234" t="str">
        <x:v>스포츠 강습 / 커피-음료 / 미용실</x:v>
      </x:c>
      <x:c r="X1234" s="16" t="n">
        <x:v>43.502647747648545</x:v>
      </x:c>
    </x:row>
    <x:row r="1235">
      <x:c r="A1235" t="str">
        <x:v>3110715</x:v>
      </x:c>
      <x:c r="B1235" t="str">
        <x:v>구로구민회관</x:v>
      </x:c>
      <x:c r="C1235" t="str">
        <x:v>골목상권</x:v>
      </x:c>
      <x:c r="D1235" t="str">
        <x:v>구로구</x:v>
      </x:c>
      <x:c r="E1235" t="str">
        <x:v>구로5동</x:v>
      </x:c>
      <x:c r="F1235" s="12" t="n">
        <x:v>40106</x:v>
      </x:c>
      <x:c r="G1235" s="12" t="n">
        <x:v>827674048</x:v>
      </x:c>
      <x:c r="H1235" s="12" t="n">
        <x:v>26288</x:v>
      </x:c>
      <x:c r="I1235" s="12" t="n">
        <x:v>31484.861838101035</x:v>
      </x:c>
      <x:c r="J1235" s="12" t="n">
        <x:v>20637.162718795193</x:v>
      </x:c>
      <x:c r="K1235" s="12" t="n">
        <x:v>160</x:v>
      </x:c>
      <x:c r="L1235" s="12" t="n">
        <x:v>39.89428015758241</x:v>
      </x:c>
      <x:c r="M1235" s="12" t="n">
        <x:v>4</x:v>
      </x:c>
      <x:c r="N1235" s="14" t="n">
        <x:v>0.911159198264484</x:v>
      </x:c>
      <x:c r="O1235" s="14" t="n">
        <x:v>0.08884080173551606</x:v>
      </x:c>
      <x:c r="P1235" s="14" t="n">
        <x:v>0.18657255035740833</x:v>
      </x:c>
      <x:c r="Q1235" s="14" t="n">
        <x:v>0.3122670133545132</x:v>
      </x:c>
      <x:c r="R1235" s="14" t="n">
        <x:v>0.0816696345177661</x:v>
      </x:c>
      <x:c r="S1235" s="14" t="n">
        <x:v>0.17789552826476926</x:v>
      </x:c>
      <x:c r="T1235" t="str">
        <x:v>평일집중</x:v>
      </x:c>
      <x:c r="U1235" s="16" t="n">
        <x:v>41.60317730678531</x:v>
      </x:c>
      <x:c r="V1235" t="str">
        <x:v>한식음식점</x:v>
      </x:c>
      <x:c r="W1235" t="str">
        <x:v>한식음식점 / 조명용품 / 슈퍼마켓</x:v>
      </x:c>
      <x:c r="X1235" s="16" t="n">
        <x:v>35.594796662388035</x:v>
      </x:c>
    </x:row>
    <x:row r="1236">
      <x:c r="A1236" t="str">
        <x:v>3110462</x:v>
      </x:c>
      <x:c r="B1236" t="str">
        <x:v>갈현건영아파트</x:v>
      </x:c>
      <x:c r="C1236" t="str">
        <x:v>골목상권</x:v>
      </x:c>
      <x:c r="D1236" t="str">
        <x:v>은평구</x:v>
      </x:c>
      <x:c r="E1236" t="str">
        <x:v>갈현1동</x:v>
      </x:c>
      <x:c r="F1236" s="12" t="n">
        <x:v>155714</x:v>
      </x:c>
      <x:c r="G1236" s="12" t="n">
        <x:v>826376266</x:v>
      </x:c>
      <x:c r="H1236" s="12" t="n">
        <x:v>88719</x:v>
      </x:c>
      <x:c r="I1236" s="12" t="n">
        <x:v>9314.535398279962</x:v>
      </x:c>
      <x:c r="J1236" s="12" t="n">
        <x:v>5307.013280758313</x:v>
      </x:c>
      <x:c r="K1236" s="12" t="n">
        <x:v>266</x:v>
      </x:c>
      <x:c r="L1236" s="12" t="n">
        <x:v>17.082600151559912</x:v>
      </x:c>
      <x:c r="M1236" s="12" t="n">
        <x:v>4</x:v>
      </x:c>
      <x:c r="N1236" s="14" t="n">
        <x:v>0.6686408549395585</x:v>
      </x:c>
      <x:c r="O1236" s="14" t="n">
        <x:v>0.3313591450604415</x:v>
      </x:c>
      <x:c r="P1236" s="14" t="n">
        <x:v>0.48418441509306365</x:v>
      </x:c>
      <x:c r="Q1236" s="14" t="n">
        <x:v>0.1252297376604473</x:v>
      </x:c>
      <x:c r="R1236" s="14" t="n">
        <x:v>0.2979413810996358</x:v>
      </x:c>
      <x:c r="S1236" s="14" t="n">
        <x:v>0.3792473754322465</x:v>
      </x:c>
      <x:c r="T1236" t="str">
        <x:v>야간활성·2030소비</x:v>
      </x:c>
      <x:c r="U1236" s="16" t="n">
        <x:v>51.11803739320044</x:v>
      </x:c>
      <x:c r="V1236" t="str">
        <x:v>슈퍼마켓</x:v>
      </x:c>
      <x:c r="W1236" t="str">
        <x:v>슈퍼마켓 / 미용실 / 커피-음료</x:v>
      </x:c>
      <x:c r="X1236" s="16" t="n">
        <x:v>42.83849330061728</x:v>
      </x:c>
    </x:row>
    <x:row r="1237">
      <x:c r="A1237" t="str">
        <x:v>3110250</x:v>
      </x:c>
      <x:c r="B1237" t="str">
        <x:v>화랑대역 7번</x:v>
      </x:c>
      <x:c r="C1237" t="str">
        <x:v>골목상권</x:v>
      </x:c>
      <x:c r="D1237" t="str">
        <x:v>중랑구</x:v>
      </x:c>
      <x:c r="E1237" t="str">
        <x:v>묵1동</x:v>
      </x:c>
      <x:c r="F1237" s="12" t="n">
        <x:v>39367</x:v>
      </x:c>
      <x:c r="G1237" s="12" t="n">
        <x:v>826128480</x:v>
      </x:c>
      <x:c r="H1237" s="12" t="n">
        <x:v>32124</x:v>
      </x:c>
      <x:c r="I1237" s="12" t="n">
        <x:v>25716.862159133358</x:v>
      </x:c>
      <x:c r="J1237" s="12" t="n">
        <x:v>20985.304442807428</x:v>
      </x:c>
      <x:c r="K1237" s="12" t="n">
        <x:v>173</x:v>
      </x:c>
      <x:c r="L1237" s="12" t="n">
        <x:v>43.94543653313689</x:v>
      </x:c>
      <x:c r="M1237" s="12" t="n">
        <x:v>5</x:v>
      </x:c>
      <x:c r="N1237" s="14" t="n">
        <x:v>0.6331639299010731</x:v>
      </x:c>
      <x:c r="O1237" s="14" t="n">
        <x:v>0.366836070098927</x:v>
      </x:c>
      <x:c r="P1237" s="14" t="n">
        <x:v>0.5399455227593655</x:v>
      </x:c>
      <x:c r="Q1237" s="14" t="n">
        <x:v>0.17800976187142223</x:v>
      </x:c>
      <x:c r="R1237" s="14" t="n">
        <x:v>0.27372230648675855</x:v>
      </x:c>
      <x:c r="S1237" s="14" t="n">
        <x:v>0.512294662689755</x:v>
      </x:c>
      <x:c r="T1237" t="str">
        <x:v>야간활성·여성소비</x:v>
      </x:c>
      <x:c r="U1237" s="16" t="n">
        <x:v>52.98477314982396</x:v>
      </x:c>
      <x:c r="V1237" t="str">
        <x:v>한식음식점</x:v>
      </x:c>
      <x:c r="W1237" t="str">
        <x:v>한식음식점 / 예술학원 / 미용실</x:v>
      </x:c>
      <x:c r="X1237" s="16" t="n">
        <x:v>41.65681846510457</x:v>
      </x:c>
    </x:row>
    <x:row r="1238">
      <x:c r="A1238" t="str">
        <x:v>3110602</x:v>
      </x:c>
      <x:c r="B1238" t="str">
        <x:v>신월시영아파트중문</x:v>
      </x:c>
      <x:c r="C1238" t="str">
        <x:v>골목상권</x:v>
      </x:c>
      <x:c r="D1238" t="str">
        <x:v>양천구</x:v>
      </x:c>
      <x:c r="E1238" t="str">
        <x:v>신월7동</x:v>
      </x:c>
      <x:c r="F1238" s="12" t="n">
        <x:v>61404</x:v>
      </x:c>
      <x:c r="G1238" s="12" t="n">
        <x:v>824892855</x:v>
      </x:c>
      <x:c r="H1238" s="12" t="n">
        <x:v>6834</x:v>
      </x:c>
      <x:c r="I1238" s="12" t="n">
        <x:v>120704.25153643548</x:v>
      </x:c>
      <x:c r="J1238" s="12" t="n">
        <x:v>13433.861881962088</x:v>
      </x:c>
      <x:c r="K1238" s="12" t="n">
        <x:v>800</x:v>
      </x:c>
      <x:c r="L1238" s="12" t="n">
        <x:v>130.28467200833822</x:v>
      </x:c>
      <x:c r="M1238" s="12" t="n">
        <x:v>4</x:v>
      </x:c>
      <x:c r="N1238" s="14" t="n">
        <x:v>0.8541345990928725</x:v>
      </x:c>
      <x:c r="O1238" s="14" t="n">
        <x:v>0.14586540090712752</x:v>
      </x:c>
      <x:c r="P1238" s="14" t="n">
        <x:v>0.2810896319377139</x:v>
      </x:c>
      <x:c r="Q1238" s="14" t="n">
        <x:v>0.2863155118491116</x:v>
      </x:c>
      <x:c r="R1238" s="14" t="n">
        <x:v>0.10112969156460933</x:v>
      </x:c>
      <x:c r="S1238" s="14" t="n">
        <x:v>0.3028509757185374</x:v>
      </x:c>
      <x:c r="T1238" t="str">
        <x:v>평일집중·직장밀집</x:v>
      </x:c>
      <x:c r="U1238" s="16" t="n">
        <x:v>72.84442691544558</x:v>
      </x:c>
      <x:c r="V1238" t="str">
        <x:v>자동차수리</x:v>
      </x:c>
      <x:c r="W1238" t="str">
        <x:v>자동차수리 / 미용실 / 일반의류</x:v>
      </x:c>
      <x:c r="X1238" s="16" t="n">
        <x:v>54.32962405838998</x:v>
      </x:c>
    </x:row>
    <x:row r="1239">
      <x:c r="A1239" t="str">
        <x:v>3110915</x:v>
      </x:c>
      <x:c r="B1239" t="str">
        <x:v>서래초등학교</x:v>
      </x:c>
      <x:c r="C1239" t="str">
        <x:v>골목상권</x:v>
      </x:c>
      <x:c r="D1239" t="str">
        <x:v>서초구</x:v>
      </x:c>
      <x:c r="E1239" t="str">
        <x:v>방배본동</x:v>
      </x:c>
      <x:c r="F1239" s="12" t="n">
        <x:v>76657</x:v>
      </x:c>
      <x:c r="G1239" s="12" t="n">
        <x:v>822718347</x:v>
      </x:c>
      <x:c r="H1239" s="12" t="n">
        <x:v>11276</x:v>
      </x:c>
      <x:c r="I1239" s="12" t="n">
        <x:v>72961.896683221</x:v>
      </x:c>
      <x:c r="J1239" s="12" t="n">
        <x:v>10732.46209739489</x:v>
      </x:c>
      <x:c r="K1239" s="12" t="n">
        <x:v>1227</x:v>
      </x:c>
      <x:c r="L1239" s="12" t="n">
        <x:v>160.063660200634</x:v>
      </x:c>
      <x:c r="M1239" s="12" t="n">
        <x:v>3</x:v>
      </x:c>
      <x:c r="N1239" s="14" t="n">
        <x:v>0.9406185212981522</x:v>
      </x:c>
      <x:c r="O1239" s="14" t="n">
        <x:v>0.05938147870184789</x:v>
      </x:c>
      <x:c r="P1239" s="14" t="n">
        <x:v>0.1752733344598671</x:v>
      </x:c>
      <x:c r="Q1239" s="14" t="n">
        <x:v>0.1965278671486829</x:v>
      </x:c>
      <x:c r="R1239" s="14" t="n">
        <x:v>0.1222720793413885</x:v>
      </x:c>
      <x:c r="S1239" s="14" t="n">
        <x:v>0.566575723878928</x:v>
      </x:c>
      <x:c r="T1239" t="str">
        <x:v>평일집중·여성소비</x:v>
      </x:c>
      <x:c r="U1239" s="16" t="n">
        <x:v>64.00541921467833</x:v>
      </x:c>
      <x:c r="V1239" t="str">
        <x:v>예술학원</x:v>
      </x:c>
      <x:c r="W1239" t="str">
        <x:v>예술학원 / 커피-음료 / 화초</x:v>
      </x:c>
      <x:c r="X1239" s="16" t="n">
        <x:v>41.67981071765154</x:v>
      </x:c>
    </x:row>
    <x:row r="1240">
      <x:c r="A1240" t="str">
        <x:v>3110309</x:v>
      </x:c>
      <x:c r="B1240" t="str">
        <x:v>대광초등학교</x:v>
      </x:c>
      <x:c r="C1240" t="str">
        <x:v>골목상권</x:v>
      </x:c>
      <x:c r="D1240" t="str">
        <x:v>성북구</x:v>
      </x:c>
      <x:c r="E1240" t="str">
        <x:v>안암동</x:v>
      </x:c>
      <x:c r="F1240" s="12" t="n">
        <x:v>72678</x:v>
      </x:c>
      <x:c r="G1240" s="12" t="n">
        <x:v>817385661</x:v>
      </x:c>
      <x:c r="H1240" s="12" t="n">
        <x:v>11944</x:v>
      </x:c>
      <x:c r="I1240" s="12" t="n">
        <x:v>68434.83431011386</x:v>
      </x:c>
      <x:c r="J1240" s="12" t="n">
        <x:v>11246.672459341204</x:v>
      </x:c>
      <x:c r="K1240" s="12" t="n">
        <x:v>266</x:v>
      </x:c>
      <x:c r="L1240" s="12" t="n">
        <x:v>36.59979636203528</x:v>
      </x:c>
      <x:c r="M1240" s="12" t="n">
        <x:v>4</x:v>
      </x:c>
      <x:c r="N1240" s="14" t="n">
        <x:v>0.6949658822067347</x:v>
      </x:c>
      <x:c r="O1240" s="14" t="n">
        <x:v>0.3050341177932653</x:v>
      </x:c>
      <x:c r="P1240" s="14" t="n">
        <x:v>0.04444728814492869</x:v>
      </x:c>
      <x:c r="Q1240" s="14" t="n">
        <x:v>0.5380273412944052</x:v>
      </x:c>
      <x:c r="R1240" s="14" t="n">
        <x:v>0.7585684843571044</x:v>
      </x:c>
      <x:c r="S1240" s="14" t="n">
        <x:v>0.6072681044988383</x:v>
      </x:c>
      <x:c r="T1240" t="str">
        <x:v>2030소비·여성소비</x:v>
      </x:c>
      <x:c r="U1240" s="16" t="n">
        <x:v>77.33741251982238</x:v>
      </x:c>
      <x:c r="V1240" t="str">
        <x:v>일반의류</x:v>
      </x:c>
      <x:c r="W1240" t="str">
        <x:v>일반의류 / 미용실 / 의약품</x:v>
      </x:c>
      <x:c r="X1240" s="16" t="n">
        <x:v>45.105143416745534</x:v>
      </x:c>
    </x:row>
    <x:row r="1241">
      <x:c r="A1241" t="str">
        <x:v>3130160</x:v>
      </x:c>
      <x:c r="B1241" t="str">
        <x:v>수일시장</x:v>
      </x:c>
      <x:c r="C1241" t="str">
        <x:v>전통시장</x:v>
      </x:c>
      <x:c r="D1241" t="str">
        <x:v>은평구</x:v>
      </x:c>
      <x:c r="E1241" t="str">
        <x:v>수색동</x:v>
      </x:c>
      <x:c r="F1241" s="12" t="n">
        <x:v>11753</x:v>
      </x:c>
      <x:c r="G1241" s="12" t="n">
        <x:v>816152853</x:v>
      </x:c>
      <x:c r="H1241" s="12" t="n">
        <x:v>10987</x:v>
      </x:c>
      <x:c r="I1241" s="12" t="n">
        <x:v>74283.50350414126</x:v>
      </x:c>
      <x:c r="J1241" s="12" t="n">
        <x:v>69442.08738194504</x:v>
      </x:c>
      <x:c r="K1241" s="12" t="n">
        <x:v>125</x:v>
      </x:c>
      <x:c r="L1241" s="12" t="n">
        <x:v>106.3558240449247</x:v>
      </x:c>
      <x:c r="M1241" s="12" t="n">
        <x:v>3</x:v>
      </x:c>
      <x:c r="N1241" s="14" t="n">
        <x:v>0.8073226523414481</x:v>
      </x:c>
      <x:c r="O1241" s="14" t="n">
        <x:v>0.1926773476585519</x:v>
      </x:c>
      <x:c r="P1241" s="14" t="n">
        <x:v>0.7724523876656717</x:v>
      </x:c>
      <x:c r="Q1241" s="14" t="n">
        <x:v>0.11150002804682961</x:v>
      </x:c>
      <x:c r="R1241" s="14" t="n">
        <x:v>0.0900742498537832</x:v>
      </x:c>
      <x:c r="S1241" s="14" t="n">
        <x:v>0.4994640801678359</x:v>
      </x:c>
      <x:c r="T1241" t="str">
        <x:v>야간활성·평일집중</x:v>
      </x:c>
      <x:c r="U1241" s="16" t="n">
        <x:v>73.82183418532593</x:v>
      </x:c>
      <x:c r="V1241" t="str">
        <x:v>일반의류</x:v>
      </x:c>
      <x:c r="W1241" t="str">
        <x:v>일반의류 / 한식음식점 / 호프-간이주점</x:v>
      </x:c>
      <x:c r="X1241" s="16" t="n">
        <x:v>55.97478782353341</x:v>
      </x:c>
    </x:row>
    <x:row r="1242">
      <x:c r="A1242" t="str">
        <x:v>3110968</x:v>
      </x:c>
      <x:c r="B1242" t="str">
        <x:v>강남구청역 2번</x:v>
      </x:c>
      <x:c r="C1242" t="str">
        <x:v>골목상권</x:v>
      </x:c>
      <x:c r="D1242" t="str">
        <x:v>강남구</x:v>
      </x:c>
      <x:c r="E1242" t="str">
        <x:v>논현2동</x:v>
      </x:c>
      <x:c r="F1242" s="12" t="n">
        <x:v>43750</x:v>
      </x:c>
      <x:c r="G1242" s="12" t="n">
        <x:v>809120268</x:v>
      </x:c>
      <x:c r="H1242" s="12" t="n">
        <x:v>23507</x:v>
      </x:c>
      <x:c r="I1242" s="12" t="n">
        <x:v>34420.396817969115</x:v>
      </x:c>
      <x:c r="J1242" s="12" t="n">
        <x:v>18494.177554285714</x:v>
      </x:c>
      <x:c r="K1242" s="12" t="n">
        <x:v>1088</x:v>
      </x:c>
      <x:c r="L1242" s="12" t="n">
        <x:v>248.68571428571428</x:v>
      </x:c>
      <x:c r="M1242" s="12" t="n">
        <x:v>4</x:v>
      </x:c>
      <x:c r="N1242" s="14" t="n">
        <x:v>0.80942481717687</x:v>
      </x:c>
      <x:c r="O1242" s="14" t="n">
        <x:v>0.19057518282313007</x:v>
      </x:c>
      <x:c r="P1242" s="14" t="n">
        <x:v>0.5208063234426356</x:v>
      </x:c>
      <x:c r="Q1242" s="14" t="n">
        <x:v>0.29729844438898667</x:v>
      </x:c>
      <x:c r="R1242" s="14" t="n">
        <x:v>0.3530093365551436</x:v>
      </x:c>
      <x:c r="S1242" s="14" t="n">
        <x:v>0.3935423231790802</x:v>
      </x:c>
      <x:c r="T1242" t="str">
        <x:v>야간활성·2030소비</x:v>
      </x:c>
      <x:c r="U1242" s="16" t="n">
        <x:v>63.58791114768262</x:v>
      </x:c>
      <x:c r="V1242" t="str">
        <x:v>피부관리실</x:v>
      </x:c>
      <x:c r="W1242" t="str">
        <x:v>피부관리실 / 한식음식점 / 미용실</x:v>
      </x:c>
      <x:c r="X1242" s="16" t="n">
        <x:v>36.78320687172526</x:v>
      </x:c>
    </x:row>
    <x:row r="1243">
      <x:c r="A1243" t="str">
        <x:v>3110570</x:v>
      </x:c>
      <x:c r="B1243" t="str">
        <x:v>KB국민은행 서강지점</x:v>
      </x:c>
      <x:c r="C1243" t="str">
        <x:v>골목상권</x:v>
      </x:c>
      <x:c r="D1243" t="str">
        <x:v>마포구</x:v>
      </x:c>
      <x:c r="E1243" t="str">
        <x:v>신수동</x:v>
      </x:c>
      <x:c r="F1243" s="12" t="n">
        <x:v>24575</x:v>
      </x:c>
      <x:c r="G1243" s="12" t="n">
        <x:v>808711915</x:v>
      </x:c>
      <x:c r="H1243" s="12" t="n">
        <x:v>74429</x:v>
      </x:c>
      <x:c r="I1243" s="12" t="n">
        <x:v>10865.548576495721</x:v>
      </x:c>
      <x:c r="J1243" s="12" t="n">
        <x:v>32907.91108850458</x:v>
      </x:c>
      <x:c r="K1243" s="12" t="n">
        <x:v>429</x:v>
      </x:c>
      <x:c r="L1243" s="12" t="n">
        <x:v>174.56765005086467</x:v>
      </x:c>
      <x:c r="M1243" s="12" t="n">
        <x:v>5</x:v>
      </x:c>
      <x:c r="N1243" s="14" t="n">
        <x:v>0.7405149298437133</x:v>
      </x:c>
      <x:c r="O1243" s="14" t="n">
        <x:v>0.25948507015628675</x:v>
      </x:c>
      <x:c r="P1243" s="14" t="n">
        <x:v>0.20428973771209988</x:v>
      </x:c>
      <x:c r="Q1243" s="14" t="n">
        <x:v>0.3706483909044422</x:v>
      </x:c>
      <x:c r="R1243" s="14" t="n">
        <x:v>0.25588419332241447</x:v>
      </x:c>
      <x:c r="S1243" s="14" t="n">
        <x:v>0.47530896339025747</x:v>
      </x:c>
      <x:c r="T1243" t="str">
        <x:v>직장밀집·여성소비</x:v>
      </x:c>
      <x:c r="U1243" s="16" t="n">
        <x:v>61.36368978089425</x:v>
      </x:c>
      <x:c r="V1243" t="str">
        <x:v>커피-음료</x:v>
      </x:c>
      <x:c r="W1243" t="str">
        <x:v>커피-음료 / 일반교습학원 / 예술학원</x:v>
      </x:c>
      <x:c r="X1243" s="16" t="n">
        <x:v>43.39429055822066</x:v>
      </x:c>
    </x:row>
    <x:row r="1244">
      <x:c r="A1244" t="str">
        <x:v>3110817</x:v>
      </x:c>
      <x:c r="B1244" t="str">
        <x:v>대방역 4번</x:v>
      </x:c>
      <x:c r="C1244" t="str">
        <x:v>골목상권</x:v>
      </x:c>
      <x:c r="D1244" t="str">
        <x:v>영등포구</x:v>
      </x:c>
      <x:c r="E1244" t="str">
        <x:v>신길1동</x:v>
      </x:c>
      <x:c r="F1244" s="12" t="n">
        <x:v>51645</x:v>
      </x:c>
      <x:c r="G1244" s="12" t="n">
        <x:v>805707931</x:v>
      </x:c>
      <x:c r="H1244" s="12" t="n">
        <x:v>25500</x:v>
      </x:c>
      <x:c r="I1244" s="12" t="n">
        <x:v>31596.38945098039</x:v>
      </x:c>
      <x:c r="J1244" s="12" t="n">
        <x:v>15600.889360054216</x:v>
      </x:c>
      <x:c r="K1244" s="12" t="n">
        <x:v>66</x:v>
      </x:c>
      <x:c r="L1244" s="12" t="n">
        <x:v>12.779552715654953</x:v>
      </x:c>
      <x:c r="M1244" s="12" t="n">
        <x:v>3</x:v>
      </x:c>
      <x:c r="N1244" s="14" t="n">
        <x:v>0.7681285627061799</x:v>
      </x:c>
      <x:c r="O1244" s="14" t="n">
        <x:v>0.23187143729382007</x:v>
      </x:c>
      <x:c r="P1244" s="14" t="n">
        <x:v>0.45946497453554297</x:v>
      </x:c>
      <x:c r="Q1244" s="14" t="n">
        <x:v>0.2611155058867107</x:v>
      </x:c>
      <x:c r="R1244" s="14" t="n">
        <x:v>0.17898266040526292</x:v>
      </x:c>
      <x:c r="S1244" s="14" t="n">
        <x:v>0.2641960018139625</x:v>
      </x:c>
      <x:c r="T1244" t="str">
        <x:v>야간활성·평일집중</x:v>
      </x:c>
      <x:c r="U1244" s="16" t="n">
        <x:v>54.54346344753378</x:v>
      </x:c>
      <x:c r="V1244" t="str">
        <x:v>의약품</x:v>
      </x:c>
      <x:c r="W1244" t="str">
        <x:v>의약품 / 전자상거래업 / 한식음식점</x:v>
      </x:c>
      <x:c r="X1244" s="16" t="n">
        <x:v>46.1524278307948</x:v>
      </x:c>
    </x:row>
    <x:row r="1245">
      <x:c r="A1245" t="str">
        <x:v>3110287</x:v>
      </x:c>
      <x:c r="B1245" t="str">
        <x:v>정릉3동주민센터</x:v>
      </x:c>
      <x:c r="C1245" t="str">
        <x:v>골목상권</x:v>
      </x:c>
      <x:c r="D1245" t="str">
        <x:v>성북구</x:v>
      </x:c>
      <x:c r="E1245" t="str">
        <x:v>정릉3동</x:v>
      </x:c>
      <x:c r="F1245" s="12" t="n">
        <x:v>60168</x:v>
      </x:c>
      <x:c r="G1245" s="12" t="n">
        <x:v>804489662</x:v>
      </x:c>
      <x:c r="H1245" s="12" t="n">
        <x:v>34191</x:v>
      </x:c>
      <x:c r="I1245" s="12" t="n">
        <x:v>23529.281448334357</x:v>
      </x:c>
      <x:c r="J1245" s="12" t="n">
        <x:v>13370.72300890839</x:v>
      </x:c>
      <x:c r="K1245" s="12" t="n">
        <x:v>109</x:v>
      </x:c>
      <x:c r="L1245" s="12" t="n">
        <x:v>18.115942028985508</x:v>
      </x:c>
      <x:c r="M1245" s="12" t="n">
        <x:v>4</x:v>
      </x:c>
      <x:c r="N1245" s="14" t="n">
        <x:v>0.6646153484070502</x:v>
      </x:c>
      <x:c r="O1245" s="14" t="n">
        <x:v>0.3353846515929499</x:v>
      </x:c>
      <x:c r="P1245" s="14" t="n">
        <x:v>0.4856414947940002</x:v>
      </x:c>
      <x:c r="Q1245" s="14" t="n">
        <x:v>0.2769126497488789</x:v>
      </x:c>
      <x:c r="R1245" s="14" t="n">
        <x:v>0.1920888487439631</x:v>
      </x:c>
      <x:c r="S1245" s="14" t="n">
        <x:v>0.2947765412055724</x:v>
      </x:c>
      <x:c r="T1245" t="str">
        <x:v>야간활성</x:v>
      </x:c>
      <x:c r="U1245" s="16" t="n">
        <x:v>52.26253149220267</x:v>
      </x:c>
      <x:c r="V1245" t="str">
        <x:v>일반교습학원</x:v>
      </x:c>
      <x:c r="W1245" t="str">
        <x:v>일반교습학원 / 한식음식점 / 슈퍼마켓</x:v>
      </x:c>
      <x:c r="X1245" s="16" t="n">
        <x:v>50.32422506479129</x:v>
      </x:c>
    </x:row>
    <x:row r="1246">
      <x:c r="A1246" t="str">
        <x:v>3130096</x:v>
      </x:c>
      <x:c r="B1246" t="str">
        <x:v>동부시장</x:v>
      </x:c>
      <x:c r="C1246" t="str">
        <x:v>전통시장</x:v>
      </x:c>
      <x:c r="D1246" t="str">
        <x:v>동대문구</x:v>
      </x:c>
      <x:c r="E1246" t="str">
        <x:v>답십리1동</x:v>
      </x:c>
      <x:c r="F1246" s="12" t="n">
        <x:v>6617</x:v>
      </x:c>
      <x:c r="G1246" s="12" t="n">
        <x:v>803564090</x:v>
      </x:c>
      <x:c r="H1246" s="12" t="n">
        <x:v>28026</x:v>
      </x:c>
      <x:c r="I1246" s="12" t="n">
        <x:v>28672.093413259117</x:v>
      </x:c>
      <x:c r="J1246" s="12" t="n">
        <x:v>121439.33655735228</x:v>
      </x:c>
      <x:c r="K1246" s="12" t="n">
        <x:v>58</x:v>
      </x:c>
      <x:c r="L1246" s="12" t="n">
        <x:v>87.6530149614629</x:v>
      </x:c>
      <x:c r="M1246" s="12" t="n">
        <x:v>2</x:v>
      </x:c>
      <x:c r="N1246" s="14" t="n">
        <x:v>0.8193030017058129</x:v>
      </x:c>
      <x:c r="O1246" s="14" t="n">
        <x:v>0.1806969982941871</x:v>
      </x:c>
      <x:c r="P1246" s="14" t="n">
        <x:v>0.4601819289859008</x:v>
      </x:c>
      <x:c r="Q1246" s="14" t="n">
        <x:v>0.35466473993381165</x:v>
      </x:c>
      <x:c r="R1246" s="14" t="n">
        <x:v>0.18982822888464315</x:v>
      </x:c>
      <x:c r="S1246" s="14" t="n">
        <x:v>0.4381992007631899</x:v>
      </x:c>
      <x:c r="T1246" t="str">
        <x:v>평일집중·야간활성</x:v>
      </x:c>
      <x:c r="U1246" s="16" t="n">
        <x:v>61.67312576952865</x:v>
      </x:c>
      <x:c r="V1246" t="str">
        <x:v>일반의류</x:v>
      </x:c>
      <x:c r="W1246" t="str">
        <x:v>일반의류 / 한식음식점</x:v>
      </x:c>
      <x:c r="X1246" s="16" t="n">
        <x:v>53.5811378291882</x:v>
      </x:c>
    </x:row>
    <x:row r="1247">
      <x:c r="A1247" t="str">
        <x:v>3110933</x:v>
      </x:c>
      <x:c r="B1247" t="str">
        <x:v>한국상담대학원대학교</x:v>
      </x:c>
      <x:c r="C1247" t="str">
        <x:v>골목상권</x:v>
      </x:c>
      <x:c r="D1247" t="str">
        <x:v>서초구</x:v>
      </x:c>
      <x:c r="E1247" t="str">
        <x:v>서초1동</x:v>
      </x:c>
      <x:c r="F1247" s="12" t="n">
        <x:v>24916</x:v>
      </x:c>
      <x:c r="G1247" s="12" t="n">
        <x:v>795259103</x:v>
      </x:c>
      <x:c r="H1247" s="12" t="n">
        <x:v>23551</x:v>
      </x:c>
      <x:c r="I1247" s="12" t="n">
        <x:v>33767.53016857034</x:v>
      </x:c>
      <x:c r="J1247" s="12" t="n">
        <x:v>31917.607280462355</x:v>
      </x:c>
      <x:c r="K1247" s="12" t="n">
        <x:v>440</x:v>
      </x:c>
      <x:c r="L1247" s="12" t="n">
        <x:v>176.5933536683256</x:v>
      </x:c>
      <x:c r="M1247" s="12" t="n">
        <x:v>1</x:v>
      </x:c>
      <x:c r="N1247" s="14" t="n">
        <x:v>0.6503678889671257</x:v>
      </x:c>
      <x:c r="O1247" s="14" t="n">
        <x:v>0.3496321110328743</x:v>
      </x:c>
      <x:c r="P1247" s="14" t="n">
        <x:v>0.38715239578967764</x:v>
      </x:c>
      <x:c r="Q1247" s="14" t="n">
        <x:v>0.440403303374699</x:v>
      </x:c>
      <x:c r="R1247" s="14" t="n">
        <x:v>0.14718804419645856</x:v>
      </x:c>
      <x:c r="S1247" s="14" t="n">
        <x:v>0.2828490955355968</x:v>
      </x:c>
      <x:c r="T1247" t="str">
        <x:v>직장밀집</x:v>
      </x:c>
      <x:c r="U1247" s="16" t="n">
        <x:v>40.93263916556958</x:v>
      </x:c>
      <x:c r="V1247" t="str">
        <x:v>한식음식점</x:v>
      </x:c>
      <x:c r="W1247" t="str">
        <x:v>한식음식점</x:v>
      </x:c>
      <x:c r="X1247" s="16" t="n">
        <x:v>40.93263916556958</x:v>
      </x:c>
    </x:row>
    <x:row r="1248">
      <x:c r="A1248" t="str">
        <x:v>3110540</x:v>
      </x:c>
      <x:c r="B1248" t="str">
        <x:v>망원나들목체육관</x:v>
      </x:c>
      <x:c r="C1248" t="str">
        <x:v>골목상권</x:v>
      </x:c>
      <x:c r="D1248" t="str">
        <x:v>마포구</x:v>
      </x:c>
      <x:c r="E1248" t="str">
        <x:v>망원1동</x:v>
      </x:c>
      <x:c r="F1248" s="12" t="n">
        <x:v>61616</x:v>
      </x:c>
      <x:c r="G1248" s="12" t="n">
        <x:v>792654243</x:v>
      </x:c>
      <x:c r="H1248" s="12" t="n">
        <x:v>70422</x:v>
      </x:c>
      <x:c r="I1248" s="12" t="n">
        <x:v>11255.775794496038</x:v>
      </x:c>
      <x:c r="J1248" s="12" t="n">
        <x:v>12864.422276681382</x:v>
      </x:c>
      <x:c r="K1248" s="12" t="n">
        <x:v>149</x:v>
      </x:c>
      <x:c r="L1248" s="12" t="n">
        <x:v>24.182030641391847</x:v>
      </x:c>
      <x:c r="M1248" s="12" t="n">
        <x:v>3</x:v>
      </x:c>
      <x:c r="N1248" s="14" t="n">
        <x:v>0.6899980285603543</x:v>
      </x:c>
      <x:c r="O1248" s="14" t="n">
        <x:v>0.3100019714396457</x:v>
      </x:c>
      <x:c r="P1248" s="14" t="n">
        <x:v>0.5180379322084825</x:v>
      </x:c>
      <x:c r="Q1248" s="14" t="n">
        <x:v>0.15977120934934552</x:v>
      </x:c>
      <x:c r="R1248" s="14" t="n">
        <x:v>0.4688113705082381</x:v>
      </x:c>
      <x:c r="S1248" s="14" t="n">
        <x:v>0.3295818577987477</x:v>
      </x:c>
      <x:c r="T1248" t="str">
        <x:v>2030소비·야간활성</x:v>
      </x:c>
      <x:c r="U1248" s="16" t="n">
        <x:v>52.52675572789701</x:v>
      </x:c>
      <x:c r="V1248" t="str">
        <x:v>세탁소</x:v>
      </x:c>
      <x:c r="W1248" t="str">
        <x:v>세탁소 / 슈퍼마켓 / 한식음식점</x:v>
      </x:c>
      <x:c r="X1248" s="16" t="n">
        <x:v>46.489608977948556</x:v>
      </x:c>
    </x:row>
    <x:row r="1249">
      <x:c r="A1249" t="str">
        <x:v>3110448</x:v>
      </x:c>
      <x:c r="B1249" t="str">
        <x:v>상신초등학교입구</x:v>
      </x:c>
      <x:c r="C1249" t="str">
        <x:v>골목상권</x:v>
      </x:c>
      <x:c r="D1249" t="str">
        <x:v>은평구</x:v>
      </x:c>
      <x:c r="E1249" t="str">
        <x:v>신사2동</x:v>
      </x:c>
      <x:c r="F1249" s="12" t="n">
        <x:v>61765</x:v>
      </x:c>
      <x:c r="G1249" s="12" t="n">
        <x:v>789691750</x:v>
      </x:c>
      <x:c r="H1249" s="12" t="n">
        <x:v>49920</x:v>
      </x:c>
      <x:c r="I1249" s="12" t="n">
        <x:v>15819.14563301282</x:v>
      </x:c>
      <x:c r="J1249" s="12" t="n">
        <x:v>12785.424593216223</x:v>
      </x:c>
      <x:c r="K1249" s="12" t="n">
        <x:v>77</x:v>
      </x:c>
      <x:c r="L1249" s="12" t="n">
        <x:v>12.466607301869992</x:v>
      </x:c>
      <x:c r="M1249" s="12" t="n">
        <x:v>6</x:v>
      </x:c>
      <x:c r="N1249" s="14" t="n">
        <x:v>0.7618502105410118</x:v>
      </x:c>
      <x:c r="O1249" s="14" t="n">
        <x:v>0.23814978945898826</x:v>
      </x:c>
      <x:c r="P1249" s="14" t="n">
        <x:v>0.5179564241363798</x:v>
      </x:c>
      <x:c r="Q1249" s="14" t="n">
        <x:v>0.16755857079676975</x:v>
      </x:c>
      <x:c r="R1249" s="14" t="n">
        <x:v>0.18551588135497174</x:v>
      </x:c>
      <x:c r="S1249" s="14" t="n">
        <x:v>0.5448035743060504</x:v>
      </x:c>
      <x:c r="T1249" t="str">
        <x:v>여성소비·야간활성</x:v>
      </x:c>
      <x:c r="U1249" s="16" t="n">
        <x:v>71.72991616103536</x:v>
      </x:c>
      <x:c r="V1249" t="str">
        <x:v>미용실</x:v>
      </x:c>
      <x:c r="W1249" t="str">
        <x:v>미용실 / 일반의류 / 패스트푸드점</x:v>
      </x:c>
      <x:c r="X1249" s="16" t="n">
        <x:v>54.2253857178526</x:v>
      </x:c>
    </x:row>
    <x:row r="1250">
      <x:c r="A1250" t="str">
        <x:v>3110282</x:v>
      </x:c>
      <x:c r="B1250" t="str">
        <x:v>국민대학교앞</x:v>
      </x:c>
      <x:c r="C1250" t="str">
        <x:v>골목상권</x:v>
      </x:c>
      <x:c r="D1250" t="str">
        <x:v>성북구</x:v>
      </x:c>
      <x:c r="E1250" t="str">
        <x:v>정릉3동</x:v>
      </x:c>
      <x:c r="F1250" s="12" t="n">
        <x:v>69438</x:v>
      </x:c>
      <x:c r="G1250" s="12" t="n">
        <x:v>787473904</x:v>
      </x:c>
      <x:c r="H1250" s="12" t="n">
        <x:v>61417</x:v>
      </x:c>
      <x:c r="I1250" s="12" t="n">
        <x:v>12821.757884624778</x:v>
      </x:c>
      <x:c r="J1250" s="12" t="n">
        <x:v>11340.676632391485</x:v>
      </x:c>
      <x:c r="K1250" s="12" t="n">
        <x:v>62</x:v>
      </x:c>
      <x:c r="L1250" s="12" t="n">
        <x:v>8.928828595293643</x:v>
      </x:c>
      <x:c r="M1250" s="12" t="n">
        <x:v>7</x:v>
      </x:c>
      <x:c r="N1250" s="14" t="n">
        <x:v>0.7251702349745421</x:v>
      </x:c>
      <x:c r="O1250" s="14" t="n">
        <x:v>0.2748297650254579</x:v>
      </x:c>
      <x:c r="P1250" s="14" t="n">
        <x:v>0.5111900749412008</x:v>
      </x:c>
      <x:c r="Q1250" s="14" t="n">
        <x:v>0.18440226052240075</x:v>
      </x:c>
      <x:c r="R1250" s="14" t="n">
        <x:v>0.31710056007138493</x:v>
      </x:c>
      <x:c r="S1250" s="14" t="n">
        <x:v>0.314183928817532</x:v>
      </x:c>
      <x:c r="T1250" t="str">
        <x:v>야간활성·2030소비</x:v>
      </x:c>
      <x:c r="U1250" s="16" t="n">
        <x:v>70.34980447349083</x:v>
      </x:c>
      <x:c r="V1250" t="str">
        <x:v>당구장</x:v>
      </x:c>
      <x:c r="W1250" t="str">
        <x:v>당구장 / 슈퍼마켓 / 미용실</x:v>
      </x:c>
      <x:c r="X1250" s="16" t="n">
        <x:v>53.00804939839553</x:v>
      </x:c>
    </x:row>
    <x:row r="1251">
      <x:c r="A1251" t="str">
        <x:v>3110437</x:v>
      </x:c>
      <x:c r="B1251" t="str">
        <x:v>당고개역 2번</x:v>
      </x:c>
      <x:c r="C1251" t="str">
        <x:v>골목상권</x:v>
      </x:c>
      <x:c r="D1251" t="str">
        <x:v>노원구</x:v>
      </x:c>
      <x:c r="E1251" t="str">
        <x:v>상계3·4동</x:v>
      </x:c>
      <x:c r="F1251" s="12" t="n">
        <x:v>83701</x:v>
      </x:c>
      <x:c r="G1251" s="12" t="n">
        <x:v>785198159</x:v>
      </x:c>
      <x:c r="H1251" s="12" t="n">
        <x:v>20997</x:v>
      </x:c>
      <x:c r="I1251" s="12" t="n">
        <x:v>37395.73077106253</x:v>
      </x:c>
      <x:c r="J1251" s="12" t="n">
        <x:v>9380.988984599944</x:v>
      </x:c>
      <x:c r="K1251" s="12" t="n">
        <x:v>254</x:v>
      </x:c>
      <x:c r="L1251" s="12" t="n">
        <x:v>30.34611294966607</x:v>
      </x:c>
      <x:c r="M1251" s="12" t="n">
        <x:v>10</x:v>
      </x:c>
      <x:c r="N1251" s="14" t="n">
        <x:v>0.7112287523842755</x:v>
      </x:c>
      <x:c r="O1251" s="14" t="n">
        <x:v>0.2887712476157245</x:v>
      </x:c>
      <x:c r="P1251" s="14" t="n">
        <x:v>0.510997851180647</x:v>
      </x:c>
      <x:c r="Q1251" s="14" t="n">
        <x:v>0.1672731456315093</x:v>
      </x:c>
      <x:c r="R1251" s="14" t="n">
        <x:v>0.13795922947394482</x:v>
      </x:c>
      <x:c r="S1251" s="14" t="n">
        <x:v>0.3032918229244091</x:v>
      </x:c>
      <x:c r="T1251" t="str">
        <x:v>야간활성</x:v>
      </x:c>
      <x:c r="U1251" s="16" t="n">
        <x:v>48.06660043993806</x:v>
      </x:c>
      <x:c r="V1251" t="str">
        <x:v>분식전문점</x:v>
      </x:c>
      <x:c r="W1251" t="str">
        <x:v>분식전문점 / 일반교습학원 / 자동차수리</x:v>
      </x:c>
      <x:c r="X1251" s="16" t="n">
        <x:v>43.73252371136978</x:v>
      </x:c>
    </x:row>
    <x:row r="1252">
      <x:c r="A1252" t="str">
        <x:v>3110182</x:v>
      </x:c>
      <x:c r="B1252" t="str">
        <x:v>용두희망어린이공원</x:v>
      </x:c>
      <x:c r="C1252" t="str">
        <x:v>골목상권</x:v>
      </x:c>
      <x:c r="D1252" t="str">
        <x:v>동대문구</x:v>
      </x:c>
      <x:c r="E1252" t="str">
        <x:v>용신동</x:v>
      </x:c>
      <x:c r="F1252" s="12" t="n">
        <x:v>59118</x:v>
      </x:c>
      <x:c r="G1252" s="12" t="n">
        <x:v>783906498</x:v>
      </x:c>
      <x:c r="H1252" s="12" t="n">
        <x:v>36423</x:v>
      </x:c>
      <x:c r="I1252" s="12" t="n">
        <x:v>21522.293550778355</x:v>
      </x:c>
      <x:c r="J1252" s="12" t="n">
        <x:v>13260.030752055212</x:v>
      </x:c>
      <x:c r="K1252" s="12" t="n">
        <x:v>652</x:v>
      </x:c>
      <x:c r="L1252" s="12" t="n">
        <x:v>110.28789877871375</x:v>
      </x:c>
      <x:c r="M1252" s="12" t="n">
        <x:v>4</x:v>
      </x:c>
      <x:c r="N1252" s="14" t="n">
        <x:v>0.8954355204235085</x:v>
      </x:c>
      <x:c r="O1252" s="14" t="n">
        <x:v>0.10456447957649154</x:v>
      </x:c>
      <x:c r="P1252" s="14" t="n">
        <x:v>0.11684373995328202</x:v>
      </x:c>
      <x:c r="Q1252" s="14" t="n">
        <x:v>0.22915931996777503</x:v>
      </x:c>
      <x:c r="R1252" s="14" t="n">
        <x:v>0.20830845568523404</x:v>
      </x:c>
      <x:c r="S1252" s="14" t="n">
        <x:v>0.26822181412763335</x:v>
      </x:c>
      <x:c r="T1252" t="str">
        <x:v>평일집중·직장밀집</x:v>
      </x:c>
      <x:c r="U1252" s="16" t="n">
        <x:v>62.696832201835406</x:v>
      </x:c>
      <x:c r="V1252" t="str">
        <x:v>일반의류</x:v>
      </x:c>
      <x:c r="W1252" t="str">
        <x:v>일반의류 / 편의점 / 전자상거래업</x:v>
      </x:c>
      <x:c r="X1252" s="16" t="n">
        <x:v>39.86362619881925</x:v>
      </x:c>
    </x:row>
    <x:row r="1253">
      <x:c r="A1253" t="str">
        <x:v>3110756</x:v>
      </x:c>
      <x:c r="B1253" t="str">
        <x:v>문래중학교</x:v>
      </x:c>
      <x:c r="C1253" t="str">
        <x:v>골목상권</x:v>
      </x:c>
      <x:c r="D1253" t="str">
        <x:v>영등포구</x:v>
      </x:c>
      <x:c r="E1253" t="str">
        <x:v>양평1동</x:v>
      </x:c>
      <x:c r="F1253" s="12" t="n">
        <x:v>49828</x:v>
      </x:c>
      <x:c r="G1253" s="12" t="n">
        <x:v>782911717</x:v>
      </x:c>
      <x:c r="H1253" s="12" t="n">
        <x:v>51025</x:v>
      </x:c>
      <x:c r="I1253" s="12" t="n">
        <x:v>15343.68872121509</x:v>
      </x:c>
      <x:c r="J1253" s="12" t="n">
        <x:v>15712.284599020632</x:v>
      </x:c>
      <x:c r="K1253" s="12" t="n">
        <x:v>406</x:v>
      </x:c>
      <x:c r="L1253" s="12" t="n">
        <x:v>81.48029220518583</x:v>
      </x:c>
      <x:c r="M1253" s="12" t="n">
        <x:v>5</x:v>
      </x:c>
      <x:c r="N1253" s="14" t="n">
        <x:v>0.7436639206665494</x:v>
      </x:c>
      <x:c r="O1253" s="14" t="n">
        <x:v>0.2563360793334506</x:v>
      </x:c>
      <x:c r="P1253" s="14" t="n">
        <x:v>0.30359796237408976</x:v>
      </x:c>
      <x:c r="Q1253" s="14" t="n">
        <x:v>0.1783800688730783</x:v>
      </x:c>
      <x:c r="R1253" s="14" t="n">
        <x:v>0.2762183772503177</x:v>
      </x:c>
      <x:c r="S1253" s="14" t="n">
        <x:v>0.6116398434231123</x:v>
      </x:c>
      <x:c r="T1253" t="str">
        <x:v>여성소비·2030소비</x:v>
      </x:c>
      <x:c r="U1253" s="16" t="n">
        <x:v>64.19714360245206</x:v>
      </x:c>
      <x:c r="V1253" t="str">
        <x:v>부동산중개업</x:v>
      </x:c>
      <x:c r="W1253" t="str">
        <x:v>부동산중개업 / 슈퍼마켓 / 한식음식점</x:v>
      </x:c>
      <x:c r="X1253" s="16" t="n">
        <x:v>43.81966792963354</x:v>
      </x:c>
    </x:row>
    <x:row r="1254">
      <x:c r="A1254" t="str">
        <x:v>3110688</x:v>
      </x:c>
      <x:c r="B1254" t="str">
        <x:v>오류지구대</x:v>
      </x:c>
      <x:c r="C1254" t="str">
        <x:v>골목상권</x:v>
      </x:c>
      <x:c r="D1254" t="str">
        <x:v>구로구</x:v>
      </x:c>
      <x:c r="E1254" t="str">
        <x:v>오류1동</x:v>
      </x:c>
      <x:c r="F1254" s="12" t="n">
        <x:v>79928</x:v>
      </x:c>
      <x:c r="G1254" s="12" t="n">
        <x:v>778712024</x:v>
      </x:c>
      <x:c r="H1254" s="12" t="n">
        <x:v>48466</x:v>
      </x:c>
      <x:c r="I1254" s="12" t="n">
        <x:v>16067.181611851607</x:v>
      </x:c>
      <x:c r="J1254" s="12" t="n">
        <x:v>9742.668701831648</x:v>
      </x:c>
      <x:c r="K1254" s="12" t="n">
        <x:v>225</x:v>
      </x:c>
      <x:c r="L1254" s="12" t="n">
        <x:v>28.150335301771594</x:v>
      </x:c>
      <x:c r="M1254" s="12" t="n">
        <x:v>3</x:v>
      </x:c>
      <x:c r="N1254" s="14" t="n">
        <x:v>0.6929813350358643</x:v>
      </x:c>
      <x:c r="O1254" s="14" t="n">
        <x:v>0.3070186649641357</x:v>
      </x:c>
      <x:c r="P1254" s="14" t="n">
        <x:v>0.5809190651459621</x:v>
      </x:c>
      <x:c r="Q1254" s="14" t="n">
        <x:v>0.1436514790479208</x:v>
      </x:c>
      <x:c r="R1254" s="14" t="n">
        <x:v>0.35321791820694937</x:v>
      </x:c>
      <x:c r="S1254" s="14" t="n">
        <x:v>0.33136744784616295</x:v>
      </x:c>
      <x:c r="T1254" t="str">
        <x:v>야간활성·2030소비</x:v>
      </x:c>
      <x:c r="U1254" s="16" t="n">
        <x:v>48.886382652848525</x:v>
      </x:c>
      <x:c r="V1254" t="str">
        <x:v>한식음식점</x:v>
      </x:c>
      <x:c r="W1254" t="str">
        <x:v>한식음식점 / 슈퍼마켓 / 미용실</x:v>
      </x:c>
      <x:c r="X1254" s="16" t="n">
        <x:v>45.529072039316674</x:v>
      </x:c>
    </x:row>
    <x:row r="1255">
      <x:c r="A1255" t="str">
        <x:v>3110144</x:v>
      </x:c>
      <x:c r="B1255" t="str">
        <x:v>어린이대공원역 4번</x:v>
      </x:c>
      <x:c r="C1255" t="str">
        <x:v>골목상권</x:v>
      </x:c>
      <x:c r="D1255" t="str">
        <x:v>광진구</x:v>
      </x:c>
      <x:c r="E1255" t="str">
        <x:v>화양동</x:v>
      </x:c>
      <x:c r="F1255" s="12" t="n">
        <x:v>42830</x:v>
      </x:c>
      <x:c r="G1255" s="12" t="n">
        <x:v>764382640</x:v>
      </x:c>
      <x:c r="H1255" s="12" t="n">
        <x:v>46032</x:v>
      </x:c>
      <x:c r="I1255" s="12" t="n">
        <x:v>16605.462287104623</x:v>
      </x:c>
      <x:c r="J1255" s="12" t="n">
        <x:v>17846.897968713518</x:v>
      </x:c>
      <x:c r="K1255" s="12" t="n">
        <x:v>29</x:v>
      </x:c>
      <x:c r="L1255" s="12" t="n">
        <x:v>6.77095493812748</x:v>
      </x:c>
      <x:c r="M1255" s="12" t="n">
        <x:v>6</x:v>
      </x:c>
      <x:c r="N1255" s="14" t="n">
        <x:v>0.6657090119158122</x:v>
      </x:c>
      <x:c r="O1255" s="14" t="n">
        <x:v>0.3342909880841878</x:v>
      </x:c>
      <x:c r="P1255" s="14" t="n">
        <x:v>0.6887387866370173</x:v>
      </x:c>
      <x:c r="Q1255" s="14" t="n">
        <x:v>0.05946909521650047</x:v>
      </x:c>
      <x:c r="R1255" s="14" t="n">
        <x:v>0.6053762746364831</x:v>
      </x:c>
      <x:c r="S1255" s="14" t="n">
        <x:v>0.3699088273380986</x:v>
      </x:c>
      <x:c r="T1255" t="str">
        <x:v>2030소비·야간활성</x:v>
      </x:c>
      <x:c r="U1255" s="16" t="n">
        <x:v>54.52440546533996</x:v>
      </x:c>
      <x:c r="V1255" t="str">
        <x:v>세탁소</x:v>
      </x:c>
      <x:c r="W1255" t="str">
        <x:v>세탁소 / 호프-간이주점 / 커피-음료</x:v>
      </x:c>
      <x:c r="X1255" s="16" t="n">
        <x:v>36.903129695038665</x:v>
      </x:c>
    </x:row>
    <x:row r="1256">
      <x:c r="A1256" t="str">
        <x:v>3130200</x:v>
      </x:c>
      <x:c r="B1256" t="str">
        <x:v>신월7동 골목시장(약수시장, 우성상가)</x:v>
      </x:c>
      <x:c r="C1256" t="str">
        <x:v>전통시장</x:v>
      </x:c>
      <x:c r="D1256" t="str">
        <x:v>양천구</x:v>
      </x:c>
      <x:c r="E1256" t="str">
        <x:v>신월7동</x:v>
      </x:c>
      <x:c r="F1256" s="12" t="n">
        <x:v>13685</x:v>
      </x:c>
      <x:c r="G1256" s="12" t="n">
        <x:v>758945082</x:v>
      </x:c>
      <x:c r="H1256" s="12" t="n">
        <x:v>23831</x:v>
      </x:c>
      <x:c r="I1256" s="12" t="n">
        <x:v>31846.96747933364</x:v>
      </x:c>
      <x:c r="J1256" s="12" t="n">
        <x:v>55458.17186700767</x:v>
      </x:c>
      <x:c r="K1256" s="12" t="n">
        <x:v>166</x:v>
      </x:c>
      <x:c r="L1256" s="12" t="n">
        <x:v>121.30069419071977</x:v>
      </x:c>
      <x:c r="M1256" s="12" t="n">
        <x:v>5</x:v>
      </x:c>
      <x:c r="N1256" s="14" t="n">
        <x:v>0.7534221968909207</x:v>
      </x:c>
      <x:c r="O1256" s="14" t="n">
        <x:v>0.24657780310907923</x:v>
      </x:c>
      <x:c r="P1256" s="14" t="n">
        <x:v>0.31180368858362273</x:v>
      </x:c>
      <x:c r="Q1256" s="14" t="n">
        <x:v>0.23303257402226635</x:v>
      </x:c>
      <x:c r="R1256" s="14" t="n">
        <x:v>0.23133136265582915</x:v>
      </x:c>
      <x:c r="S1256" s="14" t="n">
        <x:v>0.4842928081586804</x:v>
      </x:c>
      <x:c r="T1256" t="str">
        <x:v>여성소비·직장밀집</x:v>
      </x:c>
      <x:c r="U1256" s="16" t="n">
        <x:v>63.57955919140005</x:v>
      </x:c>
      <x:c r="V1256" t="str">
        <x:v>수산물판매</x:v>
      </x:c>
      <x:c r="W1256" t="str">
        <x:v>수산물판매 / 일반의류 / 슈퍼마켓</x:v>
      </x:c>
      <x:c r="X1256" s="16" t="n">
        <x:v>48.894720176043414</x:v>
      </x:c>
    </x:row>
    <x:row r="1257">
      <x:c r="A1257" t="str">
        <x:v>3110926</x:v>
      </x:c>
      <x:c r="B1257" t="str">
        <x:v>신중초등학교</x:v>
      </x:c>
      <x:c r="C1257" t="str">
        <x:v>골목상권</x:v>
      </x:c>
      <x:c r="D1257" t="str">
        <x:v>서초구</x:v>
      </x:c>
      <x:c r="E1257" t="str">
        <x:v>서초3동</x:v>
      </x:c>
      <x:c r="F1257" s="12" t="n">
        <x:v>98883</x:v>
      </x:c>
      <x:c r="G1257" s="12" t="n">
        <x:v>754951864</x:v>
      </x:c>
      <x:c r="H1257" s="12" t="n">
        <x:v>93599</x:v>
      </x:c>
      <x:c r="I1257" s="12" t="n">
        <x:v>8065.811215931794</x:v>
      </x:c>
      <x:c r="J1257" s="12" t="n">
        <x:v>7634.799348725262</x:v>
      </x:c>
      <x:c r="K1257" s="12" t="n">
        <x:v>765</x:v>
      </x:c>
      <x:c r="L1257" s="12" t="n">
        <x:v>77.36415764084828</x:v>
      </x:c>
      <x:c r="M1257" s="12" t="n">
        <x:v>6</x:v>
      </x:c>
      <x:c r="N1257" s="14" t="n">
        <x:v>0.7486766374816183</x:v>
      </x:c>
      <x:c r="O1257" s="14" t="n">
        <x:v>0.2513233625183817</x:v>
      </x:c>
      <x:c r="P1257" s="14" t="n">
        <x:v>0.3777720323636422</x:v>
      </x:c>
      <x:c r="Q1257" s="14" t="n">
        <x:v>0.27970634297288127</x:v>
      </x:c>
      <x:c r="R1257" s="14" t="n">
        <x:v>0.20816828395830014</x:v>
      </x:c>
      <x:c r="S1257" s="14" t="n">
        <x:v>0.4190183918798828</x:v>
      </x:c>
      <x:c r="T1257" t="str">
        <x:v>균형형</x:v>
      </x:c>
      <x:c r="U1257" s="16" t="n">
        <x:v>53.614562774814075</x:v>
      </x:c>
      <x:c r="V1257" t="str">
        <x:v>미용실</x:v>
      </x:c>
      <x:c r="W1257" t="str">
        <x:v>미용실 / 일반의류 / 편의점</x:v>
      </x:c>
      <x:c r="X1257" s="16" t="n">
        <x:v>40.10036219080435</x:v>
      </x:c>
    </x:row>
    <x:row r="1258">
      <x:c r="A1258" t="str">
        <x:v>3110411</x:v>
      </x:c>
      <x:c r="B1258" t="str">
        <x:v>도봉역 3번</x:v>
      </x:c>
      <x:c r="C1258" t="str">
        <x:v>골목상권</x:v>
      </x:c>
      <x:c r="D1258" t="str">
        <x:v>도봉구</x:v>
      </x:c>
      <x:c r="E1258" t="str">
        <x:v>도봉2동</x:v>
      </x:c>
      <x:c r="F1258" s="12" t="n">
        <x:v>90321</x:v>
      </x:c>
      <x:c r="G1258" s="12" t="n">
        <x:v>753553208</x:v>
      </x:c>
      <x:c r="H1258" s="12" t="n">
        <x:v>21299</x:v>
      </x:c>
      <x:c r="I1258" s="12" t="n">
        <x:v>35379.74590356355</x:v>
      </x:c>
      <x:c r="J1258" s="12" t="n">
        <x:v>8343.056520631968</x:v>
      </x:c>
      <x:c r="K1258" s="12" t="n">
        <x:v>386</x:v>
      </x:c>
      <x:c r="L1258" s="12" t="n">
        <x:v>42.73646217380232</x:v>
      </x:c>
      <x:c r="M1258" s="12" t="n">
        <x:v>4</x:v>
      </x:c>
      <x:c r="N1258" s="14" t="n">
        <x:v>0.8524113256777482</x:v>
      </x:c>
      <x:c r="O1258" s="14" t="n">
        <x:v>0.1475886743222517</x:v>
      </x:c>
      <x:c r="P1258" s="14" t="n">
        <x:v>0.3484447736569121</x:v>
      </x:c>
      <x:c r="Q1258" s="14" t="n">
        <x:v>0.4707370391819764</x:v>
      </x:c>
      <x:c r="R1258" s="14" t="n">
        <x:v>0.18675989101488902</x:v>
      </x:c>
      <x:c r="S1258" s="14" t="n">
        <x:v>0.31140328315077653</x:v>
      </x:c>
      <x:c r="T1258" t="str">
        <x:v>평일집중</x:v>
      </x:c>
      <x:c r="U1258" s="16" t="n">
        <x:v>54.7754627312509</x:v>
      </x:c>
      <x:c r="V1258" t="str">
        <x:v>한식음식점</x:v>
      </x:c>
      <x:c r="W1258" t="str">
        <x:v>한식음식점 / 미용실 / 커피-음료</x:v>
      </x:c>
      <x:c r="X1258" s="16" t="n">
        <x:v>39.69922965723657</x:v>
      </x:c>
    </x:row>
    <x:row r="1259">
      <x:c r="A1259" t="str">
        <x:v>3110059</x:v>
      </x:c>
      <x:c r="B1259" t="str">
        <x:v>새남터성지</x:v>
      </x:c>
      <x:c r="C1259" t="str">
        <x:v>골목상권</x:v>
      </x:c>
      <x:c r="D1259" t="str">
        <x:v>용산구</x:v>
      </x:c>
      <x:c r="E1259" t="str">
        <x:v>이촌2동</x:v>
      </x:c>
      <x:c r="F1259" s="12" t="n">
        <x:v>56970</x:v>
      </x:c>
      <x:c r="G1259" s="12" t="n">
        <x:v>751607943</x:v>
      </x:c>
      <x:c r="H1259" s="12" t="n">
        <x:v>22084</x:v>
      </x:c>
      <x:c r="I1259" s="12" t="n">
        <x:v>34034.04922115559</x:v>
      </x:c>
      <x:c r="J1259" s="12" t="n">
        <x:v>13193.047972617167</x:v>
      </x:c>
      <x:c r="K1259" s="12" t="n">
        <x:v>2035</x:v>
      </x:c>
      <x:c r="L1259" s="12" t="n">
        <x:v>357.20554677900645</x:v>
      </x:c>
      <x:c r="M1259" s="12" t="n">
        <x:v>10</x:v>
      </x:c>
      <x:c r="N1259" s="14" t="n">
        <x:v>0.8355262645221938</x:v>
      </x:c>
      <x:c r="O1259" s="14" t="n">
        <x:v>0.16447373547780614</x:v>
      </x:c>
      <x:c r="P1259" s="14" t="n">
        <x:v>0.41893315249330726</x:v>
      </x:c>
      <x:c r="Q1259" s="14" t="n">
        <x:v>0.22024757260980676</x:v>
      </x:c>
      <x:c r="R1259" s="14" t="n">
        <x:v>0.105104265775435</x:v>
      </x:c>
      <x:c r="S1259" s="14" t="n">
        <x:v>0.3896018898246263</x:v>
      </x:c>
      <x:c r="T1259" t="str">
        <x:v>직장밀집·평일집중</x:v>
      </x:c>
      <x:c r="U1259" s="16" t="n">
        <x:v>70.23684864893444</x:v>
      </x:c>
      <x:c r="V1259" t="str">
        <x:v>자동차수리</x:v>
      </x:c>
      <x:c r="W1259" t="str">
        <x:v>자동차수리 / 미용실 / 철물점</x:v>
      </x:c>
      <x:c r="X1259" s="16" t="n">
        <x:v>62.871741622662945</x:v>
      </x:c>
    </x:row>
    <x:row r="1260">
      <x:c r="A1260" t="str">
        <x:v>3110433</x:v>
      </x:c>
      <x:c r="B1260" t="str">
        <x:v>공릉역 2번</x:v>
      </x:c>
      <x:c r="C1260" t="str">
        <x:v>골목상권</x:v>
      </x:c>
      <x:c r="D1260" t="str">
        <x:v>노원구</x:v>
      </x:c>
      <x:c r="E1260" t="str">
        <x:v>공릉1동</x:v>
      </x:c>
      <x:c r="F1260" s="12" t="n">
        <x:v>95309</x:v>
      </x:c>
      <x:c r="G1260" s="12" t="n">
        <x:v>747110047</x:v>
      </x:c>
      <x:c r="H1260" s="12" t="n">
        <x:v>70780</x:v>
      </x:c>
      <x:c r="I1260" s="12" t="n">
        <x:v>10555.383540548177</x:v>
      </x:c>
      <x:c r="J1260" s="12" t="n">
        <x:v>7838.819492387917</x:v>
      </x:c>
      <x:c r="K1260" s="12" t="n">
        <x:v>588</x:v>
      </x:c>
      <x:c r="L1260" s="12" t="n">
        <x:v>61.69406876580386</x:v>
      </x:c>
      <x:c r="M1260" s="12" t="n">
        <x:v>12</x:v>
      </x:c>
      <x:c r="N1260" s="14" t="n">
        <x:v>0.6417928147605275</x:v>
      </x:c>
      <x:c r="O1260" s="14" t="n">
        <x:v>0.3582071852394725</x:v>
      </x:c>
      <x:c r="P1260" s="14" t="n">
        <x:v>0.5166819929005719</x:v>
      </x:c>
      <x:c r="Q1260" s="14" t="n">
        <x:v>0.19022592664986607</x:v>
      </x:c>
      <x:c r="R1260" s="14" t="n">
        <x:v>0.4313463582694933</x:v>
      </x:c>
      <x:c r="S1260" s="14" t="n">
        <x:v>0.4915891045432561</x:v>
      </x:c>
      <x:c r="T1260" t="str">
        <x:v>2030소비·야간활성</x:v>
      </x:c>
      <x:c r="U1260" s="16" t="n">
        <x:v>52.61488192251358</x:v>
      </x:c>
      <x:c r="V1260" t="str">
        <x:v>미용실</x:v>
      </x:c>
      <x:c r="W1260" t="str">
        <x:v>미용실 / 반찬가게 / 커피-음료</x:v>
      </x:c>
      <x:c r="X1260" s="16" t="n">
        <x:v>46.980886004013335</x:v>
      </x:c>
    </x:row>
    <x:row r="1261">
      <x:c r="A1261" t="str">
        <x:v>3110823</x:v>
      </x:c>
      <x:c r="B1261" t="str">
        <x:v>신대방삼거리역 3번</x:v>
      </x:c>
      <x:c r="C1261" t="str">
        <x:v>골목상권</x:v>
      </x:c>
      <x:c r="D1261" t="str">
        <x:v>동작구</x:v>
      </x:c>
      <x:c r="E1261" t="str">
        <x:v>신대방2동</x:v>
      </x:c>
      <x:c r="F1261" s="12" t="n">
        <x:v>88509</x:v>
      </x:c>
      <x:c r="G1261" s="12" t="n">
        <x:v>742941993</x:v>
      </x:c>
      <x:c r="H1261" s="12" t="n">
        <x:v>58959</x:v>
      </x:c>
      <x:c r="I1261" s="12" t="n">
        <x:v>12600.993792296342</x:v>
      </x:c>
      <x:c r="J1261" s="12" t="n">
        <x:v>8393.971155475714</x:v>
      </x:c>
      <x:c r="K1261" s="12" t="n">
        <x:v>570</x:v>
      </x:c>
      <x:c r="L1261" s="12" t="n">
        <x:v>64.40023048503542</x:v>
      </x:c>
      <x:c r="M1261" s="12" t="n">
        <x:v>7</x:v>
      </x:c>
      <x:c r="N1261" s="14" t="n">
        <x:v>0.7077728126211867</x:v>
      </x:c>
      <x:c r="O1261" s="14" t="n">
        <x:v>0.2922271873788133</x:v>
      </x:c>
      <x:c r="P1261" s="14" t="n">
        <x:v>0.4181684262394359</x:v>
      </x:c>
      <x:c r="Q1261" s="14" t="n">
        <x:v>0.2282103819645042</x:v>
      </x:c>
      <x:c r="R1261" s="14" t="n">
        <x:v>0.4136547077639748</x:v>
      </x:c>
      <x:c r="S1261" s="14" t="n">
        <x:v>0.5246120634885152</x:v>
      </x:c>
      <x:c r="T1261" t="str">
        <x:v>2030소비·여성소비</x:v>
      </x:c>
      <x:c r="U1261" s="16" t="n">
        <x:v>48.011782100346664</x:v>
      </x:c>
      <x:c r="V1261" t="str">
        <x:v>전자상거래업</x:v>
      </x:c>
      <x:c r="W1261" t="str">
        <x:v>전자상거래업 / 미용실 / 커피-음료</x:v>
      </x:c>
      <x:c r="X1261" s="16" t="n">
        <x:v>43.9110872041453</x:v>
      </x:c>
    </x:row>
    <x:row r="1262">
      <x:c r="A1262" t="str">
        <x:v>3111025</x:v>
      </x:c>
      <x:c r="B1262" t="str">
        <x:v>경찰병원역 3번</x:v>
      </x:c>
      <x:c r="C1262" t="str">
        <x:v>골목상권</x:v>
      </x:c>
      <x:c r="D1262" t="str">
        <x:v>송파구</x:v>
      </x:c>
      <x:c r="E1262" t="str">
        <x:v>가락2동</x:v>
      </x:c>
      <x:c r="F1262" s="12" t="n">
        <x:v>59147</x:v>
      </x:c>
      <x:c r="G1262" s="12" t="n">
        <x:v>741637677</x:v>
      </x:c>
      <x:c r="H1262" s="12" t="n">
        <x:v>77454</x:v>
      </x:c>
      <x:c r="I1262" s="12" t="n">
        <x:v>9575.201758463088</x:v>
      </x:c>
      <x:c r="J1262" s="12" t="n">
        <x:v>12538.889157522783</x:v>
      </x:c>
      <x:c r="K1262" s="12" t="n">
        <x:v>404</x:v>
      </x:c>
      <x:c r="L1262" s="12" t="n">
        <x:v>68.3043941366426</x:v>
      </x:c>
      <x:c r="M1262" s="12" t="n">
        <x:v>7</x:v>
      </x:c>
      <x:c r="N1262" s="14" t="n">
        <x:v>0.7145914338437798</x:v>
      </x:c>
      <x:c r="O1262" s="14" t="n">
        <x:v>0.28540856615622023</x:v>
      </x:c>
      <x:c r="P1262" s="14" t="n">
        <x:v>0.4305960644984869</x:v>
      </x:c>
      <x:c r="Q1262" s="14" t="n">
        <x:v>0.20475105123333695</x:v>
      </x:c>
      <x:c r="R1262" s="14" t="n">
        <x:v>0.26610324976787825</x:v>
      </x:c>
      <x:c r="S1262" s="14" t="n">
        <x:v>0.47204766944438825</x:v>
      </x:c>
      <x:c r="T1262" t="str">
        <x:v>2030소비·여성소비</x:v>
      </x:c>
      <x:c r="U1262" s="16" t="n">
        <x:v>49.3756540825608</x:v>
      </x:c>
      <x:c r="V1262" t="str">
        <x:v>반찬가게</x:v>
      </x:c>
      <x:c r="W1262" t="str">
        <x:v>반찬가게 / 세탁소 / 미용실</x:v>
      </x:c>
      <x:c r="X1262" s="16" t="n">
        <x:v>42.097886258844646</x:v>
      </x:c>
    </x:row>
    <x:row r="1263">
      <x:c r="A1263" t="str">
        <x:v>3110203</x:v>
      </x:c>
      <x:c r="B1263" t="str">
        <x:v>떡전교사거리</x:v>
      </x:c>
      <x:c r="C1263" t="str">
        <x:v>골목상권</x:v>
      </x:c>
      <x:c r="D1263" t="str">
        <x:v>동대문구</x:v>
      </x:c>
      <x:c r="E1263" t="str">
        <x:v>청량리동</x:v>
      </x:c>
      <x:c r="F1263" s="12" t="n">
        <x:v>46180</x:v>
      </x:c>
      <x:c r="G1263" s="12" t="n">
        <x:v>739119748</x:v>
      </x:c>
      <x:c r="H1263" s="12" t="n">
        <x:v>52929</x:v>
      </x:c>
      <x:c r="I1263" s="12" t="n">
        <x:v>13964.362598953316</x:v>
      </x:c>
      <x:c r="J1263" s="12" t="n">
        <x:v>16005.191598094412</x:v>
      </x:c>
      <x:c r="K1263" s="12" t="n">
        <x:v>344</x:v>
      </x:c>
      <x:c r="L1263" s="12" t="n">
        <x:v>74.49112169770463</x:v>
      </x:c>
      <x:c r="M1263" s="12" t="n">
        <x:v>6</x:v>
      </x:c>
      <x:c r="N1263" s="14" t="n">
        <x:v>0.7333621141455416</x:v>
      </x:c>
      <x:c r="O1263" s="14" t="n">
        <x:v>0.2666378858544583</x:v>
      </x:c>
      <x:c r="P1263" s="14" t="n">
        <x:v>0.4978668558048053</x:v>
      </x:c>
      <x:c r="Q1263" s="14" t="n">
        <x:v>0.21930417018163612</x:v>
      </x:c>
      <x:c r="R1263" s="14" t="n">
        <x:v>0.3454410827080215</x:v>
      </x:c>
      <x:c r="S1263" s="14" t="n">
        <x:v>0.3573891736958434</x:v>
      </x:c>
      <x:c r="T1263" t="str">
        <x:v>2030소비·야간활성</x:v>
      </x:c>
      <x:c r="U1263" s="16" t="n">
        <x:v>51.421011707249804</x:v>
      </x:c>
      <x:c r="V1263" t="str">
        <x:v>호프-간이주점</x:v>
      </x:c>
      <x:c r="W1263" t="str">
        <x:v>호프-간이주점 / 슈퍼마켓 / 미용실</x:v>
      </x:c>
      <x:c r="X1263" s="16" t="n">
        <x:v>45.31899459746849</x:v>
      </x:c>
    </x:row>
    <x:row r="1264">
      <x:c r="A1264" t="str">
        <x:v>3110442</x:v>
      </x:c>
      <x:c r="B1264" t="str">
        <x:v>화랑대철도공원</x:v>
      </x:c>
      <x:c r="C1264" t="str">
        <x:v>골목상권</x:v>
      </x:c>
      <x:c r="D1264" t="str">
        <x:v>노원구</x:v>
      </x:c>
      <x:c r="E1264" t="str">
        <x:v>공릉2동</x:v>
      </x:c>
      <x:c r="F1264" s="12" t="n">
        <x:v>20050</x:v>
      </x:c>
      <x:c r="G1264" s="12" t="n">
        <x:v>735797786</x:v>
      </x:c>
      <x:c r="H1264" s="12" t="n">
        <x:v>51131</x:v>
      </x:c>
      <x:c r="I1264" s="12" t="n">
        <x:v>14390.443879446912</x:v>
      </x:c>
      <x:c r="J1264" s="12" t="n">
        <x:v>36698.143940149625</x:v>
      </x:c>
      <x:c r="K1264" s="12" t="n">
        <x:v>101</x:v>
      </x:c>
      <x:c r="L1264" s="12" t="n">
        <x:v>50.37406483790524</x:v>
      </x:c>
      <x:c r="M1264" s="12" t="n">
        <x:v>7</x:v>
      </x:c>
      <x:c r="N1264" s="14" t="n">
        <x:v>0.8137738647666983</x:v>
      </x:c>
      <x:c r="O1264" s="14" t="n">
        <x:v>0.18622613523330173</x:v>
      </x:c>
      <x:c r="P1264" s="14" t="n">
        <x:v>0.3491621582563446</x:v>
      </x:c>
      <x:c r="Q1264" s="14" t="n">
        <x:v>0.3252529207800579</x:v>
      </x:c>
      <x:c r="R1264" s="14" t="n">
        <x:v>0.2532507579466949</x:v>
      </x:c>
      <x:c r="S1264" s="14" t="n">
        <x:v>0.5698222704355895</x:v>
      </x:c>
      <x:c r="T1264" t="str">
        <x:v>여성소비·평일집중</x:v>
      </x:c>
      <x:c r="U1264" s="16" t="n">
        <x:v>59.16131318493544</x:v>
      </x:c>
      <x:c r="V1264" t="str">
        <x:v>분식전문점</x:v>
      </x:c>
      <x:c r="W1264" t="str">
        <x:v>분식전문점 / 예술학원 / 일반교습학원</x:v>
      </x:c>
      <x:c r="X1264" s="16" t="n">
        <x:v>52.37129464985799</x:v>
      </x:c>
    </x:row>
    <x:row r="1265">
      <x:c r="A1265" t="str">
        <x:v>3110875</x:v>
      </x:c>
      <x:c r="B1265" t="str">
        <x:v>보라매동주민센터(당곡고등학교)</x:v>
      </x:c>
      <x:c r="C1265" t="str">
        <x:v>골목상권</x:v>
      </x:c>
      <x:c r="D1265" t="str">
        <x:v>관악구</x:v>
      </x:c>
      <x:c r="E1265" t="str">
        <x:v>보라매동</x:v>
      </x:c>
      <x:c r="F1265" s="12" t="n">
        <x:v>62226</x:v>
      </x:c>
      <x:c r="G1265" s="12" t="n">
        <x:v>735144005</x:v>
      </x:c>
      <x:c r="H1265" s="12" t="n">
        <x:v>51126</x:v>
      </x:c>
      <x:c r="I1265" s="12" t="n">
        <x:v>14379.063587998278</x:v>
      </x:c>
      <x:c r="J1265" s="12" t="n">
        <x:v>11814.09708160576</x:v>
      </x:c>
      <x:c r="K1265" s="12" t="n">
        <x:v>105</x:v>
      </x:c>
      <x:c r="L1265" s="12" t="n">
        <x:v>16.873975508629833</x:v>
      </x:c>
      <x:c r="M1265" s="12" t="n">
        <x:v>5</x:v>
      </x:c>
      <x:c r="N1265" s="14" t="n">
        <x:v>0.750242082161848</x:v>
      </x:c>
      <x:c r="O1265" s="14" t="n">
        <x:v>0.249757917838152</x:v>
      </x:c>
      <x:c r="P1265" s="14" t="n">
        <x:v>0.2735548146107782</x:v>
      </x:c>
      <x:c r="Q1265" s="14" t="n">
        <x:v>0.2794176700114694</x:v>
      </x:c>
      <x:c r="R1265" s="14" t="n">
        <x:v>0.17995598290977016</x:v>
      </x:c>
      <x:c r="S1265" s="14" t="n">
        <x:v>0.4749124084879125</x:v>
      </x:c>
      <x:c r="T1265" t="str">
        <x:v>여성소비</x:v>
      </x:c>
      <x:c r="U1265" s="16" t="n">
        <x:v>55.782124644200415</x:v>
      </x:c>
      <x:c r="V1265" t="str">
        <x:v>청과상</x:v>
      </x:c>
      <x:c r="W1265" t="str">
        <x:v>청과상 / 커피-음료 / 세탁소</x:v>
      </x:c>
      <x:c r="X1265" s="16" t="n">
        <x:v>44.04822308175207</x:v>
      </x:c>
    </x:row>
    <x:row r="1266">
      <x:c r="A1266" t="str">
        <x:v>3110181</x:v>
      </x:c>
      <x:c r="B1266" t="str">
        <x:v>신설동역 9번</x:v>
      </x:c>
      <x:c r="C1266" t="str">
        <x:v>골목상권</x:v>
      </x:c>
      <x:c r="D1266" t="str">
        <x:v>동대문구</x:v>
      </x:c>
      <x:c r="E1266" t="str">
        <x:v>용신동</x:v>
      </x:c>
      <x:c r="F1266" s="12" t="n">
        <x:v>141747</x:v>
      </x:c>
      <x:c r="G1266" s="12" t="n">
        <x:v>734584593</x:v>
      </x:c>
      <x:c r="H1266" s="12" t="n">
        <x:v>53491</x:v>
      </x:c>
      <x:c r="I1266" s="12" t="n">
        <x:v>13732.8633414967</x:v>
      </x:c>
      <x:c r="J1266" s="12" t="n">
        <x:v>5182.364304006434</x:v>
      </x:c>
      <x:c r="K1266" s="12" t="n">
        <x:v>3149</x:v>
      </x:c>
      <x:c r="L1266" s="12" t="n">
        <x:v>222.15637720727776</x:v>
      </x:c>
      <x:c r="M1266" s="12" t="n">
        <x:v>5</x:v>
      </x:c>
      <x:c r="N1266" s="14" t="n">
        <x:v>0.7135485306863767</x:v>
      </x:c>
      <x:c r="O1266" s="14" t="n">
        <x:v>0.28645146931362336</x:v>
      </x:c>
      <x:c r="P1266" s="14" t="n">
        <x:v>0.21268829007416984</x:v>
      </x:c>
      <x:c r="Q1266" s="14" t="n">
        <x:v>0.4623585142358138</x:v>
      </x:c>
      <x:c r="R1266" s="14" t="n">
        <x:v>0.23795403097979215</x:v>
      </x:c>
      <x:c r="S1266" s="14" t="n">
        <x:v>0.2317745030625765</x:v>
      </x:c>
      <x:c r="T1266" t="str">
        <x:v>직장밀집·2030소비</x:v>
      </x:c>
      <x:c r="U1266" s="16" t="n">
        <x:v>55.31907390547797</x:v>
      </x:c>
      <x:c r="V1266" t="str">
        <x:v>일반의류</x:v>
      </x:c>
      <x:c r="W1266" t="str">
        <x:v>일반의류 / 가전제품 / 한식음식점</x:v>
      </x:c>
      <x:c r="X1266" s="16" t="n">
        <x:v>43.01662398132073</x:v>
      </x:c>
    </x:row>
    <x:row r="1267">
      <x:c r="A1267" t="str">
        <x:v>3110506</x:v>
      </x:c>
      <x:c r="B1267" t="str">
        <x:v>연희임광아파트</x:v>
      </x:c>
      <x:c r="C1267" t="str">
        <x:v>골목상권</x:v>
      </x:c>
      <x:c r="D1267" t="str">
        <x:v>서대문구</x:v>
      </x:c>
      <x:c r="E1267" t="str">
        <x:v>연희동</x:v>
      </x:c>
      <x:c r="F1267" s="12" t="n">
        <x:v>25732</x:v>
      </x:c>
      <x:c r="G1267" s="12" t="n">
        <x:v>732550933</x:v>
      </x:c>
      <x:c r="H1267" s="12" t="n">
        <x:v>54845</x:v>
      </x:c>
      <x:c r="I1267" s="12" t="n">
        <x:v>13356.749621661045</x:v>
      </x:c>
      <x:c r="J1267" s="12" t="n">
        <x:v>28468.48021918234</x:v>
      </x:c>
      <x:c r="K1267" s="12" t="n">
        <x:v>279</x:v>
      </x:c>
      <x:c r="L1267" s="12" t="n">
        <x:v>108.42530701072593</x:v>
      </x:c>
      <x:c r="M1267" s="12" t="n">
        <x:v>4</x:v>
      </x:c>
      <x:c r="N1267" s="14" t="n">
        <x:v>0.8006624544153027</x:v>
      </x:c>
      <x:c r="O1267" s="14" t="n">
        <x:v>0.19933754558469724</x:v>
      </x:c>
      <x:c r="P1267" s="14" t="n">
        <x:v>0.27697509054977887</x:v>
      </x:c>
      <x:c r="Q1267" s="14" t="n">
        <x:v>0.43912279612099</x:v>
      </x:c>
      <x:c r="R1267" s="14" t="n">
        <x:v>0.3766777579136603</x:v>
      </x:c>
      <x:c r="S1267" s="14" t="n">
        <x:v>0.4999520572585224</x:v>
      </x:c>
      <x:c r="T1267" t="str">
        <x:v>2030소비·여성소비</x:v>
      </x:c>
      <x:c r="U1267" s="16" t="n">
        <x:v>60.31016322756345</x:v>
      </x:c>
      <x:c r="V1267" t="str">
        <x:v>분식전문점</x:v>
      </x:c>
      <x:c r="W1267" t="str">
        <x:v>분식전문점 / 자동차수리 / 한식음식점</x:v>
      </x:c>
      <x:c r="X1267" s="16" t="n">
        <x:v>45.44691438857203</x:v>
      </x:c>
    </x:row>
    <x:row r="1268">
      <x:c r="A1268" t="str">
        <x:v>3110626</x:v>
      </x:c>
      <x:c r="B1268" t="str">
        <x:v>양화초등학교</x:v>
      </x:c>
      <x:c r="C1268" t="str">
        <x:v>골목상권</x:v>
      </x:c>
      <x:c r="D1268" t="str">
        <x:v>양천구</x:v>
      </x:c>
      <x:c r="E1268" t="str">
        <x:v>목2동</x:v>
      </x:c>
      <x:c r="F1268" s="12" t="n">
        <x:v>127884</x:v>
      </x:c>
      <x:c r="G1268" s="12" t="n">
        <x:v>729177869</x:v>
      </x:c>
      <x:c r="H1268" s="12" t="n">
        <x:v>40027</x:v>
      </x:c>
      <x:c r="I1268" s="12" t="n">
        <x:v>18217.15014864966</x:v>
      </x:c>
      <x:c r="J1268" s="12" t="n">
        <x:v>5701.869420725032</x:v>
      </x:c>
      <x:c r="K1268" s="12" t="n">
        <x:v>945</x:v>
      </x:c>
      <x:c r="L1268" s="12" t="n">
        <x:v>73.89509242751244</x:v>
      </x:c>
      <x:c r="M1268" s="12" t="n">
        <x:v>11</x:v>
      </x:c>
      <x:c r="N1268" s="14" t="n">
        <x:v>0.7675856369140572</x:v>
      </x:c>
      <x:c r="O1268" s="14" t="n">
        <x:v>0.23241436308594277</x:v>
      </x:c>
      <x:c r="P1268" s="14" t="n">
        <x:v>0.4235592248892019</x:v>
      </x:c>
      <x:c r="Q1268" s="14" t="n">
        <x:v>0.1662392375762024</x:v>
      </x:c>
      <x:c r="R1268" s="14" t="n">
        <x:v>0.25988422586094695</x:v>
      </x:c>
      <x:c r="S1268" s="14" t="n">
        <x:v>0.52219135438407</x:v>
      </x:c>
      <x:c r="T1268" t="str">
        <x:v>여성소비·2030소비</x:v>
      </x:c>
      <x:c r="U1268" s="16" t="n">
        <x:v>60.9514433380462</x:v>
      </x:c>
      <x:c r="V1268" t="str">
        <x:v>예술학원</x:v>
      </x:c>
      <x:c r="W1268" t="str">
        <x:v>예술학원 / 미용실 / 네일숍</x:v>
      </x:c>
      <x:c r="X1268" s="16" t="n">
        <x:v>51.012792798678184</x:v>
      </x:c>
    </x:row>
    <x:row r="1269">
      <x:c r="A1269" t="str">
        <x:v>3110306</x:v>
      </x:c>
      <x:c r="B1269" t="str">
        <x:v>미아초등학교</x:v>
      </x:c>
      <x:c r="C1269" t="str">
        <x:v>골목상권</x:v>
      </x:c>
      <x:c r="D1269" t="str">
        <x:v>성북구</x:v>
      </x:c>
      <x:c r="E1269" t="str">
        <x:v>길음1동</x:v>
      </x:c>
      <x:c r="F1269" s="12" t="n">
        <x:v>32625</x:v>
      </x:c>
      <x:c r="G1269" s="12" t="n">
        <x:v>729020129</x:v>
      </x:c>
      <x:c r="H1269" s="12" t="n">
        <x:v>14402</x:v>
      </x:c>
      <x:c r="I1269" s="12" t="n">
        <x:v>50619.367379530624</x:v>
      </x:c>
      <x:c r="J1269" s="12" t="n">
        <x:v>22345.44456704981</x:v>
      </x:c>
      <x:c r="K1269" s="12" t="n">
        <x:v>776</x:v>
      </x:c>
      <x:c r="L1269" s="12" t="n">
        <x:v>237.8544061302682</x:v>
      </x:c>
      <x:c r="M1269" s="12" t="n">
        <x:v>7</x:v>
      </x:c>
      <x:c r="N1269" s="14" t="n">
        <x:v>0.8355841228082195</x:v>
      </x:c>
      <x:c r="O1269" s="14" t="n">
        <x:v>0.16441587719178052</x:v>
      </x:c>
      <x:c r="P1269" s="14" t="n">
        <x:v>0.3004927920172695</x:v>
      </x:c>
      <x:c r="Q1269" s="14" t="n">
        <x:v>0.32071949963949486</x:v>
      </x:c>
      <x:c r="R1269" s="14" t="n">
        <x:v>0.18167548841439465</x:v>
      </x:c>
      <x:c r="S1269" s="14" t="n">
        <x:v>0.43250012236630575</x:v>
      </x:c>
      <x:c r="T1269" t="str">
        <x:v>평일집중·직장밀집</x:v>
      </x:c>
      <x:c r="U1269" s="16" t="n">
        <x:v>76.2117414145317</x:v>
      </x:c>
      <x:c r="V1269" t="str">
        <x:v>예술학원</x:v>
      </x:c>
      <x:c r="W1269" t="str">
        <x:v>예술학원 / 스포츠 강습 / 중식음식점</x:v>
      </x:c>
      <x:c r="X1269" s="16" t="n">
        <x:v>56.29005166223144</x:v>
      </x:c>
    </x:row>
    <x:row r="1270">
      <x:c r="A1270" t="str">
        <x:v>3110168</x:v>
      </x:c>
      <x:c r="B1270" t="str">
        <x:v>대원고등학교</x:v>
      </x:c>
      <x:c r="C1270" t="str">
        <x:v>골목상권</x:v>
      </x:c>
      <x:c r="D1270" t="str">
        <x:v>광진구</x:v>
      </x:c>
      <x:c r="E1270" t="str">
        <x:v>중곡4동</x:v>
      </x:c>
      <x:c r="F1270" s="12" t="n">
        <x:v>58514</x:v>
      </x:c>
      <x:c r="G1270" s="12" t="n">
        <x:v>723024773</x:v>
      </x:c>
      <x:c r="H1270" s="12" t="n">
        <x:v>39504</x:v>
      </x:c>
      <x:c r="I1270" s="12" t="n">
        <x:v>18302.571207978937</x:v>
      </x:c>
      <x:c r="J1270" s="12" t="n">
        <x:v>12356.440732132482</x:v>
      </x:c>
      <x:c r="K1270" s="12" t="n">
        <x:v>418</x:v>
      </x:c>
      <x:c r="L1270" s="12" t="n">
        <x:v>71.4358956830844</x:v>
      </x:c>
      <x:c r="M1270" s="12" t="n">
        <x:v>7</x:v>
      </x:c>
      <x:c r="N1270" s="14" t="n">
        <x:v>0.6874240794512859</x:v>
      </x:c>
      <x:c r="O1270" s="14" t="n">
        <x:v>0.312575920548714</x:v>
      </x:c>
      <x:c r="P1270" s="14" t="n">
        <x:v>0.5339817823918462</x:v>
      </x:c>
      <x:c r="Q1270" s="14" t="n">
        <x:v>0.2567611953733154</x:v>
      </x:c>
      <x:c r="R1270" s="14" t="n">
        <x:v>0.3044997007315543</x:v>
      </x:c>
      <x:c r="S1270" s="14" t="n">
        <x:v>0.45055396047958096</x:v>
      </x:c>
      <x:c r="T1270" t="str">
        <x:v>야간활성·2030소비</x:v>
      </x:c>
      <x:c r="U1270" s="16" t="n">
        <x:v>56.4576172918749</x:v>
      </x:c>
      <x:c r="V1270" t="str">
        <x:v>일반교습학원</x:v>
      </x:c>
      <x:c r="W1270" t="str">
        <x:v>일반교습학원 / 미용실 / 한식음식점</x:v>
      </x:c>
      <x:c r="X1270" s="16" t="n">
        <x:v>41.22383084636607</x:v>
      </x:c>
    </x:row>
    <x:row r="1271">
      <x:c r="A1271" t="str">
        <x:v>3110970</x:v>
      </x:c>
      <x:c r="B1271" t="str">
        <x:v>학동초등학교</x:v>
      </x:c>
      <x:c r="C1271" t="str">
        <x:v>골목상권</x:v>
      </x:c>
      <x:c r="D1271" t="str">
        <x:v>강남구</x:v>
      </x:c>
      <x:c r="E1271" t="str">
        <x:v>논현2동</x:v>
      </x:c>
      <x:c r="F1271" s="12" t="n">
        <x:v>50014</x:v>
      </x:c>
      <x:c r="G1271" s="12" t="n">
        <x:v>721985964</x:v>
      </x:c>
      <x:c r="H1271" s="12" t="n">
        <x:v>8362</x:v>
      </x:c>
      <x:c r="I1271" s="12" t="n">
        <x:v>86341.30160248744</x:v>
      </x:c>
      <x:c r="J1271" s="12" t="n">
        <x:v>14435.677290358699</x:v>
      </x:c>
      <x:c r="K1271" s="12" t="n">
        <x:v>1478</x:v>
      </x:c>
      <x:c r="L1271" s="12" t="n">
        <x:v>295.5172551685528</x:v>
      </x:c>
      <x:c r="M1271" s="12" t="n">
        <x:v>2</x:v>
      </x:c>
      <x:c r="N1271" s="14" t="n">
        <x:v>0.8710787762627474</x:v>
      </x:c>
      <x:c r="O1271" s="14" t="n">
        <x:v>0.1289212237372526</x:v>
      </x:c>
      <x:c r="P1271" s="14" t="n">
        <x:v>0.7200085693078654</x:v>
      </x:c>
      <x:c r="Q1271" s="14" t="n">
        <x:v>0.1440665818816389</x:v>
      </x:c>
      <x:c r="R1271" s="14" t="n">
        <x:v>0.0807782518054603</x:v>
      </x:c>
      <x:c r="S1271" s="14" t="n">
        <x:v>0.7658258838394814</x:v>
      </x:c>
      <x:c r="T1271" t="str">
        <x:v>여성소비·야간활성</x:v>
      </x:c>
      <x:c r="U1271" s="16" t="n">
        <x:v>49.907996710971176</x:v>
      </x:c>
      <x:c r="V1271" t="str">
        <x:v>일반교습학원</x:v>
      </x:c>
      <x:c r="W1271" t="str">
        <x:v>일반교습학원 / 한식음식점</x:v>
      </x:c>
      <x:c r="X1271" s="16" t="n">
        <x:v>40.989384725842115</x:v>
      </x:c>
    </x:row>
    <x:row r="1272">
      <x:c r="A1272" t="str">
        <x:v>3110133</x:v>
      </x:c>
      <x:c r="B1272" t="str">
        <x:v>서울교통공사</x:v>
      </x:c>
      <x:c r="C1272" t="str">
        <x:v>골목상권</x:v>
      </x:c>
      <x:c r="D1272" t="str">
        <x:v>성동구</x:v>
      </x:c>
      <x:c r="E1272" t="str">
        <x:v>용답동</x:v>
      </x:c>
      <x:c r="F1272" s="12" t="n">
        <x:v>80187</x:v>
      </x:c>
      <x:c r="G1272" s="12" t="n">
        <x:v>719793453</x:v>
      </x:c>
      <x:c r="H1272" s="12" t="n">
        <x:v>18696</x:v>
      </x:c>
      <x:c r="I1272" s="12" t="n">
        <x:v>38499.86376765084</x:v>
      </x:c>
      <x:c r="J1272" s="12" t="n">
        <x:v>8976.435743948521</x:v>
      </x:c>
      <x:c r="K1272" s="12" t="n">
        <x:v>433</x:v>
      </x:c>
      <x:c r="L1272" s="12" t="n">
        <x:v>53.99877785675982</x:v>
      </x:c>
      <x:c r="M1272" s="12" t="n">
        <x:v>3</x:v>
      </x:c>
      <x:c r="N1272" s="14" t="n">
        <x:v>0.7961557452509922</x:v>
      </x:c>
      <x:c r="O1272" s="14" t="n">
        <x:v>0.20384425474900783</x:v>
      </x:c>
      <x:c r="P1272" s="14" t="n">
        <x:v>0.3860304450421279</x:v>
      </x:c>
      <x:c r="Q1272" s="14" t="n">
        <x:v>0.3018498349692547</x:v>
      </x:c>
      <x:c r="R1272" s="14" t="n">
        <x:v>0.24857271103853734</x:v>
      </x:c>
      <x:c r="S1272" s="14" t="n">
        <x:v>0.23720584882841383</x:v>
      </x:c>
      <x:c r="T1272" t="str">
        <x:v>평일집중·2030소비</x:v>
      </x:c>
      <x:c r="U1272" s="16" t="n">
        <x:v>46.820640978812726</x:v>
      </x:c>
      <x:c r="V1272" t="str">
        <x:v>자동차수리</x:v>
      </x:c>
      <x:c r="W1272" t="str">
        <x:v>자동차수리 / 한식음식점 / 커피-음료</x:v>
      </x:c>
      <x:c r="X1272" s="16" t="n">
        <x:v>42.18441699875531</x:v>
      </x:c>
    </x:row>
    <x:row r="1273">
      <x:c r="A1273" t="str">
        <x:v>3110207</x:v>
      </x:c>
      <x:c r="B1273" t="str">
        <x:v>시립대앞사거리</x:v>
      </x:c>
      <x:c r="C1273" t="str">
        <x:v>골목상권</x:v>
      </x:c>
      <x:c r="D1273" t="str">
        <x:v>동대문구</x:v>
      </x:c>
      <x:c r="E1273" t="str">
        <x:v>전농1동</x:v>
      </x:c>
      <x:c r="F1273" s="12" t="n">
        <x:v>29327</x:v>
      </x:c>
      <x:c r="G1273" s="12" t="n">
        <x:v>719527046</x:v>
      </x:c>
      <x:c r="H1273" s="12" t="n">
        <x:v>33508</x:v>
      </x:c>
      <x:c r="I1273" s="12" t="n">
        <x:v>21473.291333412915</x:v>
      </x:c>
      <x:c r="J1273" s="12" t="n">
        <x:v>24534.628362942</x:v>
      </x:c>
      <x:c r="K1273" s="12" t="n">
        <x:v>6</x:v>
      </x:c>
      <x:c r="L1273" s="12" t="n">
        <x:v>2.045896273058956</x:v>
      </x:c>
      <x:c r="M1273" s="12" t="n">
        <x:v>3</x:v>
      </x:c>
      <x:c r="N1273" s="14" t="n">
        <x:v>0.6722570536980204</x:v>
      </x:c>
      <x:c r="O1273" s="14" t="n">
        <x:v>0.3277429463019796</x:v>
      </x:c>
      <x:c r="P1273" s="14" t="n">
        <x:v>0.6003997381357643</x:v>
      </x:c>
      <x:c r="Q1273" s="14" t="n">
        <x:v>0.17058476075685972</x:v>
      </x:c>
      <x:c r="R1273" s="14" t="n">
        <x:v>0.5201379573993109</x:v>
      </x:c>
      <x:c r="S1273" s="14" t="n">
        <x:v>0.35981540296401865</x:v>
      </x:c>
      <x:c r="T1273" t="str">
        <x:v>2030소비·야간활성</x:v>
      </x:c>
      <x:c r="U1273" s="16" t="n">
        <x:v>51.912243585676265</x:v>
      </x:c>
      <x:c r="V1273" t="str">
        <x:v>커피-음료</x:v>
      </x:c>
      <x:c r="W1273" t="str">
        <x:v>커피-음료 / 한식음식점 / 호프-간이주점</x:v>
      </x:c>
      <x:c r="X1273" s="16" t="n">
        <x:v>46.77411142638573</x:v>
      </x:c>
    </x:row>
    <x:row r="1274">
      <x:c r="A1274" t="str">
        <x:v>3110004</x:v>
      </x:c>
      <x:c r="B1274" t="str">
        <x:v>대신고등학교</x:v>
      </x:c>
      <x:c r="C1274" t="str">
        <x:v>골목상권</x:v>
      </x:c>
      <x:c r="D1274" t="str">
        <x:v>종로구</x:v>
      </x:c>
      <x:c r="E1274" t="str">
        <x:v>교남동</x:v>
      </x:c>
      <x:c r="F1274" s="12" t="n">
        <x:v>18781</x:v>
      </x:c>
      <x:c r="G1274" s="12" t="n">
        <x:v>714981695</x:v>
      </x:c>
      <x:c r="H1274" s="12" t="n">
        <x:v>10891</x:v>
      </x:c>
      <x:c r="I1274" s="12" t="n">
        <x:v>65648.85639518869</x:v>
      </x:c>
      <x:c r="J1274" s="12" t="n">
        <x:v>38069.415632820404</x:v>
      </x:c>
      <x:c r="K1274" s="12" t="n">
        <x:v>31</x:v>
      </x:c>
      <x:c r="L1274" s="12" t="n">
        <x:v>16.5060433416751</x:v>
      </x:c>
      <x:c r="M1274" s="12" t="n">
        <x:v>3</x:v>
      </x:c>
      <x:c r="N1274" s="14" t="n">
        <x:v>0.6090443392400416</x:v>
      </x:c>
      <x:c r="O1274" s="14" t="n">
        <x:v>0.39095566075995836</x:v>
      </x:c>
      <x:c r="P1274" s="14" t="n">
        <x:v>0.5351763334304663</x:v>
      </x:c>
      <x:c r="Q1274" s="14" t="n">
        <x:v>0.29127765291949187</x:v>
      </x:c>
      <x:c r="R1274" s="14" t="n">
        <x:v>0.11079027554684459</x:v>
      </x:c>
      <x:c r="S1274" s="14" t="n">
        <x:v>0.30406113124336703</x:v>
      </x:c>
      <x:c r="T1274" t="str">
        <x:v>야간활성</x:v>
      </x:c>
      <x:c r="U1274" s="16" t="n">
        <x:v>54.76985279646978</x:v>
      </x:c>
      <x:c r="V1274" t="str">
        <x:v>한식음식점</x:v>
      </x:c>
      <x:c r="W1274" t="str">
        <x:v>한식음식점 / 커피-음료 / 미용실</x:v>
      </x:c>
      <x:c r="X1274" s="16" t="n">
        <x:v>43.68219199841863</x:v>
      </x:c>
    </x:row>
    <x:row r="1275">
      <x:c r="A1275" t="str">
        <x:v>3110474</x:v>
      </x:c>
      <x:c r="B1275" t="str">
        <x:v>세명컴퓨터고등학교</x:v>
      </x:c>
      <x:c r="C1275" t="str">
        <x:v>골목상권</x:v>
      </x:c>
      <x:c r="D1275" t="str">
        <x:v>은평구</x:v>
      </x:c>
      <x:c r="E1275" t="str">
        <x:v>불광2동</x:v>
      </x:c>
      <x:c r="F1275" s="12" t="n">
        <x:v>125765</x:v>
      </x:c>
      <x:c r="G1275" s="12" t="n">
        <x:v>714689153</x:v>
      </x:c>
      <x:c r="H1275" s="12" t="n">
        <x:v>54220</x:v>
      </x:c>
      <x:c r="I1275" s="12" t="n">
        <x:v>13181.282792327554</x:v>
      </x:c>
      <x:c r="J1275" s="12" t="n">
        <x:v>5682.7348864946525</x:v>
      </x:c>
      <x:c r="K1275" s="12" t="n">
        <x:v>309</x:v>
      </x:c>
      <x:c r="L1275" s="12" t="n">
        <x:v>24.56963384089373</x:v>
      </x:c>
      <x:c r="M1275" s="12" t="n">
        <x:v>7</x:v>
      </x:c>
      <x:c r="N1275" s="14" t="n">
        <x:v>0.7317622295017537</x:v>
      </x:c>
      <x:c r="O1275" s="14" t="n">
        <x:v>0.26823777049824626</x:v>
      </x:c>
      <x:c r="P1275" s="14" t="n">
        <x:v>0.395619026556011</x:v>
      </x:c>
      <x:c r="Q1275" s="14" t="n">
        <x:v>0.22795797769719334</x:v>
      </x:c>
      <x:c r="R1275" s="14" t="n">
        <x:v>0.2690904349012836</x:v>
      </x:c>
      <x:c r="S1275" s="14" t="n">
        <x:v>0.4281595903834852</x:v>
      </x:c>
      <x:c r="T1275" t="str">
        <x:v>2030소비</x:v>
      </x:c>
      <x:c r="U1275" s="16" t="n">
        <x:v>53.494915175377784</x:v>
      </x:c>
      <x:c r="V1275" t="str">
        <x:v>세탁소</x:v>
      </x:c>
      <x:c r="W1275" t="str">
        <x:v>세탁소 / 슈퍼마켓 / 한식음식점</x:v>
      </x:c>
      <x:c r="X1275" s="16" t="n">
        <x:v>45.04268282130073</x:v>
      </x:c>
    </x:row>
    <x:row r="1276">
      <x:c r="A1276" t="str">
        <x:v>3130075</x:v>
      </x:c>
      <x:c r="B1276" t="str">
        <x:v>노룬산시장(노룬산골목시장)</x:v>
      </x:c>
      <x:c r="C1276" t="str">
        <x:v>전통시장</x:v>
      </x:c>
      <x:c r="D1276" t="str">
        <x:v>광진구</x:v>
      </x:c>
      <x:c r="E1276" t="str">
        <x:v>자양4동</x:v>
      </x:c>
      <x:c r="F1276" s="12" t="n">
        <x:v>10816</x:v>
      </x:c>
      <x:c r="G1276" s="12" t="n">
        <x:v>706290428</x:v>
      </x:c>
      <x:c r="H1276" s="12" t="n">
        <x:v>23541</x:v>
      </x:c>
      <x:c r="I1276" s="12" t="n">
        <x:v>30002.566925789048</x:v>
      </x:c>
      <x:c r="J1276" s="12" t="n">
        <x:v>65300.52034023669</x:v>
      </x:c>
      <x:c r="K1276" s="12" t="n">
        <x:v>11</x:v>
      </x:c>
      <x:c r="L1276" s="12" t="n">
        <x:v>10.170118343195266</x:v>
      </x:c>
      <x:c r="M1276" s="12" t="n">
        <x:v>4</x:v>
      </x:c>
      <x:c r="N1276" s="14" t="n">
        <x:v>0.6365982663437709</x:v>
      </x:c>
      <x:c r="O1276" s="14" t="n">
        <x:v>0.363401733656229</x:v>
      </x:c>
      <x:c r="P1276" s="14" t="n">
        <x:v>0.42185455754187284</x:v>
      </x:c>
      <x:c r="Q1276" s="14" t="n">
        <x:v>0.2658757439652007</x:v>
      </x:c>
      <x:c r="R1276" s="14" t="n">
        <x:v>0.11145837445782289</x:v>
      </x:c>
      <x:c r="S1276" s="14" t="n">
        <x:v>0.4584829061282422</x:v>
      </x:c>
      <x:c r="T1276" t="str">
        <x:v>야간활성·여성소비</x:v>
      </x:c>
      <x:c r="U1276" s="16" t="n">
        <x:v>54.038514866960966</x:v>
      </x:c>
      <x:c r="V1276" t="str">
        <x:v>청과상</x:v>
      </x:c>
      <x:c r="W1276" t="str">
        <x:v>청과상 / 한식음식점 / 일반의류</x:v>
      </x:c>
      <x:c r="X1276" s="16" t="n">
        <x:v>48.59427996085215</x:v>
      </x:c>
    </x:row>
    <x:row r="1277">
      <x:c r="A1277" t="str">
        <x:v>3110773</x:v>
      </x:c>
      <x:c r="B1277" t="str">
        <x:v>당산역 13번</x:v>
      </x:c>
      <x:c r="C1277" t="str">
        <x:v>골목상권</x:v>
      </x:c>
      <x:c r="D1277" t="str">
        <x:v>영등포구</x:v>
      </x:c>
      <x:c r="E1277" t="str">
        <x:v>양평2동</x:v>
      </x:c>
      <x:c r="F1277" s="12" t="n">
        <x:v>9756</x:v>
      </x:c>
      <x:c r="G1277" s="12" t="n">
        <x:v>704154993</x:v>
      </x:c>
      <x:c r="H1277" s="12" t="n">
        <x:v>152513</x:v>
      </x:c>
      <x:c r="I1277" s="12" t="n">
        <x:v>4617.016208454361</x:v>
      </x:c>
      <x:c r="J1277" s="12" t="n">
        <x:v>72176.60854858549</x:v>
      </x:c>
      <x:c r="K1277" s="12" t="n">
        <x:v>285</x:v>
      </x:c>
      <x:c r="L1277" s="12" t="n">
        <x:v>292.1279212792128</x:v>
      </x:c>
      <x:c r="M1277" s="12" t="n">
        <x:v>2</x:v>
      </x:c>
      <x:c r="N1277" s="14" t="n">
        <x:v>0.6816054146760839</x:v>
      </x:c>
      <x:c r="O1277" s="14" t="n">
        <x:v>0.318394585323916</x:v>
      </x:c>
      <x:c r="P1277" s="14" t="n">
        <x:v>0.4732784220987552</x:v>
      </x:c>
      <x:c r="Q1277" s="14" t="n">
        <x:v>0.19882880245372342</x:v>
      </x:c>
      <x:c r="R1277" s="14" t="n">
        <x:v>0.539399765358193</x:v>
      </x:c>
      <x:c r="S1277" s="14" t="n">
        <x:v>0.3338750734385547</x:v>
      </x:c>
      <x:c r="T1277" t="str">
        <x:v>2030소비·직장밀집</x:v>
      </x:c>
      <x:c r="U1277" s="16" t="n">
        <x:v>66.57447175682776</x:v>
      </x:c>
      <x:c r="V1277" t="str">
        <x:v>반찬가게</x:v>
      </x:c>
      <x:c r="W1277" t="str">
        <x:v>반찬가게 / 화장품</x:v>
      </x:c>
      <x:c r="X1277" s="16" t="n">
        <x:v>56.88129754329411</x:v>
      </x:c>
    </x:row>
    <x:row r="1278">
      <x:c r="A1278" t="str">
        <x:v>3110709</x:v>
      </x:c>
      <x:c r="B1278" t="str">
        <x:v>구로119안전센터</x:v>
      </x:c>
      <x:c r="C1278" t="str">
        <x:v>골목상권</x:v>
      </x:c>
      <x:c r="D1278" t="str">
        <x:v>구로구</x:v>
      </x:c>
      <x:c r="E1278" t="str">
        <x:v>구로2동</x:v>
      </x:c>
      <x:c r="F1278" s="12" t="n">
        <x:v>88217</x:v>
      </x:c>
      <x:c r="G1278" s="12" t="n">
        <x:v>702053917</x:v>
      </x:c>
      <x:c r="H1278" s="12" t="n">
        <x:v>25293</x:v>
      </x:c>
      <x:c r="I1278" s="12" t="n">
        <x:v>27756.846439726407</x:v>
      </x:c>
      <x:c r="J1278" s="12" t="n">
        <x:v>7958.261072128955</x:v>
      </x:c>
      <x:c r="K1278" s="12" t="n">
        <x:v>230</x:v>
      </x:c>
      <x:c r="L1278" s="12" t="n">
        <x:v>26.072072276318625</x:v>
      </x:c>
      <x:c r="M1278" s="12" t="n">
        <x:v>8</x:v>
      </x:c>
      <x:c r="N1278" s="14" t="n">
        <x:v>0.6771887607031185</x:v>
      </x:c>
      <x:c r="O1278" s="14" t="n">
        <x:v>0.32281123929688155</x:v>
      </x:c>
      <x:c r="P1278" s="14" t="n">
        <x:v>0.5358227963565368</x:v>
      </x:c>
      <x:c r="Q1278" s="14" t="n">
        <x:v>0.17430684173506292</x:v>
      </x:c>
      <x:c r="R1278" s="14" t="n">
        <x:v>0.17536875447701547</x:v>
      </x:c>
      <x:c r="S1278" s="14" t="n">
        <x:v>0.2864740458388469</x:v>
      </x:c>
      <x:c r="T1278" t="str">
        <x:v>야간활성</x:v>
      </x:c>
      <x:c r="U1278" s="16" t="n">
        <x:v>42.70712487023333</x:v>
      </x:c>
      <x:c r="V1278" t="str">
        <x:v>한식음식점</x:v>
      </x:c>
      <x:c r="W1278" t="str">
        <x:v>한식음식점 / 의약품 / 미용실</x:v>
      </x:c>
      <x:c r="X1278" s="16" t="n">
        <x:v>34.94347183100011</x:v>
      </x:c>
    </x:row>
    <x:row r="1279">
      <x:c r="A1279" t="str">
        <x:v>3110721</x:v>
      </x:c>
      <x:c r="B1279" t="str">
        <x:v>가리봉파출소</x:v>
      </x:c>
      <x:c r="C1279" t="str">
        <x:v>골목상권</x:v>
      </x:c>
      <x:c r="D1279" t="str">
        <x:v>구로구</x:v>
      </x:c>
      <x:c r="E1279" t="str">
        <x:v>가리봉동</x:v>
      </x:c>
      <x:c r="F1279" s="12" t="n">
        <x:v>71977</x:v>
      </x:c>
      <x:c r="G1279" s="12" t="n">
        <x:v>698687119</x:v>
      </x:c>
      <x:c r="H1279" s="12" t="n">
        <x:v>47189</x:v>
      </x:c>
      <x:c r="I1279" s="12" t="n">
        <x:v>14806.14378350887</x:v>
      </x:c>
      <x:c r="J1279" s="12" t="n">
        <x:v>9707.088639426483</x:v>
      </x:c>
      <x:c r="K1279" s="12" t="n">
        <x:v>303</x:v>
      </x:c>
      <x:c r="L1279" s="12" t="n">
        <x:v>42.09678091612598</x:v>
      </x:c>
      <x:c r="M1279" s="12" t="n">
        <x:v>7</x:v>
      </x:c>
      <x:c r="N1279" s="14" t="n">
        <x:v>0.7433910385286493</x:v>
      </x:c>
      <x:c r="O1279" s="14" t="n">
        <x:v>0.25660896147135065</x:v>
      </x:c>
      <x:c r="P1279" s="14" t="n">
        <x:v>0.49231885438552075</x:v>
      </x:c>
      <x:c r="Q1279" s="14" t="n">
        <x:v>0.1982150310688639</x:v>
      </x:c>
      <x:c r="R1279" s="14" t="n">
        <x:v>0.4076936889972921</x:v>
      </x:c>
      <x:c r="S1279" s="14" t="n">
        <x:v>0.3066842627737066</x:v>
      </x:c>
      <x:c r="T1279" t="str">
        <x:v>2030소비·야간활성</x:v>
      </x:c>
      <x:c r="U1279" s="16" t="n">
        <x:v>53.78300796535884</x:v>
      </x:c>
      <x:c r="V1279" t="str">
        <x:v>여관</x:v>
      </x:c>
      <x:c r="W1279" t="str">
        <x:v>여관 / 편의점 / 반찬가게</x:v>
      </x:c>
      <x:c r="X1279" s="16" t="n">
        <x:v>40.43962513481693</x:v>
      </x:c>
    </x:row>
    <x:row r="1280">
      <x:c r="A1280" t="str">
        <x:v>3110727</x:v>
      </x:c>
      <x:c r="B1280" t="str">
        <x:v>독산역 1번 출입구</x:v>
      </x:c>
      <x:c r="C1280" t="str">
        <x:v>골목상권</x:v>
      </x:c>
      <x:c r="D1280" t="str">
        <x:v>금천구</x:v>
      </x:c>
      <x:c r="E1280" t="str">
        <x:v>독산1동</x:v>
      </x:c>
      <x:c r="F1280" s="12" t="n">
        <x:v>106562</x:v>
      </x:c>
      <x:c r="G1280" s="12" t="n">
        <x:v>697219437</x:v>
      </x:c>
      <x:c r="H1280" s="12" t="n">
        <x:v>59415</x:v>
      </x:c>
      <x:c r="I1280" s="12" t="n">
        <x:v>11734.737642009593</x:v>
      </x:c>
      <x:c r="J1280" s="12" t="n">
        <x:v>6542.852395788367</x:v>
      </x:c>
      <x:c r="K1280" s="12" t="n">
        <x:v>516</x:v>
      </x:c>
      <x:c r="L1280" s="12" t="n">
        <x:v>48.42251459244383</x:v>
      </x:c>
      <x:c r="M1280" s="12" t="n">
        <x:v>4</x:v>
      </x:c>
      <x:c r="N1280" s="14" t="n">
        <x:v>0.7623999773833041</x:v>
      </x:c>
      <x:c r="O1280" s="14" t="n">
        <x:v>0.23760002261669594</x:v>
      </x:c>
      <x:c r="P1280" s="14" t="n">
        <x:v>0.5528240788272804</x:v>
      </x:c>
      <x:c r="Q1280" s="14" t="n">
        <x:v>0.21095926790692726</x:v>
      </x:c>
      <x:c r="R1280" s="14" t="n">
        <x:v>0.3883947802218256</x:v>
      </x:c>
      <x:c r="S1280" s="14" t="n">
        <x:v>0.405772587490271</x:v>
      </x:c>
      <x:c r="T1280" t="str">
        <x:v>야간활성·2030소비</x:v>
      </x:c>
      <x:c r="U1280" s="16" t="n">
        <x:v>43.3951402645045</x:v>
      </x:c>
      <x:c r="V1280" t="str">
        <x:v>한식음식점</x:v>
      </x:c>
      <x:c r="W1280" t="str">
        <x:v>한식음식점 / 커피-음료 / 육류판매</x:v>
      </x:c>
      <x:c r="X1280" s="16" t="n">
        <x:v>40.46342907690676</x:v>
      </x:c>
    </x:row>
    <x:row r="1281">
      <x:c r="A1281" t="str">
        <x:v>3110281</x:v>
      </x:c>
      <x:c r="B1281" t="str">
        <x:v>길상사</x:v>
      </x:c>
      <x:c r="C1281" t="str">
        <x:v>골목상권</x:v>
      </x:c>
      <x:c r="D1281" t="str">
        <x:v>성북구</x:v>
      </x:c>
      <x:c r="E1281" t="str">
        <x:v>성북동</x:v>
      </x:c>
      <x:c r="F1281" s="12" t="n">
        <x:v>244583</x:v>
      </x:c>
      <x:c r="G1281" s="12" t="n">
        <x:v>694504972</x:v>
      </x:c>
      <x:c r="H1281" s="12" t="n">
        <x:v>3884</x:v>
      </x:c>
      <x:c r="I1281" s="12" t="n">
        <x:v>178811.78475798146</x:v>
      </x:c>
      <x:c r="J1281" s="12" t="n">
        <x:v>2839.5471966571677</x:v>
      </x:c>
      <x:c r="K1281" s="12" t="n">
        <x:v>1428</x:v>
      </x:c>
      <x:c r="L1281" s="12" t="n">
        <x:v>58.385088088706084</x:v>
      </x:c>
      <x:c r="M1281" s="12" t="n">
        <x:v>1</x:v>
      </x:c>
      <x:c r="N1281" s="14" t="n">
        <x:v>0.8862259232321233</x:v>
      </x:c>
      <x:c r="O1281" s="14" t="n">
        <x:v>0.11377407676787661</x:v>
      </x:c>
      <x:c r="P1281" s="14" t="n">
        <x:v>0</x:v>
      </x:c>
      <x:c r="Q1281" s="14" t="n">
        <x:v>0.5440154386684506</x:v>
      </x:c>
      <x:c r="R1281" s="14" t="n">
        <x:v>0.8422227911710328</x:v>
      </x:c>
      <x:c r="S1281" s="14" t="n">
        <x:v>0.6214416979004723</x:v>
      </x:c>
      <x:c r="T1281" t="str">
        <x:v>2030소비·여성소비</x:v>
      </x:c>
      <x:c r="U1281" s="16" t="n">
        <x:v>71.9562643474287</x:v>
      </x:c>
      <x:c r="V1281" t="str">
        <x:v>일반의류</x:v>
      </x:c>
      <x:c r="W1281" t="str">
        <x:v>일반의류</x:v>
      </x:c>
      <x:c r="X1281" s="16" t="n">
        <x:v>71.9562643474287</x:v>
      </x:c>
    </x:row>
    <x:row r="1282">
      <x:c r="A1282" t="str">
        <x:v>3110375</x:v>
      </x:c>
      <x:c r="B1282" t="str">
        <x:v>서울북부고용노동지청</x:v>
      </x:c>
      <x:c r="C1282" t="str">
        <x:v>골목상권</x:v>
      </x:c>
      <x:c r="D1282" t="str">
        <x:v>강북구</x:v>
      </x:c>
      <x:c r="E1282" t="str">
        <x:v>번2동</x:v>
      </x:c>
      <x:c r="F1282" s="12" t="n">
        <x:v>58262</x:v>
      </x:c>
      <x:c r="G1282" s="12" t="n">
        <x:v>689159227</x:v>
      </x:c>
      <x:c r="H1282" s="12" t="n">
        <x:v>22873</x:v>
      </x:c>
      <x:c r="I1282" s="12" t="n">
        <x:v>30129.81362304901</x:v>
      </x:c>
      <x:c r="J1282" s="12" t="n">
        <x:v>11828.622893137894</x:v>
      </x:c>
      <x:c r="K1282" s="12" t="n">
        <x:v>292</x:v>
      </x:c>
      <x:c r="L1282" s="12" t="n">
        <x:v>50.11843053791494</x:v>
      </x:c>
      <x:c r="M1282" s="12" t="n">
        <x:v>4</x:v>
      </x:c>
      <x:c r="N1282" s="14" t="n">
        <x:v>0.6857855332756069</x:v>
      </x:c>
      <x:c r="O1282" s="14" t="n">
        <x:v>0.3142144667243931</x:v>
      </x:c>
      <x:c r="P1282" s="14" t="n">
        <x:v>0.50460137857227</x:v>
      </x:c>
      <x:c r="Q1282" s="14" t="n">
        <x:v>0.2797648474348875</x:v>
      </x:c>
      <x:c r="R1282" s="14" t="n">
        <x:v>0.1772594971002253</x:v>
      </x:c>
      <x:c r="S1282" s="14" t="n">
        <x:v>0.247147499920218</x:v>
      </x:c>
      <x:c r="T1282" t="str">
        <x:v>야간활성</x:v>
      </x:c>
      <x:c r="U1282" s="16" t="n">
        <x:v>53.571522490416484</x:v>
      </x:c>
      <x:c r="V1282" t="str">
        <x:v>한식음식점</x:v>
      </x:c>
      <x:c r="W1282" t="str">
        <x:v>한식음식점 / 커피-음료 / 미용실</x:v>
      </x:c>
      <x:c r="X1282" s="16" t="n">
        <x:v>42.05950610768765</x:v>
      </x:c>
    </x:row>
    <x:row r="1283">
      <x:c r="A1283" t="str">
        <x:v>3110685</x:v>
      </x:c>
      <x:c r="B1283" t="str">
        <x:v>금강수목원아파트</x:v>
      </x:c>
      <x:c r="C1283" t="str">
        <x:v>골목상권</x:v>
      </x:c>
      <x:c r="D1283" t="str">
        <x:v>구로구</x:v>
      </x:c>
      <x:c r="E1283" t="str">
        <x:v>오류2동</x:v>
      </x:c>
      <x:c r="F1283" s="12" t="n">
        <x:v>33067</x:v>
      </x:c>
      <x:c r="G1283" s="12" t="n">
        <x:v>677695720</x:v>
      </x:c>
      <x:c r="H1283" s="12" t="n">
        <x:v>16334</x:v>
      </x:c>
      <x:c r="I1283" s="12" t="n">
        <x:v>41489.88122933758</x:v>
      </x:c>
      <x:c r="J1283" s="12" t="n">
        <x:v>20494.623642906827</x:v>
      </x:c>
      <x:c r="K1283" s="12" t="n">
        <x:v>70</x:v>
      </x:c>
      <x:c r="L1283" s="12" t="n">
        <x:v>21.16914144010645</x:v>
      </x:c>
      <x:c r="M1283" s="12" t="n">
        <x:v>2</x:v>
      </x:c>
      <x:c r="N1283" s="14" t="n">
        <x:v>0.6853905053436076</x:v>
      </x:c>
      <x:c r="O1283" s="14" t="n">
        <x:v>0.3146094946563924</x:v>
      </x:c>
      <x:c r="P1283" s="14" t="n">
        <x:v>0.3480939646483233</x:v>
      </x:c>
      <x:c r="Q1283" s="14" t="n">
        <x:v>0.2524747817501341</x:v>
      </x:c>
      <x:c r="R1283" s="14" t="n">
        <x:v>0.11805653132942909</x:v>
      </x:c>
      <x:c r="S1283" s="14" t="n">
        <x:v>0.22362554097287202</x:v>
      </x:c>
      <x:c r="T1283" t="str">
        <x:v>균형형</x:v>
      </x:c>
      <x:c r="U1283" s="16" t="n">
        <x:v>66.90608550599616</x:v>
      </x:c>
      <x:c r="V1283" t="str">
        <x:v>골프연습장</x:v>
      </x:c>
      <x:c r="W1283" t="str">
        <x:v>골프연습장 / 한식음식점</x:v>
      </x:c>
      <x:c r="X1283" s="16" t="n">
        <x:v>54.81548593942203</x:v>
      </x:c>
    </x:row>
    <x:row r="1284">
      <x:c r="A1284" t="str">
        <x:v>3110418</x:v>
      </x:c>
      <x:c r="B1284" t="str">
        <x:v>광운대학교 남단</x:v>
      </x:c>
      <x:c r="C1284" t="str">
        <x:v>골목상권</x:v>
      </x:c>
      <x:c r="D1284" t="str">
        <x:v>노원구</x:v>
      </x:c>
      <x:c r="E1284" t="str">
        <x:v>월계1동</x:v>
      </x:c>
      <x:c r="F1284" s="12" t="n">
        <x:v>88266</x:v>
      </x:c>
      <x:c r="G1284" s="12" t="n">
        <x:v>674916165</x:v>
      </x:c>
      <x:c r="H1284" s="12" t="n">
        <x:v>42853</x:v>
      </x:c>
      <x:c r="I1284" s="12" t="n">
        <x:v>15749.566308076448</x:v>
      </x:c>
      <x:c r="J1284" s="12" t="n">
        <x:v>7646.388926653524</x:v>
      </x:c>
      <x:c r="K1284" s="12" t="n">
        <x:v>125</x:v>
      </x:c>
      <x:c r="L1284" s="12" t="n">
        <x:v>14.161738381709831</x:v>
      </x:c>
      <x:c r="M1284" s="12" t="n">
        <x:v>9</x:v>
      </x:c>
      <x:c r="N1284" s="14" t="n">
        <x:v>0.7944337086666164</x:v>
      </x:c>
      <x:c r="O1284" s="14" t="n">
        <x:v>0.2055662913333836</x:v>
      </x:c>
      <x:c r="P1284" s="14" t="n">
        <x:v>0.3331278574428574</x:v>
      </x:c>
      <x:c r="Q1284" s="14" t="n">
        <x:v>0.3512361716806709</x:v>
      </x:c>
      <x:c r="R1284" s="14" t="n">
        <x:v>0.2408448344099152</x:v>
      </x:c>
      <x:c r="S1284" s="14" t="n">
        <x:v>0.3138273610619476</x:v>
      </x:c>
      <x:c r="T1284" t="str">
        <x:v>평일집중·2030소비</x:v>
      </x:c>
      <x:c r="U1284" s="16" t="n">
        <x:v>47.533385770480066</x:v>
      </x:c>
      <x:c r="V1284" t="str">
        <x:v>일반교습학원</x:v>
      </x:c>
      <x:c r="W1284" t="str">
        <x:v>일반교습학원 / 자동차수리 / 커피-음료</x:v>
      </x:c>
      <x:c r="X1284" s="16" t="n">
        <x:v>45.45191669959304</x:v>
      </x:c>
    </x:row>
    <x:row r="1285">
      <x:c r="A1285" t="str">
        <x:v>3110835</x:v>
      </x:c>
      <x:c r="B1285" t="str">
        <x:v>상도역 1번</x:v>
      </x:c>
      <x:c r="C1285" t="str">
        <x:v>골목상권</x:v>
      </x:c>
      <x:c r="D1285" t="str">
        <x:v>동작구</x:v>
      </x:c>
      <x:c r="E1285" t="str">
        <x:v>상도1동</x:v>
      </x:c>
      <x:c r="F1285" s="12" t="n">
        <x:v>39906</x:v>
      </x:c>
      <x:c r="G1285" s="12" t="n">
        <x:v>674555650</x:v>
      </x:c>
      <x:c r="H1285" s="12" t="n">
        <x:v>30146</x:v>
      </x:c>
      <x:c r="I1285" s="12" t="n">
        <x:v>22376.290386784316</x:v>
      </x:c>
      <x:c r="J1285" s="12" t="n">
        <x:v>16903.614744649927</x:v>
      </x:c>
      <x:c r="K1285" s="12" t="n">
        <x:v>367</x:v>
      </x:c>
      <x:c r="L1285" s="12" t="n">
        <x:v>91.96612038289982</x:v>
      </x:c>
      <x:c r="M1285" s="12" t="n">
        <x:v>5</x:v>
      </x:c>
      <x:c r="N1285" s="14" t="n">
        <x:v>0.7518545934646015</x:v>
      </x:c>
      <x:c r="O1285" s="14" t="n">
        <x:v>0.24814540653539852</x:v>
      </x:c>
      <x:c r="P1285" s="14" t="n">
        <x:v>0.6415452661318602</x:v>
      </x:c>
      <x:c r="Q1285" s="14" t="n">
        <x:v>0.17146972825740917</x:v>
      </x:c>
      <x:c r="R1285" s="14" t="n">
        <x:v>0.37096452309012606</x:v>
      </x:c>
      <x:c r="S1285" s="14" t="n">
        <x:v>0.436310356306407</x:v>
      </x:c>
      <x:c r="T1285" t="str">
        <x:v>야간활성·2030소비</x:v>
      </x:c>
      <x:c r="U1285" s="16" t="n">
        <x:v>50.703842037436864</x:v>
      </x:c>
      <x:c r="V1285" t="str">
        <x:v>일반교습학원</x:v>
      </x:c>
      <x:c r="W1285" t="str">
        <x:v>일반교습학원 / 한식음식점 / 편의점</x:v>
      </x:c>
      <x:c r="X1285" s="16" t="n">
        <x:v>35.69559959079477</x:v>
      </x:c>
    </x:row>
    <x:row r="1286">
      <x:c r="A1286" t="str">
        <x:v>3110271</x:v>
      </x:c>
      <x:c r="B1286" t="str">
        <x:v>신내역 1번</x:v>
      </x:c>
      <x:c r="C1286" t="str">
        <x:v>골목상권</x:v>
      </x:c>
      <x:c r="D1286" t="str">
        <x:v>중랑구</x:v>
      </x:c>
      <x:c r="E1286" t="str">
        <x:v>신내1동</x:v>
      </x:c>
      <x:c r="F1286" s="12" t="n">
        <x:v>112596</x:v>
      </x:c>
      <x:c r="G1286" s="12" t="n">
        <x:v>669478713</x:v>
      </x:c>
      <x:c r="H1286" s="12" t="n">
        <x:v>7748</x:v>
      </x:c>
      <x:c r="I1286" s="12" t="n">
        <x:v>86406.64855446568</x:v>
      </x:c>
      <x:c r="J1286" s="12" t="n">
        <x:v>5945.848102952147</x:v>
      </x:c>
      <x:c r="K1286" s="12" t="n">
        <x:v>178</x:v>
      </x:c>
      <x:c r="L1286" s="12" t="n">
        <x:v>15.808732104160006</x:v>
      </x:c>
      <x:c r="M1286" s="12" t="n">
        <x:v>1</x:v>
      </x:c>
      <x:c r="N1286" s="14" t="n">
        <x:v>0.6589141438467215</x:v>
      </x:c>
      <x:c r="O1286" s="14" t="n">
        <x:v>0.34108585615327847</x:v>
      </x:c>
      <x:c r="P1286" s="14" t="n">
        <x:v>0.45675446442462164</x:v>
      </x:c>
      <x:c r="Q1286" s="14" t="n">
        <x:v>0.3711670187189357</x:v>
      </x:c>
      <x:c r="R1286" s="14" t="n">
        <x:v>0.14791831178058681</x:v>
      </x:c>
      <x:c r="S1286" s="14" t="n">
        <x:v>0.3194898685299946</x:v>
      </x:c>
      <x:c r="T1286" t="str">
        <x:v>야간활성</x:v>
      </x:c>
      <x:c r="U1286" s="16" t="n">
        <x:v>40.209578930721065</x:v>
      </x:c>
      <x:c r="V1286" t="str">
        <x:v>한식음식점</x:v>
      </x:c>
      <x:c r="W1286" t="str">
        <x:v>한식음식점</x:v>
      </x:c>
      <x:c r="X1286" s="16" t="n">
        <x:v>40.209578930721065</x:v>
      </x:c>
    </x:row>
    <x:row r="1287">
      <x:c r="A1287" t="str">
        <x:v>3110087</x:v>
      </x:c>
      <x:c r="B1287" t="str">
        <x:v>이태원엔틱가구거리</x:v>
      </x:c>
      <x:c r="C1287" t="str">
        <x:v>골목상권</x:v>
      </x:c>
      <x:c r="D1287" t="str">
        <x:v>용산구</x:v>
      </x:c>
      <x:c r="E1287" t="str">
        <x:v>이태원1동</x:v>
      </x:c>
      <x:c r="F1287" s="12" t="n">
        <x:v>52542</x:v>
      </x:c>
      <x:c r="G1287" s="12" t="n">
        <x:v>667259003</x:v>
      </x:c>
      <x:c r="H1287" s="12" t="n">
        <x:v>39136</x:v>
      </x:c>
      <x:c r="I1287" s="12" t="n">
        <x:v>17049.74966782502</x:v>
      </x:c>
      <x:c r="J1287" s="12" t="n">
        <x:v>12699.53566670473</x:v>
      </x:c>
      <x:c r="K1287" s="12" t="n">
        <x:v>695</x:v>
      </x:c>
      <x:c r="L1287" s="12" t="n">
        <x:v>132.27513227513228</x:v>
      </x:c>
      <x:c r="M1287" s="12" t="n">
        <x:v>7</x:v>
      </x:c>
      <x:c r="N1287" s="14" t="n">
        <x:v>0.7478470230547043</x:v>
      </x:c>
      <x:c r="O1287" s="14" t="n">
        <x:v>0.2521529769452957</x:v>
      </x:c>
      <x:c r="P1287" s="14" t="n">
        <x:v>0.1605296287025145</x:v>
      </x:c>
      <x:c r="Q1287" s="14" t="n">
        <x:v>0.30991507805852714</x:v>
      </x:c>
      <x:c r="R1287" s="14" t="n">
        <x:v>0.36065197010163086</x:v>
      </x:c>
      <x:c r="S1287" s="14" t="n">
        <x:v>0.5655707053831989</x:v>
      </x:c>
      <x:c r="T1287" t="str">
        <x:v>여성소비·2030소비</x:v>
      </x:c>
      <x:c r="U1287" s="16" t="n">
        <x:v>53.153155510477426</x:v>
      </x:c>
      <x:c r="V1287" t="str">
        <x:v>섬유제품</x:v>
      </x:c>
      <x:c r="W1287" t="str">
        <x:v>섬유제품 / 커피-음료 / 일반의류</x:v>
      </x:c>
      <x:c r="X1287" s="16" t="n">
        <x:v>43.89449525280163</x:v>
      </x:c>
    </x:row>
    <x:row r="1288">
      <x:c r="A1288" t="str">
        <x:v>3110322</x:v>
      </x:c>
      <x:c r="B1288" t="str">
        <x:v>장위1동주민센터</x:v>
      </x:c>
      <x:c r="C1288" t="str">
        <x:v>골목상권</x:v>
      </x:c>
      <x:c r="D1288" t="str">
        <x:v>성북구</x:v>
      </x:c>
      <x:c r="E1288" t="str">
        <x:v>장위1동</x:v>
      </x:c>
      <x:c r="F1288" s="12" t="n">
        <x:v>84262</x:v>
      </x:c>
      <x:c r="G1288" s="12" t="n">
        <x:v>666968077</x:v>
      </x:c>
      <x:c r="H1288" s="12" t="n">
        <x:v>65052</x:v>
      </x:c>
      <x:c r="I1288" s="12" t="n">
        <x:v>10252.845062411609</x:v>
      </x:c>
      <x:c r="J1288" s="12" t="n">
        <x:v>7915.407621466378</x:v>
      </x:c>
      <x:c r="K1288" s="12" t="n">
        <x:v>147</x:v>
      </x:c>
      <x:c r="L1288" s="12" t="n">
        <x:v>17.44558638532197</x:v>
      </x:c>
      <x:c r="M1288" s="12" t="n">
        <x:v>4</x:v>
      </x:c>
      <x:c r="N1288" s="14" t="n">
        <x:v>0.7150078008905965</x:v>
      </x:c>
      <x:c r="O1288" s="14" t="n">
        <x:v>0.28499219910940354</x:v>
      </x:c>
      <x:c r="P1288" s="14" t="n">
        <x:v>0.509511940254376</x:v>
      </x:c>
      <x:c r="Q1288" s="14" t="n">
        <x:v>0.20834660726948107</x:v>
      </x:c>
      <x:c r="R1288" s="14" t="n">
        <x:v>0.36419714882396087</x:v>
      </x:c>
      <x:c r="S1288" s="14" t="n">
        <x:v>0.3630265020914937</x:v>
      </x:c>
      <x:c r="T1288" t="str">
        <x:v>2030소비·야간활성</x:v>
      </x:c>
      <x:c r="U1288" s="16" t="n">
        <x:v>50.94070423722249</x:v>
      </x:c>
      <x:c r="V1288" t="str">
        <x:v>슈퍼마켓</x:v>
      </x:c>
      <x:c r="W1288" t="str">
        <x:v>슈퍼마켓 / 미용실 / 호프-간이주점</x:v>
      </x:c>
      <x:c r="X1288" s="16" t="n">
        <x:v>43.263049168003825</x:v>
      </x:c>
    </x:row>
    <x:row r="1289">
      <x:c r="A1289" t="str">
        <x:v>3110200</x:v>
      </x:c>
      <x:c r="B1289" t="str">
        <x:v>동대문경찰서</x:v>
      </x:c>
      <x:c r="C1289" t="str">
        <x:v>골목상권</x:v>
      </x:c>
      <x:c r="D1289" t="str">
        <x:v>동대문구</x:v>
      </x:c>
      <x:c r="E1289" t="str">
        <x:v>청량리동</x:v>
      </x:c>
      <x:c r="F1289" s="12" t="n">
        <x:v>35357</x:v>
      </x:c>
      <x:c r="G1289" s="12" t="n">
        <x:v>654063608</x:v>
      </x:c>
      <x:c r="H1289" s="12" t="n">
        <x:v>21290</x:v>
      </x:c>
      <x:c r="I1289" s="12" t="n">
        <x:v>30721.63494598403</x:v>
      </x:c>
      <x:c r="J1289" s="12" t="n">
        <x:v>18498.843453912945</x:v>
      </x:c>
      <x:c r="K1289" s="12" t="n">
        <x:v>73</x:v>
      </x:c>
      <x:c r="L1289" s="12" t="n">
        <x:v>20.646548066860877</x:v>
      </x:c>
      <x:c r="M1289" s="12" t="n">
        <x:v>2</x:v>
      </x:c>
      <x:c r="N1289" s="14" t="n">
        <x:v>0.6302640812879472</x:v>
      </x:c>
      <x:c r="O1289" s="14" t="n">
        <x:v>0.36973591871205286</x:v>
      </x:c>
      <x:c r="P1289" s="14" t="n">
        <x:v>0.5278921281919112</x:v>
      </x:c>
      <x:c r="Q1289" s="14" t="n">
        <x:v>0.23225381620681762</x:v>
      </x:c>
      <x:c r="R1289" s="14" t="n">
        <x:v>0.17223362624388666</x:v>
      </x:c>
      <x:c r="S1289" s="14" t="n">
        <x:v>0.2661161282650051</x:v>
      </x:c>
      <x:c r="T1289" t="str">
        <x:v>야간활성</x:v>
      </x:c>
      <x:c r="U1289" s="16" t="n">
        <x:v>51.7640190496722</x:v>
      </x:c>
      <x:c r="V1289" t="str">
        <x:v>한식음식점</x:v>
      </x:c>
      <x:c r="W1289" t="str">
        <x:v>한식음식점 / 중식음식점</x:v>
      </x:c>
      <x:c r="X1289" s="16" t="n">
        <x:v>40.96746244221134</x:v>
      </x:c>
    </x:row>
    <x:row r="1290">
      <x:c r="A1290" t="str">
        <x:v>3110040</x:v>
      </x:c>
      <x:c r="B1290" t="str">
        <x:v>중구회현체육센터(정화예술대남산캠퍼스)</x:v>
      </x:c>
      <x:c r="C1290" t="str">
        <x:v>골목상권</x:v>
      </x:c>
      <x:c r="D1290" t="str">
        <x:v>중구</x:v>
      </x:c>
      <x:c r="E1290" t="str">
        <x:v>회현동</x:v>
      </x:c>
      <x:c r="F1290" s="12" t="n">
        <x:v>76242</x:v>
      </x:c>
      <x:c r="G1290" s="12" t="n">
        <x:v>651118578</x:v>
      </x:c>
      <x:c r="H1290" s="12" t="n">
        <x:v>26397</x:v>
      </x:c>
      <x:c r="I1290" s="12" t="n">
        <x:v>24666.385498352087</x:v>
      </x:c>
      <x:c r="J1290" s="12" t="n">
        <x:v>8540.156055717322</x:v>
      </x:c>
      <x:c r="K1290" s="12" t="n">
        <x:v>657</x:v>
      </x:c>
      <x:c r="L1290" s="12" t="n">
        <x:v>86.17297552530101</x:v>
      </x:c>
      <x:c r="M1290" s="12" t="n">
        <x:v>3</x:v>
      </x:c>
      <x:c r="N1290" s="14" t="n">
        <x:v>0.9311675115496397</x:v>
      </x:c>
      <x:c r="O1290" s="14" t="n">
        <x:v>0.06883248845036026</x:v>
      </x:c>
      <x:c r="P1290" s="14" t="n">
        <x:v>0.224994265176688</x:v>
      </x:c>
      <x:c r="Q1290" s="14" t="n">
        <x:v>0.6375699220181059</x:v>
      </x:c>
      <x:c r="R1290" s="14" t="n">
        <x:v>0.16486281243844345</x:v>
      </x:c>
      <x:c r="S1290" s="14" t="n">
        <x:v>0.2565801340105519</x:v>
      </x:c>
      <x:c r="T1290" t="str">
        <x:v>평일집중</x:v>
      </x:c>
      <x:c r="U1290" s="16" t="n">
        <x:v>53.61696093261734</x:v>
      </x:c>
      <x:c r="V1290" t="str">
        <x:v>커피-음료</x:v>
      </x:c>
      <x:c r="W1290" t="str">
        <x:v>커피-음료 / 한식음식점 / 여관</x:v>
      </x:c>
      <x:c r="X1290" s="16" t="n">
        <x:v>48.13193759722443</x:v>
      </x:c>
    </x:row>
    <x:row r="1291">
      <x:c r="A1291" t="str">
        <x:v>3130277</x:v>
      </x:c>
      <x:c r="B1291" t="str">
        <x:v>조원동 펭귄시장(신림중앙시장)</x:v>
      </x:c>
      <x:c r="C1291" t="str">
        <x:v>전통시장</x:v>
      </x:c>
      <x:c r="D1291" t="str">
        <x:v>관악구</x:v>
      </x:c>
      <x:c r="E1291" t="str">
        <x:v>조원동</x:v>
      </x:c>
      <x:c r="F1291" s="12" t="n">
        <x:v>32672</x:v>
      </x:c>
      <x:c r="G1291" s="12" t="n">
        <x:v>642844261</x:v>
      </x:c>
      <x:c r="H1291" s="12" t="n">
        <x:v>26006</x:v>
      </x:c>
      <x:c r="I1291" s="12" t="n">
        <x:v>24719.074867338306</x:v>
      </x:c>
      <x:c r="J1291" s="12" t="n">
        <x:v>19675.69359084231</x:v>
      </x:c>
      <x:c r="K1291" s="12" t="n">
        <x:v>173</x:v>
      </x:c>
      <x:c r="L1291" s="12" t="n">
        <x:v>52.95053868756122</x:v>
      </x:c>
      <x:c r="M1291" s="12" t="n">
        <x:v>9</x:v>
      </x:c>
      <x:c r="N1291" s="14" t="n">
        <x:v>0.7667818846717526</x:v>
      </x:c>
      <x:c r="O1291" s="14" t="n">
        <x:v>0.23321811532824743</x:v>
      </x:c>
      <x:c r="P1291" s="14" t="n">
        <x:v>0.44990265068260443</x:v>
      </x:c>
      <x:c r="Q1291" s="14" t="n">
        <x:v>0.21819485606327907</x:v>
      </x:c>
      <x:c r="R1291" s="14" t="n">
        <x:v>0.18454673114053047</x:v>
      </x:c>
      <x:c r="S1291" s="14" t="n">
        <x:v>0.4567329753294632</x:v>
      </x:c>
      <x:c r="T1291" t="str">
        <x:v>야간활성·여성소비</x:v>
      </x:c>
      <x:c r="U1291" s="16" t="n">
        <x:v>59.07977556140674</x:v>
      </x:c>
      <x:c r="V1291" t="str">
        <x:v>스포츠 강습</x:v>
      </x:c>
      <x:c r="W1291" t="str">
        <x:v>스포츠 강습 / 미용실 / 분식전문점</x:v>
      </x:c>
      <x:c r="X1291" s="16" t="n">
        <x:v>46.33789598601927</x:v>
      </x:c>
    </x:row>
    <x:row r="1292">
      <x:c r="A1292" t="str">
        <x:v>3110758</x:v>
      </x:c>
      <x:c r="B1292" t="str">
        <x:v>문래소공원</x:v>
      </x:c>
      <x:c r="C1292" t="str">
        <x:v>골목상권</x:v>
      </x:c>
      <x:c r="D1292" t="str">
        <x:v>영등포구</x:v>
      </x:c>
      <x:c r="E1292" t="str">
        <x:v>문래동</x:v>
      </x:c>
      <x:c r="F1292" s="12" t="n">
        <x:v>38867</x:v>
      </x:c>
      <x:c r="G1292" s="12" t="n">
        <x:v>642785271</x:v>
      </x:c>
      <x:c r="H1292" s="12" t="n">
        <x:v>13995</x:v>
      </x:c>
      <x:c r="I1292" s="12" t="n">
        <x:v>45929.6370846731</x:v>
      </x:c>
      <x:c r="J1292" s="12" t="n">
        <x:v>16538.07268376772</x:v>
      </x:c>
      <x:c r="K1292" s="12" t="n">
        <x:v>780</x:v>
      </x:c>
      <x:c r="L1292" s="12" t="n">
        <x:v>200.68438521110454</x:v>
      </x:c>
      <x:c r="M1292" s="12" t="n">
        <x:v>3</x:v>
      </x:c>
      <x:c r="N1292" s="14" t="n">
        <x:v>0.7218397961704384</x:v>
      </x:c>
      <x:c r="O1292" s="14" t="n">
        <x:v>0.27816020382956164</x:v>
      </x:c>
      <x:c r="P1292" s="14" t="n">
        <x:v>0.34386277964356154</x:v>
      </x:c>
      <x:c r="Q1292" s="14" t="n">
        <x:v>0.48519922292992307</x:v>
      </x:c>
      <x:c r="R1292" s="14" t="n">
        <x:v>0.2167126181707421</x:v>
      </x:c>
      <x:c r="S1292" s="14" t="n">
        <x:v>0.29277077196748647</x:v>
      </x:c>
      <x:c r="T1292" t="str">
        <x:v>직장밀집</x:v>
      </x:c>
      <x:c r="U1292" s="16" t="n">
        <x:v>48.9688678932889</x:v>
      </x:c>
      <x:c r="V1292" t="str">
        <x:v>미용실</x:v>
      </x:c>
      <x:c r="W1292" t="str">
        <x:v>미용실 / 한식음식점 / 스포츠 강습</x:v>
      </x:c>
      <x:c r="X1292" s="16" t="n">
        <x:v>40.77270367976684</x:v>
      </x:c>
    </x:row>
    <x:row r="1293">
      <x:c r="A1293" t="str">
        <x:v>3110005</x:v>
      </x:c>
      <x:c r="B1293" t="str">
        <x:v>세검정</x:v>
      </x:c>
      <x:c r="C1293" t="str">
        <x:v>골목상권</x:v>
      </x:c>
      <x:c r="D1293" t="str">
        <x:v>종로구</x:v>
      </x:c>
      <x:c r="E1293" t="str">
        <x:v>부암동</x:v>
      </x:c>
      <x:c r="F1293" s="12" t="n">
        <x:v>244923</x:v>
      </x:c>
      <x:c r="G1293" s="12" t="n">
        <x:v>638469752</x:v>
      </x:c>
      <x:c r="H1293" s="12" t="n">
        <x:v>9044</x:v>
      </x:c>
      <x:c r="I1293" s="12" t="n">
        <x:v>70595.94781070323</x:v>
      </x:c>
      <x:c r="J1293" s="12" t="n">
        <x:v>2606.8182734982015</x:v>
      </x:c>
      <x:c r="K1293" s="12" t="n">
        <x:v>544</x:v>
      </x:c>
      <x:c r="L1293" s="12" t="n">
        <x:v>22.211062252218042</x:v>
      </x:c>
      <x:c r="M1293" s="12" t="n">
        <x:v>5</x:v>
      </x:c>
      <x:c r="N1293" s="14" t="n">
        <x:v>0.8179918897708407</x:v>
      </x:c>
      <x:c r="O1293" s="14" t="n">
        <x:v>0.1820081102291593</x:v>
      </x:c>
      <x:c r="P1293" s="14" t="n">
        <x:v>0.2494885568204647</x:v>
      </x:c>
      <x:c r="Q1293" s="14" t="n">
        <x:v>0.22899929016527631</x:v>
      </x:c>
      <x:c r="R1293" s="14" t="n">
        <x:v>0.07342619733064504</x:v>
      </x:c>
      <x:c r="S1293" s="14" t="n">
        <x:v>0.5993654684521375</x:v>
      </x:c>
      <x:c r="T1293" t="str">
        <x:v>여성소비·평일집중</x:v>
      </x:c>
      <x:c r="U1293" s="16" t="n">
        <x:v>64.82889288357742</x:v>
      </x:c>
      <x:c r="V1293" t="str">
        <x:v>일반의류</x:v>
      </x:c>
      <x:c r="W1293" t="str">
        <x:v>일반의류 / 일반교습학원 / 분식전문점</x:v>
      </x:c>
      <x:c r="X1293" s="16" t="n">
        <x:v>51.24770990066255</x:v>
      </x:c>
    </x:row>
    <x:row r="1294">
      <x:c r="A1294" t="str">
        <x:v>3110343</x:v>
      </x:c>
      <x:c r="B1294" t="str">
        <x:v>무너미어린이공원</x:v>
      </x:c>
      <x:c r="C1294" t="str">
        <x:v>골목상권</x:v>
      </x:c>
      <x:c r="D1294" t="str">
        <x:v>강북구</x:v>
      </x:c>
      <x:c r="E1294" t="str">
        <x:v>우이동</x:v>
      </x:c>
      <x:c r="F1294" s="12" t="n">
        <x:v>105257</x:v>
      </x:c>
      <x:c r="G1294" s="12" t="n">
        <x:v>635064994</x:v>
      </x:c>
      <x:c r="H1294" s="12" t="n">
        <x:v>22388</x:v>
      </x:c>
      <x:c r="I1294" s="12" t="n">
        <x:v>28366.312042165446</x:v>
      </x:c>
      <x:c r="J1294" s="12" t="n">
        <x:v>6033.47040101846</x:v>
      </x:c>
      <x:c r="K1294" s="12" t="n">
        <x:v>186</x:v>
      </x:c>
      <x:c r="L1294" s="12" t="n">
        <x:v>17.671033755474696</x:v>
      </x:c>
      <x:c r="M1294" s="12" t="n">
        <x:v>10</x:v>
      </x:c>
      <x:c r="N1294" s="14" t="n">
        <x:v>0.8570922222804804</x:v>
      </x:c>
      <x:c r="O1294" s="14" t="n">
        <x:v>0.1429077777195195</x:v>
      </x:c>
      <x:c r="P1294" s="14" t="n">
        <x:v>0.4345858669703341</x:v>
      </x:c>
      <x:c r="Q1294" s="14" t="n">
        <x:v>0.12640630763534103</x:v>
      </x:c>
      <x:c r="R1294" s="14" t="n">
        <x:v>0.20744269050358016</x:v>
      </x:c>
      <x:c r="S1294" s="14" t="n">
        <x:v>0.4930489775980315</x:v>
      </x:c>
      <x:c r="T1294" t="str">
        <x:v>평일집중·여성소비</x:v>
      </x:c>
      <x:c r="U1294" s="16" t="n">
        <x:v>65.62923385134935</x:v>
      </x:c>
      <x:c r="V1294" t="str">
        <x:v>일반교습학원</x:v>
      </x:c>
      <x:c r="W1294" t="str">
        <x:v>일반교습학원 / 일반의류 / 분식전문점</x:v>
      </x:c>
      <x:c r="X1294" s="16" t="n">
        <x:v>54.161779864322945</x:v>
      </x:c>
    </x:row>
    <x:row r="1295">
      <x:c r="A1295" t="str">
        <x:v>3110215</x:v>
      </x:c>
      <x:c r="B1295" t="str">
        <x:v>회기역 1번</x:v>
      </x:c>
      <x:c r="C1295" t="str">
        <x:v>골목상권</x:v>
      </x:c>
      <x:c r="D1295" t="str">
        <x:v>동대문구</x:v>
      </x:c>
      <x:c r="E1295" t="str">
        <x:v>휘경1동</x:v>
      </x:c>
      <x:c r="F1295" s="12" t="n">
        <x:v>51478</x:v>
      </x:c>
      <x:c r="G1295" s="12" t="n">
        <x:v>633724749</x:v>
      </x:c>
      <x:c r="H1295" s="12" t="n">
        <x:v>73306</x:v>
      </x:c>
      <x:c r="I1295" s="12" t="n">
        <x:v>8644.923321419801</x:v>
      </x:c>
      <x:c r="J1295" s="12" t="n">
        <x:v>12310.593826488986</x:v>
      </x:c>
      <x:c r="K1295" s="12" t="n">
        <x:v>82</x:v>
      </x:c>
      <x:c r="L1295" s="12" t="n">
        <x:v>15.929134776020826</x:v>
      </x:c>
      <x:c r="M1295" s="12" t="n">
        <x:v>5</x:v>
      </x:c>
      <x:c r="N1295" s="14" t="n">
        <x:v>0.6494522292990013</x:v>
      </x:c>
      <x:c r="O1295" s="14" t="n">
        <x:v>0.3505477707009988</x:v>
      </x:c>
      <x:c r="P1295" s="14" t="n">
        <x:v>0.44563698900135584</x:v>
      </x:c>
      <x:c r="Q1295" s="14" t="n">
        <x:v>0.23469089574723237</x:v>
      </x:c>
      <x:c r="R1295" s="14" t="n">
        <x:v>0.5061984236945116</x:v>
      </x:c>
      <x:c r="S1295" s="14" t="n">
        <x:v>0.39339304389388774</x:v>
      </x:c>
      <x:c r="T1295" t="str">
        <x:v>2030소비·야간활성</x:v>
      </x:c>
      <x:c r="U1295" s="16" t="n">
        <x:v>49.39112209468203</x:v>
      </x:c>
      <x:c r="V1295" t="str">
        <x:v>한식음식점</x:v>
      </x:c>
      <x:c r="W1295" t="str">
        <x:v>한식음식점 / 미용실 / 커피-음료</x:v>
      </x:c>
      <x:c r="X1295" s="16" t="n">
        <x:v>41.63492847954759</x:v>
      </x:c>
    </x:row>
    <x:row r="1296">
      <x:c r="A1296" t="str">
        <x:v>3110485</x:v>
      </x:c>
      <x:c r="B1296" t="str">
        <x:v>연신내우체국</x:v>
      </x:c>
      <x:c r="C1296" t="str">
        <x:v>골목상권</x:v>
      </x:c>
      <x:c r="D1296" t="str">
        <x:v>은평구</x:v>
      </x:c>
      <x:c r="E1296" t="str">
        <x:v>불광2동</x:v>
      </x:c>
      <x:c r="F1296" s="12" t="n">
        <x:v>103329</x:v>
      </x:c>
      <x:c r="G1296" s="12" t="n">
        <x:v>632718543</x:v>
      </x:c>
      <x:c r="H1296" s="12" t="n">
        <x:v>33028</x:v>
      </x:c>
      <x:c r="I1296" s="12" t="n">
        <x:v>19157.034728109484</x:v>
      </x:c>
      <x:c r="J1296" s="12" t="n">
        <x:v>6123.339459396684</x:v>
      </x:c>
      <x:c r="K1296" s="12" t="n">
        <x:v>273</x:v>
      </x:c>
      <x:c r="L1296" s="12" t="n">
        <x:v>26.420462793601022</x:v>
      </x:c>
      <x:c r="M1296" s="12" t="n">
        <x:v>9</x:v>
      </x:c>
      <x:c r="N1296" s="14" t="n">
        <x:v>0.6542620420719991</x:v>
      </x:c>
      <x:c r="O1296" s="14" t="n">
        <x:v>0.3457379579280008</x:v>
      </x:c>
      <x:c r="P1296" s="14" t="n">
        <x:v>0.5535070781069238</x:v>
      </x:c>
      <x:c r="Q1296" s="14" t="n">
        <x:v>0.20759471561749376</x:v>
      </x:c>
      <x:c r="R1296" s="14" t="n">
        <x:v>0.21830221435441635</x:v>
      </x:c>
      <x:c r="S1296" s="14" t="n">
        <x:v>0.4545442885810919</x:v>
      </x:c>
      <x:c r="T1296" t="str">
        <x:v>야간활성·여성소비</x:v>
      </x:c>
      <x:c r="U1296" s="16" t="n">
        <x:v>53.376663819686286</x:v>
      </x:c>
      <x:c r="V1296" t="str">
        <x:v>커피-음료</x:v>
      </x:c>
      <x:c r="W1296" t="str">
        <x:v>커피-음료 / 당구장 / 분식전문점</x:v>
      </x:c>
      <x:c r="X1296" s="16" t="n">
        <x:v>44.080001747337256</x:v>
      </x:c>
    </x:row>
    <x:row r="1297">
      <x:c r="A1297" t="str">
        <x:v>3110571</x:v>
      </x:c>
      <x:c r="B1297" t="str">
        <x:v>신수동주민센터</x:v>
      </x:c>
      <x:c r="C1297" t="str">
        <x:v>골목상권</x:v>
      </x:c>
      <x:c r="D1297" t="str">
        <x:v>마포구</x:v>
      </x:c>
      <x:c r="E1297" t="str">
        <x:v>신수동</x:v>
      </x:c>
      <x:c r="F1297" s="12" t="n">
        <x:v>75550</x:v>
      </x:c>
      <x:c r="G1297" s="12" t="n">
        <x:v>626887773</x:v>
      </x:c>
      <x:c r="H1297" s="12" t="n">
        <x:v>36799</x:v>
      </x:c>
      <x:c r="I1297" s="12" t="n">
        <x:v>17035.456751542162</x:v>
      </x:c>
      <x:c r="J1297" s="12" t="n">
        <x:v>8297.654176042355</x:v>
      </x:c>
      <x:c r="K1297" s="12" t="n">
        <x:v>1557</x:v>
      </x:c>
      <x:c r="L1297" s="12" t="n">
        <x:v>206.08868299139644</x:v>
      </x:c>
      <x:c r="M1297" s="12" t="n">
        <x:v>7</x:v>
      </x:c>
      <x:c r="N1297" s="14" t="n">
        <x:v>0.8428150727387054</x:v>
      </x:c>
      <x:c r="O1297" s="14" t="n">
        <x:v>0.15718492726129465</x:v>
      </x:c>
      <x:c r="P1297" s="14" t="n">
        <x:v>0.21121862429433602</x:v>
      </x:c>
      <x:c r="Q1297" s="14" t="n">
        <x:v>0.263860166243823</x:v>
      </x:c>
      <x:c r="R1297" s="14" t="n">
        <x:v>0.11661102377251183</x:v>
      </x:c>
      <x:c r="S1297" s="14" t="n">
        <x:v>0.28293523440598356</x:v>
      </x:c>
      <x:c r="T1297" t="str">
        <x:v>평일집중·직장밀집</x:v>
      </x:c>
      <x:c r="U1297" s="16" t="n">
        <x:v>56.421572184821954</x:v>
      </x:c>
      <x:c r="V1297" t="str">
        <x:v>슈퍼마켓</x:v>
      </x:c>
      <x:c r="W1297" t="str">
        <x:v>슈퍼마켓 / 한식음식점 / 예술학원</x:v>
      </x:c>
      <x:c r="X1297" s="16" t="n">
        <x:v>50.19500445165703</x:v>
      </x:c>
    </x:row>
    <x:row r="1298">
      <x:c r="A1298" t="str">
        <x:v>3110358</x:v>
      </x:c>
      <x:c r="B1298" t="str">
        <x:v>인수동 우편취급국</x:v>
      </x:c>
      <x:c r="C1298" t="str">
        <x:v>골목상권</x:v>
      </x:c>
      <x:c r="D1298" t="str">
        <x:v>강북구</x:v>
      </x:c>
      <x:c r="E1298" t="str">
        <x:v>수유3동</x:v>
      </x:c>
      <x:c r="F1298" s="12" t="n">
        <x:v>111455</x:v>
      </x:c>
      <x:c r="G1298" s="12" t="n">
        <x:v>624317067</x:v>
      </x:c>
      <x:c r="H1298" s="12" t="n">
        <x:v>16915</x:v>
      </x:c>
      <x:c r="I1298" s="12" t="n">
        <x:v>36909.078746674546</x:v>
      </x:c>
      <x:c r="J1298" s="12" t="n">
        <x:v>5601.516908169217</x:v>
      </x:c>
      <x:c r="K1298" s="12" t="n">
        <x:v>632</x:v>
      </x:c>
      <x:c r="L1298" s="12" t="n">
        <x:v>56.70449957381903</x:v>
      </x:c>
      <x:c r="M1298" s="12" t="n">
        <x:v>7</x:v>
      </x:c>
      <x:c r="N1298" s="14" t="n">
        <x:v>0.7973125136430076</x:v>
      </x:c>
      <x:c r="O1298" s="14" t="n">
        <x:v>0.20268748635699238</x:v>
      </x:c>
      <x:c r="P1298" s="14" t="n">
        <x:v>0.32919528211456056</x:v>
      </x:c>
      <x:c r="Q1298" s="14" t="n">
        <x:v>0.3825727544943121</x:v>
      </x:c>
      <x:c r="R1298" s="14" t="n">
        <x:v>0.17657537944577767</x:v>
      </x:c>
      <x:c r="S1298" s="14" t="n">
        <x:v>0.21839747815191476</x:v>
      </x:c>
      <x:c r="T1298" t="str">
        <x:v>평일집중</x:v>
      </x:c>
      <x:c r="U1298" s="16" t="n">
        <x:v>55.01176659700157</x:v>
      </x:c>
      <x:c r="V1298" t="str">
        <x:v>여관</x:v>
      </x:c>
      <x:c r="W1298" t="str">
        <x:v>여관 / 자동차수리 / 한식음식점</x:v>
      </x:c>
      <x:c r="X1298" s="16" t="n">
        <x:v>36.54862775716258</x:v>
      </x:c>
    </x:row>
    <x:row r="1299">
      <x:c r="A1299" t="str">
        <x:v>3110117</x:v>
      </x:c>
      <x:c r="B1299" t="str">
        <x:v>성동구보건소</x:v>
      </x:c>
      <x:c r="C1299" t="str">
        <x:v>골목상권</x:v>
      </x:c>
      <x:c r="D1299" t="str">
        <x:v>성동구</x:v>
      </x:c>
      <x:c r="E1299" t="str">
        <x:v>마장동</x:v>
      </x:c>
      <x:c r="F1299" s="12" t="n">
        <x:v>49735</x:v>
      </x:c>
      <x:c r="G1299" s="12" t="n">
        <x:v>622628275</x:v>
      </x:c>
      <x:c r="H1299" s="12" t="n">
        <x:v>6887</x:v>
      </x:c>
      <x:c r="I1299" s="12" t="n">
        <x:v>90406.3126179759</x:v>
      </x:c>
      <x:c r="J1299" s="12" t="n">
        <x:v>12518.915753493515</x:v>
      </x:c>
      <x:c r="K1299" s="12" t="n">
        <x:v>430</x:v>
      </x:c>
      <x:c r="L1299" s="12" t="n">
        <x:v>86.4582286116417</x:v>
      </x:c>
      <x:c r="M1299" s="12" t="n">
        <x:v>5</x:v>
      </x:c>
      <x:c r="N1299" s="14" t="n">
        <x:v>0.8238132005810369</x:v>
      </x:c>
      <x:c r="O1299" s="14" t="n">
        <x:v>0.1761867994189631</x:v>
      </x:c>
      <x:c r="P1299" s="14" t="n">
        <x:v>0.8729290217345173</x:v>
      </x:c>
      <x:c r="Q1299" s="14" t="n">
        <x:v>0.026971616411092157</x:v>
      </x:c>
      <x:c r="R1299" s="14" t="n">
        <x:v>0.5073546635831789</x:v>
      </x:c>
      <x:c r="S1299" s="14" t="n">
        <x:v>0.3038073849119685</x:v>
      </x:c>
      <x:c r="T1299" t="str">
        <x:v>야간활성·2030소비</x:v>
      </x:c>
      <x:c r="U1299" s="16" t="n">
        <x:v>54.71641031880916</x:v>
      </x:c>
      <x:c r="V1299" t="str">
        <x:v>치킨전문점</x:v>
      </x:c>
      <x:c r="W1299" t="str">
        <x:v>치킨전문점 / 인테리어 / 미용실</x:v>
      </x:c>
      <x:c r="X1299" s="16" t="n">
        <x:v>46.58607889715021</x:v>
      </x:c>
    </x:row>
    <x:row r="1300">
      <x:c r="A1300" t="str">
        <x:v>3130154</x:v>
      </x:c>
      <x:c r="B1300" t="str">
        <x:v>상계주공1단지(가)상가</x:v>
      </x:c>
      <x:c r="C1300" t="str">
        <x:v>전통시장</x:v>
      </x:c>
      <x:c r="D1300" t="str">
        <x:v>노원구</x:v>
      </x:c>
      <x:c r="E1300" t="str">
        <x:v>상계6·7동</x:v>
      </x:c>
      <x:c r="F1300" s="12" t="n">
        <x:v>6758</x:v>
      </x:c>
      <x:c r="G1300" s="12" t="n">
        <x:v>621333196</x:v>
      </x:c>
      <x:c r="H1300" s="12" t="n">
        <x:v>38675</x:v>
      </x:c>
      <x:c r="I1300" s="12" t="n">
        <x:v>16065.499573367808</x:v>
      </x:c>
      <x:c r="J1300" s="12" t="n">
        <x:v>91940.39597514058</x:v>
      </x:c>
      <x:c r="K1300" s="12" t="n">
        <x:v>45</x:v>
      </x:c>
      <x:c r="L1300" s="12" t="n">
        <x:v>66.58774785439479</x:v>
      </x:c>
      <x:c r="M1300" s="12" t="n">
        <x:v>6</x:v>
      </x:c>
      <x:c r="N1300" s="14" t="n">
        <x:v>0.8012880531816942</x:v>
      </x:c>
      <x:c r="O1300" s="14" t="n">
        <x:v>0.19871194681830584</x:v>
      </x:c>
      <x:c r="P1300" s="14" t="n">
        <x:v>0.40755623654139994</x:v>
      </x:c>
      <x:c r="Q1300" s="14" t="n">
        <x:v>0.18106233454811257</x:v>
      </x:c>
      <x:c r="R1300" s="14" t="n">
        <x:v>0.2172792422312488</x:v>
      </x:c>
      <x:c r="S1300" s="14" t="n">
        <x:v>0.47204875079618314</x:v>
      </x:c>
      <x:c r="T1300" t="str">
        <x:v>평일집중·고매출밀도</x:v>
      </x:c>
      <x:c r="U1300" s="16" t="n">
        <x:v>64.9757181774387</x:v>
      </x:c>
      <x:c r="V1300" t="str">
        <x:v>예술학원</x:v>
      </x:c>
      <x:c r="W1300" t="str">
        <x:v>예술학원 / 세탁소 / 미용실</x:v>
      </x:c>
      <x:c r="X1300" s="16" t="n">
        <x:v>52.28253299390788</x:v>
      </x:c>
    </x:row>
    <x:row r="1301">
      <x:c r="A1301" t="str">
        <x:v>3111024</x:v>
      </x:c>
      <x:c r="B1301" t="str">
        <x:v>경찰병원역 4번(건너말공원)</x:v>
      </x:c>
      <x:c r="C1301" t="str">
        <x:v>골목상권</x:v>
      </x:c>
      <x:c r="D1301" t="str">
        <x:v>송파구</x:v>
      </x:c>
      <x:c r="E1301" t="str">
        <x:v>가락본동</x:v>
      </x:c>
      <x:c r="F1301" s="12" t="n">
        <x:v>34910</x:v>
      </x:c>
      <x:c r="G1301" s="12" t="n">
        <x:v>616541399</x:v>
      </x:c>
      <x:c r="H1301" s="12" t="n">
        <x:v>27480</x:v>
      </x:c>
      <x:c r="I1301" s="12" t="n">
        <x:v>22436.004330422125</x:v>
      </x:c>
      <x:c r="J1301" s="12" t="n">
        <x:v>17660.882240045834</x:v>
      </x:c>
      <x:c r="K1301" s="12" t="n">
        <x:v>564</x:v>
      </x:c>
      <x:c r="L1301" s="12" t="n">
        <x:v>161.55829275279288</x:v>
      </x:c>
      <x:c r="M1301" s="12" t="n">
        <x:v>6</x:v>
      </x:c>
      <x:c r="N1301" s="14" t="n">
        <x:v>0.7908777606676174</x:v>
      </x:c>
      <x:c r="O1301" s="14" t="n">
        <x:v>0.2091222393323826</x:v>
      </x:c>
      <x:c r="P1301" s="14" t="n">
        <x:v>0.47423938193645937</x:v>
      </x:c>
      <x:c r="Q1301" s="14" t="n">
        <x:v>0.35543939523840473</x:v>
      </x:c>
      <x:c r="R1301" s="14" t="n">
        <x:v>0.17741015798356793</x:v>
      </x:c>
      <x:c r="S1301" s="14" t="n">
        <x:v>0.22525188450483924</x:v>
      </x:c>
      <x:c r="T1301" t="str">
        <x:v>야간활성·직장밀집</x:v>
      </x:c>
      <x:c r="U1301" s="16" t="n">
        <x:v>45.55064673882308</x:v>
      </x:c>
      <x:c r="V1301" t="str">
        <x:v>피부관리실</x:v>
      </x:c>
      <x:c r="W1301" t="str">
        <x:v>피부관리실 / 한식음식점 / 미용실</x:v>
      </x:c>
      <x:c r="X1301" s="16" t="n">
        <x:v>39.11958905590849</x:v>
      </x:c>
    </x:row>
    <x:row r="1302">
      <x:c r="A1302" t="str">
        <x:v>3110536</x:v>
      </x:c>
      <x:c r="B1302" t="str">
        <x:v>돈의문센트레빌아파트입구</x:v>
      </x:c>
      <x:c r="C1302" t="str">
        <x:v>골목상권</x:v>
      </x:c>
      <x:c r="D1302" t="str">
        <x:v>서대문구</x:v>
      </x:c>
      <x:c r="E1302" t="str">
        <x:v>충현동</x:v>
      </x:c>
      <x:c r="F1302" s="12" t="n">
        <x:v>21586</x:v>
      </x:c>
      <x:c r="G1302" s="12" t="n">
        <x:v>614672363</x:v>
      </x:c>
      <x:c r="H1302" s="12" t="n">
        <x:v>28655</x:v>
      </x:c>
      <x:c r="I1302" s="12" t="n">
        <x:v>21450.78914674577</x:v>
      </x:c>
      <x:c r="J1302" s="12" t="n">
        <x:v>28475.510191790974</x:v>
      </x:c>
      <x:c r="K1302" s="12" t="n">
        <x:v>199</x:v>
      </x:c>
      <x:c r="L1302" s="12" t="n">
        <x:v>92.18938200685629</x:v>
      </x:c>
      <x:c r="M1302" s="12" t="n">
        <x:v>6</x:v>
      </x:c>
      <x:c r="N1302" s="14" t="n">
        <x:v>0.7932136115903424</x:v>
      </x:c>
      <x:c r="O1302" s="14" t="n">
        <x:v>0.20678638840965752</x:v>
      </x:c>
      <x:c r="P1302" s="14" t="n">
        <x:v>0.36699038150833535</x:v>
      </x:c>
      <x:c r="Q1302" s="14" t="n">
        <x:v>0.23231547503299738</x:v>
      </x:c>
      <x:c r="R1302" s="14" t="n">
        <x:v>0.19590186780530428</x:v>
      </x:c>
      <x:c r="S1302" s="14" t="n">
        <x:v>0.4894588045761869</x:v>
      </x:c>
      <x:c r="T1302" t="str">
        <x:v>여성소비·평일집중</x:v>
      </x:c>
      <x:c r="U1302" s="16" t="n">
        <x:v>75.6051467018341</x:v>
      </x:c>
      <x:c r="V1302" t="str">
        <x:v>세탁소</x:v>
      </x:c>
      <x:c r="W1302" t="str">
        <x:v>세탁소 / 일반교습학원 / 의약품</x:v>
      </x:c>
      <x:c r="X1302" s="16" t="n">
        <x:v>52.58768631400212</x:v>
      </x:c>
    </x:row>
    <x:row r="1303">
      <x:c r="A1303" t="str">
        <x:v>3110931</x:v>
      </x:c>
      <x:c r="B1303" t="str">
        <x:v>삼성전자서울R&amp;D(서울우면초등학교)</x:v>
      </x:c>
      <x:c r="C1303" t="str">
        <x:v>골목상권</x:v>
      </x:c>
      <x:c r="D1303" t="str">
        <x:v>서초구</x:v>
      </x:c>
      <x:c r="E1303" t="str">
        <x:v>양재1동</x:v>
      </x:c>
      <x:c r="F1303" s="12" t="n">
        <x:v>44205</x:v>
      </x:c>
      <x:c r="G1303" s="12" t="n">
        <x:v>614566909</x:v>
      </x:c>
      <x:c r="H1303" s="12" t="n">
        <x:v>75008</x:v>
      </x:c>
      <x:c r="I1303" s="12" t="n">
        <x:v>8193.351495840443</x:v>
      </x:c>
      <x:c r="J1303" s="12" t="n">
        <x:v>13902.656011763374</x:v>
      </x:c>
      <x:c r="K1303" s="12" t="n">
        <x:v>165</x:v>
      </x:c>
      <x:c r="L1303" s="12" t="n">
        <x:v>37.326094333220226</x:v>
      </x:c>
      <x:c r="M1303" s="12" t="n">
        <x:v>1</x:v>
      </x:c>
      <x:c r="N1303" s="14" t="n">
        <x:v>0.956375693830271</x:v>
      </x:c>
      <x:c r="O1303" s="14" t="n">
        <x:v>0.04362430616972903</x:v>
      </x:c>
      <x:c r="P1303" s="14" t="n">
        <x:v>0.00868107918254349</x:v>
      </x:c>
      <x:c r="Q1303" s="14" t="n">
        <x:v>0.5509524431618885</x:v>
      </x:c>
      <x:c r="R1303" s="14" t="n">
        <x:v>0.4686329198372117</x:v>
      </x:c>
      <x:c r="S1303" s="14" t="n">
        <x:v>0.3389353037880535</x:v>
      </x:c>
      <x:c r="T1303" t="str">
        <x:v>평일집중·2030소비</x:v>
      </x:c>
      <x:c r="U1303" s="16" t="n">
        <x:v>55.74415645584648</x:v>
      </x:c>
      <x:c r="V1303" t="str">
        <x:v>커피-음료</x:v>
      </x:c>
      <x:c r="W1303" t="str">
        <x:v>커피-음료</x:v>
      </x:c>
      <x:c r="X1303" s="16" t="n">
        <x:v>55.74415645584648</x:v>
      </x:c>
    </x:row>
    <x:row r="1304">
      <x:c r="A1304" t="str">
        <x:v>3130107</x:v>
      </x:c>
      <x:c r="B1304" t="str">
        <x:v>중랑동부시장(중랑교종합상가)</x:v>
      </x:c>
      <x:c r="C1304" t="str">
        <x:v>전통시장</x:v>
      </x:c>
      <x:c r="D1304" t="str">
        <x:v>중랑구</x:v>
      </x:c>
      <x:c r="E1304" t="str">
        <x:v>상봉2동</x:v>
      </x:c>
      <x:c r="F1304" s="12" t="n">
        <x:v>7887</x:v>
      </x:c>
      <x:c r="G1304" s="12" t="n">
        <x:v>613440479</x:v>
      </x:c>
      <x:c r="H1304" s="12" t="n">
        <x:v>10672</x:v>
      </x:c>
      <x:c r="I1304" s="12" t="n">
        <x:v>57481.30425412294</x:v>
      </x:c>
      <x:c r="J1304" s="12" t="n">
        <x:v>77778.68378344111</x:v>
      </x:c>
      <x:c r="K1304" s="12" t="n">
        <x:v>61</x:v>
      </x:c>
      <x:c r="L1304" s="12" t="n">
        <x:v>77.34246227970077</x:v>
      </x:c>
      <x:c r="M1304" s="12" t="n">
        <x:v>2</x:v>
      </x:c>
      <x:c r="N1304" s="14" t="n">
        <x:v>0.8080526260804514</x:v>
      </x:c>
      <x:c r="O1304" s="14" t="n">
        <x:v>0.1919473739195486</x:v>
      </x:c>
      <x:c r="P1304" s="14" t="n">
        <x:v>0.501392271180722</x:v>
      </x:c>
      <x:c r="Q1304" s="14" t="n">
        <x:v>0.19020025413093095</x:v>
      </x:c>
      <x:c r="R1304" s="14" t="n">
        <x:v>0.12535193980898024</x:v>
      </x:c>
      <x:c r="S1304" s="14" t="n">
        <x:v>0.7203410764811952</x:v>
      </x:c>
      <x:c r="T1304" t="str">
        <x:v>여성소비·야간활성</x:v>
      </x:c>
      <x:c r="U1304" s="16" t="n">
        <x:v>68.86771305986075</x:v>
      </x:c>
      <x:c r="V1304" t="str">
        <x:v>일반의류</x:v>
      </x:c>
      <x:c r="W1304" t="str">
        <x:v>일반의류 / 호프-간이주점</x:v>
      </x:c>
      <x:c r="X1304" s="16" t="n">
        <x:v>42.44381232564939</x:v>
      </x:c>
    </x:row>
    <x:row r="1305">
      <x:c r="A1305" t="str">
        <x:v>3110613</x:v>
      </x:c>
      <x:c r="B1305" t="str">
        <x:v>신정네거리역 4번</x:v>
      </x:c>
      <x:c r="C1305" t="str">
        <x:v>골목상권</x:v>
      </x:c>
      <x:c r="D1305" t="str">
        <x:v>양천구</x:v>
      </x:c>
      <x:c r="E1305" t="str">
        <x:v>신정1동</x:v>
      </x:c>
      <x:c r="F1305" s="12" t="n">
        <x:v>23861</x:v>
      </x:c>
      <x:c r="G1305" s="12" t="n">
        <x:v>604841529</x:v>
      </x:c>
      <x:c r="H1305" s="12" t="n">
        <x:v>11625</x:v>
      </x:c>
      <x:c r="I1305" s="12" t="n">
        <x:v>52029.37883870968</x:v>
      </x:c>
      <x:c r="J1305" s="12" t="n">
        <x:v>25348.540673064836</x:v>
      </x:c>
      <x:c r="K1305" s="12" t="n">
        <x:v>424</x:v>
      </x:c>
      <x:c r="L1305" s="12" t="n">
        <x:v>177.69582163362807</x:v>
      </x:c>
      <x:c r="M1305" s="12" t="n">
        <x:v>4</x:v>
      </x:c>
      <x:c r="N1305" s="14" t="n">
        <x:v>0.7383936578204107</x:v>
      </x:c>
      <x:c r="O1305" s="14" t="n">
        <x:v>0.26160634217958934</x:v>
      </x:c>
      <x:c r="P1305" s="14" t="n">
        <x:v>0.43045987835931154</x:v>
      </x:c>
      <x:c r="Q1305" s="14" t="n">
        <x:v>0.2896279580696583</x:v>
      </x:c>
      <x:c r="R1305" s="14" t="n">
        <x:v>0.11509342143733653</x:v>
      </x:c>
      <x:c r="S1305" s="14" t="n">
        <x:v>0.37470924884193924</x:v>
      </x:c>
      <x:c r="T1305" t="str">
        <x:v>직장밀집·야간활성</x:v>
      </x:c>
      <x:c r="U1305" s="16" t="n">
        <x:v>69.10806191357953</x:v>
      </x:c>
      <x:c r="V1305" t="str">
        <x:v>일반의류</x:v>
      </x:c>
      <x:c r="W1305" t="str">
        <x:v>일반의류 / 자동차수리 / 한식음식점</x:v>
      </x:c>
      <x:c r="X1305" s="16" t="n">
        <x:v>49.63570105696168</x:v>
      </x:c>
    </x:row>
    <x:row r="1306">
      <x:c r="A1306" t="str">
        <x:v>3110678</x:v>
      </x:c>
      <x:c r="B1306" t="str">
        <x:v>염창무학아파트</x:v>
      </x:c>
      <x:c r="C1306" t="str">
        <x:v>골목상권</x:v>
      </x:c>
      <x:c r="D1306" t="str">
        <x:v>강서구</x:v>
      </x:c>
      <x:c r="E1306" t="str">
        <x:v>염창동</x:v>
      </x:c>
      <x:c r="F1306" s="12" t="n">
        <x:v>27977</x:v>
      </x:c>
      <x:c r="G1306" s="12" t="n">
        <x:v>601328297</x:v>
      </x:c>
      <x:c r="H1306" s="12" t="n">
        <x:v>6004</x:v>
      </x:c>
      <x:c r="I1306" s="12" t="n">
        <x:v>100154.61309127249</x:v>
      </x:c>
      <x:c r="J1306" s="12" t="n">
        <x:v>21493.66611859742</x:v>
      </x:c>
      <x:c r="K1306" s="12" t="n">
        <x:v>865</x:v>
      </x:c>
      <x:c r="L1306" s="12" t="n">
        <x:v>309.18254280301676</x:v>
      </x:c>
      <x:c r="M1306" s="12" t="n">
        <x:v>2</x:v>
      </x:c>
      <x:c r="N1306" s="14" t="n">
        <x:v>0.7918806621535058</x:v>
      </x:c>
      <x:c r="O1306" s="14" t="n">
        <x:v>0.2081193378464942</x:v>
      </x:c>
      <x:c r="P1306" s="14" t="n">
        <x:v>0.7352331816175949</x:v>
      </x:c>
      <x:c r="Q1306" s="14" t="n">
        <x:v>0.1701916399254366</x:v>
      </x:c>
      <x:c r="R1306" s="14" t="n">
        <x:v>0.20995222681163797</x:v>
      </x:c>
      <x:c r="S1306" s="14" t="n">
        <x:v>0.25980567317290243</x:v>
      </x:c>
      <x:c r="T1306" t="str">
        <x:v>야간활성·직장밀집</x:v>
      </x:c>
      <x:c r="U1306" s="16" t="n">
        <x:v>62.90253590260303</x:v>
      </x:c>
      <x:c r="V1306" t="str">
        <x:v>한식음식점</x:v>
      </x:c>
      <x:c r="W1306" t="str">
        <x:v>한식음식점 / 자동차수리</x:v>
      </x:c>
      <x:c r="X1306" s="16" t="n">
        <x:v>44.265239618248906</x:v>
      </x:c>
    </x:row>
    <x:row r="1307">
      <x:c r="A1307" t="str">
        <x:v>3110042</x:v>
      </x:c>
      <x:c r="B1307" t="str">
        <x:v>남산골공원옆</x:v>
      </x:c>
      <x:c r="C1307" t="str">
        <x:v>골목상권</x:v>
      </x:c>
      <x:c r="D1307" t="str">
        <x:v>중구</x:v>
      </x:c>
      <x:c r="E1307" t="str">
        <x:v>필동</x:v>
      </x:c>
      <x:c r="F1307" s="12" t="n">
        <x:v>72607</x:v>
      </x:c>
      <x:c r="G1307" s="12" t="n">
        <x:v>601157930</x:v>
      </x:c>
      <x:c r="H1307" s="12" t="n">
        <x:v>9332</x:v>
      </x:c>
      <x:c r="I1307" s="12" t="n">
        <x:v>64418.98092584655</x:v>
      </x:c>
      <x:c r="J1307" s="12" t="n">
        <x:v>8279.61394906827</x:v>
      </x:c>
      <x:c r="K1307" s="12" t="n">
        <x:v>1562</x:v>
      </x:c>
      <x:c r="L1307" s="12" t="n">
        <x:v>215.13077251504677</x:v>
      </x:c>
      <x:c r="M1307" s="12" t="n">
        <x:v>3</x:v>
      </x:c>
      <x:c r="N1307" s="14" t="n">
        <x:v>0.9558998664460768</x:v>
      </x:c>
      <x:c r="O1307" s="14" t="n">
        <x:v>0.04410013355392318</x:v>
      </x:c>
      <x:c r="P1307" s="14" t="n">
        <x:v>0.21777186736936166</x:v>
      </x:c>
      <x:c r="Q1307" s="14" t="n">
        <x:v>0.6871571185961067</x:v>
      </x:c>
      <x:c r="R1307" s="14" t="n">
        <x:v>0.5198732519422974</x:v>
      </x:c>
      <x:c r="S1307" s="14" t="n">
        <x:v>0.09265752179298375</x:v>
      </x:c>
      <x:c r="T1307" t="str">
        <x:v>평일집중·2030소비</x:v>
      </x:c>
      <x:c r="U1307" s="16" t="n">
        <x:v>45.73348924892852</x:v>
      </x:c>
      <x:c r="V1307" t="str">
        <x:v>문구</x:v>
      </x:c>
      <x:c r="W1307" t="str">
        <x:v>문구 / 한식음식점 / 슈퍼마켓</x:v>
      </x:c>
      <x:c r="X1307" s="16" t="n">
        <x:v>37.666205089980984</x:v>
      </x:c>
    </x:row>
    <x:row r="1308">
      <x:c r="A1308" t="str">
        <x:v>3110587</x:v>
      </x:c>
      <x:c r="B1308" t="str">
        <x:v>공덕동주민센터</x:v>
      </x:c>
      <x:c r="C1308" t="str">
        <x:v>골목상권</x:v>
      </x:c>
      <x:c r="D1308" t="str">
        <x:v>마포구</x:v>
      </x:c>
      <x:c r="E1308" t="str">
        <x:v>공덕동</x:v>
      </x:c>
      <x:c r="F1308" s="12" t="n">
        <x:v>76629</x:v>
      </x:c>
      <x:c r="G1308" s="12" t="n">
        <x:v>600037093</x:v>
      </x:c>
      <x:c r="H1308" s="12" t="n">
        <x:v>17148</x:v>
      </x:c>
      <x:c r="I1308" s="12" t="n">
        <x:v>34991.6662584558</x:v>
      </x:c>
      <x:c r="J1308" s="12" t="n">
        <x:v>7830.417896618774</x:v>
      </x:c>
      <x:c r="K1308" s="12" t="n">
        <x:v>802</x:v>
      </x:c>
      <x:c r="L1308" s="12" t="n">
        <x:v>104.660115622023</x:v>
      </x:c>
      <x:c r="M1308" s="12" t="n">
        <x:v>7</x:v>
      </x:c>
      <x:c r="N1308" s="14" t="n">
        <x:v>0.8899199503321372</x:v>
      </x:c>
      <x:c r="O1308" s="14" t="n">
        <x:v>0.11008004966786278</x:v>
      </x:c>
      <x:c r="P1308" s="14" t="n">
        <x:v>0.5067444955440447</x:v>
      </x:c>
      <x:c r="Q1308" s="14" t="n">
        <x:v>0.17562154778321346</x:v>
      </x:c>
      <x:c r="R1308" s="14" t="n">
        <x:v>0.23580814861390578</x:v>
      </x:c>
      <x:c r="S1308" s="14" t="n">
        <x:v>0.3573873590511512</x:v>
      </x:c>
      <x:c r="T1308" t="str">
        <x:v>평일집중·야간활성</x:v>
      </x:c>
      <x:c r="U1308" s="16" t="n">
        <x:v>57.77853554987714</x:v>
      </x:c>
      <x:c r="V1308" t="str">
        <x:v>스포츠 강습</x:v>
      </x:c>
      <x:c r="W1308" t="str">
        <x:v>스포츠 강습 / 일반교습학원 / 호프-간이주점</x:v>
      </x:c>
      <x:c r="X1308" s="16" t="n">
        <x:v>45.69603334358952</x:v>
      </x:c>
    </x:row>
    <x:row r="1309">
      <x:c r="A1309" t="str">
        <x:v>3111054</x:v>
      </x:c>
      <x:c r="B1309" t="str">
        <x:v>암사역 4번(삼성광나루아파트)</x:v>
      </x:c>
      <x:c r="C1309" t="str">
        <x:v>골목상권</x:v>
      </x:c>
      <x:c r="D1309" t="str">
        <x:v>강동구</x:v>
      </x:c>
      <x:c r="E1309" t="str">
        <x:v>암사2동</x:v>
      </x:c>
      <x:c r="F1309" s="12" t="n">
        <x:v>15538</x:v>
      </x:c>
      <x:c r="G1309" s="12" t="n">
        <x:v>587797112</x:v>
      </x:c>
      <x:c r="H1309" s="12" t="n">
        <x:v>9203</x:v>
      </x:c>
      <x:c r="I1309" s="12" t="n">
        <x:v>63870.16320764968</x:v>
      </x:c>
      <x:c r="J1309" s="12" t="n">
        <x:v>37829.65066289098</x:v>
      </x:c>
      <x:c r="K1309" s="12" t="n">
        <x:v>195</x:v>
      </x:c>
      <x:c r="L1309" s="12" t="n">
        <x:v>125.49877719140171</x:v>
      </x:c>
      <x:c r="M1309" s="12" t="n">
        <x:v>3</x:v>
      </x:c>
      <x:c r="N1309" s="14" t="n">
        <x:v>0.5908483197855521</x:v>
      </x:c>
      <x:c r="O1309" s="14" t="n">
        <x:v>0.40915168021444787</x:v>
      </x:c>
      <x:c r="P1309" s="14" t="n">
        <x:v>0.7151346109369793</x:v>
      </x:c>
      <x:c r="Q1309" s="14" t="n">
        <x:v>0.1450031741564596</x:v>
      </x:c>
      <x:c r="R1309" s="14" t="n">
        <x:v>0.24911074418480642</x:v>
      </x:c>
      <x:c r="S1309" s="14" t="n">
        <x:v>0.4624366715160043</x:v>
      </x:c>
      <x:c r="T1309" t="str">
        <x:v>야간활성·직장밀집</x:v>
      </x:c>
      <x:c r="U1309" s="16" t="n">
        <x:v>53.97640895996995</x:v>
      </x:c>
      <x:c r="V1309" t="str">
        <x:v>한식음식점</x:v>
      </x:c>
      <x:c r="W1309" t="str">
        <x:v>한식음식점 / 일반교습학원 / 미용실</x:v>
      </x:c>
      <x:c r="X1309" s="16" t="n">
        <x:v>46.37832751498632</x:v>
      </x:c>
    </x:row>
    <x:row r="1310">
      <x:c r="A1310" t="str">
        <x:v>3130151</x:v>
      </x:c>
      <x:c r="B1310" t="str">
        <x:v>신도봉시장</x:v>
      </x:c>
      <x:c r="C1310" t="str">
        <x:v>전통시장</x:v>
      </x:c>
      <x:c r="D1310" t="str">
        <x:v>도봉구</x:v>
      </x:c>
      <x:c r="E1310" t="str">
        <x:v>도봉1동</x:v>
      </x:c>
      <x:c r="F1310" s="12" t="n">
        <x:v>8485</x:v>
      </x:c>
      <x:c r="G1310" s="12" t="n">
        <x:v>584249801</x:v>
      </x:c>
      <x:c r="H1310" s="12" t="n">
        <x:v>14969</x:v>
      </x:c>
      <x:c r="I1310" s="12" t="n">
        <x:v>39030.65007682544</x:v>
      </x:c>
      <x:c r="J1310" s="12" t="n">
        <x:v>68856.78267530937</x:v>
      </x:c>
      <x:c r="K1310" s="12" t="n">
        <x:v>28</x:v>
      </x:c>
      <x:c r="L1310" s="12" t="n">
        <x:v>32.999410724808484</x:v>
      </x:c>
      <x:c r="M1310" s="12" t="n">
        <x:v>2</x:v>
      </x:c>
      <x:c r="N1310" s="14" t="n">
        <x:v>0.7258491235669244</x:v>
      </x:c>
      <x:c r="O1310" s="14" t="n">
        <x:v>0.27415087643307556</x:v>
      </x:c>
      <x:c r="P1310" s="14" t="n">
        <x:v>0.3592681155230723</x:v>
      </x:c>
      <x:c r="Q1310" s="14" t="n">
        <x:v>0.1983980701432879</x:v>
      </x:c>
      <x:c r="R1310" s="14" t="n">
        <x:v>0.10337267363485161</x:v>
      </x:c>
      <x:c r="S1310" s="14" t="n">
        <x:v>0.540259340199587</x:v>
      </x:c>
      <x:c r="T1310" t="str">
        <x:v>여성소비·고매출밀도</x:v>
      </x:c>
      <x:c r="U1310" s="16" t="n">
        <x:v>64.7619043042124</x:v>
      </x:c>
      <x:c r="V1310" t="str">
        <x:v>미곡판매</x:v>
      </x:c>
      <x:c r="W1310" t="str">
        <x:v>미곡판매 / 한식음식점</x:v>
      </x:c>
      <x:c r="X1310" s="16" t="n">
        <x:v>48.352961150508264</x:v>
      </x:c>
    </x:row>
    <x:row r="1311">
      <x:c r="A1311" t="str">
        <x:v>3110876</x:v>
      </x:c>
      <x:c r="B1311" t="str">
        <x:v>서원동주민센터(신관중학교)</x:v>
      </x:c>
      <x:c r="C1311" t="str">
        <x:v>골목상권</x:v>
      </x:c>
      <x:c r="D1311" t="str">
        <x:v>관악구</x:v>
      </x:c>
      <x:c r="E1311" t="str">
        <x:v>서원동</x:v>
      </x:c>
      <x:c r="F1311" s="12" t="n">
        <x:v>59122</x:v>
      </x:c>
      <x:c r="G1311" s="12" t="n">
        <x:v>583743244</x:v>
      </x:c>
      <x:c r="H1311" s="12" t="n">
        <x:v>12676</x:v>
      </x:c>
      <x:c r="I1311" s="12" t="n">
        <x:v>46051.06058693594</x:v>
      </x:c>
      <x:c r="J1311" s="12" t="n">
        <x:v>9873.536822164338</x:v>
      </x:c>
      <x:c r="K1311" s="12" t="n">
        <x:v>120</x:v>
      </x:c>
      <x:c r="L1311" s="12" t="n">
        <x:v>20.297012956259938</x:v>
      </x:c>
      <x:c r="M1311" s="12" t="n">
        <x:v>6</x:v>
      </x:c>
      <x:c r="N1311" s="14" t="n">
        <x:v>0.7347205357977556</x:v>
      </x:c>
      <x:c r="O1311" s="14" t="n">
        <x:v>0.26527946420224435</x:v>
      </x:c>
      <x:c r="P1311" s="14" t="n">
        <x:v>0.7924082835295306</x:v>
      </x:c>
      <x:c r="Q1311" s="14" t="n">
        <x:v>0.06837060884254105</x:v>
      </x:c>
      <x:c r="R1311" s="14" t="n">
        <x:v>0.3314289167173642</x:v>
      </x:c>
      <x:c r="S1311" s="14" t="n">
        <x:v>0.31983462578626437</x:v>
      </x:c>
      <x:c r="T1311" t="str">
        <x:v>야간활성·2030소비</x:v>
      </x:c>
      <x:c r="U1311" s="16" t="n">
        <x:v>53.37016740742565</x:v>
      </x:c>
      <x:c r="V1311" t="str">
        <x:v>미용실</x:v>
      </x:c>
      <x:c r="W1311" t="str">
        <x:v>미용실 / 스포츠 강습 / 스포츠클럽</x:v>
      </x:c>
      <x:c r="X1311" s="16" t="n">
        <x:v>47.28774515669862</x:v>
      </x:c>
    </x:row>
    <x:row r="1312">
      <x:c r="A1312" t="str">
        <x:v>3110307</x:v>
      </x:c>
      <x:c r="B1312" t="str">
        <x:v>길음역 7번</x:v>
      </x:c>
      <x:c r="C1312" t="str">
        <x:v>골목상권</x:v>
      </x:c>
      <x:c r="D1312" t="str">
        <x:v>성북구</x:v>
      </x:c>
      <x:c r="E1312" t="str">
        <x:v>길음1동</x:v>
      </x:c>
      <x:c r="F1312" s="12" t="n">
        <x:v>55213</x:v>
      </x:c>
      <x:c r="G1312" s="12" t="n">
        <x:v>581308682</x:v>
      </x:c>
      <x:c r="H1312" s="12" t="n">
        <x:v>12130</x:v>
      </x:c>
      <x:c r="I1312" s="12" t="n">
        <x:v>47923.221929101404</x:v>
      </x:c>
      <x:c r="J1312" s="12" t="n">
        <x:v>10528.474851937044</x:v>
      </x:c>
      <x:c r="K1312" s="12" t="n">
        <x:v>2566</x:v>
      </x:c>
      <x:c r="L1312" s="12" t="n">
        <x:v>464.7456215021825</x:v>
      </x:c>
      <x:c r="M1312" s="12" t="n">
        <x:v>5</x:v>
      </x:c>
      <x:c r="N1312" s="14" t="n">
        <x:v>0.678461747110118</x:v>
      </x:c>
      <x:c r="O1312" s="14" t="n">
        <x:v>0.321538252889882</x:v>
      </x:c>
      <x:c r="P1312" s="14" t="n">
        <x:v>0.6776280007460821</x:v>
      </x:c>
      <x:c r="Q1312" s="14" t="n">
        <x:v>0.13038488731878256</x:v>
      </x:c>
      <x:c r="R1312" s="14" t="n">
        <x:v>0.31436720740393137</x:v>
      </x:c>
      <x:c r="S1312" s="14" t="n">
        <x:v>0.3743831904440746</x:v>
      </x:c>
      <x:c r="T1312" t="str">
        <x:v>야간활성·직장밀집</x:v>
      </x:c>
      <x:c r="U1312" s="16" t="n">
        <x:v>51.54356946574274</x:v>
      </x:c>
      <x:c r="V1312" t="str">
        <x:v>미용실</x:v>
      </x:c>
      <x:c r="W1312" t="str">
        <x:v>미용실 / 일반교습학원 / 호프-간이주점</x:v>
      </x:c>
      <x:c r="X1312" s="16" t="n">
        <x:v>43.84298635180377</x:v>
      </x:c>
    </x:row>
    <x:row r="1313">
      <x:c r="A1313" t="str">
        <x:v>3110434</x:v>
      </x:c>
      <x:c r="B1313" t="str">
        <x:v>태릉입구역 4번</x:v>
      </x:c>
      <x:c r="C1313" t="str">
        <x:v>골목상권</x:v>
      </x:c>
      <x:c r="D1313" t="str">
        <x:v>노원구</x:v>
      </x:c>
      <x:c r="E1313" t="str">
        <x:v>공릉1동</x:v>
      </x:c>
      <x:c r="F1313" s="12" t="n">
        <x:v>38090</x:v>
      </x:c>
      <x:c r="G1313" s="12" t="n">
        <x:v>579727048</x:v>
      </x:c>
      <x:c r="H1313" s="12" t="n">
        <x:v>30846</x:v>
      </x:c>
      <x:c r="I1313" s="12" t="n">
        <x:v>18794.237437593205</x:v>
      </x:c>
      <x:c r="J1313" s="12" t="n">
        <x:v>15219.927750065634</x:v>
      </x:c>
      <x:c r="K1313" s="12" t="n">
        <x:v>280</x:v>
      </x:c>
      <x:c r="L1313" s="12" t="n">
        <x:v>73.51010763980048</x:v>
      </x:c>
      <x:c r="M1313" s="12" t="n">
        <x:v>9</x:v>
      </x:c>
      <x:c r="N1313" s="14" t="n">
        <x:v>0.7438229413094419</x:v>
      </x:c>
      <x:c r="O1313" s="14" t="n">
        <x:v>0.2561770586905581</x:v>
      </x:c>
      <x:c r="P1313" s="14" t="n">
        <x:v>0.4767896667122559</x:v>
      </x:c>
      <x:c r="Q1313" s="14" t="n">
        <x:v>0.1853955156496338</x:v>
      </x:c>
      <x:c r="R1313" s="14" t="n">
        <x:v>0.33639291054779286</x:v>
      </x:c>
      <x:c r="S1313" s="14" t="n">
        <x:v>0.42003943379919717</x:v>
      </x:c>
      <x:c r="T1313" t="str">
        <x:v>2030소비·야간활성</x:v>
      </x:c>
      <x:c r="U1313" s="16" t="n">
        <x:v>57.55164817961873</x:v>
      </x:c>
      <x:c r="V1313" t="str">
        <x:v>세탁소</x:v>
      </x:c>
      <x:c r="W1313" t="str">
        <x:v>세탁소 / 전자상거래업 / 화장품</x:v>
      </x:c>
      <x:c r="X1313" s="16" t="n">
        <x:v>46.31690420698659</x:v>
      </x:c>
    </x:row>
    <x:row r="1314">
      <x:c r="A1314" t="str">
        <x:v>3110417</x:v>
      </x:c>
      <x:c r="B1314" t="str">
        <x:v>월계역 3번</x:v>
      </x:c>
      <x:c r="C1314" t="str">
        <x:v>골목상권</x:v>
      </x:c>
      <x:c r="D1314" t="str">
        <x:v>노원구</x:v>
      </x:c>
      <x:c r="E1314" t="str">
        <x:v>월계2동</x:v>
      </x:c>
      <x:c r="F1314" s="12" t="n">
        <x:v>29842</x:v>
      </x:c>
      <x:c r="G1314" s="12" t="n">
        <x:v>569099619</x:v>
      </x:c>
      <x:c r="H1314" s="12" t="n">
        <x:v>53396</x:v>
      </x:c>
      <x:c r="I1314" s="12" t="n">
        <x:v>10658.094595100756</x:v>
      </x:c>
      <x:c r="J1314" s="12" t="n">
        <x:v>19070.4248709872</x:v>
      </x:c>
      <x:c r="K1314" s="12" t="n">
        <x:v>29</x:v>
      </x:c>
      <x:c r="L1314" s="12" t="n">
        <x:v>9.717847329267476</x:v>
      </x:c>
      <x:c r="M1314" s="12" t="n">
        <x:v>7</x:v>
      </x:c>
      <x:c r="N1314" s="14" t="n">
        <x:v>0.924396932340944</x:v>
      </x:c>
      <x:c r="O1314" s="14" t="n">
        <x:v>0.07560306765905601</x:v>
      </x:c>
      <x:c r="P1314" s="14" t="n">
        <x:v>0.313413935003882</x:v>
      </x:c>
      <x:c r="Q1314" s="14" t="n">
        <x:v>0.4692775976010625</x:v>
      </x:c>
      <x:c r="R1314" s="14" t="n">
        <x:v>0.3319991099835897</x:v>
      </x:c>
      <x:c r="S1314" s="14" t="n">
        <x:v>0.5132043938339027</x:v>
      </x:c>
      <x:c r="T1314" t="str">
        <x:v>평일집중·2030소비</x:v>
      </x:c>
      <x:c r="U1314" s="16" t="n">
        <x:v>67.6870051327424</x:v>
      </x:c>
      <x:c r="V1314" t="str">
        <x:v>네일숍</x:v>
      </x:c>
      <x:c r="W1314" t="str">
        <x:v>네일숍 / 세탁소 / 한식음식점</x:v>
      </x:c>
      <x:c r="X1314" s="16" t="n">
        <x:v>54.781626160577886</x:v>
      </x:c>
    </x:row>
    <x:row r="1315">
      <x:c r="A1315" t="str">
        <x:v>3110859</x:v>
      </x:c>
      <x:c r="B1315" t="str">
        <x:v>난향초등학교</x:v>
      </x:c>
      <x:c r="C1315" t="str">
        <x:v>골목상권</x:v>
      </x:c>
      <x:c r="D1315" t="str">
        <x:v>관악구</x:v>
      </x:c>
      <x:c r="E1315" t="str">
        <x:v>난향동</x:v>
      </x:c>
      <x:c r="F1315" s="12" t="n">
        <x:v>77274</x:v>
      </x:c>
      <x:c r="G1315" s="12" t="n">
        <x:v>565556894</x:v>
      </x:c>
      <x:c r="H1315" s="12" t="n">
        <x:v>41837</x:v>
      </x:c>
      <x:c r="I1315" s="12" t="n">
        <x:v>13518.10344910008</x:v>
      </x:c>
      <x:c r="J1315" s="12" t="n">
        <x:v>7318.851023630199</x:v>
      </x:c>
      <x:c r="K1315" s="12" t="n">
        <x:v>344</x:v>
      </x:c>
      <x:c r="L1315" s="12" t="n">
        <x:v>44.516913839066184</x:v>
      </x:c>
      <x:c r="M1315" s="12" t="n">
        <x:v>6</x:v>
      </x:c>
      <x:c r="N1315" s="14" t="n">
        <x:v>0.7648841338321658</x:v>
      </x:c>
      <x:c r="O1315" s="14" t="n">
        <x:v>0.23511586616783423</x:v>
      </x:c>
      <x:c r="P1315" s="14" t="n">
        <x:v>0.47696262721182564</x:v>
      </x:c>
      <x:c r="Q1315" s="14" t="n">
        <x:v>0.16443085211511893</x:v>
      </x:c>
      <x:c r="R1315" s="14" t="n">
        <x:v>0.1864293992674767</x:v>
      </x:c>
      <x:c r="S1315" s="14" t="n">
        <x:v>0.2656917890916913</x:v>
      </x:c>
      <x:c r="T1315" t="str">
        <x:v>야간활성·평일집중</x:v>
      </x:c>
      <x:c r="U1315" s="16" t="n">
        <x:v>45.899421908255334</x:v>
      </x:c>
      <x:c r="V1315" t="str">
        <x:v>일반교습학원</x:v>
      </x:c>
      <x:c r="W1315" t="str">
        <x:v>일반교습학원 / 미용실 / 분식전문점</x:v>
      </x:c>
      <x:c r="X1315" s="16" t="n">
        <x:v>42.01542888063331</x:v>
      </x:c>
    </x:row>
    <x:row r="1316">
      <x:c r="A1316" t="str">
        <x:v>3110001</x:v>
      </x:c>
      <x:c r="B1316" t="str">
        <x:v>이북5도청사</x:v>
      </x:c>
      <x:c r="C1316" t="str">
        <x:v>골목상권</x:v>
      </x:c>
      <x:c r="D1316" t="str">
        <x:v>종로구</x:v>
      </x:c>
      <x:c r="E1316" t="str">
        <x:v>평창동</x:v>
      </x:c>
      <x:c r="F1316" s="12" t="n">
        <x:v>108529</x:v>
      </x:c>
      <x:c r="G1316" s="12" t="n">
        <x:v>564980303</x:v>
      </x:c>
      <x:c r="H1316" s="12" t="n">
        <x:v>15051</x:v>
      </x:c>
      <x:c r="I1316" s="12" t="n">
        <x:v>37537.72526742409</x:v>
      </x:c>
      <x:c r="J1316" s="12" t="n">
        <x:v>5205.800320651623</x:v>
      </x:c>
      <x:c r="K1316" s="12" t="n">
        <x:v>2534</x:v>
      </x:c>
      <x:c r="L1316" s="12" t="n">
        <x:v>233.48598070561783</x:v>
      </x:c>
      <x:c r="M1316" s="12" t="n">
        <x:v>3</x:v>
      </x:c>
      <x:c r="N1316" s="14" t="n">
        <x:v>0.6204631951567345</x:v>
      </x:c>
      <x:c r="O1316" s="14" t="n">
        <x:v>0.37953680484326546</x:v>
      </x:c>
      <x:c r="P1316" s="14" t="n">
        <x:v>0.39312879196073497</x:v>
      </x:c>
      <x:c r="Q1316" s="14" t="n">
        <x:v>0.34277634808093477</x:v>
      </x:c>
      <x:c r="R1316" s="14" t="n">
        <x:v>0.1411057900190195</x:v>
      </x:c>
      <x:c r="S1316" s="14" t="n">
        <x:v>0.3229159601339235</x:v>
      </x:c>
      <x:c r="T1316" t="str">
        <x:v>직장밀집</x:v>
      </x:c>
      <x:c r="U1316" s="16" t="n">
        <x:v>43.74051706625366</x:v>
      </x:c>
      <x:c r="V1316" t="str">
        <x:v>한식음식점</x:v>
      </x:c>
      <x:c r="W1316" t="str">
        <x:v>한식음식점 / 일반교습학원 / 호프-간이주점</x:v>
      </x:c>
      <x:c r="X1316" s="16" t="n">
        <x:v>38.65537192175807</x:v>
      </x:c>
    </x:row>
    <x:row r="1317">
      <x:c r="A1317" t="str">
        <x:v>3130009</x:v>
      </x:c>
      <x:c r="B1317" t="str">
        <x:v>마전교지하쇼핑센터(구 한일상가)</x:v>
      </x:c>
      <x:c r="C1317" t="str">
        <x:v>전통시장</x:v>
      </x:c>
      <x:c r="D1317" t="str">
        <x:v>종로구</x:v>
      </x:c>
      <x:c r="E1317" t="str">
        <x:v>종로5·6가동</x:v>
      </x:c>
      <x:c r="F1317" s="12" t="n">
        <x:v>4469</x:v>
      </x:c>
      <x:c r="G1317" s="12" t="n">
        <x:v>561238525</x:v>
      </x:c>
      <x:c r="H1317" s="12" t="n">
        <x:v>3977</x:v>
      </x:c>
      <x:c r="I1317" s="12" t="n">
        <x:v>141121.07744531054</x:v>
      </x:c>
      <x:c r="J1317" s="12" t="n">
        <x:v>125584.81203848736</x:v>
      </x:c>
      <x:c r="K1317" s="12" t="n">
        <x:v>356</x:v>
      </x:c>
      <x:c r="L1317" s="12" t="n">
        <x:v>796.5987916759902</x:v>
      </x:c>
      <x:c r="M1317" s="12" t="n">
        <x:v>1</x:v>
      </x:c>
      <x:c r="N1317" s="14" t="n">
        <x:v>0.6410698071733404</x:v>
      </x:c>
      <x:c r="O1317" s="14" t="n">
        <x:v>0.35893019282665956</x:v>
      </x:c>
      <x:c r="P1317" s="14" t="n">
        <x:v>0.2015409116827823</x:v>
      </x:c>
      <x:c r="Q1317" s="14" t="n">
        <x:v>0.24705558835256364</x:v>
      </x:c>
      <x:c r="R1317" s="14" t="n">
        <x:v>0.6090690958893101</x:v>
      </x:c>
      <x:c r="S1317" s="14" t="n">
        <x:v>0.37413344531186626</x:v>
      </x:c>
      <x:c r="T1317" t="str">
        <x:v>2030소비·직장밀집</x:v>
      </x:c>
      <x:c r="U1317" s="16" t="n">
        <x:v>49.531578394283315</x:v>
      </x:c>
      <x:c r="V1317" t="str">
        <x:v>운동/경기용품</x:v>
      </x:c>
      <x:c r="W1317" t="str">
        <x:v>운동/경기용품</x:v>
      </x:c>
      <x:c r="X1317" s="16" t="n">
        <x:v>49.531578394283315</x:v>
      </x:c>
    </x:row>
    <x:row r="1318">
      <x:c r="A1318" t="str">
        <x:v>3110016</x:v>
      </x:c>
      <x:c r="B1318" t="str">
        <x:v>평창동동측</x:v>
      </x:c>
      <x:c r="C1318" t="str">
        <x:v>골목상권</x:v>
      </x:c>
      <x:c r="D1318" t="str">
        <x:v>종로구</x:v>
      </x:c>
      <x:c r="E1318" t="str">
        <x:v>평창동</x:v>
      </x:c>
      <x:c r="F1318" s="12" t="n">
        <x:v>522818</x:v>
      </x:c>
      <x:c r="G1318" s="12" t="n">
        <x:v>560334025</x:v>
      </x:c>
      <x:c r="H1318" s="12" t="n">
        <x:v>11362</x:v>
      </x:c>
      <x:c r="I1318" s="12" t="n">
        <x:v>49316.49577539165</x:v>
      </x:c>
      <x:c r="J1318" s="12" t="n">
        <x:v>1071.757332379528</x:v>
      </x:c>
      <x:c r="K1318" s="12" t="n">
        <x:v>5413</x:v>
      </x:c>
      <x:c r="L1318" s="12" t="n">
        <x:v>103.53507339074018</x:v>
      </x:c>
      <x:c r="M1318" s="12" t="n">
        <x:v>3</x:v>
      </x:c>
      <x:c r="N1318" s="14" t="n">
        <x:v>0.5461166399809471</x:v>
      </x:c>
      <x:c r="O1318" s="14" t="n">
        <x:v>0.45388336001905294</x:v>
      </x:c>
      <x:c r="P1318" s="14" t="n">
        <x:v>0.13355368880196059</x:v>
      </x:c>
      <x:c r="Q1318" s="14" t="n">
        <x:v>0.3831865591242652</x:v>
      </x:c>
      <x:c r="R1318" s="14" t="n">
        <x:v>0.2171315975323826</x:v>
      </x:c>
      <x:c r="S1318" s="14" t="n">
        <x:v>0.5062538795497917</x:v>
      </x:c>
      <x:c r="T1318" t="str">
        <x:v>여성소비·직장밀집</x:v>
      </x:c>
      <x:c r="U1318" s="16" t="n">
        <x:v>66.44813638381271</x:v>
      </x:c>
      <x:c r="V1318" t="str">
        <x:v>스포츠 강습</x:v>
      </x:c>
      <x:c r="W1318" t="str">
        <x:v>스포츠 강습 / 커피-음료 / 한식음식점</x:v>
      </x:c>
      <x:c r="X1318" s="16" t="n">
        <x:v>55.82901353608931</x:v>
      </x:c>
    </x:row>
    <x:row r="1319">
      <x:c r="A1319" t="str">
        <x:v>3110893</x:v>
      </x:c>
      <x:c r="B1319" t="str">
        <x:v>관악소방서(문영여고)</x:v>
      </x:c>
      <x:c r="C1319" t="str">
        <x:v>골목상권</x:v>
      </x:c>
      <x:c r="D1319" t="str">
        <x:v>관악구</x:v>
      </x:c>
      <x:c r="E1319" t="str">
        <x:v>청룡동</x:v>
      </x:c>
      <x:c r="F1319" s="12" t="n">
        <x:v>16048</x:v>
      </x:c>
      <x:c r="G1319" s="12" t="n">
        <x:v>551582410</x:v>
      </x:c>
      <x:c r="H1319" s="12" t="n">
        <x:v>31282</x:v>
      </x:c>
      <x:c r="I1319" s="12" t="n">
        <x:v>17632.58135669075</x:v>
      </x:c>
      <x:c r="J1319" s="12" t="n">
        <x:v>34370.78826021934</x:v>
      </x:c>
      <x:c r="K1319" s="12" t="n">
        <x:v>527</x:v>
      </x:c>
      <x:c r="L1319" s="12" t="n">
        <x:v>328.38983050847463</x:v>
      </x:c>
      <x:c r="M1319" s="12" t="n">
        <x:v>2</x:v>
      </x:c>
      <x:c r="N1319" s="14" t="n">
        <x:v>0.6849575569315199</x:v>
      </x:c>
      <x:c r="O1319" s="14" t="n">
        <x:v>0.31504244306848</x:v>
      </x:c>
      <x:c r="P1319" s="14" t="n">
        <x:v>0.23981155961808137</x:v>
      </x:c>
      <x:c r="Q1319" s="14" t="n">
        <x:v>0.4732618322618374</x:v>
      </x:c>
      <x:c r="R1319" s="14" t="n">
        <x:v>0.18861547633471487</x:v>
      </x:c>
      <x:c r="S1319" s="14" t="n">
        <x:v>0.25944463856271266</x:v>
      </x:c>
      <x:c r="T1319" t="str">
        <x:v>직장밀집</x:v>
      </x:c>
      <x:c r="U1319" s="16" t="n">
        <x:v>46.6092113280731</x:v>
      </x:c>
      <x:c r="V1319" t="str">
        <x:v>한식음식점</x:v>
      </x:c>
      <x:c r="W1319" t="str">
        <x:v>한식음식점 / 커피-음료</x:v>
      </x:c>
      <x:c r="X1319" s="16" t="n">
        <x:v>34.126614331342644</x:v>
      </x:c>
    </x:row>
    <x:row r="1320">
      <x:c r="A1320" t="str">
        <x:v>3110361</x:v>
      </x:c>
      <x:c r="B1320" t="str">
        <x:v>삼양사거리역 1번</x:v>
      </x:c>
      <x:c r="C1320" t="str">
        <x:v>골목상권</x:v>
      </x:c>
      <x:c r="D1320" t="str">
        <x:v>강북구</x:v>
      </x:c>
      <x:c r="E1320" t="str">
        <x:v>송천동</x:v>
      </x:c>
      <x:c r="F1320" s="12" t="n">
        <x:v>74852</x:v>
      </x:c>
      <x:c r="G1320" s="12" t="n">
        <x:v>550428790</x:v>
      </x:c>
      <x:c r="H1320" s="12" t="n">
        <x:v>50540</x:v>
      </x:c>
      <x:c r="I1320" s="12" t="n">
        <x:v>10890.953502176493</x:v>
      </x:c>
      <x:c r="J1320" s="12" t="n">
        <x:v>7353.561561481323</x:v>
      </x:c>
      <x:c r="K1320" s="12" t="n">
        <x:v>40</x:v>
      </x:c>
      <x:c r="L1320" s="12" t="n">
        <x:v>5.3438785870785015</x:v>
      </x:c>
      <x:c r="M1320" s="12" t="n">
        <x:v>6</x:v>
      </x:c>
      <x:c r="N1320" s="14" t="n">
        <x:v>0.7666782273507169</x:v>
      </x:c>
      <x:c r="O1320" s="14" t="n">
        <x:v>0.2333217726492831</x:v>
      </x:c>
      <x:c r="P1320" s="14" t="n">
        <x:v>0.38923318673065777</x:v>
      </x:c>
      <x:c r="Q1320" s="14" t="n">
        <x:v>0.15082329178312057</x:v>
      </x:c>
      <x:c r="R1320" s="14" t="n">
        <x:v>0.27733489739880796</x:v>
      </x:c>
      <x:c r="S1320" s="14" t="n">
        <x:v>0.4894077143021534</x:v>
      </x:c>
      <x:c r="T1320" t="str">
        <x:v>여성소비·2030소비</x:v>
      </x:c>
      <x:c r="U1320" s="16" t="n">
        <x:v>47.98347842964815</x:v>
      </x:c>
      <x:c r="V1320" t="str">
        <x:v>슈퍼마켓</x:v>
      </x:c>
      <x:c r="W1320" t="str">
        <x:v>슈퍼마켓 / 일반의원 / 편의점</x:v>
      </x:c>
      <x:c r="X1320" s="16" t="n">
        <x:v>29.673301993206195</x:v>
      </x:c>
    </x:row>
    <x:row r="1321">
      <x:c r="A1321" t="str">
        <x:v>3110575</x:v>
      </x:c>
      <x:c r="B1321" t="str">
        <x:v>대흥동주민센터</x:v>
      </x:c>
      <x:c r="C1321" t="str">
        <x:v>골목상권</x:v>
      </x:c>
      <x:c r="D1321" t="str">
        <x:v>마포구</x:v>
      </x:c>
      <x:c r="E1321" t="str">
        <x:v>대흥동</x:v>
      </x:c>
      <x:c r="F1321" s="12" t="n">
        <x:v>71531</x:v>
      </x:c>
      <x:c r="G1321" s="12" t="n">
        <x:v>545652197</x:v>
      </x:c>
      <x:c r="H1321" s="12" t="n">
        <x:v>43488</x:v>
      </x:c>
      <x:c r="I1321" s="12" t="n">
        <x:v>12547.189960448859</x:v>
      </x:c>
      <x:c r="J1321" s="12" t="n">
        <x:v>7628.191930771274</x:v>
      </x:c>
      <x:c r="K1321" s="12" t="n">
        <x:v>411</x:v>
      </x:c>
      <x:c r="L1321" s="12" t="n">
        <x:v>57.457605793292416</x:v>
      </x:c>
      <x:c r="M1321" s="12" t="n">
        <x:v>5</x:v>
      </x:c>
      <x:c r="N1321" s="14" t="n">
        <x:v>0.8068851155015142</x:v>
      </x:c>
      <x:c r="O1321" s="14" t="n">
        <x:v>0.19311488449848577</x:v>
      </x:c>
      <x:c r="P1321" s="14" t="n">
        <x:v>0.3820635070218548</x:v>
      </x:c>
      <x:c r="Q1321" s="14" t="n">
        <x:v>0.3344615636176024</x:v>
      </x:c>
      <x:c r="R1321" s="14" t="n">
        <x:v>0.45532247165129625</x:v>
      </x:c>
      <x:c r="S1321" s="14" t="n">
        <x:v>0.4303874817899799</x:v>
      </x:c>
      <x:c r="T1321" t="str">
        <x:v>2030소비·평일집중</x:v>
      </x:c>
      <x:c r="U1321" s="16" t="n">
        <x:v>50.44967127599923</x:v>
      </x:c>
      <x:c r="V1321" t="str">
        <x:v>미용실</x:v>
      </x:c>
      <x:c r="W1321" t="str">
        <x:v>미용실 / 슈퍼마켓 / 세탁소</x:v>
      </x:c>
      <x:c r="X1321" s="16" t="n">
        <x:v>42.857752192084604</x:v>
      </x:c>
    </x:row>
    <x:row r="1322">
      <x:c r="A1322" t="str">
        <x:v>3110969</x:v>
      </x:c>
      <x:c r="B1322" t="str">
        <x:v>베르사이유1아파트</x:v>
      </x:c>
      <x:c r="C1322" t="str">
        <x:v>골목상권</x:v>
      </x:c>
      <x:c r="D1322" t="str">
        <x:v>강남구</x:v>
      </x:c>
      <x:c r="E1322" t="str">
        <x:v>역삼2동</x:v>
      </x:c>
      <x:c r="F1322" s="12" t="n">
        <x:v>55302</x:v>
      </x:c>
      <x:c r="G1322" s="12" t="n">
        <x:v>544598614</x:v>
      </x:c>
      <x:c r="H1322" s="12" t="n">
        <x:v>10090</x:v>
      </x:c>
      <x:c r="I1322" s="12" t="n">
        <x:v>53974.09454905847</x:v>
      </x:c>
      <x:c r="J1322" s="12" t="n">
        <x:v>9847.720046291273</x:v>
      </x:c>
      <x:c r="K1322" s="12" t="n">
        <x:v>1707</x:v>
      </x:c>
      <x:c r="L1322" s="12" t="n">
        <x:v>308.66876423999133</x:v>
      </x:c>
      <x:c r="M1322" s="12" t="n">
        <x:v>4</x:v>
      </x:c>
      <x:c r="N1322" s="14" t="n">
        <x:v>0.9269961564757122</x:v>
      </x:c>
      <x:c r="O1322" s="14" t="n">
        <x:v>0.07300384352428778</x:v>
      </x:c>
      <x:c r="P1322" s="14" t="n">
        <x:v>0.5028000971005042</x:v>
      </x:c>
      <x:c r="Q1322" s="14" t="n">
        <x:v>0.28622039607320776</x:v>
      </x:c>
      <x:c r="R1322" s="14" t="n">
        <x:v>0.35666173950270097</x:v>
      </x:c>
      <x:c r="S1322" s="14" t="n">
        <x:v>0.22773972575699578</x:v>
      </x:c>
      <x:c r="T1322" t="str">
        <x:v>평일집중·직장밀집</x:v>
      </x:c>
      <x:c r="U1322" s="16" t="n">
        <x:v>49.25760730904326</x:v>
      </x:c>
      <x:c r="V1322" t="str">
        <x:v>스포츠클럽</x:v>
      </x:c>
      <x:c r="W1322" t="str">
        <x:v>스포츠클럽 / 한식음식점 / 일반의원</x:v>
      </x:c>
      <x:c r="X1322" s="16" t="n">
        <x:v>33.84803145365615</x:v>
      </x:c>
    </x:row>
    <x:row r="1323">
      <x:c r="A1323" t="str">
        <x:v>3130264</x:v>
      </x:c>
      <x:c r="B1323" t="str">
        <x:v>상도약수골목형상점가</x:v>
      </x:c>
      <x:c r="C1323" t="str">
        <x:v>전통시장</x:v>
      </x:c>
      <x:c r="D1323" t="str">
        <x:v>동작구</x:v>
      </x:c>
      <x:c r="E1323" t="str">
        <x:v>상도4동</x:v>
      </x:c>
      <x:c r="F1323" s="12" t="n">
        <x:v>15512</x:v>
      </x:c>
      <x:c r="G1323" s="12" t="n">
        <x:v>541599345</x:v>
      </x:c>
      <x:c r="H1323" s="12" t="n">
        <x:v>16184</x:v>
      </x:c>
      <x:c r="I1323" s="12" t="n">
        <x:v>33465.11029411765</x:v>
      </x:c>
      <x:c r="J1323" s="12" t="n">
        <x:v>34914.86236462094</x:v>
      </x:c>
      <x:c r="K1323" s="12" t="n">
        <x:v>134</x:v>
      </x:c>
      <x:c r="L1323" s="12" t="n">
        <x:v>86.38473439917483</x:v>
      </x:c>
      <x:c r="M1323" s="12" t="n">
        <x:v>5</x:v>
      </x:c>
      <x:c r="N1323" s="14" t="n">
        <x:v>0.766922458150314</x:v>
      </x:c>
      <x:c r="O1323" s="14" t="n">
        <x:v>0.23307754184968596</x:v>
      </x:c>
      <x:c r="P1323" s="14" t="n">
        <x:v>0.42107035598427467</x:v>
      </x:c>
      <x:c r="Q1323" s="14" t="n">
        <x:v>0.20553974082077223</x:v>
      </x:c>
      <x:c r="R1323" s="14" t="n">
        <x:v>0.09180364684525237</x:v>
      </x:c>
      <x:c r="S1323" s="14" t="n">
        <x:v>0.48834033948102357</x:v>
      </x:c>
      <x:c r="T1323" t="str">
        <x:v>여성소비·야간활성</x:v>
      </x:c>
      <x:c r="U1323" s="16" t="n">
        <x:v>54.48413186955595</x:v>
      </x:c>
      <x:c r="V1323" t="str">
        <x:v>일반교습학원</x:v>
      </x:c>
      <x:c r="W1323" t="str">
        <x:v>일반교습학원 / 미용실 / 청과상</x:v>
      </x:c>
      <x:c r="X1323" s="16" t="n">
        <x:v>50.780579367090624</x:v>
      </x:c>
    </x:row>
    <x:row r="1324">
      <x:c r="A1324" t="str">
        <x:v>3110733</x:v>
      </x:c>
      <x:c r="B1324" t="str">
        <x:v>금천어울림복지센터</x:v>
      </x:c>
      <x:c r="C1324" t="str">
        <x:v>골목상권</x:v>
      </x:c>
      <x:c r="D1324" t="str">
        <x:v>금천구</x:v>
      </x:c>
      <x:c r="E1324" t="str">
        <x:v>시흥1동</x:v>
      </x:c>
      <x:c r="F1324" s="12" t="n">
        <x:v>36821</x:v>
      </x:c>
      <x:c r="G1324" s="12" t="n">
        <x:v>527137724</x:v>
      </x:c>
      <x:c r="H1324" s="12" t="n">
        <x:v>10149</x:v>
      </x:c>
      <x:c r="I1324" s="12" t="n">
        <x:v>51939.86836141492</x:v>
      </x:c>
      <x:c r="J1324" s="12" t="n">
        <x:v>14316.22508894381</x:v>
      </x:c>
      <x:c r="K1324" s="12" t="n">
        <x:v>392</x:v>
      </x:c>
      <x:c r="L1324" s="12" t="n">
        <x:v>106.46098693680236</x:v>
      </x:c>
      <x:c r="M1324" s="12" t="n">
        <x:v>2</x:v>
      </x:c>
      <x:c r="N1324" s="14" t="n">
        <x:v>0.5893373702087767</x:v>
      </x:c>
      <x:c r="O1324" s="14" t="n">
        <x:v>0.4106626297912232</x:v>
      </x:c>
      <x:c r="P1324" s="14" t="n">
        <x:v>0.5619354459253233</x:v>
      </x:c>
      <x:c r="Q1324" s="14" t="n">
        <x:v>0.25588677466763887</x:v>
      </x:c>
      <x:c r="R1324" s="14" t="n">
        <x:v>0.16111724153515525</x:v>
      </x:c>
      <x:c r="S1324" s="14" t="n">
        <x:v>0.3859148088593257</x:v>
      </x:c>
      <x:c r="T1324" t="str">
        <x:v>야간활성·직장밀집</x:v>
      </x:c>
      <x:c r="U1324" s="16" t="n">
        <x:v>50.372817305633795</x:v>
      </x:c>
      <x:c r="V1324" t="str">
        <x:v>한식음식점</x:v>
      </x:c>
      <x:c r="W1324" t="str">
        <x:v>한식음식점 / 골프연습장</x:v>
      </x:c>
      <x:c r="X1324" s="16" t="n">
        <x:v>46.96892725602912</x:v>
      </x:c>
    </x:row>
    <x:row r="1325">
      <x:c r="A1325" t="str">
        <x:v>3111069</x:v>
      </x:c>
      <x:c r="B1325" t="str">
        <x:v>천호1동주민센터</x:v>
      </x:c>
      <x:c r="C1325" t="str">
        <x:v>골목상권</x:v>
      </x:c>
      <x:c r="D1325" t="str">
        <x:v>강동구</x:v>
      </x:c>
      <x:c r="E1325" t="str">
        <x:v>천호1동</x:v>
      </x:c>
      <x:c r="F1325" s="12" t="n">
        <x:v>110491</x:v>
      </x:c>
      <x:c r="G1325" s="12" t="n">
        <x:v>523485136</x:v>
      </x:c>
      <x:c r="H1325" s="12" t="n">
        <x:v>54643</x:v>
      </x:c>
      <x:c r="I1325" s="12" t="n">
        <x:v>9580.095089947477</x:v>
      </x:c>
      <x:c r="J1325" s="12" t="n">
        <x:v>4737.807930057652</x:v>
      </x:c>
      <x:c r="K1325" s="12" t="n">
        <x:v>259</x:v>
      </x:c>
      <x:c r="L1325" s="12" t="n">
        <x:v>23.440823234471587</x:v>
      </x:c>
      <x:c r="M1325" s="12" t="n">
        <x:v>8</x:v>
      </x:c>
      <x:c r="N1325" s="14" t="n">
        <x:v>0.6971232245264745</x:v>
      </x:c>
      <x:c r="O1325" s="14" t="n">
        <x:v>0.3028767754735256</x:v>
      </x:c>
      <x:c r="P1325" s="14" t="n">
        <x:v>0.4741924744927237</x:v>
      </x:c>
      <x:c r="Q1325" s="14" t="n">
        <x:v>0.13310579653211013</x:v>
      </x:c>
      <x:c r="R1325" s="14" t="n">
        <x:v>0.3410928691583709</x:v>
      </x:c>
      <x:c r="S1325" s="14" t="n">
        <x:v>0.3296313288253518</x:v>
      </x:c>
      <x:c r="T1325" t="str">
        <x:v>2030소비·야간활성</x:v>
      </x:c>
      <x:c r="U1325" s="16" t="n">
        <x:v>51.39019083762056</x:v>
      </x:c>
      <x:c r="V1325" t="str">
        <x:v>세탁소</x:v>
      </x:c>
      <x:c r="W1325" t="str">
        <x:v>세탁소 / 편의점 / 자동차수리</x:v>
      </x:c>
      <x:c r="X1325" s="16" t="n">
        <x:v>43.22806497408423</x:v>
      </x:c>
    </x:row>
    <x:row r="1326">
      <x:c r="A1326" t="str">
        <x:v>3130226</x:v>
      </x:c>
      <x:c r="B1326" t="str">
        <x:v>고척프라자</x:v>
      </x:c>
      <x:c r="C1326" t="str">
        <x:v>전통시장</x:v>
      </x:c>
      <x:c r="D1326" t="str">
        <x:v>구로구</x:v>
      </x:c>
      <x:c r="E1326" t="str">
        <x:v>고척1동</x:v>
      </x:c>
      <x:c r="F1326" s="12" t="n">
        <x:v>6013</x:v>
      </x:c>
      <x:c r="G1326" s="12" t="n">
        <x:v>513360114</x:v>
      </x:c>
      <x:c r="H1326" s="12" t="n">
        <x:v>25103</x:v>
      </x:c>
      <x:c r="I1326" s="12" t="n">
        <x:v>20450.14994223798</x:v>
      </x:c>
      <x:c r="J1326" s="12" t="n">
        <x:v>85375.03974721437</x:v>
      </x:c>
      <x:c r="K1326" s="12" t="n">
        <x:v>212</x:v>
      </x:c>
      <x:c r="L1326" s="12" t="n">
        <x:v>352.5694328953933</x:v>
      </x:c>
      <x:c r="M1326" s="12" t="n">
        <x:v>3</x:v>
      </x:c>
      <x:c r="N1326" s="14" t="n">
        <x:v>0.6728788750424813</x:v>
      </x:c>
      <x:c r="O1326" s="14" t="n">
        <x:v>0.3271211249575186</x:v>
      </x:c>
      <x:c r="P1326" s="14" t="n">
        <x:v>0.26350752290817825</x:v>
      </x:c>
      <x:c r="Q1326" s="14" t="n">
        <x:v>0.2171463928730544</x:v>
      </x:c>
      <x:c r="R1326" s="14" t="n">
        <x:v>0.09984377750079743</x:v>
      </x:c>
      <x:c r="S1326" s="14" t="n">
        <x:v>0.6065051150428878</x:v>
      </x:c>
      <x:c r="T1326" t="str">
        <x:v>여성소비·직장밀집</x:v>
      </x:c>
      <x:c r="U1326" s="16" t="n">
        <x:v>66.23977049272871</x:v>
      </x:c>
      <x:c r="V1326" t="str">
        <x:v>육류판매</x:v>
      </x:c>
      <x:c r="W1326" t="str">
        <x:v>육류판매 / 미용실 / 일반의류</x:v>
      </x:c>
      <x:c r="X1326" s="16" t="n">
        <x:v>47.85260546581973</x:v>
      </x:c>
    </x:row>
    <x:row r="1327">
      <x:c r="A1327" t="str">
        <x:v>3110802</x:v>
      </x:c>
      <x:c r="B1327" t="str">
        <x:v>신길동홍어거리</x:v>
      </x:c>
      <x:c r="C1327" t="str">
        <x:v>골목상권</x:v>
      </x:c>
      <x:c r="D1327" t="str">
        <x:v>영등포구</x:v>
      </x:c>
      <x:c r="E1327" t="str">
        <x:v>신길4동</x:v>
      </x:c>
      <x:c r="F1327" s="12" t="n">
        <x:v>44973</x:v>
      </x:c>
      <x:c r="G1327" s="12" t="n">
        <x:v>509809365</x:v>
      </x:c>
      <x:c r="H1327" s="12" t="n">
        <x:v>25606</x:v>
      </x:c>
      <x:c r="I1327" s="12" t="n">
        <x:v>19909.761969850817</x:v>
      </x:c>
      <x:c r="J1327" s="12" t="n">
        <x:v>11335.898539123475</x:v>
      </x:c>
      <x:c r="K1327" s="12" t="n">
        <x:v>475</x:v>
      </x:c>
      <x:c r="L1327" s="12" t="n">
        <x:v>105.61892691170257</x:v>
      </x:c>
      <x:c r="M1327" s="12" t="n">
        <x:v>5</x:v>
      </x:c>
      <x:c r="N1327" s="14" t="n">
        <x:v>0.6500524151807215</x:v>
      </x:c>
      <x:c r="O1327" s="14" t="n">
        <x:v>0.34994758481927846</x:v>
      </x:c>
      <x:c r="P1327" s="14" t="n">
        <x:v>0.5312304629790392</x:v>
      </x:c>
      <x:c r="Q1327" s="14" t="n">
        <x:v>0.12350466531739761</x:v>
      </x:c>
      <x:c r="R1327" s="14" t="n">
        <x:v>0.1822440884348996</x:v>
      </x:c>
      <x:c r="S1327" s="14" t="n">
        <x:v>0.27070187500380655</x:v>
      </x:c>
      <x:c r="T1327" t="str">
        <x:v>야간활성·직장밀집</x:v>
      </x:c>
      <x:c r="U1327" s="16" t="n">
        <x:v>47.81030557794463</x:v>
      </x:c>
      <x:c r="V1327" t="str">
        <x:v>슈퍼마켓</x:v>
      </x:c>
      <x:c r="W1327" t="str">
        <x:v>슈퍼마켓 / 중식음식점 / 호프-간이주점</x:v>
      </x:c>
      <x:c r="X1327" s="16" t="n">
        <x:v>39.66096047309564</x:v>
      </x:c>
    </x:row>
    <x:row r="1328">
      <x:c r="A1328" t="str">
        <x:v>3110851</x:v>
      </x:c>
      <x:c r="B1328" t="str">
        <x:v>경문고등학교(동작동성당)</x:v>
      </x:c>
      <x:c r="C1328" t="str">
        <x:v>골목상권</x:v>
      </x:c>
      <x:c r="D1328" t="str">
        <x:v>동작구</x:v>
      </x:c>
      <x:c r="E1328" t="str">
        <x:v>사당2동</x:v>
      </x:c>
      <x:c r="F1328" s="12" t="n">
        <x:v>115412</x:v>
      </x:c>
      <x:c r="G1328" s="12" t="n">
        <x:v>502407122</x:v>
      </x:c>
      <x:c r="H1328" s="12" t="n">
        <x:v>58615</x:v>
      </x:c>
      <x:c r="I1328" s="12" t="n">
        <x:v>8571.306355028577</x:v>
      </x:c>
      <x:c r="J1328" s="12" t="n">
        <x:v>4353.161906907428</x:v>
      </x:c>
      <x:c r="K1328" s="12" t="n">
        <x:v>129</x:v>
      </x:c>
      <x:c r="L1328" s="12" t="n">
        <x:v>11.177347242921014</x:v>
      </x:c>
      <x:c r="M1328" s="12" t="n">
        <x:v>4</x:v>
      </x:c>
      <x:c r="N1328" s="14" t="n">
        <x:v>0.7097455238701811</x:v>
      </x:c>
      <x:c r="O1328" s="14" t="n">
        <x:v>0.29025447612981886</x:v>
      </x:c>
      <x:c r="P1328" s="14" t="n">
        <x:v>0.4888830019412026</x:v>
      </x:c>
      <x:c r="Q1328" s="14" t="n">
        <x:v>0.1403207874907474</x:v>
      </x:c>
      <x:c r="R1328" s="14" t="n">
        <x:v>0.27734371369042815</x:v>
      </x:c>
      <x:c r="S1328" s="14" t="n">
        <x:v>0.28980751590539755</x:v>
      </x:c>
      <x:c r="T1328" t="str">
        <x:v>야간활성·2030소비</x:v>
      </x:c>
      <x:c r="U1328" s="16" t="n">
        <x:v>50.94411411411658</x:v>
      </x:c>
      <x:c r="V1328" t="str">
        <x:v>슈퍼마켓</x:v>
      </x:c>
      <x:c r="W1328" t="str">
        <x:v>슈퍼마켓 / 미용실 / 화초</x:v>
      </x:c>
      <x:c r="X1328" s="16" t="n">
        <x:v>38.74323293525387</x:v>
      </x:c>
    </x:row>
    <x:row r="1329">
      <x:c r="A1329" t="str">
        <x:v>3110184</x:v>
      </x:c>
      <x:c r="B1329" t="str">
        <x:v>용두사거리</x:v>
      </x:c>
      <x:c r="C1329" t="str">
        <x:v>골목상권</x:v>
      </x:c>
      <x:c r="D1329" t="str">
        <x:v>동대문구</x:v>
      </x:c>
      <x:c r="E1329" t="str">
        <x:v>용신동</x:v>
      </x:c>
      <x:c r="F1329" s="12" t="n">
        <x:v>24379</x:v>
      </x:c>
      <x:c r="G1329" s="12" t="n">
        <x:v>498808013</x:v>
      </x:c>
      <x:c r="H1329" s="12" t="n">
        <x:v>14002</x:v>
      </x:c>
      <x:c r="I1329" s="12" t="n">
        <x:v>35624.05463505213</x:v>
      </x:c>
      <x:c r="J1329" s="12" t="n">
        <x:v>20460.560851552567</x:v>
      </x:c>
      <x:c r="K1329" s="12" t="n">
        <x:v>367</x:v>
      </x:c>
      <x:c r="L1329" s="12" t="n">
        <x:v>150.53939866278355</x:v>
      </x:c>
      <x:c r="M1329" s="12" t="n">
        <x:v>3</x:v>
      </x:c>
      <x:c r="N1329" s="14" t="n">
        <x:v>0.6925945854843354</x:v>
      </x:c>
      <x:c r="O1329" s="14" t="n">
        <x:v>0.30740541451566455</x:v>
      </x:c>
      <x:c r="P1329" s="14" t="n">
        <x:v>0.5053937756208419</x:v>
      </x:c>
      <x:c r="Q1329" s="14" t="n">
        <x:v>0.3136622426312145</x:v>
      </x:c>
      <x:c r="R1329" s="14" t="n">
        <x:v>0.16484150586410087</x:v>
      </x:c>
      <x:c r="S1329" s="14" t="n">
        <x:v>0.3933364017550376</x:v>
      </x:c>
      <x:c r="T1329" t="str">
        <x:v>야간활성·직장밀집</x:v>
      </x:c>
      <x:c r="U1329" s="16" t="n">
        <x:v>41.07896531106775</x:v>
      </x:c>
      <x:c r="V1329" t="str">
        <x:v>당구장</x:v>
      </x:c>
      <x:c r="W1329" t="str">
        <x:v>당구장 / 의약품 / 한식음식점</x:v>
      </x:c>
      <x:c r="X1329" s="16" t="n">
        <x:v>36.39541831828646</x:v>
      </x:c>
    </x:row>
    <x:row r="1330">
      <x:c r="A1330" t="str">
        <x:v>3110193</x:v>
      </x:c>
      <x:c r="B1330" t="str">
        <x:v>고려대역 4번</x:v>
      </x:c>
      <x:c r="C1330" t="str">
        <x:v>골목상권</x:v>
      </x:c>
      <x:c r="D1330" t="str">
        <x:v>동대문구</x:v>
      </x:c>
      <x:c r="E1330" t="str">
        <x:v>제기동</x:v>
      </x:c>
      <x:c r="F1330" s="12" t="n">
        <x:v>67780</x:v>
      </x:c>
      <x:c r="G1330" s="12" t="n">
        <x:v>498311028</x:v>
      </x:c>
      <x:c r="H1330" s="12" t="n">
        <x:v>34893</x:v>
      </x:c>
      <x:c r="I1330" s="12" t="n">
        <x:v>14281.117358782563</x:v>
      </x:c>
      <x:c r="J1330" s="12" t="n">
        <x:v>7351.888875774564</x:v>
      </x:c>
      <x:c r="K1330" s="12" t="n">
        <x:v>124</x:v>
      </x:c>
      <x:c r="L1330" s="12" t="n">
        <x:v>18.294482148126292</x:v>
      </x:c>
      <x:c r="M1330" s="12" t="n">
        <x:v>4</x:v>
      </x:c>
      <x:c r="N1330" s="14" t="n">
        <x:v>0.7832394489973038</x:v>
      </x:c>
      <x:c r="O1330" s="14" t="n">
        <x:v>0.21676055100269626</x:v>
      </x:c>
      <x:c r="P1330" s="14" t="n">
        <x:v>0.49542735586417724</x:v>
      </x:c>
      <x:c r="Q1330" s="14" t="n">
        <x:v>0.23077191259752733</x:v>
      </x:c>
      <x:c r="R1330" s="14" t="n">
        <x:v>0.3299494106319477</x:v>
      </x:c>
      <x:c r="S1330" s="14" t="n">
        <x:v>0.29975352662674765</x:v>
      </x:c>
      <x:c r="T1330" t="str">
        <x:v>2030소비·야간활성</x:v>
      </x:c>
      <x:c r="U1330" s="16" t="n">
        <x:v>43.09415567855708</x:v>
      </x:c>
      <x:c r="V1330" t="str">
        <x:v>자동차수리</x:v>
      </x:c>
      <x:c r="W1330" t="str">
        <x:v>자동차수리 / 한식음식점 / 편의점</x:v>
      </x:c>
      <x:c r="X1330" s="16" t="n">
        <x:v>29.38491259399369</x:v>
      </x:c>
    </x:row>
    <x:row r="1331">
      <x:c r="A1331" t="str">
        <x:v>3110412</x:v>
      </x:c>
      <x:c r="B1331" t="str">
        <x:v>창동중학교</x:v>
      </x:c>
      <x:c r="C1331" t="str">
        <x:v>골목상권</x:v>
      </x:c>
      <x:c r="D1331" t="str">
        <x:v>도봉구</x:v>
      </x:c>
      <x:c r="E1331" t="str">
        <x:v>창4동</x:v>
      </x:c>
      <x:c r="F1331" s="12" t="n">
        <x:v>21146</x:v>
      </x:c>
      <x:c r="G1331" s="12" t="n">
        <x:v>498055721</x:v>
      </x:c>
      <x:c r="H1331" s="12" t="n">
        <x:v>13734</x:v>
      </x:c>
      <x:c r="I1331" s="12" t="n">
        <x:v>36264.43286733654</x:v>
      </x:c>
      <x:c r="J1331" s="12" t="n">
        <x:v>23553.188357136103</x:v>
      </x:c>
      <x:c r="K1331" s="12" t="n">
        <x:v>124</x:v>
      </x:c>
      <x:c r="L1331" s="12" t="n">
        <x:v>58.63993190201457</x:v>
      </x:c>
      <x:c r="M1331" s="12" t="n">
        <x:v>1</x:v>
      </x:c>
      <x:c r="N1331" s="14" t="n">
        <x:v>0.7823620763107347</x:v>
      </x:c>
      <x:c r="O1331" s="14" t="n">
        <x:v>0.2176379236892653</x:v>
      </x:c>
      <x:c r="P1331" s="14" t="n">
        <x:v>0.44236293392561993</x:v>
      </x:c>
      <x:c r="Q1331" s="14" t="n">
        <x:v>0.40507197788016175</x:v>
      </x:c>
      <x:c r="R1331" s="14" t="n">
        <x:v>0.11906044343982146</x:v>
      </x:c>
      <x:c r="S1331" s="14" t="n">
        <x:v>0.2601885221593509</x:v>
      </x:c>
      <x:c r="T1331" t="str">
        <x:v>야간활성·평일집중</x:v>
      </x:c>
      <x:c r="U1331" s="16" t="n">
        <x:v>50.23910877766929</x:v>
      </x:c>
      <x:c r="V1331" t="str">
        <x:v>한식음식점</x:v>
      </x:c>
      <x:c r="W1331" t="str">
        <x:v>한식음식점</x:v>
      </x:c>
      <x:c r="X1331" s="16" t="n">
        <x:v>50.23910877766929</x:v>
      </x:c>
    </x:row>
    <x:row r="1332">
      <x:c r="A1332" t="str">
        <x:v>3110607</x:v>
      </x:c>
      <x:c r="B1332" t="str">
        <x:v>금빛새마을금고본점</x:v>
      </x:c>
      <x:c r="C1332" t="str">
        <x:v>골목상권</x:v>
      </x:c>
      <x:c r="D1332" t="str">
        <x:v>양천구</x:v>
      </x:c>
      <x:c r="E1332" t="str">
        <x:v>신월2동</x:v>
      </x:c>
      <x:c r="F1332" s="12" t="n">
        <x:v>36823</x:v>
      </x:c>
      <x:c r="G1332" s="12" t="n">
        <x:v>494402401</x:v>
      </x:c>
      <x:c r="H1332" s="12" t="n">
        <x:v>44572</x:v>
      </x:c>
      <x:c r="I1332" s="12" t="n">
        <x:v>11092.219352957014</x:v>
      </x:c>
      <x:c r="J1332" s="12" t="n">
        <x:v>13426.45631806208</x:v>
      </x:c>
      <x:c r="K1332" s="12" t="n">
        <x:v>145</x:v>
      </x:c>
      <x:c r="L1332" s="12" t="n">
        <x:v>39.37756293620835</x:v>
      </x:c>
      <x:c r="M1332" s="12" t="n">
        <x:v>3</x:v>
      </x:c>
      <x:c r="N1332" s="14" t="n">
        <x:v>0.7334033921894324</x:v>
      </x:c>
      <x:c r="O1332" s="14" t="n">
        <x:v>0.26659660781056765</x:v>
      </x:c>
      <x:c r="P1332" s="14" t="n">
        <x:v>0.5732147384939581</x:v>
      </x:c>
      <x:c r="Q1332" s="14" t="n">
        <x:v>0.13171863621269106</x:v>
      </x:c>
      <x:c r="R1332" s="14" t="n">
        <x:v>0.3204671572782269</x:v>
      </x:c>
      <x:c r="S1332" s="14" t="n">
        <x:v>0.4093567802070605</x:v>
      </x:c>
      <x:c r="T1332" t="str">
        <x:v>야간활성·2030소비</x:v>
      </x:c>
      <x:c r="U1332" s="16" t="n">
        <x:v>46.70361991930275</x:v>
      </x:c>
      <x:c r="V1332" t="str">
        <x:v>한식음식점</x:v>
      </x:c>
      <x:c r="W1332" t="str">
        <x:v>한식음식점 / 슈퍼마켓 / 미용실</x:v>
      </x:c>
      <x:c r="X1332" s="16" t="n">
        <x:v>42.01218884786068</x:v>
      </x:c>
    </x:row>
    <x:row r="1333">
      <x:c r="A1333" t="str">
        <x:v>3110951</x:v>
      </x:c>
      <x:c r="B1333" t="str">
        <x:v>신사은행나무공원</x:v>
      </x:c>
      <x:c r="C1333" t="str">
        <x:v>골목상권</x:v>
      </x:c>
      <x:c r="D1333" t="str">
        <x:v>강남구</x:v>
      </x:c>
      <x:c r="E1333" t="str">
        <x:v>신사동</x:v>
      </x:c>
      <x:c r="F1333" s="12" t="n">
        <x:v>29000</x:v>
      </x:c>
      <x:c r="G1333" s="12" t="n">
        <x:v>494231655</x:v>
      </x:c>
      <x:c r="H1333" s="12" t="n">
        <x:v>11769</x:v>
      </x:c>
      <x:c r="I1333" s="12" t="n">
        <x:v>41994.3627326026</x:v>
      </x:c>
      <x:c r="J1333" s="12" t="n">
        <x:v>17042.470862068967</x:v>
      </x:c>
      <x:c r="K1333" s="12" t="n">
        <x:v>590</x:v>
      </x:c>
      <x:c r="L1333" s="12" t="n">
        <x:v>203.44827586206895</x:v>
      </x:c>
      <x:c r="M1333" s="12" t="n">
        <x:v>8</x:v>
      </x:c>
      <x:c r="N1333" s="14" t="n">
        <x:v>0.7689594083163289</x:v>
      </x:c>
      <x:c r="O1333" s="14" t="n">
        <x:v>0.23104059168367108</x:v>
      </x:c>
      <x:c r="P1333" s="14" t="n">
        <x:v>0.547960498402313</x:v>
      </x:c>
      <x:c r="Q1333" s="14" t="n">
        <x:v>0.25882568569995784</x:v>
      </x:c>
      <x:c r="R1333" s="14" t="n">
        <x:v>0.4541832635143534</x:v>
      </x:c>
      <x:c r="S1333" s="14" t="n">
        <x:v>0.3222239619597009</x:v>
      </x:c>
      <x:c r="T1333" t="str">
        <x:v>2030소비·야간활성</x:v>
      </x:c>
      <x:c r="U1333" s="16" t="n">
        <x:v>49.86297466955481</x:v>
      </x:c>
      <x:c r="V1333" t="str">
        <x:v>일반의류</x:v>
      </x:c>
      <x:c r="W1333" t="str">
        <x:v>일반의류 / 한식음식점 / 일반교습학원</x:v>
      </x:c>
      <x:c r="X1333" s="16" t="n">
        <x:v>37.747823629047375</x:v>
      </x:c>
    </x:row>
    <x:row r="1334">
      <x:c r="A1334" t="str">
        <x:v>3110854</x:v>
      </x:c>
      <x:c r="B1334" t="str">
        <x:v>조원동주민센터</x:v>
      </x:c>
      <x:c r="C1334" t="str">
        <x:v>골목상권</x:v>
      </x:c>
      <x:c r="D1334" t="str">
        <x:v>관악구</x:v>
      </x:c>
      <x:c r="E1334" t="str">
        <x:v>조원동</x:v>
      </x:c>
      <x:c r="F1334" s="12" t="n">
        <x:v>47109</x:v>
      </x:c>
      <x:c r="G1334" s="12" t="n">
        <x:v>492171410</x:v>
      </x:c>
      <x:c r="H1334" s="12" t="n">
        <x:v>8011</x:v>
      </x:c>
      <x:c r="I1334" s="12" t="n">
        <x:v>61436.95044314068</x:v>
      </x:c>
      <x:c r="J1334" s="12" t="n">
        <x:v>10447.502812626037</x:v>
      </x:c>
      <x:c r="K1334" s="12" t="n">
        <x:v>136</x:v>
      </x:c>
      <x:c r="L1334" s="12" t="n">
        <x:v>28.869218196098412</x:v>
      </x:c>
      <x:c r="M1334" s="12" t="n">
        <x:v>4</x:v>
      </x:c>
      <x:c r="N1334" s="14" t="n">
        <x:v>0.7884612111052935</x:v>
      </x:c>
      <x:c r="O1334" s="14" t="n">
        <x:v>0.21153878889470643</x:v>
      </x:c>
      <x:c r="P1334" s="14" t="n">
        <x:v>0.4927799320972342</x:v>
      </x:c>
      <x:c r="Q1334" s="14" t="n">
        <x:v>0.23043121907467157</x:v>
      </x:c>
      <x:c r="R1334" s="14" t="n">
        <x:v>0.08545935043240321</x:v>
      </x:c>
      <x:c r="S1334" s="14" t="n">
        <x:v>0.2965263118392025</x:v>
      </x:c>
      <x:c r="T1334" t="str">
        <x:v>야간활성·평일집중</x:v>
      </x:c>
      <x:c r="U1334" s="16" t="n">
        <x:v>56.11140253102598</x:v>
      </x:c>
      <x:c r="V1334" t="str">
        <x:v>일반교습학원</x:v>
      </x:c>
      <x:c r="W1334" t="str">
        <x:v>일반교습학원 / 자동차수리 / 중식음식점</x:v>
      </x:c>
      <x:c r="X1334" s="16" t="n">
        <x:v>39.20547846322641</x:v>
      </x:c>
    </x:row>
    <x:row r="1335">
      <x:c r="A1335" t="str">
        <x:v>3130127</x:v>
      </x:c>
      <x:c r="B1335" t="str">
        <x:v>석관시장</x:v>
      </x:c>
      <x:c r="C1335" t="str">
        <x:v>전통시장</x:v>
      </x:c>
      <x:c r="D1335" t="str">
        <x:v>성북구</x:v>
      </x:c>
      <x:c r="E1335" t="str">
        <x:v>석관동</x:v>
      </x:c>
      <x:c r="F1335" s="12" t="n">
        <x:v>7879</x:v>
      </x:c>
      <x:c r="G1335" s="12" t="n">
        <x:v>487967883</x:v>
      </x:c>
      <x:c r="H1335" s="12" t="n">
        <x:v>38708</x:v>
      </x:c>
      <x:c r="I1335" s="12" t="n">
        <x:v>12606.383254107677</x:v>
      </x:c>
      <x:c r="J1335" s="12" t="n">
        <x:v>61932.71773067648</x:v>
      </x:c>
      <x:c r="K1335" s="12" t="n">
        <x:v>23</x:v>
      </x:c>
      <x:c r="L1335" s="12" t="n">
        <x:v>29.191521766721664</x:v>
      </x:c>
      <x:c r="M1335" s="12" t="n">
        <x:v>1</x:v>
      </x:c>
      <x:c r="N1335" s="14" t="n">
        <x:v>0.8576647922543705</x:v>
      </x:c>
      <x:c r="O1335" s="14" t="n">
        <x:v>0.14233520774562944</x:v>
      </x:c>
      <x:c r="P1335" s="14" t="n">
        <x:v>0.2859500242969884</x:v>
      </x:c>
      <x:c r="Q1335" s="14" t="n">
        <x:v>0.4691109742564758</x:v>
      </x:c>
      <x:c r="R1335" s="14" t="n">
        <x:v>0.45001853124009805</x:v>
      </x:c>
      <x:c r="S1335" s="14" t="n">
        <x:v>0.37089266590112857</x:v>
      </x:c>
      <x:c r="T1335" t="str">
        <x:v>2030소비·평일집중</x:v>
      </x:c>
      <x:c r="U1335" s="16" t="n">
        <x:v>46.13745718939269</x:v>
      </x:c>
      <x:c r="V1335" t="str">
        <x:v>한식음식점</x:v>
      </x:c>
      <x:c r="W1335" t="str">
        <x:v>한식음식점</x:v>
      </x:c>
      <x:c r="X1335" s="16" t="n">
        <x:v>46.13745718939269</x:v>
      </x:c>
    </x:row>
    <x:row r="1336">
      <x:c r="A1336" t="str">
        <x:v>3110014</x:v>
      </x:c>
      <x:c r="B1336" t="str">
        <x:v>경복고등학교</x:v>
      </x:c>
      <x:c r="C1336" t="str">
        <x:v>골목상권</x:v>
      </x:c>
      <x:c r="D1336" t="str">
        <x:v>종로구</x:v>
      </x:c>
      <x:c r="E1336" t="str">
        <x:v>청운효자동</x:v>
      </x:c>
      <x:c r="F1336" s="12" t="n">
        <x:v>63411</x:v>
      </x:c>
      <x:c r="G1336" s="12" t="n">
        <x:v>481507149</x:v>
      </x:c>
      <x:c r="H1336" s="12" t="n">
        <x:v>12774</x:v>
      </x:c>
      <x:c r="I1336" s="12" t="n">
        <x:v>37694.312588069515</x:v>
      </x:c>
      <x:c r="J1336" s="12" t="n">
        <x:v>7593.432511709325</x:v>
      </x:c>
      <x:c r="K1336" s="12" t="n">
        <x:v>509</x:v>
      </x:c>
      <x:c r="L1336" s="12" t="n">
        <x:v>80.26998470296951</x:v>
      </x:c>
      <x:c r="M1336" s="12" t="n">
        <x:v>2</x:v>
      </x:c>
      <x:c r="N1336" s="14" t="n">
        <x:v>0.7407802474808115</x:v>
      </x:c>
      <x:c r="O1336" s="14" t="n">
        <x:v>0.25921975251918844</x:v>
      </x:c>
      <x:c r="P1336" s="14" t="n">
        <x:v>0.20502747301888968</x:v>
      </x:c>
      <x:c r="Q1336" s="14" t="n">
        <x:v>0.6644585042287711</x:v>
      </x:c>
      <x:c r="R1336" s="14" t="n">
        <x:v>0.12304822290395527</x:v>
      </x:c>
      <x:c r="S1336" s="14" t="n">
        <x:v>0.23786988051552274</x:v>
      </x:c>
      <x:c r="T1336" t="str">
        <x:v>균형형</x:v>
      </x:c>
      <x:c r="U1336" s="16" t="n">
        <x:v>49.367753798208284</x:v>
      </x:c>
      <x:c r="V1336" t="str">
        <x:v>한식음식점</x:v>
      </x:c>
      <x:c r="W1336" t="str">
        <x:v>한식음식점 / 커피-음료</x:v>
      </x:c>
      <x:c r="X1336" s="16" t="n">
        <x:v>44.69685476785331</x:v>
      </x:c>
    </x:row>
    <x:row r="1337">
      <x:c r="A1337" t="str">
        <x:v>3110127</x:v>
      </x:c>
      <x:c r="B1337" t="str">
        <x:v>성수1가1동주민센터</x:v>
      </x:c>
      <x:c r="C1337" t="str">
        <x:v>골목상권</x:v>
      </x:c>
      <x:c r="D1337" t="str">
        <x:v>성동구</x:v>
      </x:c>
      <x:c r="E1337" t="str">
        <x:v>성수1가1동</x:v>
      </x:c>
      <x:c r="F1337" s="12" t="n">
        <x:v>38774</x:v>
      </x:c>
      <x:c r="G1337" s="12" t="n">
        <x:v>478703733</x:v>
      </x:c>
      <x:c r="H1337" s="12" t="n">
        <x:v>22231</x:v>
      </x:c>
      <x:c r="I1337" s="12" t="n">
        <x:v>21533.162385857588</x:v>
      </x:c>
      <x:c r="J1337" s="12" t="n">
        <x:v>12345.99816887605</x:v>
      </x:c>
      <x:c r="K1337" s="12" t="n">
        <x:v>504</x:v>
      </x:c>
      <x:c r="L1337" s="12" t="n">
        <x:v>129.9840099035436</x:v>
      </x:c>
      <x:c r="M1337" s="12" t="n">
        <x:v>4</x:v>
      </x:c>
      <x:c r="N1337" s="14" t="n">
        <x:v>0.849914838662852</x:v>
      </x:c>
      <x:c r="O1337" s="14" t="n">
        <x:v>0.15008516133714797</x:v>
      </x:c>
      <x:c r="P1337" s="14" t="n">
        <x:v>0.40144798077018545</x:v>
      </x:c>
      <x:c r="Q1337" s="14" t="n">
        <x:v>0.43999306142866446</x:v>
      </x:c>
      <x:c r="R1337" s="14" t="n">
        <x:v>0.31246764687335327</x:v>
      </x:c>
      <x:c r="S1337" s="14" t="n">
        <x:v>0.32819644838658485</x:v>
      </x:c>
      <x:c r="T1337" t="str">
        <x:v>평일집중·2030소비</x:v>
      </x:c>
      <x:c r="U1337" s="16" t="n">
        <x:v>47.85031566648506</x:v>
      </x:c>
      <x:c r="V1337" t="str">
        <x:v>미용실</x:v>
      </x:c>
      <x:c r="W1337" t="str">
        <x:v>미용실 / 커피-음료 / 예술학원</x:v>
      </x:c>
      <x:c r="X1337" s="16" t="n">
        <x:v>43.13066968910978</x:v>
      </x:c>
    </x:row>
    <x:row r="1338">
      <x:c r="A1338" t="str">
        <x:v>3111070</x:v>
      </x:c>
      <x:c r="B1338" t="str">
        <x:v>천호초등학교</x:v>
      </x:c>
      <x:c r="C1338" t="str">
        <x:v>골목상권</x:v>
      </x:c>
      <x:c r="D1338" t="str">
        <x:v>강동구</x:v>
      </x:c>
      <x:c r="E1338" t="str">
        <x:v>천호1동</x:v>
      </x:c>
      <x:c r="F1338" s="12" t="n">
        <x:v>59080</x:v>
      </x:c>
      <x:c r="G1338" s="12" t="n">
        <x:v>468631943</x:v>
      </x:c>
      <x:c r="H1338" s="12" t="n">
        <x:v>38774</x:v>
      </x:c>
      <x:c r="I1338" s="12" t="n">
        <x:v>12086.24188889462</x:v>
      </x:c>
      <x:c r="J1338" s="12" t="n">
        <x:v>7932.158818551117</x:v>
      </x:c>
      <x:c r="K1338" s="12" t="n">
        <x:v>111</x:v>
      </x:c>
      <x:c r="L1338" s="12" t="n">
        <x:v>18.788083953960733</x:v>
      </x:c>
      <x:c r="M1338" s="12" t="n">
        <x:v>4</x:v>
      </x:c>
      <x:c r="N1338" s="14" t="n">
        <x:v>0.6784607659576463</x:v>
      </x:c>
      <x:c r="O1338" s="14" t="n">
        <x:v>0.3215392340423538</x:v>
      </x:c>
      <x:c r="P1338" s="14" t="n">
        <x:v>0.601376155018097</x:v>
      </x:c>
      <x:c r="Q1338" s="14" t="n">
        <x:v>0.14976107166472005</x:v>
      </x:c>
      <x:c r="R1338" s="14" t="n">
        <x:v>0.27476101858468494</x:v>
      </x:c>
      <x:c r="S1338" s="14" t="n">
        <x:v>0.2943379683360594</x:v>
      </x:c>
      <x:c r="T1338" t="str">
        <x:v>야간활성·2030소비</x:v>
      </x:c>
      <x:c r="U1338" s="16" t="n">
        <x:v>37.815465365087405</x:v>
      </x:c>
      <x:c r="V1338" t="str">
        <x:v>슈퍼마켓</x:v>
      </x:c>
      <x:c r="W1338" t="str">
        <x:v>슈퍼마켓 / 한식음식점 / 편의점</x:v>
      </x:c>
      <x:c r="X1338" s="16" t="n">
        <x:v>33.647728953205196</x:v>
      </x:c>
    </x:row>
    <x:row r="1339">
      <x:c r="A1339" t="str">
        <x:v>3110965</x:v>
      </x:c>
      <x:c r="B1339" t="str">
        <x:v>언주역 6번</x:v>
      </x:c>
      <x:c r="C1339" t="str">
        <x:v>골목상권</x:v>
      </x:c>
      <x:c r="D1339" t="str">
        <x:v>강남구</x:v>
      </x:c>
      <x:c r="E1339" t="str">
        <x:v>역삼1동</x:v>
      </x:c>
      <x:c r="F1339" s="12" t="n">
        <x:v>65108</x:v>
      </x:c>
      <x:c r="G1339" s="12" t="n">
        <x:v>464176096</x:v>
      </x:c>
      <x:c r="H1339" s="12" t="n">
        <x:v>16805</x:v>
      </x:c>
      <x:c r="I1339" s="12" t="n">
        <x:v>27621.308896161856</x:v>
      </x:c>
      <x:c r="J1339" s="12" t="n">
        <x:v>7129.325059900473</x:v>
      </x:c>
      <x:c r="K1339" s="12" t="n">
        <x:v>1342</x:v>
      </x:c>
      <x:c r="L1339" s="12" t="n">
        <x:v>206.11906370952877</x:v>
      </x:c>
      <x:c r="M1339" s="12" t="n">
        <x:v>8</x:v>
      </x:c>
      <x:c r="N1339" s="14" t="n">
        <x:v>0.8316374115913112</x:v>
      </x:c>
      <x:c r="O1339" s="14" t="n">
        <x:v>0.16836258840868876</x:v>
      </x:c>
      <x:c r="P1339" s="14" t="n">
        <x:v>0.43778646455762343</x:v>
      </x:c>
      <x:c r="Q1339" s="14" t="n">
        <x:v>0.255682100010596</x:v>
      </x:c>
      <x:c r="R1339" s="14" t="n">
        <x:v>0.37315307378516965</x:v>
      </x:c>
      <x:c r="S1339" s="14" t="n">
        <x:v>0.4603345709555884</x:v>
      </x:c>
      <x:c r="T1339" t="str">
        <x:v>2030소비·평일집중</x:v>
      </x:c>
      <x:c r="U1339" s="16" t="n">
        <x:v>56.03506342257414</x:v>
      </x:c>
      <x:c r="V1339" t="str">
        <x:v>미용실</x:v>
      </x:c>
      <x:c r="W1339" t="str">
        <x:v>미용실 / 세탁소 / 패스트푸드점</x:v>
      </x:c>
      <x:c r="X1339" s="16" t="n">
        <x:v>43.11820681011217</x:v>
      </x:c>
    </x:row>
    <x:row r="1340">
      <x:c r="A1340" t="str">
        <x:v>3130262</x:v>
      </x:c>
      <x:c r="B1340" t="str">
        <x:v>상도도깨비 골목형상점가</x:v>
      </x:c>
      <x:c r="C1340" t="str">
        <x:v>전통시장</x:v>
      </x:c>
      <x:c r="D1340" t="str">
        <x:v>동작구</x:v>
      </x:c>
      <x:c r="E1340" t="str">
        <x:v>상도2동</x:v>
      </x:c>
      <x:c r="F1340" s="12" t="n">
        <x:v>23166</x:v>
      </x:c>
      <x:c r="G1340" s="12" t="n">
        <x:v>461297068</x:v>
      </x:c>
      <x:c r="H1340" s="12" t="n">
        <x:v>9440</x:v>
      </x:c>
      <x:c r="I1340" s="12" t="n">
        <x:v>48866.21483050848</x:v>
      </x:c>
      <x:c r="J1340" s="12" t="n">
        <x:v>19912.67668134335</x:v>
      </x:c>
      <x:c r="K1340" s="12" t="n">
        <x:v>58</x:v>
      </x:c>
      <x:c r="L1340" s="12" t="n">
        <x:v>25.036691703358372</x:v>
      </x:c>
      <x:c r="M1340" s="12" t="n">
        <x:v>4</x:v>
      </x:c>
      <x:c r="N1340" s="14" t="n">
        <x:v>0.7019392761455835</x:v>
      </x:c>
      <x:c r="O1340" s="14" t="n">
        <x:v>0.2980607238544165</x:v>
      </x:c>
      <x:c r="P1340" s="14" t="n">
        <x:v>0.5576577109308659</x:v>
      </x:c>
      <x:c r="Q1340" s="14" t="n">
        <x:v>0.11148481654776093</x:v>
      </x:c>
      <x:c r="R1340" s="14" t="n">
        <x:v>0.2388037072891172</x:v>
      </x:c>
      <x:c r="S1340" s="14" t="n">
        <x:v>0.2789864383009692</x:v>
      </x:c>
      <x:c r="T1340" t="str">
        <x:v>야간활성·2030소비</x:v>
      </x:c>
      <x:c r="U1340" s="16" t="n">
        <x:v>46.93361979970335</x:v>
      </x:c>
      <x:c r="V1340" t="str">
        <x:v>호프-간이주점</x:v>
      </x:c>
      <x:c r="W1340" t="str">
        <x:v>호프-간이주점 / 청과상 / 한식음식점</x:v>
      </x:c>
      <x:c r="X1340" s="16" t="n">
        <x:v>42.37052745781579</x:v>
      </x:c>
    </x:row>
    <x:row r="1341">
      <x:c r="A1341" t="str">
        <x:v>3110130</x:v>
      </x:c>
      <x:c r="B1341" t="str">
        <x:v>답십리역 6번</x:v>
      </x:c>
      <x:c r="C1341" t="str">
        <x:v>골목상권</x:v>
      </x:c>
      <x:c r="D1341" t="str">
        <x:v>성동구</x:v>
      </x:c>
      <x:c r="E1341" t="str">
        <x:v>용답동</x:v>
      </x:c>
      <x:c r="F1341" s="12" t="n">
        <x:v>43065</x:v>
      </x:c>
      <x:c r="G1341" s="12" t="n">
        <x:v>452613166</x:v>
      </x:c>
      <x:c r="H1341" s="12" t="n">
        <x:v>6192</x:v>
      </x:c>
      <x:c r="I1341" s="12" t="n">
        <x:v>73096.4415374677</x:v>
      </x:c>
      <x:c r="J1341" s="12" t="n">
        <x:v>10510.000371531405</x:v>
      </x:c>
      <x:c r="K1341" s="12" t="n">
        <x:v>56</x:v>
      </x:c>
      <x:c r="L1341" s="12" t="n">
        <x:v>13.003599210495763</x:v>
      </x:c>
      <x:c r="M1341" s="12" t="n">
        <x:v>2</x:v>
      </x:c>
      <x:c r="N1341" s="14" t="n">
        <x:v>0.8742243658020323</x:v>
      </x:c>
      <x:c r="O1341" s="14" t="n">
        <x:v>0.12577563419796764</x:v>
      </x:c>
      <x:c r="P1341" s="14" t="n">
        <x:v>0.4825356008313731</x:v>
      </x:c>
      <x:c r="Q1341" s="14" t="n">
        <x:v>0.35371169472343633</x:v>
      </x:c>
      <x:c r="R1341" s="14" t="n">
        <x:v>0.08946838943699663</x:v>
      </x:c>
      <x:c r="S1341" s="14" t="n">
        <x:v>0.17973422143005005</x:v>
      </x:c>
      <x:c r="T1341" t="str">
        <x:v>평일집중·야간활성</x:v>
      </x:c>
      <x:c r="U1341" s="16" t="n">
        <x:v>52.886065505040186</x:v>
      </x:c>
      <x:c r="V1341" t="str">
        <x:v>한식음식점</x:v>
      </x:c>
      <x:c r="W1341" t="str">
        <x:v>한식음식점 / 미용실</x:v>
      </x:c>
      <x:c r="X1341" s="16" t="n">
        <x:v>45.14478562521025</x:v>
      </x:c>
    </x:row>
    <x:row r="1342">
      <x:c r="A1342" t="str">
        <x:v>3130211</x:v>
      </x:c>
      <x:c r="B1342" t="str">
        <x:v>신정2동 골목시장(오목교중앙시장)</x:v>
      </x:c>
      <x:c r="C1342" t="str">
        <x:v>전통시장</x:v>
      </x:c>
      <x:c r="D1342" t="str">
        <x:v>양천구</x:v>
      </x:c>
      <x:c r="E1342" t="str">
        <x:v>신정2동</x:v>
      </x:c>
      <x:c r="F1342" s="12" t="n">
        <x:v>21996</x:v>
      </x:c>
      <x:c r="G1342" s="12" t="n">
        <x:v>451326317</x:v>
      </x:c>
      <x:c r="H1342" s="12" t="n">
        <x:v>18777</x:v>
      </x:c>
      <x:c r="I1342" s="12" t="n">
        <x:v>24036.12488682963</x:v>
      </x:c>
      <x:c r="J1342" s="12" t="n">
        <x:v>20518.563238770686</x:v>
      </x:c>
      <x:c r="K1342" s="12" t="n">
        <x:v>803</x:v>
      </x:c>
      <x:c r="L1342" s="12" t="n">
        <x:v>365.06637570467353</x:v>
      </x:c>
      <x:c r="M1342" s="12" t="n">
        <x:v>6</x:v>
      </x:c>
      <x:c r="N1342" s="14" t="n">
        <x:v>0.7572033651208512</x:v>
      </x:c>
      <x:c r="O1342" s="14" t="n">
        <x:v>0.24279663487914888</x:v>
      </x:c>
      <x:c r="P1342" s="14" t="n">
        <x:v>0.3038168722609632</x:v>
      </x:c>
      <x:c r="Q1342" s="14" t="n">
        <x:v>0.29018759612903317</x:v>
      </x:c>
      <x:c r="R1342" s="14" t="n">
        <x:v>0.03180037914784393</x:v>
      </x:c>
      <x:c r="S1342" s="14" t="n">
        <x:v>0.5645896270657755</x:v>
      </x:c>
      <x:c r="T1342" t="str">
        <x:v>여성소비·직장밀집</x:v>
      </x:c>
      <x:c r="U1342" s="16" t="n">
        <x:v>60.07996726624585</x:v>
      </x:c>
      <x:c r="V1342" t="str">
        <x:v>한식음식점</x:v>
      </x:c>
      <x:c r="W1342" t="str">
        <x:v>한식음식점 / 미용실 / 일반의류</x:v>
      </x:c>
      <x:c r="X1342" s="16" t="n">
        <x:v>50.765881046765415</x:v>
      </x:c>
    </x:row>
    <x:row r="1343">
      <x:c r="A1343" t="str">
        <x:v>3110697</x:v>
      </x:c>
      <x:c r="B1343" t="str">
        <x:v>개봉3동주민센터</x:v>
      </x:c>
      <x:c r="C1343" t="str">
        <x:v>골목상권</x:v>
      </x:c>
      <x:c r="D1343" t="str">
        <x:v>구로구</x:v>
      </x:c>
      <x:c r="E1343" t="str">
        <x:v>개봉3동</x:v>
      </x:c>
      <x:c r="F1343" s="12" t="n">
        <x:v>81457</x:v>
      </x:c>
      <x:c r="G1343" s="12" t="n">
        <x:v>451240201</x:v>
      </x:c>
      <x:c r="H1343" s="12" t="n">
        <x:v>10040</x:v>
      </x:c>
      <x:c r="I1343" s="12" t="n">
        <x:v>44944.24312749004</x:v>
      </x:c>
      <x:c r="J1343" s="12" t="n">
        <x:v>5539.612323066158</x:v>
      </x:c>
      <x:c r="K1343" s="12" t="n">
        <x:v>98</x:v>
      </x:c>
      <x:c r="L1343" s="12" t="n">
        <x:v>12.030887462096567</x:v>
      </x:c>
      <x:c r="M1343" s="12" t="n">
        <x:v>8</x:v>
      </x:c>
      <x:c r="N1343" s="14" t="n">
        <x:v>0.8680377105850993</x:v>
      </x:c>
      <x:c r="O1343" s="14" t="n">
        <x:v>0.1319622894149008</x:v>
      </x:c>
      <x:c r="P1343" s="14" t="n">
        <x:v>0.2903642421699923</x:v>
      </x:c>
      <x:c r="Q1343" s="14" t="n">
        <x:v>0.22764379320006553</x:v>
      </x:c>
      <x:c r="R1343" s="14" t="n">
        <x:v>0.19877456131174803</x:v>
      </x:c>
      <x:c r="S1343" s="14" t="n">
        <x:v>0.43841087421198094</x:v>
      </x:c>
      <x:c r="T1343" t="str">
        <x:v>평일집중</x:v>
      </x:c>
      <x:c r="U1343" s="16" t="n">
        <x:v>59.952676497085434</x:v>
      </x:c>
      <x:c r="V1343" t="str">
        <x:v>예술학원</x:v>
      </x:c>
      <x:c r="W1343" t="str">
        <x:v>예술학원 / 스포츠 강습 / 자동차수리</x:v>
      </x:c>
      <x:c r="X1343" s="16" t="n">
        <x:v>52.56447701185535</x:v>
      </x:c>
    </x:row>
    <x:row r="1344">
      <x:c r="A1344" t="str">
        <x:v>3110784</x:v>
      </x:c>
      <x:c r="B1344" t="str">
        <x:v>신대림초등학교</x:v>
      </x:c>
      <x:c r="C1344" t="str">
        <x:v>골목상권</x:v>
      </x:c>
      <x:c r="D1344" t="str">
        <x:v>영등포구</x:v>
      </x:c>
      <x:c r="E1344" t="str">
        <x:v>대림1동</x:v>
      </x:c>
      <x:c r="F1344" s="12" t="n">
        <x:v>37357</x:v>
      </x:c>
      <x:c r="G1344" s="12" t="n">
        <x:v>440342054</x:v>
      </x:c>
      <x:c r="H1344" s="12" t="n">
        <x:v>35113</x:v>
      </x:c>
      <x:c r="I1344" s="12" t="n">
        <x:v>12540.712955315696</x:v>
      </x:c>
      <x:c r="J1344" s="12" t="n">
        <x:v>11787.404074202961</x:v>
      </x:c>
      <x:c r="K1344" s="12" t="n">
        <x:v>146</x:v>
      </x:c>
      <x:c r="L1344" s="12" t="n">
        <x:v>39.08236742779131</x:v>
      </x:c>
      <x:c r="M1344" s="12" t="n">
        <x:v>2</x:v>
      </x:c>
      <x:c r="N1344" s="14" t="n">
        <x:v>0.7002536146592985</x:v>
      </x:c>
      <x:c r="O1344" s="14" t="n">
        <x:v>0.2997463853407015</x:v>
      </x:c>
      <x:c r="P1344" s="14" t="n">
        <x:v>0.6423615378784603</x:v>
      </x:c>
      <x:c r="Q1344" s="14" t="n">
        <x:v>0.07969621952119976</x:v>
      </x:c>
      <x:c r="R1344" s="14" t="n">
        <x:v>0.25704396382726596</x:v>
      </x:c>
      <x:c r="S1344" s="14" t="n">
        <x:v>0.2565596176285266</x:v>
      </x:c>
      <x:c r="T1344" t="str">
        <x:v>야간활성·2030소비</x:v>
      </x:c>
      <x:c r="U1344" s="16" t="n">
        <x:v>44.91683303688547</x:v>
      </x:c>
      <x:c r="V1344" t="str">
        <x:v>중식음식점</x:v>
      </x:c>
      <x:c r="W1344" t="str">
        <x:v>중식음식점 / 편의점</x:v>
      </x:c>
      <x:c r="X1344" s="16" t="n">
        <x:v>41.437366729403124</x:v>
      </x:c>
    </x:row>
    <x:row r="1345">
      <x:c r="A1345" t="str">
        <x:v>3111037</x:v>
      </x:c>
      <x:c r="B1345" t="str">
        <x:v>Sh수협은행 오금동금융센터(아랫말어린이공원)</x:v>
      </x:c>
      <x:c r="C1345" t="str">
        <x:v>골목상권</x:v>
      </x:c>
      <x:c r="D1345" t="str">
        <x:v>송파구</x:v>
      </x:c>
      <x:c r="E1345" t="str">
        <x:v>오금동</x:v>
      </x:c>
      <x:c r="F1345" s="12" t="n">
        <x:v>27617</x:v>
      </x:c>
      <x:c r="G1345" s="12" t="n">
        <x:v>438181452</x:v>
      </x:c>
      <x:c r="H1345" s="12" t="n">
        <x:v>18734</x:v>
      </x:c>
      <x:c r="I1345" s="12" t="n">
        <x:v>23389.6365965624</x:v>
      </x:c>
      <x:c r="J1345" s="12" t="n">
        <x:v>15866.36680305609</x:v>
      </x:c>
      <x:c r="K1345" s="12" t="n">
        <x:v>402</x:v>
      </x:c>
      <x:c r="L1345" s="12" t="n">
        <x:v>145.5625158416917</x:v>
      </x:c>
      <x:c r="M1345" s="12" t="n">
        <x:v>3</x:v>
      </x:c>
      <x:c r="N1345" s="14" t="n">
        <x:v>0.7949628342552482</x:v>
      </x:c>
      <x:c r="O1345" s="14" t="n">
        <x:v>0.20503716574475178</x:v>
      </x:c>
      <x:c r="P1345" s="14" t="n">
        <x:v>0.41203152067696375</x:v>
      </x:c>
      <x:c r="Q1345" s="14" t="n">
        <x:v>0.2975603768824062</x:v>
      </x:c>
      <x:c r="R1345" s="14" t="n">
        <x:v>0.22572303220173728</x:v>
      </x:c>
      <x:c r="S1345" s="14" t="n">
        <x:v>0.27856342718951965</x:v>
      </x:c>
      <x:c r="T1345" t="str">
        <x:v>평일집중·직장밀집</x:v>
      </x:c>
      <x:c r="U1345" s="16" t="n">
        <x:v>42.998977979519275</x:v>
      </x:c>
      <x:c r="V1345" t="str">
        <x:v>의약품</x:v>
      </x:c>
      <x:c r="W1345" t="str">
        <x:v>의약품 / 한식음식점 / 자동차수리</x:v>
      </x:c>
      <x:c r="X1345" s="16" t="n">
        <x:v>30.205681097467004</x:v>
      </x:c>
    </x:row>
    <x:row r="1346">
      <x:c r="A1346" t="str">
        <x:v>3110704</x:v>
      </x:c>
      <x:c r="B1346" t="str">
        <x:v>고척중학교</x:v>
      </x:c>
      <x:c r="C1346" t="str">
        <x:v>골목상권</x:v>
      </x:c>
      <x:c r="D1346" t="str">
        <x:v>구로구</x:v>
      </x:c>
      <x:c r="E1346" t="str">
        <x:v>고척1동</x:v>
      </x:c>
      <x:c r="F1346" s="12" t="n">
        <x:v>15243</x:v>
      </x:c>
      <x:c r="G1346" s="12" t="n">
        <x:v>437259047</x:v>
      </x:c>
      <x:c r="H1346" s="12" t="n">
        <x:v>10395</x:v>
      </x:c>
      <x:c r="I1346" s="12" t="n">
        <x:v>42064.36238576238</x:v>
      </x:c>
      <x:c r="J1346" s="12" t="n">
        <x:v>28685.89168798793</x:v>
      </x:c>
      <x:c r="K1346" s="12" t="n">
        <x:v>216</x:v>
      </x:c>
      <x:c r="L1346" s="12" t="n">
        <x:v>141.70438889982287</x:v>
      </x:c>
      <x:c r="M1346" s="12" t="n">
        <x:v>1</x:v>
      </x:c>
      <x:c r="N1346" s="14" t="n">
        <x:v>0.6669083464383986</x:v>
      </x:c>
      <x:c r="O1346" s="14" t="n">
        <x:v>0.3330916535616014</x:v>
      </x:c>
      <x:c r="P1346" s="14" t="n">
        <x:v>0.3977067831829218</x:v>
      </x:c>
      <x:c r="Q1346" s="14" t="n">
        <x:v>0.392633053970865</x:v>
      </x:c>
      <x:c r="R1346" s="14" t="n">
        <x:v>0.13130453993785518</x:v>
      </x:c>
      <x:c r="S1346" s="14" t="n">
        <x:v>0.4311754400361212</x:v>
      </x:c>
      <x:c r="T1346" t="str">
        <x:v>직장밀집</x:v>
      </x:c>
      <x:c r="U1346" s="16" t="n">
        <x:v>35.41470612983951</x:v>
      </x:c>
      <x:c r="V1346" t="str">
        <x:v>한식음식점</x:v>
      </x:c>
      <x:c r="W1346" t="str">
        <x:v>한식음식점</x:v>
      </x:c>
      <x:c r="X1346" s="16" t="n">
        <x:v>35.41470612983951</x:v>
      </x:c>
    </x:row>
    <x:row r="1347">
      <x:c r="A1347" t="str">
        <x:v>3110805</x:v>
      </x:c>
      <x:c r="B1347" t="str">
        <x:v>신길새마을금고신길4동지점</x:v>
      </x:c>
      <x:c r="C1347" t="str">
        <x:v>골목상권</x:v>
      </x:c>
      <x:c r="D1347" t="str">
        <x:v>영등포구</x:v>
      </x:c>
      <x:c r="E1347" t="str">
        <x:v>신길4동</x:v>
      </x:c>
      <x:c r="F1347" s="12" t="n">
        <x:v>27917</x:v>
      </x:c>
      <x:c r="G1347" s="12" t="n">
        <x:v>435858577</x:v>
      </x:c>
      <x:c r="H1347" s="12" t="n">
        <x:v>31648</x:v>
      </x:c>
      <x:c r="I1347" s="12" t="n">
        <x:v>13772.073337967644</x:v>
      </x:c>
      <x:c r="J1347" s="12" t="n">
        <x:v>15612.65812945517</x:v>
      </x:c>
      <x:c r="K1347" s="12" t="n">
        <x:v>228</x:v>
      </x:c>
      <x:c r="L1347" s="12" t="n">
        <x:v>81.67066661890604</x:v>
      </x:c>
      <x:c r="M1347" s="12" t="n">
        <x:v>4</x:v>
      </x:c>
      <x:c r="N1347" s="14" t="n">
        <x:v>0.7076443077544393</x:v>
      </x:c>
      <x:c r="O1347" s="14" t="n">
        <x:v>0.2923556922455606</x:v>
      </x:c>
      <x:c r="P1347" s="14" t="n">
        <x:v>0.4943985810333153</x:v>
      </x:c>
      <x:c r="Q1347" s="14" t="n">
        <x:v>0.22025311893770533</x:v>
      </x:c>
      <x:c r="R1347" s="14" t="n">
        <x:v>0.16608903396662997</x:v>
      </x:c>
      <x:c r="S1347" s="14" t="n">
        <x:v>0.3276154044801555</x:v>
      </x:c>
      <x:c r="T1347" t="str">
        <x:v>야간활성</x:v>
      </x:c>
      <x:c r="U1347" s="16" t="n">
        <x:v>54.466115804921714</x:v>
      </x:c>
      <x:c r="V1347" t="str">
        <x:v>슈퍼마켓</x:v>
      </x:c>
      <x:c r="W1347" t="str">
        <x:v>슈퍼마켓 / 한식음식점 / 미용실</x:v>
      </x:c>
      <x:c r="X1347" s="16" t="n">
        <x:v>41.35762026923687</x:v>
      </x:c>
    </x:row>
    <x:row r="1348">
      <x:c r="A1348" t="str">
        <x:v>3110108</x:v>
      </x:c>
      <x:c r="B1348" t="str">
        <x:v>성동구립금호도서관</x:v>
      </x:c>
      <x:c r="C1348" t="str">
        <x:v>골목상권</x:v>
      </x:c>
      <x:c r="D1348" t="str">
        <x:v>성동구</x:v>
      </x:c>
      <x:c r="E1348" t="str">
        <x:v>금호1가동</x:v>
      </x:c>
      <x:c r="F1348" s="12" t="n">
        <x:v>11778</x:v>
      </x:c>
      <x:c r="G1348" s="12" t="n">
        <x:v>431465024</x:v>
      </x:c>
      <x:c r="H1348" s="12" t="n">
        <x:v>7761</x:v>
      </x:c>
      <x:c r="I1348" s="12" t="n">
        <x:v>55593.99871150625</x:v>
      </x:c>
      <x:c r="J1348" s="12" t="n">
        <x:v>36633.131601290544</x:v>
      </x:c>
      <x:c r="K1348" s="12" t="n">
        <x:v>242</x:v>
      </x:c>
      <x:c r="L1348" s="12" t="n">
        <x:v>205.4678213618611</x:v>
      </x:c>
      <x:c r="M1348" s="12" t="n">
        <x:v>1</x:v>
      </x:c>
      <x:c r="N1348" s="14" t="n">
        <x:v>0.659579528281764</x:v>
      </x:c>
      <x:c r="O1348" s="14" t="n">
        <x:v>0.340420471718236</x:v>
      </x:c>
      <x:c r="P1348" s="14" t="n">
        <x:v>0.7333112428598616</x:v>
      </x:c>
      <x:c r="Q1348" s="14" t="n">
        <x:v>0.11253598159557889</x:v>
      </x:c>
      <x:c r="R1348" s="14" t="n">
        <x:v>0.3622216061712571</x:v>
      </x:c>
      <x:c r="S1348" s="14" t="n">
        <x:v>0.3626652666984196</x:v>
      </x:c>
      <x:c r="T1348" t="str">
        <x:v>야간활성·2030소비</x:v>
      </x:c>
      <x:c r="U1348" s="16" t="n">
        <x:v>47.79295027567284</x:v>
      </x:c>
      <x:c r="V1348" t="str">
        <x:v>한식음식점</x:v>
      </x:c>
      <x:c r="W1348" t="str">
        <x:v>한식음식점</x:v>
      </x:c>
      <x:c r="X1348" s="16" t="n">
        <x:v>47.79295027567284</x:v>
      </x:c>
    </x:row>
    <x:row r="1349">
      <x:c r="A1349" t="str">
        <x:v>3110958</x:v>
      </x:c>
      <x:c r="B1349" t="str">
        <x:v>역삼역 4번</x:v>
      </x:c>
      <x:c r="C1349" t="str">
        <x:v>골목상권</x:v>
      </x:c>
      <x:c r="D1349" t="str">
        <x:v>강남구</x:v>
      </x:c>
      <x:c r="E1349" t="str">
        <x:v>역삼1동</x:v>
      </x:c>
      <x:c r="F1349" s="12" t="n">
        <x:v>73119</x:v>
      </x:c>
      <x:c r="G1349" s="12" t="n">
        <x:v>428617586</x:v>
      </x:c>
      <x:c r="H1349" s="12" t="n">
        <x:v>23079</x:v>
      </x:c>
      <x:c r="I1349" s="12" t="n">
        <x:v>18571.7572685125</x:v>
      </x:c>
      <x:c r="J1349" s="12" t="n">
        <x:v>5861.91805139567</x:v>
      </x:c>
      <x:c r="K1349" s="12" t="n">
        <x:v>1181</x:v>
      </x:c>
      <x:c r="L1349" s="12" t="n">
        <x:v>161.51752622437394</x:v>
      </x:c>
      <x:c r="M1349" s="12" t="n">
        <x:v>4</x:v>
      </x:c>
      <x:c r="N1349" s="14" t="n">
        <x:v>0.8751958371582075</x:v>
      </x:c>
      <x:c r="O1349" s="14" t="n">
        <x:v>0.1248041628417925</x:v>
      </x:c>
      <x:c r="P1349" s="14" t="n">
        <x:v>0.41808014615620553</x:v>
      </x:c>
      <x:c r="Q1349" s="14" t="n">
        <x:v>0.4650017719991545</x:v>
      </x:c>
      <x:c r="R1349" s="14" t="n">
        <x:v>0.34533929506102906</x:v>
      </x:c>
      <x:c r="S1349" s="14" t="n">
        <x:v>0.27369733494789455</x:v>
      </x:c>
      <x:c r="T1349" t="str">
        <x:v>평일집중·2030소비</x:v>
      </x:c>
      <x:c r="U1349" s="16" t="n">
        <x:v>48.27187034448764</x:v>
      </x:c>
      <x:c r="V1349" t="str">
        <x:v>일반의류</x:v>
      </x:c>
      <x:c r="W1349" t="str">
        <x:v>일반의류 / 분식전문점 / 커피-음료</x:v>
      </x:c>
      <x:c r="X1349" s="16" t="n">
        <x:v>42.64769816471344</x:v>
      </x:c>
    </x:row>
    <x:row r="1350">
      <x:c r="A1350" t="str">
        <x:v>3130082</x:v>
      </x:c>
      <x:c r="B1350" t="str">
        <x:v>면곡골목시장</x:v>
      </x:c>
      <x:c r="C1350" t="str">
        <x:v>전통시장</x:v>
      </x:c>
      <x:c r="D1350" t="str">
        <x:v>광진구</x:v>
      </x:c>
      <x:c r="E1350" t="str">
        <x:v>중곡3동</x:v>
      </x:c>
      <x:c r="F1350" s="12" t="n">
        <x:v>7793</x:v>
      </x:c>
      <x:c r="G1350" s="12" t="n">
        <x:v>428281558</x:v>
      </x:c>
      <x:c r="H1350" s="12" t="n">
        <x:v>14447</x:v>
      </x:c>
      <x:c r="I1350" s="12" t="n">
        <x:v>29645.01682010106</x:v>
      </x:c>
      <x:c r="J1350" s="12" t="n">
        <x:v>54957.21262671628</x:v>
      </x:c>
      <x:c r="K1350" s="12" t="n">
        <x:v>22</x:v>
      </x:c>
      <x:c r="L1350" s="12" t="n">
        <x:v>28.23046323623765</x:v>
      </x:c>
      <x:c r="M1350" s="12" t="n">
        <x:v>3</x:v>
      </x:c>
      <x:c r="N1350" s="14" t="n">
        <x:v>0.6715655148522646</x:v>
      </x:c>
      <x:c r="O1350" s="14" t="n">
        <x:v>0.32843448514773543</x:v>
      </x:c>
      <x:c r="P1350" s="14" t="n">
        <x:v>0.4806488609065908</x:v>
      </x:c>
      <x:c r="Q1350" s="14" t="n">
        <x:v>0.24339962590684328</x:v>
      </x:c>
      <x:c r="R1350" s="14" t="n">
        <x:v>0.09764591591403522</x:v>
      </x:c>
      <x:c r="S1350" s="14" t="n">
        <x:v>0.2929169623502677</x:v>
      </x:c>
      <x:c r="T1350" t="str">
        <x:v>야간활성</x:v>
      </x:c>
      <x:c r="U1350" s="16" t="n">
        <x:v>62.11313653142318</x:v>
      </x:c>
      <x:c r="V1350" t="str">
        <x:v>육류판매</x:v>
      </x:c>
      <x:c r="W1350" t="str">
        <x:v>육류판매 / 한식음식점 / 일반의류</x:v>
      </x:c>
      <x:c r="X1350" s="16" t="n">
        <x:v>45.56964237003563</x:v>
      </x:c>
    </x:row>
    <x:row r="1351">
      <x:c r="A1351" t="str">
        <x:v>3130212</x:v>
      </x:c>
      <x:c r="B1351" t="str">
        <x:v>공항시장</x:v>
      </x:c>
      <x:c r="C1351" t="str">
        <x:v>전통시장</x:v>
      </x:c>
      <x:c r="D1351" t="str">
        <x:v>강서구</x:v>
      </x:c>
      <x:c r="E1351" t="str">
        <x:v>방화2동</x:v>
      </x:c>
      <x:c r="F1351" s="12" t="n">
        <x:v>25563</x:v>
      </x:c>
      <x:c r="G1351" s="12" t="n">
        <x:v>426241292</x:v>
      </x:c>
      <x:c r="H1351" s="12" t="n">
        <x:v>15579</x:v>
      </x:c>
      <x:c r="I1351" s="12" t="n">
        <x:v>27359.990500032094</x:v>
      </x:c>
      <x:c r="J1351" s="12" t="n">
        <x:v>16674.149825920274</x:v>
      </x:c>
      <x:c r="K1351" s="12" t="n">
        <x:v>35</x:v>
      </x:c>
      <x:c r="L1351" s="12" t="n">
        <x:v>13.691663732738723</x:v>
      </x:c>
      <x:c r="M1351" s="12" t="n">
        <x:v>2</x:v>
      </x:c>
      <x:c r="N1351" s="14" t="n">
        <x:v>0.7417758929841082</x:v>
      </x:c>
      <x:c r="O1351" s="14" t="n">
        <x:v>0.2582241070158918</x:v>
      </x:c>
      <x:c r="P1351" s="14" t="n">
        <x:v>0.3886661055822813</x:v>
      </x:c>
      <x:c r="Q1351" s="14" t="n">
        <x:v>0.38640693215616473</x:v>
      </x:c>
      <x:c r="R1351" s="14" t="n">
        <x:v>0.21899622057264223</x:v>
      </x:c>
      <x:c r="S1351" s="14" t="n">
        <x:v>0.1909744140884408</x:v>
      </x:c>
      <x:c r="T1351" t="str">
        <x:v>균형형</x:v>
      </x:c>
      <x:c r="U1351" s="16" t="n">
        <x:v>35.21664276337547</x:v>
      </x:c>
      <x:c r="V1351" t="str">
        <x:v>한식음식점</x:v>
      </x:c>
      <x:c r="W1351" t="str">
        <x:v>한식음식점 / 일반의류</x:v>
      </x:c>
      <x:c r="X1351" s="16" t="n">
        <x:v>31.19469672288657</x:v>
      </x:c>
    </x:row>
    <x:row r="1352">
      <x:c r="A1352" t="str">
        <x:v>3110183</x:v>
      </x:c>
      <x:c r="B1352" t="str">
        <x:v>한국의류시험연구원</x:v>
      </x:c>
      <x:c r="C1352" t="str">
        <x:v>골목상권</x:v>
      </x:c>
      <x:c r="D1352" t="str">
        <x:v>동대문구</x:v>
      </x:c>
      <x:c r="E1352" t="str">
        <x:v>용신동</x:v>
      </x:c>
      <x:c r="F1352" s="12" t="n">
        <x:v>43441</x:v>
      </x:c>
      <x:c r="G1352" s="12" t="n">
        <x:v>418466450</x:v>
      </x:c>
      <x:c r="H1352" s="12" t="n">
        <x:v>14634</x:v>
      </x:c>
      <x:c r="I1352" s="12" t="n">
        <x:v>28595.493371600383</x:v>
      </x:c>
      <x:c r="J1352" s="12" t="n">
        <x:v>9632.983817131282</x:v>
      </x:c>
      <x:c r="K1352" s="12" t="n">
        <x:v>829</x:v>
      </x:c>
      <x:c r="L1352" s="12" t="n">
        <x:v>190.8335443475058</x:v>
      </x:c>
      <x:c r="M1352" s="12" t="n">
        <x:v>3</x:v>
      </x:c>
      <x:c r="N1352" s="14" t="n">
        <x:v>0.8813584219236692</x:v>
      </x:c>
      <x:c r="O1352" s="14" t="n">
        <x:v>0.11864157807633086</x:v>
      </x:c>
      <x:c r="P1352" s="14" t="n">
        <x:v>0.489682107131886</x:v>
      </x:c>
      <x:c r="Q1352" s="14" t="n">
        <x:v>0.34696423333340104</x:v>
      </x:c>
      <x:c r="R1352" s="14" t="n">
        <x:v>0.23973112539846383</x:v>
      </x:c>
      <x:c r="S1352" s="14" t="n">
        <x:v>0.27731890573306417</x:v>
      </x:c>
      <x:c r="T1352" t="str">
        <x:v>평일집중·야간활성</x:v>
      </x:c>
      <x:c r="U1352" s="16" t="n">
        <x:v>43.47419192604106</x:v>
      </x:c>
      <x:c r="V1352" t="str">
        <x:v>커피-음료</x:v>
      </x:c>
      <x:c r="W1352" t="str">
        <x:v>커피-음료 / 한식음식점 / 일반의류</x:v>
      </x:c>
      <x:c r="X1352" s="16" t="n">
        <x:v>39.179459923460286</x:v>
      </x:c>
    </x:row>
    <x:row r="1353">
      <x:c r="A1353" t="str">
        <x:v>3110800</x:v>
      </x:c>
      <x:c r="B1353" t="str">
        <x:v>영등포동성당</x:v>
      </x:c>
      <x:c r="C1353" t="str">
        <x:v>골목상권</x:v>
      </x:c>
      <x:c r="D1353" t="str">
        <x:v>영등포구</x:v>
      </x:c>
      <x:c r="E1353" t="str">
        <x:v>영등포동</x:v>
      </x:c>
      <x:c r="F1353" s="12" t="n">
        <x:v>33962</x:v>
      </x:c>
      <x:c r="G1353" s="12" t="n">
        <x:v>416791492</x:v>
      </x:c>
      <x:c r="H1353" s="12" t="n">
        <x:v>4897</x:v>
      </x:c>
      <x:c r="I1353" s="12" t="n">
        <x:v>85111.59730447213</x:v>
      </x:c>
      <x:c r="J1353" s="12" t="n">
        <x:v>12272.28938225075</x:v>
      </x:c>
      <x:c r="K1353" s="12" t="n">
        <x:v>660</x:v>
      </x:c>
      <x:c r="L1353" s="12" t="n">
        <x:v>194.3348448265709</x:v>
      </x:c>
      <x:c r="M1353" s="12" t="n">
        <x:v>3</x:v>
      </x:c>
      <x:c r="N1353" s="14" t="n">
        <x:v>0.9425258205606558</x:v>
      </x:c>
      <x:c r="O1353" s="14" t="n">
        <x:v>0.05747417943934422</x:v>
      </x:c>
      <x:c r="P1353" s="14" t="n">
        <x:v>0.12430223263770461</x:v>
      </x:c>
      <x:c r="Q1353" s="14" t="n">
        <x:v>0.2071564599020174</x:v>
      </x:c>
      <x:c r="R1353" s="14" t="n">
        <x:v>0.07507157319804407</x:v>
      </x:c>
      <x:c r="S1353" s="14" t="n">
        <x:v>0.5906157892493641</x:v>
      </x:c>
      <x:c r="T1353" t="str">
        <x:v>평일집중·여성소비</x:v>
      </x:c>
      <x:c r="U1353" s="16" t="n">
        <x:v>62.10147643200193</x:v>
      </x:c>
      <x:c r="V1353" t="str">
        <x:v>조명용품</x:v>
      </x:c>
      <x:c r="W1353" t="str">
        <x:v>조명용품 / 인테리어 / 한식음식점</x:v>
      </x:c>
      <x:c r="X1353" s="16" t="n">
        <x:v>41.03837189786326</x:v>
      </x:c>
    </x:row>
    <x:row r="1354">
      <x:c r="A1354" t="str">
        <x:v>3110838</x:v>
      </x:c>
      <x:c r="B1354" t="str">
        <x:v>상도1동주민센터앞</x:v>
      </x:c>
      <x:c r="C1354" t="str">
        <x:v>골목상권</x:v>
      </x:c>
      <x:c r="D1354" t="str">
        <x:v>동작구</x:v>
      </x:c>
      <x:c r="E1354" t="str">
        <x:v>상도1동</x:v>
      </x:c>
      <x:c r="F1354" s="12" t="n">
        <x:v>13134</x:v>
      </x:c>
      <x:c r="G1354" s="12" t="n">
        <x:v>413840526</x:v>
      </x:c>
      <x:c r="H1354" s="12" t="n">
        <x:v>21775</x:v>
      </x:c>
      <x:c r="I1354" s="12" t="n">
        <x:v>19005.305442020664</x:v>
      </x:c>
      <x:c r="J1354" s="12" t="n">
        <x:v>31509.100502512563</x:v>
      </x:c>
      <x:c r="K1354" s="12" t="n">
        <x:v>171</x:v>
      </x:c>
      <x:c r="L1354" s="12" t="n">
        <x:v>130.19643672910004</x:v>
      </x:c>
      <x:c r="M1354" s="12" t="n">
        <x:v>4</x:v>
      </x:c>
      <x:c r="N1354" s="14" t="n">
        <x:v>0.7243895852771074</x:v>
      </x:c>
      <x:c r="O1354" s="14" t="n">
        <x:v>0.27561041472289255</x:v>
      </x:c>
      <x:c r="P1354" s="14" t="n">
        <x:v>0.24551201880117463</x:v>
      </x:c>
      <x:c r="Q1354" s="14" t="n">
        <x:v>0.3689210321562369</x:v>
      </x:c>
      <x:c r="R1354" s="14" t="n">
        <x:v>0.2897227324711065</x:v>
      </x:c>
      <x:c r="S1354" s="14" t="n">
        <x:v>0.5851015325647445</x:v>
      </x:c>
      <x:c r="T1354" t="str">
        <x:v>여성소비·2030소비</x:v>
      </x:c>
      <x:c r="U1354" s="16" t="n">
        <x:v>51.90574653414109</x:v>
      </x:c>
      <x:c r="V1354" t="str">
        <x:v>미용실</x:v>
      </x:c>
      <x:c r="W1354" t="str">
        <x:v>미용실 / 커피-음료 / 예술학원</x:v>
      </x:c>
      <x:c r="X1354" s="16" t="n">
        <x:v>45.349479706105924</x:v>
      </x:c>
    </x:row>
    <x:row r="1355">
      <x:c r="A1355" t="str">
        <x:v>3110368</x:v>
      </x:c>
      <x:c r="B1355" t="str">
        <x:v>송천초등학교</x:v>
      </x:c>
      <x:c r="C1355" t="str">
        <x:v>골목상권</x:v>
      </x:c>
      <x:c r="D1355" t="str">
        <x:v>강북구</x:v>
      </x:c>
      <x:c r="E1355" t="str">
        <x:v>송천동</x:v>
      </x:c>
      <x:c r="F1355" s="12" t="n">
        <x:v>105075</x:v>
      </x:c>
      <x:c r="G1355" s="12" t="n">
        <x:v>412978731</x:v>
      </x:c>
      <x:c r="H1355" s="12" t="n">
        <x:v>5783</x:v>
      </x:c>
      <x:c r="I1355" s="12" t="n">
        <x:v>71412.54210617326</x:v>
      </x:c>
      <x:c r="J1355" s="12" t="n">
        <x:v>3930.323397573162</x:v>
      </x:c>
      <x:c r="K1355" s="12" t="n">
        <x:v>32</x:v>
      </x:c>
      <x:c r="L1355" s="12" t="n">
        <x:v>3.0454437306685698</x:v>
      </x:c>
      <x:c r="M1355" s="12" t="n">
        <x:v>8</x:v>
      </x:c>
      <x:c r="N1355" s="14" t="n">
        <x:v>0.8393514895080638</x:v>
      </x:c>
      <x:c r="O1355" s="14" t="n">
        <x:v>0.1606485104919362</x:v>
      </x:c>
      <x:c r="P1355" s="14" t="n">
        <x:v>0.5060872420570249</x:v>
      </x:c>
      <x:c r="Q1355" s="14" t="n">
        <x:v>0.2457699788902688</x:v>
      </x:c>
      <x:c r="R1355" s="14" t="n">
        <x:v>0.1177084250375112</x:v>
      </x:c>
      <x:c r="S1355" s="14" t="n">
        <x:v>0.597799287150214</x:v>
      </x:c>
      <x:c r="T1355" t="str">
        <x:v>여성소비·평일집중</x:v>
      </x:c>
      <x:c r="U1355" s="16" t="n">
        <x:v>68.77745127669819</x:v>
      </x:c>
      <x:c r="V1355" t="str">
        <x:v>피부관리실</x:v>
      </x:c>
      <x:c r="W1355" t="str">
        <x:v>피부관리실 / 예술학원 / 일반교습학원</x:v>
      </x:c>
      <x:c r="X1355" s="16" t="n">
        <x:v>50.32094344435827</x:v>
      </x:c>
    </x:row>
    <x:row r="1356">
      <x:c r="A1356" t="str">
        <x:v>3110025</x:v>
      </x:c>
      <x:c r="B1356" t="str">
        <x:v>충신시장옆</x:v>
      </x:c>
      <x:c r="C1356" t="str">
        <x:v>골목상권</x:v>
      </x:c>
      <x:c r="D1356" t="str">
        <x:v>종로구</x:v>
      </x:c>
      <x:c r="E1356" t="str">
        <x:v>종로5·6가동</x:v>
      </x:c>
      <x:c r="F1356" s="12" t="n">
        <x:v>39184</x:v>
      </x:c>
      <x:c r="G1356" s="12" t="n">
        <x:v>412513532</x:v>
      </x:c>
      <x:c r="H1356" s="12" t="n">
        <x:v>13630</x:v>
      </x:c>
      <x:c r="I1356" s="12" t="n">
        <x:v>30265.116067498166</x:v>
      </x:c>
      <x:c r="J1356" s="12" t="n">
        <x:v>10527.601367905267</x:v>
      </x:c>
      <x:c r="K1356" s="12" t="n">
        <x:v>575</x:v>
      </x:c>
      <x:c r="L1356" s="12" t="n">
        <x:v>146.7435688035933</x:v>
      </x:c>
      <x:c r="M1356" s="12" t="n">
        <x:v>1</x:v>
      </x:c>
      <x:c r="N1356" s="14" t="n">
        <x:v>0.736819457840234</x:v>
      </x:c>
      <x:c r="O1356" s="14" t="n">
        <x:v>0.26318054215976605</x:v>
      </x:c>
      <x:c r="P1356" s="14" t="n">
        <x:v>0.46167567904172413</x:v>
      </x:c>
      <x:c r="Q1356" s="14" t="n">
        <x:v>0.19783569669661163</x:v>
      </x:c>
      <x:c r="R1356" s="14" t="n">
        <x:v>0.10845195497732181</x:v>
      </x:c>
      <x:c r="S1356" s="14" t="n">
        <x:v>0.2742580817930598</x:v>
      </x:c>
      <x:c r="T1356" t="str">
        <x:v>야간활성·직장밀집</x:v>
      </x:c>
      <x:c r="U1356" s="16" t="n">
        <x:v>46.6631921356595</x:v>
      </x:c>
      <x:c r="V1356" t="str">
        <x:v>한식음식점</x:v>
      </x:c>
      <x:c r="W1356" t="str">
        <x:v>한식음식점</x:v>
      </x:c>
      <x:c r="X1356" s="16" t="n">
        <x:v>46.6631921356595</x:v>
      </x:c>
    </x:row>
    <x:row r="1357">
      <x:c r="A1357" t="str">
        <x:v>3130304</x:v>
      </x:c>
      <x:c r="B1357" t="str">
        <x:v>신사상가</x:v>
      </x:c>
      <x:c r="C1357" t="str">
        <x:v>전통시장</x:v>
      </x:c>
      <x:c r="D1357" t="str">
        <x:v>강남구</x:v>
      </x:c>
      <x:c r="E1357" t="str">
        <x:v>압구정동</x:v>
      </x:c>
      <x:c r="F1357" s="12" t="n">
        <x:v>2739</x:v>
      </x:c>
      <x:c r="G1357" s="12" t="n">
        <x:v>411124021</x:v>
      </x:c>
      <x:c r="H1357" s="12" t="n">
        <x:v>4536</x:v>
      </x:c>
      <x:c r="I1357" s="12" t="n">
        <x:v>90635.80709876544</x:v>
      </x:c>
      <x:c r="J1357" s="12" t="n">
        <x:v>150100.04417670684</x:v>
      </x:c>
      <x:c r="K1357" s="12" t="n">
        <x:v>128</x:v>
      </x:c>
      <x:c r="L1357" s="12" t="n">
        <x:v>467.32384081781674</x:v>
      </x:c>
      <x:c r="M1357" s="12" t="n">
        <x:v>5</x:v>
      </x:c>
      <x:c r="N1357" s="14" t="n">
        <x:v>0.882199160043728</x:v>
      </x:c>
      <x:c r="O1357" s="14" t="n">
        <x:v>0.11780083995627198</x:v>
      </x:c>
      <x:c r="P1357" s="14" t="n">
        <x:v>0.1904808330331056</x:v>
      </x:c>
      <x:c r="Q1357" s="14" t="n">
        <x:v>0.2869527830386734</x:v>
      </x:c>
      <x:c r="R1357" s="14" t="n">
        <x:v>0.03490594143610013</x:v>
      </x:c>
      <x:c r="S1357" s="14" t="n">
        <x:v>0.5033483217464445</x:v>
      </x:c>
      <x:c r="T1357" t="str">
        <x:v>평일집중·직장밀집</x:v>
      </x:c>
      <x:c r="U1357" s="16" t="n">
        <x:v>49.456459026595056</x:v>
      </x:c>
      <x:c r="V1357" t="str">
        <x:v>수산물판매</x:v>
      </x:c>
      <x:c r="W1357" t="str">
        <x:v>수산물판매 / 예술학원 / 일반교습학원</x:v>
      </x:c>
      <x:c r="X1357" s="16" t="n">
        <x:v>43.58620545269855</x:v>
      </x:c>
    </x:row>
    <x:row r="1358">
      <x:c r="A1358" t="str">
        <x:v>3110096</x:v>
      </x:c>
      <x:c r="B1358" t="str">
        <x:v>한남힐사이드아파트</x:v>
      </x:c>
      <x:c r="C1358" t="str">
        <x:v>골목상권</x:v>
      </x:c>
      <x:c r="D1358" t="str">
        <x:v>용산구</x:v>
      </x:c>
      <x:c r="E1358" t="str">
        <x:v>한남동</x:v>
      </x:c>
      <x:c r="F1358" s="12" t="n">
        <x:v>50068</x:v>
      </x:c>
      <x:c r="G1358" s="12" t="n">
        <x:v>410710672</x:v>
      </x:c>
      <x:c r="H1358" s="12" t="n">
        <x:v>18922</x:v>
      </x:c>
      <x:c r="I1358" s="12" t="n">
        <x:v>21705.45777401966</x:v>
      </x:c>
      <x:c r="J1358" s="12" t="n">
        <x:v>8203.05728209635</x:v>
      </x:c>
      <x:c r="K1358" s="12" t="n">
        <x:v>1356</x:v>
      </x:c>
      <x:c r="L1358" s="12" t="n">
        <x:v>270.83166893025486</x:v>
      </x:c>
      <x:c r="M1358" s="12" t="n">
        <x:v>4</x:v>
      </x:c>
      <x:c r="N1358" s="14" t="n">
        <x:v>0.5829363718116387</x:v>
      </x:c>
      <x:c r="O1358" s="14" t="n">
        <x:v>0.4170636281883613</x:v>
      </x:c>
      <x:c r="P1358" s="14" t="n">
        <x:v>0.2620090792284063</x:v>
      </x:c>
      <x:c r="Q1358" s="14" t="n">
        <x:v>0.4087392328583076</x:v>
      </x:c>
      <x:c r="R1358" s="14" t="n">
        <x:v>0.5924254726938286</x:v>
      </x:c>
      <x:c r="S1358" s="14" t="n">
        <x:v>0.666165735766418</x:v>
      </x:c>
      <x:c r="T1358" t="str">
        <x:v>2030소비·여성소비</x:v>
      </x:c>
      <x:c r="U1358" s="16" t="n">
        <x:v>54.63896049615177</x:v>
      </x:c>
      <x:c r="V1358" t="str">
        <x:v>커피-음료</x:v>
      </x:c>
      <x:c r="W1358" t="str">
        <x:v>커피-음료 / 일반의류 / 미용실</x:v>
      </x:c>
      <x:c r="X1358" s="16" t="n">
        <x:v>43.49593444589951</x:v>
      </x:c>
    </x:row>
    <x:row r="1359">
      <x:c r="A1359" t="str">
        <x:v>3110922</x:v>
      </x:c>
      <x:c r="B1359" t="str">
        <x:v>내방역 1번</x:v>
      </x:c>
      <x:c r="C1359" t="str">
        <x:v>골목상권</x:v>
      </x:c>
      <x:c r="D1359" t="str">
        <x:v>서초구</x:v>
      </x:c>
      <x:c r="E1359" t="str">
        <x:v>방배1동</x:v>
      </x:c>
      <x:c r="F1359" s="12" t="n">
        <x:v>62116</x:v>
      </x:c>
      <x:c r="G1359" s="12" t="n">
        <x:v>407387275</x:v>
      </x:c>
      <x:c r="H1359" s="12" t="n">
        <x:v>9491</x:v>
      </x:c>
      <x:c r="I1359" s="12" t="n">
        <x:v>42923.53545464124</x:v>
      </x:c>
      <x:c r="J1359" s="12" t="n">
        <x:v>6558.491773456114</x:v>
      </x:c>
      <x:c r="K1359" s="12" t="n">
        <x:v>568</x:v>
      </x:c>
      <x:c r="L1359" s="12" t="n">
        <x:v>91.44181853306716</x:v>
      </x:c>
      <x:c r="M1359" s="12" t="n">
        <x:v>2</x:v>
      </x:c>
      <x:c r="N1359" s="14" t="n">
        <x:v>0.8956812556307754</x:v>
      </x:c>
      <x:c r="O1359" s="14" t="n">
        <x:v>0.10431874436922459</x:v>
      </x:c>
      <x:c r="P1359" s="14" t="n">
        <x:v>0.3607064260905056</x:v>
      </x:c>
      <x:c r="Q1359" s="14" t="n">
        <x:v>0.3039862474840433</x:v>
      </x:c>
      <x:c r="R1359" s="14" t="n">
        <x:v>0.2148445996502959</x:v>
      </x:c>
      <x:c r="S1359" s="14" t="n">
        <x:v>0.6674390553804117</x:v>
      </x:c>
      <x:c r="T1359" t="str">
        <x:v>여성소비·평일집중</x:v>
      </x:c>
      <x:c r="U1359" s="16" t="n">
        <x:v>69.41586665629498</x:v>
      </x:c>
      <x:c r="V1359" t="str">
        <x:v>예술학원</x:v>
      </x:c>
      <x:c r="W1359" t="str">
        <x:v>예술학원 / 커피-음료</x:v>
      </x:c>
      <x:c r="X1359" s="16" t="n">
        <x:v>62.05138095076856</x:v>
      </x:c>
    </x:row>
    <x:row r="1360">
      <x:c r="A1360" t="str">
        <x:v>3110921</x:v>
      </x:c>
      <x:c r="B1360" t="str">
        <x:v>서울프랑스학교</x:v>
      </x:c>
      <x:c r="C1360" t="str">
        <x:v>골목상권</x:v>
      </x:c>
      <x:c r="D1360" t="str">
        <x:v>서초구</x:v>
      </x:c>
      <x:c r="E1360" t="str">
        <x:v>반포4동</x:v>
      </x:c>
      <x:c r="F1360" s="12" t="n">
        <x:v>35625</x:v>
      </x:c>
      <x:c r="G1360" s="12" t="n">
        <x:v>402192542</x:v>
      </x:c>
      <x:c r="H1360" s="12" t="n">
        <x:v>4870</x:v>
      </x:c>
      <x:c r="I1360" s="12" t="n">
        <x:v>82585.73757700206</x:v>
      </x:c>
      <x:c r="J1360" s="12" t="n">
        <x:v>11289.615214035088</x:v>
      </x:c>
      <x:c r="K1360" s="12" t="n">
        <x:v>952</x:v>
      </x:c>
      <x:c r="L1360" s="12" t="n">
        <x:v>267.2280701754386</x:v>
      </x:c>
      <x:c r="M1360" s="12" t="n">
        <x:v>5</x:v>
      </x:c>
      <x:c r="N1360" s="14" t="n">
        <x:v>0.845472897903711</x:v>
      </x:c>
      <x:c r="O1360" s="14" t="n">
        <x:v>0.154527102096289</x:v>
      </x:c>
      <x:c r="P1360" s="14" t="n">
        <x:v>0.6748103797509005</x:v>
      </x:c>
      <x:c r="Q1360" s="14" t="n">
        <x:v>0.20649786688486133</x:v>
      </x:c>
      <x:c r="R1360" s="14" t="n">
        <x:v>0.06586174837622921</x:v>
      </x:c>
      <x:c r="S1360" s="14" t="n">
        <x:v>0.26922270478103494</x:v>
      </x:c>
      <x:c r="T1360" t="str">
        <x:v>야간활성·평일집중</x:v>
      </x:c>
      <x:c r="U1360" s="16" t="n">
        <x:v>49.33173817963074</x:v>
      </x:c>
      <x:c r="V1360" t="str">
        <x:v>미용실</x:v>
      </x:c>
      <x:c r="W1360" t="str">
        <x:v>미용실 / 한식음식점 / 커피-음료</x:v>
      </x:c>
      <x:c r="X1360" s="16" t="n">
        <x:v>38.43953529192816</x:v>
      </x:c>
    </x:row>
    <x:row r="1361">
      <x:c r="A1361" t="str">
        <x:v>3110178</x:v>
      </x:c>
      <x:c r="B1361" t="str">
        <x:v>장로회신학대학교</x:v>
      </x:c>
      <x:c r="C1361" t="str">
        <x:v>골목상권</x:v>
      </x:c>
      <x:c r="D1361" t="str">
        <x:v>광진구</x:v>
      </x:c>
      <x:c r="E1361" t="str">
        <x:v>광장동</x:v>
      </x:c>
      <x:c r="F1361" s="12" t="n">
        <x:v>45933</x:v>
      </x:c>
      <x:c r="G1361" s="12" t="n">
        <x:v>401521642</x:v>
      </x:c>
      <x:c r="H1361" s="12" t="n">
        <x:v>20786</x:v>
      </x:c>
      <x:c r="I1361" s="12" t="n">
        <x:v>19316.926873857403</x:v>
      </x:c>
      <x:c r="J1361" s="12" t="n">
        <x:v>8741.46347941567</x:v>
      </x:c>
      <x:c r="K1361" s="12" t="n">
        <x:v>293</x:v>
      </x:c>
      <x:c r="L1361" s="12" t="n">
        <x:v>63.78856160059216</x:v>
      </x:c>
      <x:c r="M1361" s="12" t="n">
        <x:v>6</x:v>
      </x:c>
      <x:c r="N1361" s="14" t="n">
        <x:v>0.7429770174131735</x:v>
      </x:c>
      <x:c r="O1361" s="14" t="n">
        <x:v>0.25702298258682654</x:v>
      </x:c>
      <x:c r="P1361" s="14" t="n">
        <x:v>0.2941804965023529</x:v>
      </x:c>
      <x:c r="Q1361" s="14" t="n">
        <x:v>0.4470352883245083</x:v>
      </x:c>
      <x:c r="R1361" s="14" t="n">
        <x:v>0.2650543753255522</x:v>
      </x:c>
      <x:c r="S1361" s="14" t="n">
        <x:v>0.42431100388855253</x:v>
      </x:c>
      <x:c r="T1361" t="str">
        <x:v>2030소비</x:v>
      </x:c>
      <x:c r="U1361" s="16" t="n">
        <x:v>52.040319710201075</x:v>
      </x:c>
      <x:c r="V1361" t="str">
        <x:v>일반의류</x:v>
      </x:c>
      <x:c r="W1361" t="str">
        <x:v>일반의류 / 한식음식점 / 분식전문점</x:v>
      </x:c>
      <x:c r="X1361" s="16" t="n">
        <x:v>45.40004259738556</x:v>
      </x:c>
    </x:row>
    <x:row r="1362">
      <x:c r="A1362" t="str">
        <x:v>3110977</x:v>
      </x:c>
      <x:c r="B1362" t="str">
        <x:v>논현로18길</x:v>
      </x:c>
      <x:c r="C1362" t="str">
        <x:v>골목상권</x:v>
      </x:c>
      <x:c r="D1362" t="str">
        <x:v>강남구</x:v>
      </x:c>
      <x:c r="E1362" t="str">
        <x:v>개포4동</x:v>
      </x:c>
      <x:c r="F1362" s="12" t="n">
        <x:v>17288</x:v>
      </x:c>
      <x:c r="G1362" s="12" t="n">
        <x:v>398741977</x:v>
      </x:c>
      <x:c r="H1362" s="12" t="n">
        <x:v>28934</x:v>
      </x:c>
      <x:c r="I1362" s="12" t="n">
        <x:v>13781.087198451649</x:v>
      </x:c>
      <x:c r="J1362" s="12" t="n">
        <x:v>23064.66780425729</x:v>
      </x:c>
      <x:c r="K1362" s="12" t="n">
        <x:v>144</x:v>
      </x:c>
      <x:c r="L1362" s="12" t="n">
        <x:v>83.29477093937992</x:v>
      </x:c>
      <x:c r="M1362" s="12" t="n">
        <x:v>2</x:v>
      </x:c>
      <x:c r="N1362" s="14" t="n">
        <x:v>0.796825850617679</x:v>
      </x:c>
      <x:c r="O1362" s="14" t="n">
        <x:v>0.20317414938232098</x:v>
      </x:c>
      <x:c r="P1362" s="14" t="n">
        <x:v>0.4461996560748356</x:v>
      </x:c>
      <x:c r="Q1362" s="14" t="n">
        <x:v>0.3551586042319292</x:v>
      </x:c>
      <x:c r="R1362" s="14" t="n">
        <x:v>0.20255604791767384</x:v>
      </x:c>
      <x:c r="S1362" s="14" t="n">
        <x:v>0.24136577925428704</x:v>
      </x:c>
      <x:c r="T1362" t="str">
        <x:v>평일집중·야간활성</x:v>
      </x:c>
      <x:c r="U1362" s="16" t="n">
        <x:v>36.37960993324938</x:v>
      </x:c>
      <x:c r="V1362" t="str">
        <x:v>한식음식점</x:v>
      </x:c>
      <x:c r="W1362" t="str">
        <x:v>한식음식점 / 편의점</x:v>
      </x:c>
      <x:c r="X1362" s="16" t="n">
        <x:v>30.780663941276444</x:v>
      </x:c>
    </x:row>
    <x:row r="1363">
      <x:c r="A1363" t="str">
        <x:v>3110798</x:v>
      </x:c>
      <x:c r="B1363" t="str">
        <x:v>신풍역 2번</x:v>
      </x:c>
      <x:c r="C1363" t="str">
        <x:v>골목상권</x:v>
      </x:c>
      <x:c r="D1363" t="str">
        <x:v>영등포구</x:v>
      </x:c>
      <x:c r="E1363" t="str">
        <x:v>신길6동</x:v>
      </x:c>
      <x:c r="F1363" s="12" t="n">
        <x:v>21568</x:v>
      </x:c>
      <x:c r="G1363" s="12" t="n">
        <x:v>398156096</x:v>
      </x:c>
      <x:c r="H1363" s="12" t="n">
        <x:v>5725</x:v>
      </x:c>
      <x:c r="I1363" s="12" t="n">
        <x:v>69546.91633187773</x:v>
      </x:c>
      <x:c r="J1363" s="12" t="n">
        <x:v>18460.501483679524</x:v>
      </x:c>
      <x:c r="K1363" s="12" t="n">
        <x:v>244</x:v>
      </x:c>
      <x:c r="L1363" s="12" t="n">
        <x:v>113.13056379821958</x:v>
      </x:c>
      <x:c r="M1363" s="12" t="n">
        <x:v>1</x:v>
      </x:c>
      <x:c r="N1363" s="14" t="n">
        <x:v>0.6000066014310126</x:v>
      </x:c>
      <x:c r="O1363" s="14" t="n">
        <x:v>0.39999339856898736</x:v>
      </x:c>
      <x:c r="P1363" s="14" t="n">
        <x:v>0.874728558720849</x:v>
      </x:c>
      <x:c r="Q1363" s="14" t="n">
        <x:v>0.06120285296347692</x:v>
      </x:c>
      <x:c r="R1363" s="14" t="n">
        <x:v>0.24017972840481136</x:v>
      </x:c>
      <x:c r="S1363" s="14" t="n">
        <x:v>0.3141530978845041</x:v>
      </x:c>
      <x:c r="T1363" t="str">
        <x:v>야간활성·직장밀집</x:v>
      </x:c>
      <x:c r="U1363" s="16" t="n">
        <x:v>49.81962562172798</x:v>
      </x:c>
      <x:c r="V1363" t="str">
        <x:v>한식음식점</x:v>
      </x:c>
      <x:c r="W1363" t="str">
        <x:v>한식음식점</x:v>
      </x:c>
      <x:c r="X1363" s="16" t="n">
        <x:v>49.81962562172798</x:v>
      </x:c>
    </x:row>
    <x:row r="1364">
      <x:c r="A1364" t="str">
        <x:v>3130305</x:v>
      </x:c>
      <x:c r="B1364" t="str">
        <x:v>논현종합시장</x:v>
      </x:c>
      <x:c r="C1364" t="str">
        <x:v>전통시장</x:v>
      </x:c>
      <x:c r="D1364" t="str">
        <x:v>강남구</x:v>
      </x:c>
      <x:c r="E1364" t="str">
        <x:v>논현2동</x:v>
      </x:c>
      <x:c r="F1364" s="12" t="n">
        <x:v>6787</x:v>
      </x:c>
      <x:c r="G1364" s="12" t="n">
        <x:v>393847879</x:v>
      </x:c>
      <x:c r="H1364" s="12" t="n">
        <x:v>18793</x:v>
      </x:c>
      <x:c r="I1364" s="12" t="n">
        <x:v>20957.158463257594</x:v>
      </x:c>
      <x:c r="J1364" s="12" t="n">
        <x:v>58029.74495358774</x:v>
      </x:c>
      <x:c r="K1364" s="12" t="n">
        <x:v>137</x:v>
      </x:c>
      <x:c r="L1364" s="12" t="n">
        <x:v>201.856490349197</x:v>
      </x:c>
      <x:c r="M1364" s="12" t="n">
        <x:v>2</x:v>
      </x:c>
      <x:c r="N1364" s="14" t="n">
        <x:v>0.8605653605665349</x:v>
      </x:c>
      <x:c r="O1364" s="14" t="n">
        <x:v>0.13943463943346512</x:v>
      </x:c>
      <x:c r="P1364" s="14" t="n">
        <x:v>0.16459382024499872</x:v>
      </x:c>
      <x:c r="Q1364" s="14" t="n">
        <x:v>0.37009042773085493</x:v>
      </x:c>
      <x:c r="R1364" s="14" t="n">
        <x:v>0.22222627229128736</x:v>
      </x:c>
      <x:c r="S1364" s="14" t="n">
        <x:v>0.5850640292517609</x:v>
      </x:c>
      <x:c r="T1364" t="str">
        <x:v>여성소비·평일집중</x:v>
      </x:c>
      <x:c r="U1364" s="16" t="n">
        <x:v>44.19186636122493</x:v>
      </x:c>
      <x:c r="V1364" t="str">
        <x:v>반찬가게</x:v>
      </x:c>
      <x:c r="W1364" t="str">
        <x:v>반찬가게 / 한식음식점</x:v>
      </x:c>
      <x:c r="X1364" s="16" t="n">
        <x:v>31.13015956583696</x:v>
      </x:c>
    </x:row>
    <x:row r="1365">
      <x:c r="A1365" t="str">
        <x:v>3130250</x:v>
      </x:c>
      <x:c r="B1365" t="str">
        <x:v>삼구시장(로타리상가)</x:v>
      </x:c>
      <x:c r="C1365" t="str">
        <x:v>전통시장</x:v>
      </x:c>
      <x:c r="D1365" t="str">
        <x:v>영등포구</x:v>
      </x:c>
      <x:c r="E1365" t="str">
        <x:v>영등포동</x:v>
      </x:c>
      <x:c r="F1365" s="12" t="n">
        <x:v>5729</x:v>
      </x:c>
      <x:c r="G1365" s="12" t="n">
        <x:v>391879708</x:v>
      </x:c>
      <x:c r="H1365" s="12" t="n">
        <x:v>9815</x:v>
      </x:c>
      <x:c r="I1365" s="12" t="n">
        <x:v>39926.61314314824</x:v>
      </x:c>
      <x:c r="J1365" s="12" t="n">
        <x:v>68402.81165997556</x:v>
      </x:c>
      <x:c r="K1365" s="12" t="n">
        <x:v>37</x:v>
      </x:c>
      <x:c r="L1365" s="12" t="n">
        <x:v>64.58369698027579</x:v>
      </x:c>
      <x:c r="M1365" s="12" t="n">
        <x:v>4</x:v>
      </x:c>
      <x:c r="N1365" s="14" t="n">
        <x:v>0.5695263940535549</x:v>
      </x:c>
      <x:c r="O1365" s="14" t="n">
        <x:v>0.4304736059464452</x:v>
      </x:c>
      <x:c r="P1365" s="14" t="n">
        <x:v>0.5101069765010644</x:v>
      </x:c>
      <x:c r="Q1365" s="14" t="n">
        <x:v>0.11999326334090256</x:v>
      </x:c>
      <x:c r="R1365" s="14" t="n">
        <x:v>0.21573207868165503</x:v>
      </x:c>
      <x:c r="S1365" s="14" t="n">
        <x:v>0.32615812554397433</x:v>
      </x:c>
      <x:c r="T1365" t="str">
        <x:v>야간활성·고매출밀도</x:v>
      </x:c>
      <x:c r="U1365" s="16" t="n">
        <x:v>34.04227127040693</x:v>
      </x:c>
      <x:c r="V1365" t="str">
        <x:v>일반의류</x:v>
      </x:c>
      <x:c r="W1365" t="str">
        <x:v>일반의류 / 커피-음료 / 화초</x:v>
      </x:c>
      <x:c r="X1365" s="16" t="n">
        <x:v>26.959467377132036</x:v>
      </x:c>
    </x:row>
    <x:row r="1366">
      <x:c r="A1366" t="str">
        <x:v>3110589</x:v>
      </x:c>
      <x:c r="B1366" t="str">
        <x:v>애오개역 3번</x:v>
      </x:c>
      <x:c r="C1366" t="str">
        <x:v>골목상권</x:v>
      </x:c>
      <x:c r="D1366" t="str">
        <x:v>마포구</x:v>
      </x:c>
      <x:c r="E1366" t="str">
        <x:v>공덕동</x:v>
      </x:c>
      <x:c r="F1366" s="12" t="n">
        <x:v>31214</x:v>
      </x:c>
      <x:c r="G1366" s="12" t="n">
        <x:v>391071338</x:v>
      </x:c>
      <x:c r="H1366" s="12" t="n">
        <x:v>11817</x:v>
      </x:c>
      <x:c r="I1366" s="12" t="n">
        <x:v>33093.96107303038</x:v>
      </x:c>
      <x:c r="J1366" s="12" t="n">
        <x:v>12528.715896713013</x:v>
      </x:c>
      <x:c r="K1366" s="12" t="n">
        <x:v>141</x:v>
      </x:c>
      <x:c r="L1366" s="12" t="n">
        <x:v>45.17203818799257</x:v>
      </x:c>
      <x:c r="M1366" s="12" t="n">
        <x:v>3</x:v>
      </x:c>
      <x:c r="N1366" s="14" t="n">
        <x:v>0.8868222247471381</x:v>
      </x:c>
      <x:c r="O1366" s="14" t="n">
        <x:v>0.11317777525286192</x:v>
      </x:c>
      <x:c r="P1366" s="14" t="n">
        <x:v>0.19052183261765912</x:v>
      </x:c>
      <x:c r="Q1366" s="14" t="n">
        <x:v>0.24343950514726803</x:v>
      </x:c>
      <x:c r="R1366" s="14" t="n">
        <x:v>0.12511557929617434</x:v>
      </x:c>
      <x:c r="S1366" s="14" t="n">
        <x:v>0.6680855245904009</x:v>
      </x:c>
      <x:c r="T1366" t="str">
        <x:v>여성소비·평일집중</x:v>
      </x:c>
      <x:c r="U1366" s="16" t="n">
        <x:v>50.14296658616799</x:v>
      </x:c>
      <x:c r="V1366" t="str">
        <x:v>예술학원</x:v>
      </x:c>
      <x:c r="W1366" t="str">
        <x:v>예술학원 / 일반의원 / 일반교습학원</x:v>
      </x:c>
      <x:c r="X1366" s="16" t="n">
        <x:v>46.192134483489305</x:v>
      </x:c>
    </x:row>
    <x:row r="1367">
      <x:c r="A1367" t="str">
        <x:v>3110257</x:v>
      </x:c>
      <x:c r="B1367" t="str">
        <x:v>상봉역 7번</x:v>
      </x:c>
      <x:c r="C1367" t="str">
        <x:v>골목상권</x:v>
      </x:c>
      <x:c r="D1367" t="str">
        <x:v>중랑구</x:v>
      </x:c>
      <x:c r="E1367" t="str">
        <x:v>상봉1동</x:v>
      </x:c>
      <x:c r="F1367" s="12" t="n">
        <x:v>114328</x:v>
      </x:c>
      <x:c r="G1367" s="12" t="n">
        <x:v>391011456</x:v>
      </x:c>
      <x:c r="H1367" s="12" t="n">
        <x:v>33122</x:v>
      </x:c>
      <x:c r="I1367" s="12" t="n">
        <x:v>11805.188575569107</x:v>
      </x:c>
      <x:c r="J1367" s="12" t="n">
        <x:v>3420.0848086208102</x:v>
      </x:c>
      <x:c r="K1367" s="12" t="n">
        <x:v>256</x:v>
      </x:c>
      <x:c r="L1367" s="12" t="n">
        <x:v>22.391715065425796</x:v>
      </x:c>
      <x:c r="M1367" s="12" t="n">
        <x:v>4</x:v>
      </x:c>
      <x:c r="N1367" s="14" t="n">
        <x:v>0.6845200310448193</x:v>
      </x:c>
      <x:c r="O1367" s="14" t="n">
        <x:v>0.3154799689551807</x:v>
      </x:c>
      <x:c r="P1367" s="14" t="n">
        <x:v>0.6419677509397577</x:v>
      </x:c>
      <x:c r="Q1367" s="14" t="n">
        <x:v>0.09921644341796472</x:v>
      </x:c>
      <x:c r="R1367" s="14" t="n">
        <x:v>0.3883197810961324</x:v>
      </x:c>
      <x:c r="S1367" s="14" t="n">
        <x:v>0.35737108173117055</x:v>
      </x:c>
      <x:c r="T1367" t="str">
        <x:v>야간활성·2030소비</x:v>
      </x:c>
      <x:c r="U1367" s="16" t="n">
        <x:v>71.79242124847865</x:v>
      </x:c>
      <x:c r="V1367" t="str">
        <x:v>당구장</x:v>
      </x:c>
      <x:c r="W1367" t="str">
        <x:v>당구장 / 미용실 / 한식음식점</x:v>
      </x:c>
      <x:c r="X1367" s="16" t="n">
        <x:v>48.23550991361599</x:v>
      </x:c>
    </x:row>
    <x:row r="1368">
      <x:c r="A1368" t="str">
        <x:v>3130220</x:v>
      </x:c>
      <x:c r="B1368" t="str">
        <x:v>등마루시장</x:v>
      </x:c>
      <x:c r="C1368" t="str">
        <x:v>전통시장</x:v>
      </x:c>
      <x:c r="D1368" t="str">
        <x:v>강서구</x:v>
      </x:c>
      <x:c r="E1368" t="str">
        <x:v>등촌1동</x:v>
      </x:c>
      <x:c r="F1368" s="12" t="n">
        <x:v>14496</x:v>
      </x:c>
      <x:c r="G1368" s="12" t="n">
        <x:v>388149776</x:v>
      </x:c>
      <x:c r="H1368" s="12" t="n">
        <x:v>10777</x:v>
      </x:c>
      <x:c r="I1368" s="12" t="n">
        <x:v>36016.49587083604</x:v>
      </x:c>
      <x:c r="J1368" s="12" t="n">
        <x:v>26776.33664459161</x:v>
      </x:c>
      <x:c r="K1368" s="12" t="n">
        <x:v>117</x:v>
      </x:c>
      <x:c r="L1368" s="12" t="n">
        <x:v>80.71192052980132</x:v>
      </x:c>
      <x:c r="M1368" s="12" t="n">
        <x:v>1</x:v>
      </x:c>
      <x:c r="N1368" s="14" t="n">
        <x:v>0.7913564582348233</x:v>
      </x:c>
      <x:c r="O1368" s="14" t="n">
        <x:v>0.20864354176517674</x:v>
      </x:c>
      <x:c r="P1368" s="14" t="n">
        <x:v>0.6694395155338181</x:v>
      </x:c>
      <x:c r="Q1368" s="14" t="n">
        <x:v>0.2851787604793053</x:v>
      </x:c>
      <x:c r="R1368" s="14" t="n">
        <x:v>0.17620500185474794</x:v>
      </x:c>
      <x:c r="S1368" s="14" t="n">
        <x:v>0.23784345813972593</x:v>
      </x:c>
      <x:c r="T1368" t="str">
        <x:v>야간활성·평일집중</x:v>
      </x:c>
      <x:c r="U1368" s="16" t="n">
        <x:v>45.28052601377089</x:v>
      </x:c>
      <x:c r="V1368" t="str">
        <x:v>한식음식점</x:v>
      </x:c>
      <x:c r="W1368" t="str">
        <x:v>한식음식점</x:v>
      </x:c>
      <x:c r="X1368" s="16" t="n">
        <x:v>45.28052601377089</x:v>
      </x:c>
    </x:row>
    <x:row r="1369">
      <x:c r="A1369" t="str">
        <x:v>3110988</x:v>
      </x:c>
      <x:c r="B1369" t="str">
        <x:v>청담역 3번</x:v>
      </x:c>
      <x:c r="C1369" t="str">
        <x:v>골목상권</x:v>
      </x:c>
      <x:c r="D1369" t="str">
        <x:v>강남구</x:v>
      </x:c>
      <x:c r="E1369" t="str">
        <x:v>삼성1동</x:v>
      </x:c>
      <x:c r="F1369" s="12" t="n">
        <x:v>79185</x:v>
      </x:c>
      <x:c r="G1369" s="12" t="n">
        <x:v>382609238</x:v>
      </x:c>
      <x:c r="H1369" s="12" t="n">
        <x:v>2773</x:v>
      </x:c>
      <x:c r="I1369" s="12" t="n">
        <x:v>137976.64551027768</x:v>
      </x:c>
      <x:c r="J1369" s="12" t="n">
        <x:v>4831.839843404685</x:v>
      </x:c>
      <x:c r="K1369" s="12" t="n">
        <x:v>863</x:v>
      </x:c>
      <x:c r="L1369" s="12" t="n">
        <x:v>108.98528761760434</x:v>
      </x:c>
      <x:c r="M1369" s="12" t="n">
        <x:v>2</x:v>
      </x:c>
      <x:c r="N1369" s="14" t="n">
        <x:v>0.4921189409441285</x:v>
      </x:c>
      <x:c r="O1369" s="14" t="n">
        <x:v>0.5078810590558716</x:v>
      </x:c>
      <x:c r="P1369" s="14" t="n">
        <x:v>0.092718566298705</x:v>
      </x:c>
      <x:c r="Q1369" s="14" t="n">
        <x:v>0.3964058154811202</x:v>
      </x:c>
      <x:c r="R1369" s="14" t="n">
        <x:v>0.15644126710814024</x:v>
      </x:c>
      <x:c r="S1369" s="14" t="n">
        <x:v>0.5354994800203962</x:v>
      </x:c>
      <x:c r="T1369" t="str">
        <x:v>여성소비·직장밀집</x:v>
      </x:c>
      <x:c r="U1369" s="16" t="n">
        <x:v>74.28162914355455</x:v>
      </x:c>
      <x:c r="V1369" t="str">
        <x:v>미용실</x:v>
      </x:c>
      <x:c r="W1369" t="str">
        <x:v>미용실 / 피부관리실</x:v>
      </x:c>
      <x:c r="X1369" s="16" t="n">
        <x:v>57.29023128964562</x:v>
      </x:c>
    </x:row>
    <x:row r="1370">
      <x:c r="A1370" t="str">
        <x:v>3110639</x:v>
      </x:c>
      <x:c r="B1370" t="str">
        <x:v>신방화역 8번</x:v>
      </x:c>
      <x:c r="C1370" t="str">
        <x:v>골목상권</x:v>
      </x:c>
      <x:c r="D1370" t="str">
        <x:v>강서구</x:v>
      </x:c>
      <x:c r="E1370" t="str">
        <x:v>방화1동</x:v>
      </x:c>
      <x:c r="F1370" s="12" t="n">
        <x:v>97165</x:v>
      </x:c>
      <x:c r="G1370" s="12" t="n">
        <x:v>381427946</x:v>
      </x:c>
      <x:c r="H1370" s="12" t="n">
        <x:v>12280</x:v>
      </x:c>
      <x:c r="I1370" s="12" t="n">
        <x:v>31060.907654723127</x:v>
      </x:c>
      <x:c r="J1370" s="12" t="n">
        <x:v>3925.5693511037925</x:v>
      </x:c>
      <x:c r="K1370" s="12" t="n">
        <x:v>466</x:v>
      </x:c>
      <x:c r="L1370" s="12" t="n">
        <x:v>47.95965625482427</x:v>
      </x:c>
      <x:c r="M1370" s="12" t="n">
        <x:v>5</x:v>
      </x:c>
      <x:c r="N1370" s="14" t="n">
        <x:v>0.6589310553558653</x:v>
      </x:c>
      <x:c r="O1370" s="14" t="n">
        <x:v>0.3410689446441347</x:v>
      </x:c>
      <x:c r="P1370" s="14" t="n">
        <x:v>0.38047145606892685</x:v>
      </x:c>
      <x:c r="Q1370" s="14" t="n">
        <x:v>0.35250729898013294</x:v>
      </x:c>
      <x:c r="R1370" s="14" t="n">
        <x:v>0.09842770408857247</x:v>
      </x:c>
      <x:c r="S1370" s="14" t="n">
        <x:v>0.3754982861166654</x:v>
      </x:c>
      <x:c r="T1370" t="str">
        <x:v>균형형</x:v>
      </x:c>
      <x:c r="U1370" s="16" t="n">
        <x:v>46.37561225665561</x:v>
      </x:c>
      <x:c r="V1370" t="str">
        <x:v>호프-간이주점</x:v>
      </x:c>
      <x:c r="W1370" t="str">
        <x:v>호프-간이주점 / 한식음식점 / 커피-음료</x:v>
      </x:c>
      <x:c r="X1370" s="16" t="n">
        <x:v>36.52339728869757</x:v>
      </x:c>
    </x:row>
    <x:row r="1371">
      <x:c r="A1371" t="str">
        <x:v>3110149</x:v>
      </x:c>
      <x:c r="B1371" t="str">
        <x:v>세종대학교</x:v>
      </x:c>
      <x:c r="C1371" t="str">
        <x:v>골목상권</x:v>
      </x:c>
      <x:c r="D1371" t="str">
        <x:v>광진구</x:v>
      </x:c>
      <x:c r="E1371" t="str">
        <x:v>군자동</x:v>
      </x:c>
      <x:c r="F1371" s="12" t="n">
        <x:v>45957</x:v>
      </x:c>
      <x:c r="G1371" s="12" t="n">
        <x:v>380764874</x:v>
      </x:c>
      <x:c r="H1371" s="12" t="n">
        <x:v>1738</x:v>
      </x:c>
      <x:c r="I1371" s="12" t="n">
        <x:v>219082.20598388952</x:v>
      </x:c>
      <x:c r="J1371" s="12" t="n">
        <x:v>8285.242161150642</x:v>
      </x:c>
      <x:c r="K1371" s="12" t="n">
        <x:v>214</x:v>
      </x:c>
      <x:c r="L1371" s="12" t="n">
        <x:v>46.5652675326936</x:v>
      </x:c>
      <x:c r="M1371" s="12" t="n">
        <x:v>1</x:v>
      </x:c>
      <x:c r="N1371" s="14" t="n">
        <x:v>0.8590892446659878</x:v>
      </x:c>
      <x:c r="O1371" s="14" t="n">
        <x:v>0.14091075533401223</x:v>
      </x:c>
      <x:c r="P1371" s="14" t="n">
        <x:v>0.1370543045417577</x:v>
      </x:c>
      <x:c r="Q1371" s="14" t="n">
        <x:v>0.2351967266812537</x:v>
      </x:c>
      <x:c r="R1371" s="14" t="n">
        <x:v>0.21903098130842816</x:v>
      </x:c>
      <x:c r="S1371" s="14" t="n">
        <x:v>0.17926981363307162</x:v>
      </x:c>
      <x:c r="T1371" t="str">
        <x:v>평일집중</x:v>
      </x:c>
      <x:c r="U1371" s="16" t="n">
        <x:v>55.20844000749032</x:v>
      </x:c>
      <x:c r="V1371" t="str">
        <x:v>자동차수리</x:v>
      </x:c>
      <x:c r="W1371" t="str">
        <x:v>자동차수리</x:v>
      </x:c>
      <x:c r="X1371" s="16" t="n">
        <x:v>55.20844000749032</x:v>
      </x:c>
    </x:row>
    <x:row r="1372">
      <x:c r="A1372" t="str">
        <x:v>3110145</x:v>
      </x:c>
      <x:c r="B1372" t="str">
        <x:v>장안초등학교</x:v>
      </x:c>
      <x:c r="C1372" t="str">
        <x:v>골목상권</x:v>
      </x:c>
      <x:c r="D1372" t="str">
        <x:v>광진구</x:v>
      </x:c>
      <x:c r="E1372" t="str">
        <x:v>군자동</x:v>
      </x:c>
      <x:c r="F1372" s="12" t="n">
        <x:v>14956</x:v>
      </x:c>
      <x:c r="G1372" s="12" t="n">
        <x:v>378273133</x:v>
      </x:c>
      <x:c r="H1372" s="12" t="n">
        <x:v>64350</x:v>
      </x:c>
      <x:c r="I1372" s="12" t="n">
        <x:v>5878.370365190365</x:v>
      </x:c>
      <x:c r="J1372" s="12" t="n">
        <x:v>25292.399906392082</x:v>
      </x:c>
      <x:c r="K1372" s="12" t="n">
        <x:v>9</x:v>
      </x:c>
      <x:c r="L1372" s="12" t="n">
        <x:v>6.017651778550414</x:v>
      </x:c>
      <x:c r="M1372" s="12" t="n">
        <x:v>2</x:v>
      </x:c>
      <x:c r="N1372" s="14" t="n">
        <x:v>0.7363832022402712</x:v>
      </x:c>
      <x:c r="O1372" s="14" t="n">
        <x:v>0.2636167977597288</x:v>
      </x:c>
      <x:c r="P1372" s="14" t="n">
        <x:v>0.39609656073565236</x:v>
      </x:c>
      <x:c r="Q1372" s="14" t="n">
        <x:v>0.17195423974242444</x:v>
      </x:c>
      <x:c r="R1372" s="14" t="n">
        <x:v>0.6195313876547505</x:v>
      </x:c>
      <x:c r="S1372" s="14" t="n">
        <x:v>0.36171367211532834</x:v>
      </x:c>
      <x:c r="T1372" t="str">
        <x:v>2030소비</x:v>
      </x:c>
      <x:c r="U1372" s="16" t="n">
        <x:v>46.67435775088867</x:v>
      </x:c>
      <x:c r="V1372" t="str">
        <x:v>편의점</x:v>
      </x:c>
      <x:c r="W1372" t="str">
        <x:v>편의점 / 커피-음료</x:v>
      </x:c>
      <x:c r="X1372" s="16" t="n">
        <x:v>34.57955638822619</x:v>
      </x:c>
    </x:row>
    <x:row r="1373">
      <x:c r="A1373" t="str">
        <x:v>3110497</x:v>
      </x:c>
      <x:c r="B1373" t="str">
        <x:v>가좌역 3번</x:v>
      </x:c>
      <x:c r="C1373" t="str">
        <x:v>골목상권</x:v>
      </x:c>
      <x:c r="D1373" t="str">
        <x:v>서대문구</x:v>
      </x:c>
      <x:c r="E1373" t="str">
        <x:v>남가좌1동</x:v>
      </x:c>
      <x:c r="F1373" s="12" t="n">
        <x:v>27096</x:v>
      </x:c>
      <x:c r="G1373" s="12" t="n">
        <x:v>377490272</x:v>
      </x:c>
      <x:c r="H1373" s="12" t="n">
        <x:v>16098</x:v>
      </x:c>
      <x:c r="I1373" s="12" t="n">
        <x:v>23449.51372841347</x:v>
      </x:c>
      <x:c r="J1373" s="12" t="n">
        <x:v>13931.586654856805</x:v>
      </x:c>
      <x:c r="K1373" s="12" t="n">
        <x:v>704</x:v>
      </x:c>
      <x:c r="L1373" s="12" t="n">
        <x:v>259.816947150871</x:v>
      </x:c>
      <x:c r="M1373" s="12" t="n">
        <x:v>5</x:v>
      </x:c>
      <x:c r="N1373" s="14" t="n">
        <x:v>0.6643814598750772</x:v>
      </x:c>
      <x:c r="O1373" s="14" t="n">
        <x:v>0.33561854012492276</x:v>
      </x:c>
      <x:c r="P1373" s="14" t="n">
        <x:v>0.4416209777188642</x:v>
      </x:c>
      <x:c r="Q1373" s="14" t="n">
        <x:v>0.1975218423641921</x:v>
      </x:c>
      <x:c r="R1373" s="14" t="n">
        <x:v>0.161551169721269</x:v>
      </x:c>
      <x:c r="S1373" s="14" t="n">
        <x:v>0.48025043410920004</x:v>
      </x:c>
      <x:c r="T1373" t="str">
        <x:v>직장밀집·여성소비</x:v>
      </x:c>
      <x:c r="U1373" s="16" t="n">
        <x:v>49.82875355071705</x:v>
      </x:c>
      <x:c r="V1373" t="str">
        <x:v>미용실</x:v>
      </x:c>
      <x:c r="W1373" t="str">
        <x:v>미용실 / 청과상 / 일반의류</x:v>
      </x:c>
      <x:c r="X1373" s="16" t="n">
        <x:v>42.35482126508439</x:v>
      </x:c>
    </x:row>
    <x:row r="1374">
      <x:c r="A1374" t="str">
        <x:v>3130152</x:v>
      </x:c>
      <x:c r="B1374" t="str">
        <x:v>오!도봉거리 상점가</x:v>
      </x:c>
      <x:c r="C1374" t="str">
        <x:v>전통시장</x:v>
      </x:c>
      <x:c r="D1374" t="str">
        <x:v>도봉구</x:v>
      </x:c>
      <x:c r="E1374" t="str">
        <x:v>도봉2동</x:v>
      </x:c>
      <x:c r="F1374" s="12" t="n">
        <x:v>24434</x:v>
      </x:c>
      <x:c r="G1374" s="12" t="n">
        <x:v>371272236</x:v>
      </x:c>
      <x:c r="H1374" s="12" t="n">
        <x:v>11710</x:v>
      </x:c>
      <x:c r="I1374" s="12" t="n">
        <x:v>31705.57096498719</x:v>
      </x:c>
      <x:c r="J1374" s="12" t="n">
        <x:v>15194.90202177294</x:v>
      </x:c>
      <x:c r="K1374" s="12" t="n">
        <x:v>64</x:v>
      </x:c>
      <x:c r="L1374" s="12" t="n">
        <x:v>26.193009740525497</x:v>
      </x:c>
      <x:c r="M1374" s="12" t="n">
        <x:v>6</x:v>
      </x:c>
      <x:c r="N1374" s="14" t="n">
        <x:v>0.7491004552249902</x:v>
      </x:c>
      <x:c r="O1374" s="14" t="n">
        <x:v>0.2508995447750098</x:v>
      </x:c>
      <x:c r="P1374" s="14" t="n">
        <x:v>0.36148267493936714</x:v>
      </x:c>
      <x:c r="Q1374" s="14" t="n">
        <x:v>0.31510673747228435</x:v>
      </x:c>
      <x:c r="R1374" s="14" t="n">
        <x:v>0.11174352126885136</x:v>
      </x:c>
      <x:c r="S1374" s="14" t="n">
        <x:v>0.32030216231951153</x:v>
      </x:c>
      <x:c r="T1374" t="str">
        <x:v>균형형</x:v>
      </x:c>
      <x:c r="U1374" s="16" t="n">
        <x:v>60.76438197913855</x:v>
      </x:c>
      <x:c r="V1374" t="str">
        <x:v>인테리어</x:v>
      </x:c>
      <x:c r="W1374" t="str">
        <x:v>인테리어 / 당구장 / 한식음식점</x:v>
      </x:c>
      <x:c r="X1374" s="16" t="n">
        <x:v>47.11543614107789</x:v>
      </x:c>
    </x:row>
    <x:row r="1375">
      <x:c r="A1375" t="str">
        <x:v>3111071</x:v>
      </x:c>
      <x:c r="B1375" t="str">
        <x:v>천동초등학교</x:v>
      </x:c>
      <x:c r="C1375" t="str">
        <x:v>골목상권</x:v>
      </x:c>
      <x:c r="D1375" t="str">
        <x:v>강동구</x:v>
      </x:c>
      <x:c r="E1375" t="str">
        <x:v>길동</x:v>
      </x:c>
      <x:c r="F1375" s="12" t="n">
        <x:v>35500</x:v>
      </x:c>
      <x:c r="G1375" s="12" t="n">
        <x:v>369860608</x:v>
      </x:c>
      <x:c r="H1375" s="12" t="n">
        <x:v>16665</x:v>
      </x:c>
      <x:c r="I1375" s="12" t="n">
        <x:v>22193.85586558656</x:v>
      </x:c>
      <x:c r="J1375" s="12" t="n">
        <x:v>10418.608676056338</x:v>
      </x:c>
      <x:c r="K1375" s="12" t="n">
        <x:v>64</x:v>
      </x:c>
      <x:c r="L1375" s="12" t="n">
        <x:v>18.028169014084508</x:v>
      </x:c>
      <x:c r="M1375" s="12" t="n">
        <x:v>5</x:v>
      </x:c>
      <x:c r="N1375" s="14" t="n">
        <x:v>0.7411037700992478</x:v>
      </x:c>
      <x:c r="O1375" s="14" t="n">
        <x:v>0.25889622990075223</x:v>
      </x:c>
      <x:c r="P1375" s="14" t="n">
        <x:v>0.15794183467086065</x:v>
      </x:c>
      <x:c r="Q1375" s="14" t="n">
        <x:v>0.4070978951075536</x:v>
      </x:c>
      <x:c r="R1375" s="14" t="n">
        <x:v>0.11976188337418188</x:v>
      </x:c>
      <x:c r="S1375" s="14" t="n">
        <x:v>0.35527268694697</x:v>
      </x:c>
      <x:c r="T1375" t="str">
        <x:v>균형형</x:v>
      </x:c>
      <x:c r="U1375" s="16" t="n">
        <x:v>48.10559409808679</x:v>
      </x:c>
      <x:c r="V1375" t="str">
        <x:v>자동차수리</x:v>
      </x:c>
      <x:c r="W1375" t="str">
        <x:v>자동차수리 / 예술학원 / 미용실</x:v>
      </x:c>
      <x:c r="X1375" s="16" t="n">
        <x:v>34.568318641474306</x:v>
      </x:c>
    </x:row>
    <x:row r="1376">
      <x:c r="A1376" t="str">
        <x:v>3110340</x:v>
      </x:c>
      <x:c r="B1376" t="str">
        <x:v>인수중학교</x:v>
      </x:c>
      <x:c r="C1376" t="str">
        <x:v>골목상권</x:v>
      </x:c>
      <x:c r="D1376" t="str">
        <x:v>강북구</x:v>
      </x:c>
      <x:c r="E1376" t="str">
        <x:v>인수동</x:v>
      </x:c>
      <x:c r="F1376" s="12" t="n">
        <x:v>50149</x:v>
      </x:c>
      <x:c r="G1376" s="12" t="n">
        <x:v>369224597</x:v>
      </x:c>
      <x:c r="H1376" s="12" t="n">
        <x:v>1452</x:v>
      </x:c>
      <x:c r="I1376" s="12" t="n">
        <x:v>254286.91253443525</x:v>
      </x:c>
      <x:c r="J1376" s="12" t="n">
        <x:v>7362.551536421464</x:v>
      </x:c>
      <x:c r="K1376" s="12" t="n">
        <x:v>284</x:v>
      </x:c>
      <x:c r="L1376" s="12" t="n">
        <x:v>56.631238908054</x:v>
      </x:c>
      <x:c r="M1376" s="12" t="n">
        <x:v>3</x:v>
      </x:c>
      <x:c r="N1376" s="14" t="n">
        <x:v>0.807456592606153</x:v>
      </x:c>
      <x:c r="O1376" s="14" t="n">
        <x:v>0.19254340739384707</x:v>
      </x:c>
      <x:c r="P1376" s="14" t="n">
        <x:v>0.012680401138063941</x:v>
      </x:c>
      <x:c r="Q1376" s="14" t="n">
        <x:v>0.7987975947333757</x:v>
      </x:c>
      <x:c r="R1376" s="14" t="n">
        <x:v>0.9727148513889501</x:v>
      </x:c>
      <x:c r="S1376" s="14" t="n">
        <x:v>0.9839694428591929</x:v>
      </x:c>
      <x:c r="T1376" t="str">
        <x:v>2030소비·여성소비</x:v>
      </x:c>
      <x:c r="U1376" s="16" t="n">
        <x:v>64.69079855201647</x:v>
      </x:c>
      <x:c r="V1376" t="str">
        <x:v>조명용품</x:v>
      </x:c>
      <x:c r="W1376" t="str">
        <x:v>조명용품 / 한식음식점 / 미용실</x:v>
      </x:c>
      <x:c r="X1376" s="16" t="n">
        <x:v>44.9633509461839</x:v>
      </x:c>
    </x:row>
    <x:row r="1377">
      <x:c r="A1377" t="str">
        <x:v>3111009</x:v>
      </x:c>
      <x:c r="B1377" t="str">
        <x:v>송파책박물관</x:v>
      </x:c>
      <x:c r="C1377" t="str">
        <x:v>골목상권</x:v>
      </x:c>
      <x:c r="D1377" t="str">
        <x:v>송파구</x:v>
      </x:c>
      <x:c r="E1377" t="str">
        <x:v>석촌동</x:v>
      </x:c>
      <x:c r="F1377" s="12" t="n">
        <x:v>34040</x:v>
      </x:c>
      <x:c r="G1377" s="12" t="n">
        <x:v>367680405</x:v>
      </x:c>
      <x:c r="H1377" s="12" t="n">
        <x:v>5968</x:v>
      </x:c>
      <x:c r="I1377" s="12" t="n">
        <x:v>61608.646950402144</x:v>
      </x:c>
      <x:c r="J1377" s="12" t="n">
        <x:v>10801.422003525264</x:v>
      </x:c>
      <x:c r="K1377" s="12" t="n">
        <x:v>236</x:v>
      </x:c>
      <x:c r="L1377" s="12" t="n">
        <x:v>69.33019976498238</x:v>
      </x:c>
      <x:c r="M1377" s="12" t="n">
        <x:v>3</x:v>
      </x:c>
      <x:c r="N1377" s="14" t="n">
        <x:v>0.8670121868474334</x:v>
      </x:c>
      <x:c r="O1377" s="14" t="n">
        <x:v>0.13298781315256655</x:v>
      </x:c>
      <x:c r="P1377" s="14" t="n">
        <x:v>0.5299175869869921</x:v>
      </x:c>
      <x:c r="Q1377" s="14" t="n">
        <x:v>0.17277921024918366</x:v>
      </x:c>
      <x:c r="R1377" s="14" t="n">
        <x:v>0.33462038587560844</x:v>
      </x:c>
      <x:c r="S1377" s="14" t="n">
        <x:v>0.22911698272307984</x:v>
      </x:c>
      <x:c r="T1377" t="str">
        <x:v>평일집중·야간활성</x:v>
      </x:c>
      <x:c r="U1377" s="16" t="n">
        <x:v>52.88523220104562</x:v>
      </x:c>
      <x:c r="V1377" t="str">
        <x:v>자동차수리</x:v>
      </x:c>
      <x:c r="W1377" t="str">
        <x:v>자동차수리 / 화장품 / 한식음식점</x:v>
      </x:c>
      <x:c r="X1377" s="16" t="n">
        <x:v>36.96018758039154</x:v>
      </x:c>
    </x:row>
    <x:row r="1378">
      <x:c r="A1378" t="str">
        <x:v>3110786</x:v>
      </x:c>
      <x:c r="B1378" t="str">
        <x:v>당산역 8번</x:v>
      </x:c>
      <x:c r="C1378" t="str">
        <x:v>골목상권</x:v>
      </x:c>
      <x:c r="D1378" t="str">
        <x:v>영등포구</x:v>
      </x:c>
      <x:c r="E1378" t="str">
        <x:v>당산2동</x:v>
      </x:c>
      <x:c r="F1378" s="12" t="n">
        <x:v>54674</x:v>
      </x:c>
      <x:c r="G1378" s="12" t="n">
        <x:v>367495909</x:v>
      </x:c>
      <x:c r="H1378" s="12" t="n">
        <x:v>10608</x:v>
      </x:c>
      <x:c r="I1378" s="12" t="n">
        <x:v>34643.279506033185</x:v>
      </x:c>
      <x:c r="J1378" s="12" t="n">
        <x:v>6721.584464279182</x:v>
      </x:c>
      <x:c r="K1378" s="12" t="n">
        <x:v>246</x:v>
      </x:c>
      <x:c r="L1378" s="12" t="n">
        <x:v>44.99396422431137</x:v>
      </x:c>
      <x:c r="M1378" s="12" t="n">
        <x:v>1</x:v>
      </x:c>
      <x:c r="N1378" s="14" t="n">
        <x:v>0.8706164100455334</x:v>
      </x:c>
      <x:c r="O1378" s="14" t="n">
        <x:v>0.12938358995446667</x:v>
      </x:c>
      <x:c r="P1378" s="14" t="n">
        <x:v>0.6930786758771783</x:v>
      </x:c>
      <x:c r="Q1378" s="14" t="n">
        <x:v>0.20541612070027152</x:v>
      </x:c>
      <x:c r="R1378" s="14" t="n">
        <x:v>0.3338180888429972</x:v>
      </x:c>
      <x:c r="S1378" s="14" t="n">
        <x:v>0.25160187837628417</x:v>
      </x:c>
      <x:c r="T1378" t="str">
        <x:v>야간활성·평일집중</x:v>
      </x:c>
      <x:c r="U1378" s="16" t="n">
        <x:v>28.034711978623953</x:v>
      </x:c>
      <x:c r="V1378" t="str">
        <x:v>한식음식점</x:v>
      </x:c>
      <x:c r="W1378" t="str">
        <x:v>한식음식점</x:v>
      </x:c>
      <x:c r="X1378" s="16" t="n">
        <x:v>28.034711978623953</x:v>
      </x:c>
    </x:row>
    <x:row r="1379">
      <x:c r="A1379" t="str">
        <x:v>3110099</x:v>
      </x:c>
      <x:c r="B1379" t="str">
        <x:v>유엔빌리지길</x:v>
      </x:c>
      <x:c r="C1379" t="str">
        <x:v>골목상권</x:v>
      </x:c>
      <x:c r="D1379" t="str">
        <x:v>용산구</x:v>
      </x:c>
      <x:c r="E1379" t="str">
        <x:v>한남동</x:v>
      </x:c>
      <x:c r="F1379" s="12" t="n">
        <x:v>263187</x:v>
      </x:c>
      <x:c r="G1379" s="12" t="n">
        <x:v>364710989</x:v>
      </x:c>
      <x:c r="H1379" s="12" t="n">
        <x:v>2002</x:v>
      </x:c>
      <x:c r="I1379" s="12" t="n">
        <x:v>182173.32117882118</x:v>
      </x:c>
      <x:c r="J1379" s="12" t="n">
        <x:v>1385.7484944165176</x:v>
      </x:c>
      <x:c r="K1379" s="12" t="n">
        <x:v>1956</x:v>
      </x:c>
      <x:c r="L1379" s="12" t="n">
        <x:v>74.3197802323063</x:v>
      </x:c>
      <x:c r="M1379" s="12" t="n">
        <x:v>4</x:v>
      </x:c>
      <x:c r="N1379" s="14" t="n">
        <x:v>0.6473759061863639</x:v>
      </x:c>
      <x:c r="O1379" s="14" t="n">
        <x:v>0.3526240938136361</x:v>
      </x:c>
      <x:c r="P1379" s="14" t="n">
        <x:v>0.604015222036537</x:v>
      </x:c>
      <x:c r="Q1379" s="14" t="n">
        <x:v>0.24944089359479102</x:v>
      </x:c>
      <x:c r="R1379" s="14" t="n">
        <x:v>0.44729486064375207</x:v>
      </x:c>
      <x:c r="S1379" s="14" t="n">
        <x:v>0.3429819439852414</x:v>
      </x:c>
      <x:c r="T1379" t="str">
        <x:v>야간활성·2030소비</x:v>
      </x:c>
      <x:c r="U1379" s="16" t="n">
        <x:v>56.504492489112664</x:v>
      </x:c>
      <x:c r="V1379" t="str">
        <x:v>화초</x:v>
      </x:c>
      <x:c r="W1379" t="str">
        <x:v>화초 / 일반의류 / 양식음식점</x:v>
      </x:c>
      <x:c r="X1379" s="16" t="n">
        <x:v>33.61939379682491</x:v>
      </x:c>
    </x:row>
    <x:row r="1380">
      <x:c r="A1380" t="str">
        <x:v>3110483</x:v>
      </x:c>
      <x:c r="B1380" t="str">
        <x:v>연천초등학교</x:v>
      </x:c>
      <x:c r="C1380" t="str">
        <x:v>골목상권</x:v>
      </x:c>
      <x:c r="D1380" t="str">
        <x:v>은평구</x:v>
      </x:c>
      <x:c r="E1380" t="str">
        <x:v>불광1동</x:v>
      </x:c>
      <x:c r="F1380" s="12" t="n">
        <x:v>67748</x:v>
      </x:c>
      <x:c r="G1380" s="12" t="n">
        <x:v>362471217</x:v>
      </x:c>
      <x:c r="H1380" s="12" t="n">
        <x:v>28120</x:v>
      </x:c>
      <x:c r="I1380" s="12" t="n">
        <x:v>12890.157076813655</x:v>
      </x:c>
      <x:c r="J1380" s="12" t="n">
        <x:v>5350.286606246679</x:v>
      </x:c>
      <x:c r="K1380" s="12" t="n">
        <x:v>80</x:v>
      </x:c>
      <x:c r="L1380" s="12" t="n">
        <x:v>11.808466670602822</x:v>
      </x:c>
      <x:c r="M1380" s="12" t="n">
        <x:v>5</x:v>
      </x:c>
      <x:c r="N1380" s="14" t="n">
        <x:v>0.7438727859045426</x:v>
      </x:c>
      <x:c r="O1380" s="14" t="n">
        <x:v>0.2561272140954574</x:v>
      </x:c>
      <x:c r="P1380" s="14" t="n">
        <x:v>0.526321680322551</x:v>
      </x:c>
      <x:c r="Q1380" s="14" t="n">
        <x:v>0.1478245429898507</x:v>
      </x:c>
      <x:c r="R1380" s="14" t="n">
        <x:v>0.22262929914239232</x:v>
      </x:c>
      <x:c r="S1380" s="14" t="n">
        <x:v>0.38036993707006533</x:v>
      </x:c>
      <x:c r="T1380" t="str">
        <x:v>야간활성</x:v>
      </x:c>
      <x:c r="U1380" s="16" t="n">
        <x:v>46.72371559952442</x:v>
      </x:c>
      <x:c r="V1380" t="str">
        <x:v>당구장</x:v>
      </x:c>
      <x:c r="W1380" t="str">
        <x:v>당구장 / 일반교습학원 / 한식음식점</x:v>
      </x:c>
      <x:c r="X1380" s="16" t="n">
        <x:v>33.92590300709036</x:v>
      </x:c>
    </x:row>
    <x:row r="1381">
      <x:c r="A1381" t="str">
        <x:v>3130102</x:v>
      </x:c>
      <x:c r="B1381" t="str">
        <x:v>이문제일시장</x:v>
      </x:c>
      <x:c r="C1381" t="str">
        <x:v>전통시장</x:v>
      </x:c>
      <x:c r="D1381" t="str">
        <x:v>동대문구</x:v>
      </x:c>
      <x:c r="E1381" t="str">
        <x:v>이문2동</x:v>
      </x:c>
      <x:c r="F1381" s="12" t="n">
        <x:v>7291</x:v>
      </x:c>
      <x:c r="G1381" s="12" t="n">
        <x:v>358154210</x:v>
      </x:c>
      <x:c r="H1381" s="12" t="n">
        <x:v>2476</x:v>
      </x:c>
      <x:c r="I1381" s="12" t="n">
        <x:v>144650.32714054929</x:v>
      </x:c>
      <x:c r="J1381" s="12" t="n">
        <x:v>49122.782883006446</x:v>
      </x:c>
      <x:c r="K1381" s="12" t="n">
        <x:v>119</x:v>
      </x:c>
      <x:c r="L1381" s="12" t="n">
        <x:v>163.21492250720067</x:v>
      </x:c>
      <x:c r="M1381" s="12" t="n">
        <x:v>1</x:v>
      </x:c>
      <x:c r="N1381" s="14" t="n">
        <x:v>0.7526470650728914</x:v>
      </x:c>
      <x:c r="O1381" s="14" t="n">
        <x:v>0.24735293492710864</x:v>
      </x:c>
      <x:c r="P1381" s="14" t="n">
        <x:v>0.17602118651627743</x:v>
      </x:c>
      <x:c r="Q1381" s="14" t="n">
        <x:v>0.5206881304005891</x:v>
      </x:c>
      <x:c r="R1381" s="14" t="n">
        <x:v>0.09947494404714662</x:v>
      </x:c>
      <x:c r="S1381" s="14" t="n">
        <x:v>0.14825968679804155</x:v>
      </x:c>
      <x:c r="T1381" t="str">
        <x:v>직장밀집</x:v>
      </x:c>
      <x:c r="U1381" s="16" t="n">
        <x:v>53.579608898683965</x:v>
      </x:c>
      <x:c r="V1381" t="str">
        <x:v>한식음식점</x:v>
      </x:c>
      <x:c r="W1381" t="str">
        <x:v>한식음식점</x:v>
      </x:c>
      <x:c r="X1381" s="16" t="n">
        <x:v>53.579608898683965</x:v>
      </x:c>
    </x:row>
    <x:row r="1382">
      <x:c r="A1382" t="str">
        <x:v>3110044</x:v>
      </x:c>
      <x:c r="B1382" t="str">
        <x:v>관성묘</x:v>
      </x:c>
      <x:c r="C1382" t="str">
        <x:v>골목상권</x:v>
      </x:c>
      <x:c r="D1382" t="str">
        <x:v>중구</x:v>
      </x:c>
      <x:c r="E1382" t="str">
        <x:v>장충동</x:v>
      </x:c>
      <x:c r="F1382" s="12" t="n">
        <x:v>29575</x:v>
      </x:c>
      <x:c r="G1382" s="12" t="n">
        <x:v>357915226</x:v>
      </x:c>
      <x:c r="H1382" s="12" t="n">
        <x:v>4386</x:v>
      </x:c>
      <x:c r="I1382" s="12" t="n">
        <x:v>81604.01869585043</x:v>
      </x:c>
      <x:c r="J1382" s="12" t="n">
        <x:v>12101.951851225698</x:v>
      </x:c>
      <x:c r="K1382" s="12" t="n">
        <x:v>443</x:v>
      </x:c>
      <x:c r="L1382" s="12" t="n">
        <x:v>149.78867286559594</x:v>
      </x:c>
      <x:c r="M1382" s="12" t="n">
        <x:v>1</x:v>
      </x:c>
      <x:c r="N1382" s="14" t="n">
        <x:v>0.8323332659784638</x:v>
      </x:c>
      <x:c r="O1382" s="14" t="n">
        <x:v>0.16766673402153615</x:v>
      </x:c>
      <x:c r="P1382" s="14" t="n">
        <x:v>0.6221598714551473</x:v>
      </x:c>
      <x:c r="Q1382" s="14" t="n">
        <x:v>0.19509527096787999</x:v>
      </x:c>
      <x:c r="R1382" s="14" t="n">
        <x:v>0.21931977266594407</x:v>
      </x:c>
      <x:c r="S1382" s="14" t="n">
        <x:v>0.1565070299635702</x:v>
      </x:c>
      <x:c r="T1382" t="str">
        <x:v>야간활성·평일집중</x:v>
      </x:c>
      <x:c r="U1382" s="16" t="n">
        <x:v>42.81019029217873</x:v>
      </x:c>
      <x:c r="V1382" t="str">
        <x:v>한식음식점</x:v>
      </x:c>
      <x:c r="W1382" t="str">
        <x:v>한식음식점</x:v>
      </x:c>
      <x:c r="X1382" s="16" t="n">
        <x:v>42.81019029217873</x:v>
      </x:c>
    </x:row>
    <x:row r="1383">
      <x:c r="A1383" t="str">
        <x:v>3111016</x:v>
      </x:c>
      <x:c r="B1383" t="str">
        <x:v>송파역 2번</x:v>
      </x:c>
      <x:c r="C1383" t="str">
        <x:v>골목상권</x:v>
      </x:c>
      <x:c r="D1383" t="str">
        <x:v>송파구</x:v>
      </x:c>
      <x:c r="E1383" t="str">
        <x:v>송파2동</x:v>
      </x:c>
      <x:c r="F1383" s="12" t="n">
        <x:v>99527</x:v>
      </x:c>
      <x:c r="G1383" s="12" t="n">
        <x:v>354931615</x:v>
      </x:c>
      <x:c r="H1383" s="12" t="n">
        <x:v>35439</x:v>
      </x:c>
      <x:c r="I1383" s="12" t="n">
        <x:v>10015.283021529953</x:v>
      </x:c>
      <x:c r="J1383" s="12" t="n">
        <x:v>3566.1842012720167</x:v>
      </x:c>
      <x:c r="K1383" s="12" t="n">
        <x:v>3278</x:v>
      </x:c>
      <x:c r="L1383" s="12" t="n">
        <x:v>329.35786269052625</x:v>
      </x:c>
      <x:c r="M1383" s="12" t="n">
        <x:v>6</x:v>
      </x:c>
      <x:c r="N1383" s="14" t="n">
        <x:v>0.7057657120794946</x:v>
      </x:c>
      <x:c r="O1383" s="14" t="n">
        <x:v>0.2942342879205055</x:v>
      </x:c>
      <x:c r="P1383" s="14" t="n">
        <x:v>0.4392982687665059</x:v>
      </x:c>
      <x:c r="Q1383" s="14" t="n">
        <x:v>0.17218125243647286</x:v>
      </x:c>
      <x:c r="R1383" s="14" t="n">
        <x:v>0.34050172453642935</x:v>
      </x:c>
      <x:c r="S1383" s="14" t="n">
        <x:v>0.4150936033128523</x:v>
      </x:c>
      <x:c r="T1383" t="str">
        <x:v>직장밀집·2030소비</x:v>
      </x:c>
      <x:c r="U1383" s="16" t="n">
        <x:v>62.56404927160481</x:v>
      </x:c>
      <x:c r="V1383" t="str">
        <x:v>미용실</x:v>
      </x:c>
      <x:c r="W1383" t="str">
        <x:v>미용실 / 세탁소 / 커피-음료</x:v>
      </x:c>
      <x:c r="X1383" s="16" t="n">
        <x:v>43.92139020694837</x:v>
      </x:c>
    </x:row>
    <x:row r="1384">
      <x:c r="A1384" t="str">
        <x:v>3110034</x:v>
      </x:c>
      <x:c r="B1384" t="str">
        <x:v>창신1동주민센터</x:v>
      </x:c>
      <x:c r="C1384" t="str">
        <x:v>골목상권</x:v>
      </x:c>
      <x:c r="D1384" t="str">
        <x:v>종로구</x:v>
      </x:c>
      <x:c r="E1384" t="str">
        <x:v>창신1동</x:v>
      </x:c>
      <x:c r="F1384" s="12" t="n">
        <x:v>29604</x:v>
      </x:c>
      <x:c r="G1384" s="12" t="n">
        <x:v>351804375</x:v>
      </x:c>
      <x:c r="H1384" s="12" t="n">
        <x:v>10410</x:v>
      </x:c>
      <x:c r="I1384" s="12" t="n">
        <x:v>33794.84870317003</x:v>
      </x:c>
      <x:c r="J1384" s="12" t="n">
        <x:v>11883.677036886907</x:v>
      </x:c>
      <x:c r="K1384" s="12" t="n">
        <x:v>57</x:v>
      </x:c>
      <x:c r="L1384" s="12" t="n">
        <x:v>19.254154843940007</x:v>
      </x:c>
      <x:c r="M1384" s="12" t="n">
        <x:v>3</x:v>
      </x:c>
      <x:c r="N1384" s="14" t="n">
        <x:v>0.5085739311797928</x:v>
      </x:c>
      <x:c r="O1384" s="14" t="n">
        <x:v>0.49142606882020723</x:v>
      </x:c>
      <x:c r="P1384" s="14" t="n">
        <x:v>0.2588170627497171</x:v>
      </x:c>
      <x:c r="Q1384" s="14" t="n">
        <x:v>0.3090761904254318</x:v>
      </x:c>
      <x:c r="R1384" s="14" t="n">
        <x:v>0.3020553226491285</x:v>
      </x:c>
      <x:c r="S1384" s="14" t="n">
        <x:v>0.31313892557476014</x:v>
      </x:c>
      <x:c r="T1384" t="str">
        <x:v>2030소비</x:v>
      </x:c>
      <x:c r="U1384" s="16" t="n">
        <x:v>59.88822113315976</x:v>
      </x:c>
      <x:c r="V1384" t="str">
        <x:v>일반의류</x:v>
      </x:c>
      <x:c r="W1384" t="str">
        <x:v>일반의류 / 철물점 / 한식음식점</x:v>
      </x:c>
      <x:c r="X1384" s="16" t="n">
        <x:v>48.29901917796832</x:v>
      </x:c>
    </x:row>
    <x:row r="1385">
      <x:c r="A1385" t="str">
        <x:v>3110027</x:v>
      </x:c>
      <x:c r="B1385" t="str">
        <x:v>혜화역 1번</x:v>
      </x:c>
      <x:c r="C1385" t="str">
        <x:v>골목상권</x:v>
      </x:c>
      <x:c r="D1385" t="str">
        <x:v>종로구</x:v>
      </x:c>
      <x:c r="E1385" t="str">
        <x:v>이화동</x:v>
      </x:c>
      <x:c r="F1385" s="12" t="n">
        <x:v>117673</x:v>
      </x:c>
      <x:c r="G1385" s="12" t="n">
        <x:v>347218185</x:v>
      </x:c>
      <x:c r="H1385" s="12" t="n">
        <x:v>25558</x:v>
      </x:c>
      <x:c r="I1385" s="12" t="n">
        <x:v>13585.499060959386</x:v>
      </x:c>
      <x:c r="J1385" s="12" t="n">
        <x:v>2950.703942280727</x:v>
      </x:c>
      <x:c r="K1385" s="12" t="n">
        <x:v>130</x:v>
      </x:c>
      <x:c r="L1385" s="12" t="n">
        <x:v>11.047564012135323</x:v>
      </x:c>
      <x:c r="M1385" s="12" t="n">
        <x:v>5</x:v>
      </x:c>
      <x:c r="N1385" s="14" t="n">
        <x:v>0.686733875992123</x:v>
      </x:c>
      <x:c r="O1385" s="14" t="n">
        <x:v>0.31326612400787707</x:v>
      </x:c>
      <x:c r="P1385" s="14" t="n">
        <x:v>0.36300841501144304</x:v>
      </x:c>
      <x:c r="Q1385" s="14" t="n">
        <x:v>0.3673147937225696</x:v>
      </x:c>
      <x:c r="R1385" s="14" t="n">
        <x:v>0.42129261461348866</x:v>
      </x:c>
      <x:c r="S1385" s="14" t="n">
        <x:v>0.5463097619728644</x:v>
      </x:c>
      <x:c r="T1385" t="str">
        <x:v>2030소비·여성소비</x:v>
      </x:c>
      <x:c r="U1385" s="16" t="n">
        <x:v>52.50088709124016</x:v>
      </x:c>
      <x:c r="V1385" t="str">
        <x:v>커피-음료</x:v>
      </x:c>
      <x:c r="W1385" t="str">
        <x:v>커피-음료 / 한식음식점 / 문구</x:v>
      </x:c>
      <x:c r="X1385" s="16" t="n">
        <x:v>41.69042894316032</x:v>
      </x:c>
    </x:row>
    <x:row r="1386">
      <x:c r="A1386" t="str">
        <x:v>3110609</x:v>
      </x:c>
      <x:c r="B1386" t="str">
        <x:v>신정네거리역 2번</x:v>
      </x:c>
      <x:c r="C1386" t="str">
        <x:v>골목상권</x:v>
      </x:c>
      <x:c r="D1386" t="str">
        <x:v>양천구</x:v>
      </x:c>
      <x:c r="E1386" t="str">
        <x:v>신정3동</x:v>
      </x:c>
      <x:c r="F1386" s="12" t="n">
        <x:v>48181</x:v>
      </x:c>
      <x:c r="G1386" s="12" t="n">
        <x:v>343258741</x:v>
      </x:c>
      <x:c r="H1386" s="12" t="n">
        <x:v>27383</x:v>
      </x:c>
      <x:c r="I1386" s="12" t="n">
        <x:v>12535.468757988532</x:v>
      </x:c>
      <x:c r="J1386" s="12" t="n">
        <x:v>7124.359000435857</x:v>
      </x:c>
      <x:c r="K1386" s="12" t="n">
        <x:v>89</x:v>
      </x:c>
      <x:c r="L1386" s="12" t="n">
        <x:v>18.472011788879435</x:v>
      </x:c>
      <x:c r="M1386" s="12" t="n">
        <x:v>3</x:v>
      </x:c>
      <x:c r="N1386" s="14" t="n">
        <x:v>0.6239474233811281</x:v>
      </x:c>
      <x:c r="O1386" s="14" t="n">
        <x:v>0.37605257661887187</x:v>
      </x:c>
      <x:c r="P1386" s="14" t="n">
        <x:v>0.48079853558630864</x:v>
      </x:c>
      <x:c r="Q1386" s="14" t="n">
        <x:v>0.13228774267397317</x:v>
      </x:c>
      <x:c r="R1386" s="14" t="n">
        <x:v>0.10397627427060918</x:v>
      </x:c>
      <x:c r="S1386" s="14" t="n">
        <x:v>0.41783248281505525</x:v>
      </x:c>
      <x:c r="T1386" t="str">
        <x:v>야간활성</x:v>
      </x:c>
      <x:c r="U1386" s="16" t="n">
        <x:v>56.733484908585076</x:v>
      </x:c>
      <x:c r="V1386" t="str">
        <x:v>가구</x:v>
      </x:c>
      <x:c r="W1386" t="str">
        <x:v>가구 / 슈퍼마켓 / 미용실</x:v>
      </x:c>
      <x:c r="X1386" s="16" t="n">
        <x:v>41.80710762470731</x:v>
      </x:c>
    </x:row>
    <x:row r="1387">
      <x:c r="A1387" t="str">
        <x:v>3111001</x:v>
      </x:c>
      <x:c r="B1387" t="str">
        <x:v>아래방죽마을공원(율현초등학교)</x:v>
      </x:c>
      <x:c r="C1387" t="str">
        <x:v>골목상권</x:v>
      </x:c>
      <x:c r="D1387" t="str">
        <x:v>강남구</x:v>
      </x:c>
      <x:c r="E1387" t="str">
        <x:v>세곡동</x:v>
      </x:c>
      <x:c r="F1387" s="12" t="n">
        <x:v>159591</x:v>
      </x:c>
      <x:c r="G1387" s="12" t="n">
        <x:v>342358691</x:v>
      </x:c>
      <x:c r="H1387" s="12" t="n">
        <x:v>16206</x:v>
      </x:c>
      <x:c r="I1387" s="12" t="n">
        <x:v>21125.428298161176</x:v>
      </x:c>
      <x:c r="J1387" s="12" t="n">
        <x:v>2145.225551566191</x:v>
      </x:c>
      <x:c r="K1387" s="12" t="n">
        <x:v>66</x:v>
      </x:c>
      <x:c r="L1387" s="12" t="n">
        <x:v>4.1355715547869245</x:v>
      </x:c>
      <x:c r="M1387" s="12" t="n">
        <x:v>3</x:v>
      </x:c>
      <x:c r="N1387" s="14" t="n">
        <x:v>0.6672807205002428</x:v>
      </x:c>
      <x:c r="O1387" s="14" t="n">
        <x:v>0.33271927949975716</x:v>
      </x:c>
      <x:c r="P1387" s="14" t="n">
        <x:v>0.18855528630351026</x:v>
      </x:c>
      <x:c r="Q1387" s="14" t="n">
        <x:v>0.5865571760817371</x:v>
      </x:c>
      <x:c r="R1387" s="14" t="n">
        <x:v>0.18779211888037042</x:v>
      </x:c>
      <x:c r="S1387" s="14" t="n">
        <x:v>0.47185107972036266</x:v>
      </x:c>
      <x:c r="T1387" t="str">
        <x:v>여성소비</x:v>
      </x:c>
      <x:c r="U1387" s="16" t="n">
        <x:v>49.35861953624109</x:v>
      </x:c>
      <x:c r="V1387" t="str">
        <x:v>예술학원</x:v>
      </x:c>
      <x:c r="W1387" t="str">
        <x:v>예술학원 / 커피-음료 / 한식음식점</x:v>
      </x:c>
      <x:c r="X1387" s="16" t="n">
        <x:v>44.750420705274564</x:v>
      </x:c>
    </x:row>
    <x:row r="1388">
      <x:c r="A1388" t="str">
        <x:v>3110929</x:v>
      </x:c>
      <x:c r="B1388" t="str">
        <x:v>남부터미널역 1번</x:v>
      </x:c>
      <x:c r="C1388" t="str">
        <x:v>골목상권</x:v>
      </x:c>
      <x:c r="D1388" t="str">
        <x:v>서초구</x:v>
      </x:c>
      <x:c r="E1388" t="str">
        <x:v>서초1동</x:v>
      </x:c>
      <x:c r="F1388" s="12" t="n">
        <x:v>186714</x:v>
      </x:c>
      <x:c r="G1388" s="12" t="n">
        <x:v>341100353</x:v>
      </x:c>
      <x:c r="H1388" s="12" t="n">
        <x:v>14995</x:v>
      </x:c>
      <x:c r="I1388" s="12" t="n">
        <x:v>22747.60606868956</x:v>
      </x:c>
      <x:c r="J1388" s="12" t="n">
        <x:v>1826.8600801225405</x:v>
      </x:c>
      <x:c r="K1388" s="12" t="n">
        <x:v>4151</x:v>
      </x:c>
      <x:c r="L1388" s="12" t="n">
        <x:v>222.31862634831884</x:v>
      </x:c>
      <x:c r="M1388" s="12" t="n">
        <x:v>6</x:v>
      </x:c>
      <x:c r="N1388" s="14" t="n">
        <x:v>0.941265205902616</x:v>
      </x:c>
      <x:c r="O1388" s="14" t="n">
        <x:v>0.058734794097384004</x:v>
      </x:c>
      <x:c r="P1388" s="14" t="n">
        <x:v>0.22261823047717574</x:v>
      </x:c>
      <x:c r="Q1388" s="14" t="n">
        <x:v>0.5978500555817367</x:v>
      </x:c>
      <x:c r="R1388" s="14" t="n">
        <x:v>0.16540344946520769</x:v>
      </x:c>
      <x:c r="S1388" s="14" t="n">
        <x:v>0.34057895859169635</x:v>
      </x:c>
      <x:c r="T1388" t="str">
        <x:v>평일집중·직장밀집</x:v>
      </x:c>
      <x:c r="U1388" s="16" t="n">
        <x:v>49.65710193406507</x:v>
      </x:c>
      <x:c r="V1388" t="str">
        <x:v>세탁소</x:v>
      </x:c>
      <x:c r="W1388" t="str">
        <x:v>세탁소 / 미용실 / 한식음식점</x:v>
      </x:c>
      <x:c r="X1388" s="16" t="n">
        <x:v>41.423848723562365</x:v>
      </x:c>
    </x:row>
    <x:row r="1389">
      <x:c r="A1389" t="str">
        <x:v>3110974</x:v>
      </x:c>
      <x:c r="B1389" t="str">
        <x:v>언주중학교</x:v>
      </x:c>
      <x:c r="C1389" t="str">
        <x:v>골목상권</x:v>
      </x:c>
      <x:c r="D1389" t="str">
        <x:v>강남구</x:v>
      </x:c>
      <x:c r="E1389" t="str">
        <x:v>삼성2동</x:v>
      </x:c>
      <x:c r="F1389" s="12" t="n">
        <x:v>35151</x:v>
      </x:c>
      <x:c r="G1389" s="12" t="n">
        <x:v>339506908</x:v>
      </x:c>
      <x:c r="H1389" s="12" t="n">
        <x:v>1403</x:v>
      </x:c>
      <x:c r="I1389" s="12" t="n">
        <x:v>241986.3920171062</x:v>
      </x:c>
      <x:c r="J1389" s="12" t="n">
        <x:v>9658.527723251116</x:v>
      </x:c>
      <x:c r="K1389" s="12" t="n">
        <x:v>793</x:v>
      </x:c>
      <x:c r="L1389" s="12" t="n">
        <x:v>225.59813376575346</x:v>
      </x:c>
      <x:c r="M1389" s="12" t="n">
        <x:v>4</x:v>
      </x:c>
      <x:c r="N1389" s="14" t="n">
        <x:v>0.917082223257737</x:v>
      </x:c>
      <x:c r="O1389" s="14" t="n">
        <x:v>0.08291777674226293</x:v>
      </x:c>
      <x:c r="P1389" s="14" t="n">
        <x:v>0.5266237322039998</x:v>
      </x:c>
      <x:c r="Q1389" s="14" t="n">
        <x:v>0.022364896916913395</x:v>
      </x:c>
      <x:c r="R1389" s="14" t="n">
        <x:v>0.8872932447077041</x:v>
      </x:c>
      <x:c r="S1389" s="14" t="n">
        <x:v>0.7912341330032672</x:v>
      </x:c>
      <x:c r="T1389" t="str">
        <x:v>2030소비·여성소비</x:v>
      </x:c>
      <x:c r="U1389" s="16" t="n">
        <x:v>56.773452340675455</x:v>
      </x:c>
      <x:c r="V1389" t="str">
        <x:v>전자상거래업</x:v>
      </x:c>
      <x:c r="W1389" t="str">
        <x:v>전자상거래업 / 일반의류 / 스포츠클럽</x:v>
      </x:c>
      <x:c r="X1389" s="16" t="n">
        <x:v>46.04639960286079</x:v>
      </x:c>
    </x:row>
    <x:row r="1390">
      <x:c r="A1390" t="str">
        <x:v>3130269</x:v>
      </x:c>
      <x:c r="B1390" t="str">
        <x:v>강남시장(동작구 강남시장)</x:v>
      </x:c>
      <x:c r="C1390" t="str">
        <x:v>전통시장</x:v>
      </x:c>
      <x:c r="D1390" t="str">
        <x:v>동작구</x:v>
      </x:c>
      <x:c r="E1390" t="str">
        <x:v>상도1동</x:v>
      </x:c>
      <x:c r="F1390" s="12" t="n">
        <x:v>2889</x:v>
      </x:c>
      <x:c r="G1390" s="12" t="n">
        <x:v>327032985</x:v>
      </x:c>
      <x:c r="H1390" s="12" t="n">
        <x:v>12513</x:v>
      </x:c>
      <x:c r="I1390" s="12" t="n">
        <x:v>26135.45792375929</x:v>
      </x:c>
      <x:c r="J1390" s="12" t="n">
        <x:v>113199.37175493251</x:v>
      </x:c>
      <x:c r="K1390" s="12" t="n">
        <x:v>82</x:v>
      </x:c>
      <x:c r="L1390" s="12" t="n">
        <x:v>283.83523710626514</x:v>
      </x:c>
      <x:c r="M1390" s="12" t="n">
        <x:v>1</x:v>
      </x:c>
      <x:c r="N1390" s="14" t="n">
        <x:v>0.7703483579798533</x:v>
      </x:c>
      <x:c r="O1390" s="14" t="n">
        <x:v>0.22965164202014668</x:v>
      </x:c>
      <x:c r="P1390" s="14" t="n">
        <x:v>0.7061944347907292</x:v>
      </x:c>
      <x:c r="Q1390" s="14" t="n">
        <x:v>0.19332134952686805</x:v>
      </x:c>
      <x:c r="R1390" s="14" t="n">
        <x:v>0.20647127383801972</x:v>
      </x:c>
      <x:c r="S1390" s="14" t="n">
        <x:v>0.33519598336540884</x:v>
      </x:c>
      <x:c r="T1390" t="str">
        <x:v>야간활성·직장밀집</x:v>
      </x:c>
      <x:c r="U1390" s="16" t="n">
        <x:v>52.78871115556281</x:v>
      </x:c>
      <x:c r="V1390" t="str">
        <x:v>한식음식점</x:v>
      </x:c>
      <x:c r="W1390" t="str">
        <x:v>한식음식점</x:v>
      </x:c>
      <x:c r="X1390" s="16" t="n">
        <x:v>52.78871115556281</x:v>
      </x:c>
    </x:row>
    <x:row r="1391">
      <x:c r="A1391" t="str">
        <x:v>3110818</x:v>
      </x:c>
      <x:c r="B1391" t="str">
        <x:v>신대방역 3번</x:v>
      </x:c>
      <x:c r="C1391" t="str">
        <x:v>골목상권</x:v>
      </x:c>
      <x:c r="D1391" t="str">
        <x:v>동작구</x:v>
      </x:c>
      <x:c r="E1391" t="str">
        <x:v>신대방1동</x:v>
      </x:c>
      <x:c r="F1391" s="12" t="n">
        <x:v>49264</x:v>
      </x:c>
      <x:c r="G1391" s="12" t="n">
        <x:v>323546156</x:v>
      </x:c>
      <x:c r="H1391" s="12" t="n">
        <x:v>37373</x:v>
      </x:c>
      <x:c r="I1391" s="12" t="n">
        <x:v>8657.21660021941</x:v>
      </x:c>
      <x:c r="J1391" s="12" t="n">
        <x:v>6567.598164988633</x:v>
      </x:c>
      <x:c r="K1391" s="12" t="n">
        <x:v>609</x:v>
      </x:c>
      <x:c r="L1391" s="12" t="n">
        <x:v>123.61968171484249</x:v>
      </x:c>
      <x:c r="M1391" s="12" t="n">
        <x:v>3</x:v>
      </x:c>
      <x:c r="N1391" s="14" t="n">
        <x:v>0.7215269248941409</x:v>
      </x:c>
      <x:c r="O1391" s="14" t="n">
        <x:v>0.27847307510585906</x:v>
      </x:c>
      <x:c r="P1391" s="14" t="n">
        <x:v>0.5421065055089079</x:v>
      </x:c>
      <x:c r="Q1391" s="14" t="n">
        <x:v>0.10732941299416952</x:v>
      </x:c>
      <x:c r="R1391" s="14" t="n">
        <x:v>0.5461150896813621</x:v>
      </x:c>
      <x:c r="S1391" s="14" t="n">
        <x:v>0.28956018256634763</x:v>
      </x:c>
      <x:c r="T1391" t="str">
        <x:v>2030소비·야간활성</x:v>
      </x:c>
      <x:c r="U1391" s="16" t="n">
        <x:v>54.260011416052045</x:v>
      </x:c>
      <x:c r="V1391" t="str">
        <x:v>슈퍼마켓</x:v>
      </x:c>
      <x:c r="W1391" t="str">
        <x:v>슈퍼마켓 / 노래방 / 한식음식점</x:v>
      </x:c>
      <x:c r="X1391" s="16" t="n">
        <x:v>47.704834615414164</x:v>
      </x:c>
    </x:row>
    <x:row r="1392">
      <x:c r="A1392" t="str">
        <x:v>3130206</x:v>
      </x:c>
      <x:c r="B1392" t="str">
        <x:v>신정3동 골목시장</x:v>
      </x:c>
      <x:c r="C1392" t="str">
        <x:v>전통시장</x:v>
      </x:c>
      <x:c r="D1392" t="str">
        <x:v>양천구</x:v>
      </x:c>
      <x:c r="E1392" t="str">
        <x:v>신정3동</x:v>
      </x:c>
      <x:c r="F1392" s="12" t="n">
        <x:v>4699</x:v>
      </x:c>
      <x:c r="G1392" s="12" t="n">
        <x:v>323382915</x:v>
      </x:c>
      <x:c r="H1392" s="12" t="n">
        <x:v>9011</x:v>
      </x:c>
      <x:c r="I1392" s="12" t="n">
        <x:v>35887.57241149706</x:v>
      </x:c>
      <x:c r="J1392" s="12" t="n">
        <x:v>68819.51798254949</x:v>
      </x:c>
      <x:c r="K1392" s="12" t="n">
        <x:v>123</x:v>
      </x:c>
      <x:c r="L1392" s="12" t="n">
        <x:v>261.7578208129389</x:v>
      </x:c>
      <x:c r="M1392" s="12" t="n">
        <x:v>3</x:v>
      </x:c>
      <x:c r="N1392" s="14" t="n">
        <x:v>0.7093688174590176</x:v>
      </x:c>
      <x:c r="O1392" s="14" t="n">
        <x:v>0.2906311825409824</x:v>
      </x:c>
      <x:c r="P1392" s="14" t="n">
        <x:v>0.6586486735083082</x:v>
      </x:c>
      <x:c r="Q1392" s="14" t="n">
        <x:v>0.1971906338960424</x:v>
      </x:c>
      <x:c r="R1392" s="14" t="n">
        <x:v>0.29213442522156746</x:v>
      </x:c>
      <x:c r="S1392" s="14" t="n">
        <x:v>0.35769241550686126</x:v>
      </x:c>
      <x:c r="T1392" t="str">
        <x:v>야간활성·직장밀집</x:v>
      </x:c>
      <x:c r="U1392" s="16" t="n">
        <x:v>47.01508092415207</x:v>
      </x:c>
      <x:c r="V1392" t="str">
        <x:v>스포츠클럽</x:v>
      </x:c>
      <x:c r="W1392" t="str">
        <x:v>스포츠클럽 / 한식음식점 / 미용실</x:v>
      </x:c>
      <x:c r="X1392" s="16" t="n">
        <x:v>37.98161962258318</x:v>
      </x:c>
    </x:row>
    <x:row r="1393">
      <x:c r="A1393" t="str">
        <x:v>3110391</x:v>
      </x:c>
      <x:c r="B1393" t="str">
        <x:v>샘말어린이공원</x:v>
      </x:c>
      <x:c r="C1393" t="str">
        <x:v>골목상권</x:v>
      </x:c>
      <x:c r="D1393" t="str">
        <x:v>도봉구</x:v>
      </x:c>
      <x:c r="E1393" t="str">
        <x:v>방학2동</x:v>
      </x:c>
      <x:c r="F1393" s="12" t="n">
        <x:v>245401</x:v>
      </x:c>
      <x:c r="G1393" s="12" t="n">
        <x:v>322833100</x:v>
      </x:c>
      <x:c r="H1393" s="12" t="n">
        <x:v>25464</x:v>
      </x:c>
      <x:c r="I1393" s="12" t="n">
        <x:v>12678.019949732956</x:v>
      </x:c>
      <x:c r="J1393" s="12" t="n">
        <x:v>1315.5329440385328</x:v>
      </x:c>
      <x:c r="K1393" s="12" t="n">
        <x:v>90</x:v>
      </x:c>
      <x:c r="L1393" s="12" t="n">
        <x:v>3.667466717739537</x:v>
      </x:c>
      <x:c r="M1393" s="12" t="n">
        <x:v>7</x:v>
      </x:c>
      <x:c r="N1393" s="14" t="n">
        <x:v>0.7235245053868392</x:v>
      </x:c>
      <x:c r="O1393" s="14" t="n">
        <x:v>0.2764754946131608</x:v>
      </x:c>
      <x:c r="P1393" s="14" t="n">
        <x:v>0.5061007405993995</x:v>
      </x:c>
      <x:c r="Q1393" s="14" t="n">
        <x:v>0.2049260345361117</x:v>
      </x:c>
      <x:c r="R1393" s="14" t="n">
        <x:v>0.15523990569740215</x:v>
      </x:c>
      <x:c r="S1393" s="14" t="n">
        <x:v>0.4123539376848285</x:v>
      </x:c>
      <x:c r="T1393" t="str">
        <x:v>야간활성</x:v>
      </x:c>
      <x:c r="U1393" s="16" t="n">
        <x:v>53.09802824588215</x:v>
      </x:c>
      <x:c r="V1393" t="str">
        <x:v>세탁소</x:v>
      </x:c>
      <x:c r="W1393" t="str">
        <x:v>세탁소 / 분식전문점 / 미용실</x:v>
      </x:c>
      <x:c r="X1393" s="16" t="n">
        <x:v>44.02416207585786</x:v>
      </x:c>
    </x:row>
    <x:row r="1394">
      <x:c r="A1394" t="str">
        <x:v>3130281</x:v>
      </x:c>
      <x:c r="B1394" t="str">
        <x:v>우림시장</x:v>
      </x:c>
      <x:c r="C1394" t="str">
        <x:v>전통시장</x:v>
      </x:c>
      <x:c r="D1394" t="str">
        <x:v>관악구</x:v>
      </x:c>
      <x:c r="E1394" t="str">
        <x:v>난곡동</x:v>
      </x:c>
      <x:c r="F1394" s="12" t="n">
        <x:v>6466</x:v>
      </x:c>
      <x:c r="G1394" s="12" t="n">
        <x:v>322117473</x:v>
      </x:c>
      <x:c r="H1394" s="12" t="n">
        <x:v>16447</x:v>
      </x:c>
      <x:c r="I1394" s="12" t="n">
        <x:v>19585.181066455887</x:v>
      </x:c>
      <x:c r="J1394" s="12" t="n">
        <x:v>49817.116145994434</x:v>
      </x:c>
      <x:c r="K1394" s="12" t="n">
        <x:v>66</x:v>
      </x:c>
      <x:c r="L1394" s="12" t="n">
        <x:v>102.07237859573152</x:v>
      </x:c>
      <x:c r="M1394" s="12" t="n">
        <x:v>3</x:v>
      </x:c>
      <x:c r="N1394" s="14" t="n">
        <x:v>0.7516072001471339</x:v>
      </x:c>
      <x:c r="O1394" s="14" t="n">
        <x:v>0.2483927998528661</x:v>
      </x:c>
      <x:c r="P1394" s="14" t="n">
        <x:v>0.36672344688361563</x:v>
      </x:c>
      <x:c r="Q1394" s="14" t="n">
        <x:v>0.33053502813242297</x:v>
      </x:c>
      <x:c r="R1394" s="14" t="n">
        <x:v>0.17319021684986335</x:v>
      </x:c>
      <x:c r="S1394" s="14" t="n">
        <x:v>0.4616561269248502</x:v>
      </x:c>
      <x:c r="T1394" t="str">
        <x:v>여성소비·직장밀집</x:v>
      </x:c>
      <x:c r="U1394" s="16" t="n">
        <x:v>58.273833935276485</x:v>
      </x:c>
      <x:c r="V1394" t="str">
        <x:v>일반의류</x:v>
      </x:c>
      <x:c r="W1394" t="str">
        <x:v>일반의류 / 분식전문점 / 한식음식점</x:v>
      </x:c>
      <x:c r="X1394" s="16" t="n">
        <x:v>46.0804581998486</x:v>
      </x:c>
    </x:row>
    <x:row r="1395">
      <x:c r="A1395" t="str">
        <x:v>3110985</x:v>
      </x:c>
      <x:c r="B1395" t="str">
        <x:v>청담근린공원</x:v>
      </x:c>
      <x:c r="C1395" t="str">
        <x:v>골목상권</x:v>
      </x:c>
      <x:c r="D1395" t="str">
        <x:v>강남구</x:v>
      </x:c>
      <x:c r="E1395" t="str">
        <x:v>청담동</x:v>
      </x:c>
      <x:c r="F1395" s="12" t="n">
        <x:v>43265</x:v>
      </x:c>
      <x:c r="G1395" s="12" t="n">
        <x:v>321344462</x:v>
      </x:c>
      <x:c r="H1395" s="12" t="n">
        <x:v>3439</x:v>
      </x:c>
      <x:c r="I1395" s="12" t="n">
        <x:v>93441.25094504216</x:v>
      </x:c>
      <x:c r="J1395" s="12" t="n">
        <x:v>7427.353796371201</x:v>
      </x:c>
      <x:c r="K1395" s="12" t="n">
        <x:v>931</x:v>
      </x:c>
      <x:c r="L1395" s="12" t="n">
        <x:v>215.1854848029585</x:v>
      </x:c>
      <x:c r="M1395" s="12" t="n">
        <x:v>2</x:v>
      </x:c>
      <x:c r="N1395" s="14" t="n">
        <x:v>0.8236537619247971</x:v>
      </x:c>
      <x:c r="O1395" s="14" t="n">
        <x:v>0.17634623807520292</x:v>
      </x:c>
      <x:c r="P1395" s="14" t="n">
        <x:v>0.05266920392734199</x:v>
      </x:c>
      <x:c r="Q1395" s="14" t="n">
        <x:v>0.7147880612923088</x:v>
      </x:c>
      <x:c r="R1395" s="14" t="n">
        <x:v>0.1574913526905592</x:v>
      </x:c>
      <x:c r="S1395" s="14" t="n">
        <x:v>0.210676638329619</x:v>
      </x:c>
      <x:c r="T1395" t="str">
        <x:v>평일집중·직장밀집</x:v>
      </x:c>
      <x:c r="U1395" s="16" t="n">
        <x:v>65.84839913084443</x:v>
      </x:c>
      <x:c r="V1395" t="str">
        <x:v>미용실</x:v>
      </x:c>
      <x:c r="W1395" t="str">
        <x:v>미용실 / 커피-음료</x:v>
      </x:c>
      <x:c r="X1395" s="16" t="n">
        <x:v>54.33445152207014</x:v>
      </x:c>
    </x:row>
    <x:row r="1396">
      <x:c r="A1396" t="str">
        <x:v>3110047</x:v>
      </x:c>
      <x:c r="B1396" t="str">
        <x:v>다산성곽길</x:v>
      </x:c>
      <x:c r="C1396" t="str">
        <x:v>골목상권</x:v>
      </x:c>
      <x:c r="D1396" t="str">
        <x:v>중구</x:v>
      </x:c>
      <x:c r="E1396" t="str">
        <x:v>다산동</x:v>
      </x:c>
      <x:c r="F1396" s="12" t="n">
        <x:v>85386</x:v>
      </x:c>
      <x:c r="G1396" s="12" t="n">
        <x:v>314123882</x:v>
      </x:c>
      <x:c r="H1396" s="12" t="n">
        <x:v>1923</x:v>
      </x:c>
      <x:c r="I1396" s="12" t="n">
        <x:v>163350.95267810713</x:v>
      </x:c>
      <x:c r="J1396" s="12" t="n">
        <x:v>3678.868690417633</x:v>
      </x:c>
      <x:c r="K1396" s="12" t="n">
        <x:v>391</x:v>
      </x:c>
      <x:c r="L1396" s="12" t="n">
        <x:v>45.79205021900546</x:v>
      </x:c>
      <x:c r="M1396" s="12" t="n">
        <x:v>1</x:v>
      </x:c>
      <x:c r="N1396" s="14" t="n">
        <x:v>1</x:v>
      </x:c>
      <x:c r="O1396" s="14" t="n">
        <x:v>0</x:v>
      </x:c>
      <x:c r="P1396" s="14" t="n">
        <x:v>0.1224489801765534</x:v>
      </x:c>
      <x:c r="Q1396" s="14" t="n">
        <x:v>0.44897959079723837</x:v>
      </x:c>
      <x:c r="R1396" s="14" t="n">
        <x:v>0.44897959079723837</x:v>
      </x:c>
      <x:c r="S1396" s="14" t="n">
        <x:v>1</x:v>
      </x:c>
      <x:c r="T1396" t="str">
        <x:v>여성소비·평일집중</x:v>
      </x:c>
      <x:c r="U1396" s="16" t="n">
        <x:v>60.84116516719884</x:v>
      </x:c>
      <x:c r="V1396" t="str">
        <x:v>일반의류</x:v>
      </x:c>
      <x:c r="W1396" t="str">
        <x:v>일반의류</x:v>
      </x:c>
      <x:c r="X1396" s="16" t="n">
        <x:v>60.84116516719884</x:v>
      </x:c>
    </x:row>
    <x:row r="1397">
      <x:c r="A1397" t="str">
        <x:v>3110342</x:v>
      </x:c>
      <x:c r="B1397" t="str">
        <x:v>국립재활원</x:v>
      </x:c>
      <x:c r="C1397" t="str">
        <x:v>골목상권</x:v>
      </x:c>
      <x:c r="D1397" t="str">
        <x:v>강북구</x:v>
      </x:c>
      <x:c r="E1397" t="str">
        <x:v>인수동</x:v>
      </x:c>
      <x:c r="F1397" s="12" t="n">
        <x:v>62499</x:v>
      </x:c>
      <x:c r="G1397" s="12" t="n">
        <x:v>313891624</x:v>
      </x:c>
      <x:c r="H1397" s="12" t="n">
        <x:v>17086</x:v>
      </x:c>
      <x:c r="I1397" s="12" t="n">
        <x:v>18371.276132506144</x:v>
      </x:c>
      <x:c r="J1397" s="12" t="n">
        <x:v>5022.346341541464</x:v>
      </x:c>
      <x:c r="K1397" s="12" t="n">
        <x:v>114</x:v>
      </x:c>
      <x:c r="L1397" s="12" t="n">
        <x:v>18.240291844669514</x:v>
      </x:c>
      <x:c r="M1397" s="12" t="n">
        <x:v>4</x:v>
      </x:c>
      <x:c r="N1397" s="14" t="n">
        <x:v>0.8270063651013511</x:v>
      </x:c>
      <x:c r="O1397" s="14" t="n">
        <x:v>0.17299363489864897</x:v>
      </x:c>
      <x:c r="P1397" s="14" t="n">
        <x:v>0.298448247220512</x:v>
      </x:c>
      <x:c r="Q1397" s="14" t="n">
        <x:v>0.16701053482076986</x:v>
      </x:c>
      <x:c r="R1397" s="14" t="n">
        <x:v>0.12555056582204308</x:v>
      </x:c>
      <x:c r="S1397" s="14" t="n">
        <x:v>0.22348734925147287</x:v>
      </x:c>
      <x:c r="T1397" t="str">
        <x:v>평일집중</x:v>
      </x:c>
      <x:c r="U1397" s="16" t="n">
        <x:v>43.76345826418278</x:v>
      </x:c>
      <x:c r="V1397" t="str">
        <x:v>미용실</x:v>
      </x:c>
      <x:c r="W1397" t="str">
        <x:v>미용실 / 반찬가게 / 분식전문점</x:v>
      </x:c>
      <x:c r="X1397" s="16" t="n">
        <x:v>35.41040106742355</x:v>
      </x:c>
    </x:row>
    <x:row r="1398">
      <x:c r="A1398" t="str">
        <x:v>3110446</x:v>
      </x:c>
      <x:c r="B1398" t="str">
        <x:v>내를건너서숲으로도서관</x:v>
      </x:c>
      <x:c r="C1398" t="str">
        <x:v>골목상권</x:v>
      </x:c>
      <x:c r="D1398" t="str">
        <x:v>은평구</x:v>
      </x:c>
      <x:c r="E1398" t="str">
        <x:v>신사2동</x:v>
      </x:c>
      <x:c r="F1398" s="12" t="n">
        <x:v>59764</x:v>
      </x:c>
      <x:c r="G1398" s="12" t="n">
        <x:v>308398878</x:v>
      </x:c>
      <x:c r="H1398" s="12" t="n">
        <x:v>17421</x:v>
      </x:c>
      <x:c r="I1398" s="12" t="n">
        <x:v>17702.708110900636</x:v>
      </x:c>
      <x:c r="J1398" s="12" t="n">
        <x:v>5160.278395020414</x:v>
      </x:c>
      <x:c r="K1398" s="12" t="n">
        <x:v>256</x:v>
      </x:c>
      <x:c r="L1398" s="12" t="n">
        <x:v>42.8351515962787</x:v>
      </x:c>
      <x:c r="M1398" s="12" t="n">
        <x:v>7</x:v>
      </x:c>
      <x:c r="N1398" s="14" t="n">
        <x:v>0.8679324572639983</x:v>
      </x:c>
      <x:c r="O1398" s="14" t="n">
        <x:v>0.13206754273600177</x:v>
      </x:c>
      <x:c r="P1398" s="14" t="n">
        <x:v>0.31100186428045307</x:v>
      </x:c>
      <x:c r="Q1398" s="14" t="n">
        <x:v>0.433990953105867</x:v>
      </x:c>
      <x:c r="R1398" s="14" t="n">
        <x:v>0.09958722028813607</x:v>
      </x:c>
      <x:c r="S1398" s="14" t="n">
        <x:v>0.6974407864090867</x:v>
      </x:c>
      <x:c r="T1398" t="str">
        <x:v>여성소비·평일집중</x:v>
      </x:c>
      <x:c r="U1398" s="16" t="n">
        <x:v>76.06910425389523</x:v>
      </x:c>
      <x:c r="V1398" t="str">
        <x:v>인테리어</x:v>
      </x:c>
      <x:c r="W1398" t="str">
        <x:v>인테리어 / 미용실 / 일반교습학원</x:v>
      </x:c>
      <x:c r="X1398" s="16" t="n">
        <x:v>51.98167920115399</x:v>
      </x:c>
    </x:row>
    <x:row r="1399">
      <x:c r="A1399" t="str">
        <x:v>3110217</x:v>
      </x:c>
      <x:c r="B1399" t="str">
        <x:v>자동차부품상가</x:v>
      </x:c>
      <x:c r="C1399" t="str">
        <x:v>골목상권</x:v>
      </x:c>
      <x:c r="D1399" t="str">
        <x:v>동대문구</x:v>
      </x:c>
      <x:c r="E1399" t="str">
        <x:v>답십리2동</x:v>
      </x:c>
      <x:c r="F1399" s="12" t="n">
        <x:v>56649</x:v>
      </x:c>
      <x:c r="G1399" s="12" t="n">
        <x:v>305330318</x:v>
      </x:c>
      <x:c r="H1399" s="12" t="n">
        <x:v>4546</x:v>
      </x:c>
      <x:c r="I1399" s="12" t="n">
        <x:v>67164.61020677519</x:v>
      </x:c>
      <x:c r="J1399" s="12" t="n">
        <x:v>5389.862451234797</x:v>
      </x:c>
      <x:c r="K1399" s="12" t="n">
        <x:v>1233</x:v>
      </x:c>
      <x:c r="L1399" s="12" t="n">
        <x:v>217.6560927818673</x:v>
      </x:c>
      <x:c r="M1399" s="12" t="n">
        <x:v>2</x:v>
      </x:c>
      <x:c r="N1399" s="14" t="n">
        <x:v>0.9114057222447199</x:v>
      </x:c>
      <x:c r="O1399" s="14" t="n">
        <x:v>0.0885942777552801</x:v>
      </x:c>
      <x:c r="P1399" s="14" t="n">
        <x:v>0.09899566868430013</x:v>
      </x:c>
      <x:c r="Q1399" s="14" t="n">
        <x:v>0.42674264008070106</x:v>
      </x:c>
      <x:c r="R1399" s="14" t="n">
        <x:v>0.0387406697031639</x:v>
      </x:c>
      <x:c r="S1399" s="14" t="n">
        <x:v>0.08180716596902113</x:v>
      </x:c>
      <x:c r="T1399" t="str">
        <x:v>평일집중·직장밀집</x:v>
      </x:c>
      <x:c r="U1399" s="16" t="n">
        <x:v>51.97892826495335</x:v>
      </x:c>
      <x:c r="V1399" t="str">
        <x:v>자동차수리</x:v>
      </x:c>
      <x:c r="W1399" t="str">
        <x:v>자동차수리 / 한식음식점</x:v>
      </x:c>
      <x:c r="X1399" s="16" t="n">
        <x:v>39.77628312386852</x:v>
      </x:c>
    </x:row>
    <x:row r="1400">
      <x:c r="A1400" t="str">
        <x:v>3110687</x:v>
      </x:c>
      <x:c r="B1400" t="str">
        <x:v>천왕역 3번(오류2동주민센터, 서울오류남초등학교)</x:v>
      </x:c>
      <x:c r="C1400" t="str">
        <x:v>골목상권</x:v>
      </x:c>
      <x:c r="D1400" t="str">
        <x:v>구로구</x:v>
      </x:c>
      <x:c r="E1400" t="str">
        <x:v>오류2동</x:v>
      </x:c>
      <x:c r="F1400" s="12" t="n">
        <x:v>42464</x:v>
      </x:c>
      <x:c r="G1400" s="12" t="n">
        <x:v>302474080</x:v>
      </x:c>
      <x:c r="H1400" s="12" t="n">
        <x:v>10669</x:v>
      </x:c>
      <x:c r="I1400" s="12" t="n">
        <x:v>28350.743274908615</x:v>
      </x:c>
      <x:c r="J1400" s="12" t="n">
        <x:v>7123.070836473248</x:v>
      </x:c>
      <x:c r="K1400" s="12" t="n">
        <x:v>115</x:v>
      </x:c>
      <x:c r="L1400" s="12" t="n">
        <x:v>27.08176337603617</x:v>
      </x:c>
      <x:c r="M1400" s="12" t="n">
        <x:v>2</x:v>
      </x:c>
      <x:c r="N1400" s="14" t="n">
        <x:v>0.7570086335992823</x:v>
      </x:c>
      <x:c r="O1400" s="14" t="n">
        <x:v>0.2429913664007177</x:v>
      </x:c>
      <x:c r="P1400" s="14" t="n">
        <x:v>0.5817908760975485</x:v>
      </x:c>
      <x:c r="Q1400" s="14" t="n">
        <x:v>0.26202752645780425</x:v>
      </x:c>
      <x:c r="R1400" s="14" t="n">
        <x:v>0.15783215209713175</x:v>
      </x:c>
      <x:c r="S1400" s="14" t="n">
        <x:v>0.5028861646591337</x:v>
      </x:c>
      <x:c r="T1400" t="str">
        <x:v>야간활성·여성소비</x:v>
      </x:c>
      <x:c r="U1400" s="16" t="n">
        <x:v>55.06937855137835</x:v>
      </x:c>
      <x:c r="V1400" t="str">
        <x:v>한식음식점</x:v>
      </x:c>
      <x:c r="W1400" t="str">
        <x:v>한식음식점 / 커피-음료</x:v>
      </x:c>
      <x:c r="X1400" s="16" t="n">
        <x:v>49.08615185271623</x:v>
      </x:c>
    </x:row>
    <x:row r="1401">
      <x:c r="A1401" t="str">
        <x:v>3110872</x:v>
      </x:c>
      <x:c r="B1401" t="str">
        <x:v>신림초등학교</x:v>
      </x:c>
      <x:c r="C1401" t="str">
        <x:v>골목상권</x:v>
      </x:c>
      <x:c r="D1401" t="str">
        <x:v>관악구</x:v>
      </x:c>
      <x:c r="E1401" t="str">
        <x:v>신원동</x:v>
      </x:c>
      <x:c r="F1401" s="12" t="n">
        <x:v>53857</x:v>
      </x:c>
      <x:c r="G1401" s="12" t="n">
        <x:v>300381691</x:v>
      </x:c>
      <x:c r="H1401" s="12" t="n">
        <x:v>10317</x:v>
      </x:c>
      <x:c r="I1401" s="12" t="n">
        <x:v>29115.21672966948</x:v>
      </x:c>
      <x:c r="J1401" s="12" t="n">
        <x:v>5577.393672131756</x:v>
      </x:c>
      <x:c r="K1401" s="12" t="n">
        <x:v>44</x:v>
      </x:c>
      <x:c r="L1401" s="12" t="n">
        <x:v>8.169782943721337</x:v>
      </x:c>
      <x:c r="M1401" s="12" t="n">
        <x:v>4</x:v>
      </x:c>
      <x:c r="N1401" s="14" t="n">
        <x:v>0.8768940747457208</x:v>
      </x:c>
      <x:c r="O1401" s="14" t="n">
        <x:v>0.12310592525427923</x:v>
      </x:c>
      <x:c r="P1401" s="14" t="n">
        <x:v>0.5819006358812995</x:v>
      </x:c>
      <x:c r="Q1401" s="14" t="n">
        <x:v>0.034066270703562954</x:v>
      </x:c>
      <x:c r="R1401" s="14" t="n">
        <x:v>0.2947737450482626</x:v>
      </x:c>
      <x:c r="S1401" s="14" t="n">
        <x:v>0.6822965484936963</x:v>
      </x:c>
      <x:c r="T1401" t="str">
        <x:v>여성소비·야간활성</x:v>
      </x:c>
      <x:c r="U1401" s="16" t="n">
        <x:v>53.9605917660311</x:v>
      </x:c>
      <x:c r="V1401" t="str">
        <x:v>예술학원</x:v>
      </x:c>
      <x:c r="W1401" t="str">
        <x:v>예술학원 / 일반교습학원 / 슈퍼마켓</x:v>
      </x:c>
      <x:c r="X1401" s="16" t="n">
        <x:v>44.25713561456632</x:v>
      </x:c>
    </x:row>
    <x:row r="1402">
      <x:c r="A1402" t="str">
        <x:v>3110676</x:v>
      </x:c>
      <x:c r="B1402" t="str">
        <x:v>등촌역 7번</x:v>
      </x:c>
      <x:c r="C1402" t="str">
        <x:v>골목상권</x:v>
      </x:c>
      <x:c r="D1402" t="str">
        <x:v>강서구</x:v>
      </x:c>
      <x:c r="E1402" t="str">
        <x:v>등촌2동</x:v>
      </x:c>
      <x:c r="F1402" s="12" t="n">
        <x:v>73721</x:v>
      </x:c>
      <x:c r="G1402" s="12" t="n">
        <x:v>297982684</x:v>
      </x:c>
      <x:c r="H1402" s="12" t="n">
        <x:v>2183</x:v>
      </x:c>
      <x:c r="I1402" s="12" t="n">
        <x:v>136501.45854328905</x:v>
      </x:c>
      <x:c r="J1402" s="12" t="n">
        <x:v>4042.03258230355</x:v>
      </x:c>
      <x:c r="K1402" s="12" t="n">
        <x:v>629</x:v>
      </x:c>
      <x:c r="L1402" s="12" t="n">
        <x:v>85.3216858154393</x:v>
      </x:c>
      <x:c r="M1402" s="12" t="n">
        <x:v>4</x:v>
      </x:c>
      <x:c r="N1402" s="14" t="n">
        <x:v>0.8402841119452431</x:v>
      </x:c>
      <x:c r="O1402" s="14" t="n">
        <x:v>0.1597158880547569</x:v>
      </x:c>
      <x:c r="P1402" s="14" t="n">
        <x:v>0.3897755615893439</x:v>
      </x:c>
      <x:c r="Q1402" s="14" t="n">
        <x:v>0.22684328529640332</x:v>
      </x:c>
      <x:c r="R1402" s="14" t="n">
        <x:v>0.11428312055877717</x:v>
      </x:c>
      <x:c r="S1402" s="14" t="n">
        <x:v>0.653840989632807</x:v>
      </x:c>
      <x:c r="T1402" t="str">
        <x:v>여성소비·평일집중</x:v>
      </x:c>
      <x:c r="U1402" s="16" t="n">
        <x:v>56.21556998905466</x:v>
      </x:c>
      <x:c r="V1402" t="str">
        <x:v>육류판매</x:v>
      </x:c>
      <x:c r="W1402" t="str">
        <x:v>육류판매 / 일반의류 / 미용실</x:v>
      </x:c>
      <x:c r="X1402" s="16" t="n">
        <x:v>47.38313080555594</x:v>
      </x:c>
    </x:row>
    <x:row r="1403">
      <x:c r="A1403" t="str">
        <x:v>3110793</x:v>
      </x:c>
      <x:c r="B1403" t="str">
        <x:v>대림썬프라자</x:v>
      </x:c>
      <x:c r="C1403" t="str">
        <x:v>골목상권</x:v>
      </x:c>
      <x:c r="D1403" t="str">
        <x:v>영등포구</x:v>
      </x:c>
      <x:c r="E1403" t="str">
        <x:v>대림1동</x:v>
      </x:c>
      <x:c r="F1403" s="12" t="n">
        <x:v>9883</x:v>
      </x:c>
      <x:c r="G1403" s="12" t="n">
        <x:v>296945094</x:v>
      </x:c>
      <x:c r="H1403" s="12" t="n">
        <x:v>7232</x:v>
      </x:c>
      <x:c r="I1403" s="12" t="n">
        <x:v>41059.88578539823</x:v>
      </x:c>
      <x:c r="J1403" s="12" t="n">
        <x:v>30046.048163513104</x:v>
      </x:c>
      <x:c r="K1403" s="12" t="n">
        <x:v>64</x:v>
      </x:c>
      <x:c r="L1403" s="12" t="n">
        <x:v>64.7576646767176</x:v>
      </x:c>
      <x:c r="M1403" s="12" t="n">
        <x:v>2</x:v>
      </x:c>
      <x:c r="N1403" s="14" t="n">
        <x:v>0.6508277755887086</x:v>
      </x:c>
      <x:c r="O1403" s="14" t="n">
        <x:v>0.3491722244112913</x:v>
      </x:c>
      <x:c r="P1403" s="14" t="n">
        <x:v>0.5121606622670789</x:v>
      </x:c>
      <x:c r="Q1403" s="14" t="n">
        <x:v>0.30913094324434265</x:v>
      </x:c>
      <x:c r="R1403" s="14" t="n">
        <x:v>0.19125446807348162</x:v>
      </x:c>
      <x:c r="S1403" s="14" t="n">
        <x:v>0.3865791330433632</x:v>
      </x:c>
      <x:c r="T1403" t="str">
        <x:v>야간활성</x:v>
      </x:c>
      <x:c r="U1403" s="16" t="n">
        <x:v>42.99833641860144</x:v>
      </x:c>
      <x:c r="V1403" t="str">
        <x:v>한식음식점</x:v>
      </x:c>
      <x:c r="W1403" t="str">
        <x:v>한식음식점 / 일반의류</x:v>
      </x:c>
      <x:c r="X1403" s="16" t="n">
        <x:v>39.04151264092421</x:v>
      </x:c>
    </x:row>
    <x:row r="1404">
      <x:c r="A1404" t="str">
        <x:v>3130119</x:v>
      </x:c>
      <x:c r="B1404" t="str">
        <x:v>정릉아리랑시장</x:v>
      </x:c>
      <x:c r="C1404" t="str">
        <x:v>전통시장</x:v>
      </x:c>
      <x:c r="D1404" t="str">
        <x:v>성북구</x:v>
      </x:c>
      <x:c r="E1404" t="str">
        <x:v>정릉2동</x:v>
      </x:c>
      <x:c r="F1404" s="12" t="n">
        <x:v>23266</x:v>
      </x:c>
      <x:c r="G1404" s="12" t="n">
        <x:v>294821057</x:v>
      </x:c>
      <x:c r="H1404" s="12" t="n">
        <x:v>19313</x:v>
      </x:c>
      <x:c r="I1404" s="12" t="n">
        <x:v>15265.420027960441</x:v>
      </x:c>
      <x:c r="J1404" s="12" t="n">
        <x:v>12671.75522221267</x:v>
      </x:c>
      <x:c r="K1404" s="12" t="n">
        <x:v>159</x:v>
      </x:c>
      <x:c r="L1404" s="12" t="n">
        <x:v>68.34006705063183</x:v>
      </x:c>
      <x:c r="M1404" s="12" t="n">
        <x:v>4</x:v>
      </x:c>
      <x:c r="N1404" s="14" t="n">
        <x:v>0.6294983943429794</x:v>
      </x:c>
      <x:c r="O1404" s="14" t="n">
        <x:v>0.3705016056570206</x:v>
      </x:c>
      <x:c r="P1404" s="14" t="n">
        <x:v>0.321964099056873</x:v>
      </x:c>
      <x:c r="Q1404" s="14" t="n">
        <x:v>0.3436542187012103</x:v>
      </x:c>
      <x:c r="R1404" s="14" t="n">
        <x:v>0.20015057133452988</x:v>
      </x:c>
      <x:c r="S1404" s="14" t="n">
        <x:v>0.509140098497103</x:v>
      </x:c>
      <x:c r="T1404" t="str">
        <x:v>여성소비</x:v>
      </x:c>
      <x:c r="U1404" s="16" t="n">
        <x:v>62.09318005567332</x:v>
      </x:c>
      <x:c r="V1404" t="str">
        <x:v>미용실</x:v>
      </x:c>
      <x:c r="W1404" t="str">
        <x:v>미용실 / 제과점 / 커피-음료</x:v>
      </x:c>
      <x:c r="X1404" s="16" t="n">
        <x:v>41.83043142349828</x:v>
      </x:c>
    </x:row>
    <x:row r="1405">
      <x:c r="A1405" t="str">
        <x:v>3110845</x:v>
      </x:c>
      <x:c r="B1405" t="str">
        <x:v>사당종합체육관</x:v>
      </x:c>
      <x:c r="C1405" t="str">
        <x:v>골목상권</x:v>
      </x:c>
      <x:c r="D1405" t="str">
        <x:v>동작구</x:v>
      </x:c>
      <x:c r="E1405" t="str">
        <x:v>사당3동</x:v>
      </x:c>
      <x:c r="F1405" s="12" t="n">
        <x:v>33058</x:v>
      </x:c>
      <x:c r="G1405" s="12" t="n">
        <x:v>291278492</x:v>
      </x:c>
      <x:c r="H1405" s="12" t="n">
        <x:v>11529</x:v>
      </x:c>
      <x:c r="I1405" s="12" t="n">
        <x:v>25264.853152918728</x:v>
      </x:c>
      <x:c r="J1405" s="12" t="n">
        <x:v>8811.134732893703</x:v>
      </x:c>
      <x:c r="K1405" s="12" t="n">
        <x:v>210</x:v>
      </x:c>
      <x:c r="L1405" s="12" t="n">
        <x:v>63.52471413878637</x:v>
      </x:c>
      <x:c r="M1405" s="12" t="n">
        <x:v>4</x:v>
      </x:c>
      <x:c r="N1405" s="14" t="n">
        <x:v>0.8891653421496016</x:v>
      </x:c>
      <x:c r="O1405" s="14" t="n">
        <x:v>0.11083465785039838</x:v>
      </x:c>
      <x:c r="P1405" s="14" t="n">
        <x:v>0.5466301542099442</x:v>
      </x:c>
      <x:c r="Q1405" s="14" t="n">
        <x:v>0.13610174485522947</x:v>
      </x:c>
      <x:c r="R1405" s="14" t="n">
        <x:v>0.1359781792608292</x:v>
      </x:c>
      <x:c r="S1405" s="14" t="n">
        <x:v>0.6221725804595281</x:v>
      </x:c>
      <x:c r="T1405" t="str">
        <x:v>여성소비·평일집중</x:v>
      </x:c>
      <x:c r="U1405" s="16" t="n">
        <x:v>59.542854092518276</x:v>
      </x:c>
      <x:c r="V1405" t="str">
        <x:v>일반의류</x:v>
      </x:c>
      <x:c r="W1405" t="str">
        <x:v>일반의류 / 일반교습학원 / 미용실</x:v>
      </x:c>
      <x:c r="X1405" s="16" t="n">
        <x:v>51.01760561953565</x:v>
      </x:c>
    </x:row>
    <x:row r="1406">
      <x:c r="A1406" t="str">
        <x:v>3110336</x:v>
      </x:c>
      <x:c r="B1406" t="str">
        <x:v>석관고등학교</x:v>
      </x:c>
      <x:c r="C1406" t="str">
        <x:v>골목상권</x:v>
      </x:c>
      <x:c r="D1406" t="str">
        <x:v>성북구</x:v>
      </x:c>
      <x:c r="E1406" t="str">
        <x:v>석관동</x:v>
      </x:c>
      <x:c r="F1406" s="12" t="n">
        <x:v>62554</x:v>
      </x:c>
      <x:c r="G1406" s="12" t="n">
        <x:v>288759716</x:v>
      </x:c>
      <x:c r="H1406" s="12" t="n">
        <x:v>11338</x:v>
      </x:c>
      <x:c r="I1406" s="12" t="n">
        <x:v>25468.31151878638</x:v>
      </x:c>
      <x:c r="J1406" s="12" t="n">
        <x:v>4616.167087636282</x:v>
      </x:c>
      <x:c r="K1406" s="12" t="n">
        <x:v>201</x:v>
      </x:c>
      <x:c r="L1406" s="12" t="n">
        <x:v>32.132237746586945</x:v>
      </x:c>
      <x:c r="M1406" s="12" t="n">
        <x:v>3</x:v>
      </x:c>
      <x:c r="N1406" s="14" t="n">
        <x:v>0.7197709219245804</x:v>
      </x:c>
      <x:c r="O1406" s="14" t="n">
        <x:v>0.28022907807541964</x:v>
      </x:c>
      <x:c r="P1406" s="14" t="n">
        <x:v>0.3771908301779878</x:v>
      </x:c>
      <x:c r="Q1406" s="14" t="n">
        <x:v>0.2823745816400512</x:v>
      </x:c>
      <x:c r="R1406" s="14" t="n">
        <x:v>0.09881580227070177</x:v>
      </x:c>
      <x:c r="S1406" s="14" t="n">
        <x:v>0.27851749930381564</x:v>
      </x:c>
      <x:c r="T1406" t="str">
        <x:v>균형형</x:v>
      </x:c>
      <x:c r="U1406" s="16" t="n">
        <x:v>32.51827641228025</x:v>
      </x:c>
      <x:c r="V1406" t="str">
        <x:v>호프-간이주점</x:v>
      </x:c>
      <x:c r="W1406" t="str">
        <x:v>호프-간이주점 / 한식음식점 / 미용실</x:v>
      </x:c>
      <x:c r="X1406" s="16" t="n">
        <x:v>25.973697273691197</x:v>
      </x:c>
    </x:row>
    <x:row r="1407">
      <x:c r="A1407" t="str">
        <x:v>3110768</x:v>
      </x:c>
      <x:c r="B1407" t="str">
        <x:v>도림2동유수지내체육시설</x:v>
      </x:c>
      <x:c r="C1407" t="str">
        <x:v>골목상권</x:v>
      </x:c>
      <x:c r="D1407" t="str">
        <x:v>영등포구</x:v>
      </x:c>
      <x:c r="E1407" t="str">
        <x:v>도림동</x:v>
      </x:c>
      <x:c r="F1407" s="12" t="n">
        <x:v>51407</x:v>
      </x:c>
      <x:c r="G1407" s="12" t="n">
        <x:v>287898254</x:v>
      </x:c>
      <x:c r="H1407" s="12" t="n">
        <x:v>13581</x:v>
      </x:c>
      <x:c r="I1407" s="12" t="n">
        <x:v>21198.604962815698</x:v>
      </x:c>
      <x:c r="J1407" s="12" t="n">
        <x:v>5600.370649911491</x:v>
      </x:c>
      <x:c r="K1407" s="12" t="n">
        <x:v>176</x:v>
      </x:c>
      <x:c r="L1407" s="12" t="n">
        <x:v>34.23658256657654</x:v>
      </x:c>
      <x:c r="M1407" s="12" t="n">
        <x:v>4</x:v>
      </x:c>
      <x:c r="N1407" s="14" t="n">
        <x:v>0.7230063368150889</x:v>
      </x:c>
      <x:c r="O1407" s="14" t="n">
        <x:v>0.27699366318491114</x:v>
      </x:c>
      <x:c r="P1407" s="14" t="n">
        <x:v>0.5155028553941838</x:v>
      </x:c>
      <x:c r="Q1407" s="14" t="n">
        <x:v>0.18696189800442486</x:v>
      </x:c>
      <x:c r="R1407" s="14" t="n">
        <x:v>0.4515949061643146</x:v>
      </x:c>
      <x:c r="S1407" s="14" t="n">
        <x:v>0.390337372452422</x:v>
      </x:c>
      <x:c r="T1407" t="str">
        <x:v>2030소비·야간활성</x:v>
      </x:c>
      <x:c r="U1407" s="16" t="n">
        <x:v>52.604380391951665</x:v>
      </x:c>
      <x:c r="V1407" t="str">
        <x:v>호프-간이주점</x:v>
      </x:c>
      <x:c r="W1407" t="str">
        <x:v>호프-간이주점 / 미용실 / 제과점</x:v>
      </x:c>
      <x:c r="X1407" s="16" t="n">
        <x:v>42.98962876210195</x:v>
      </x:c>
    </x:row>
    <x:row r="1408">
      <x:c r="A1408" t="str">
        <x:v>3110919</x:v>
      </x:c>
      <x:c r="B1408" t="str">
        <x:v>내방역 8번</x:v>
      </x:c>
      <x:c r="C1408" t="str">
        <x:v>골목상권</x:v>
      </x:c>
      <x:c r="D1408" t="str">
        <x:v>서초구</x:v>
      </x:c>
      <x:c r="E1408" t="str">
        <x:v>방배4동</x:v>
      </x:c>
      <x:c r="F1408" s="12" t="n">
        <x:v>88173</x:v>
      </x:c>
      <x:c r="G1408" s="12" t="n">
        <x:v>284696180</x:v>
      </x:c>
      <x:c r="H1408" s="12" t="n">
        <x:v>937</x:v>
      </x:c>
      <x:c r="I1408" s="12" t="n">
        <x:v>303837.97225186764</x:v>
      </x:c>
      <x:c r="J1408" s="12" t="n">
        <x:v>3228.836265069806</x:v>
      </x:c>
      <x:c r="K1408" s="12" t="n">
        <x:v>1021</x:v>
      </x:c>
      <x:c r="L1408" s="12" t="n">
        <x:v>115.79508466310548</x:v>
      </x:c>
      <x:c r="M1408" s="12" t="n">
        <x:v>3</x:v>
      </x:c>
      <x:c r="N1408" s="14" t="n">
        <x:v>0.8831447510114115</x:v>
      </x:c>
      <x:c r="O1408" s="14" t="n">
        <x:v>0.11685524898858847</x:v>
      </x:c>
      <x:c r="P1408" s="14" t="n">
        <x:v>0.28839899081188936</x:v>
      </x:c>
      <x:c r="Q1408" s="14" t="n">
        <x:v>0.17963960387526098</x:v>
      </x:c>
      <x:c r="R1408" s="14" t="n">
        <x:v>0.12816926099956802</x:v>
      </x:c>
      <x:c r="S1408" s="14" t="n">
        <x:v>0.6254405942503338</x:v>
      </x:c>
      <x:c r="T1408" t="str">
        <x:v>여성소비·평일집중</x:v>
      </x:c>
      <x:c r="U1408" s="16" t="n">
        <x:v>59.93257725574099</x:v>
      </x:c>
      <x:c r="V1408" t="str">
        <x:v>피부관리실</x:v>
      </x:c>
      <x:c r="W1408" t="str">
        <x:v>피부관리실 / 일반교습학원 / 네일숍</x:v>
      </x:c>
      <x:c r="X1408" s="16" t="n">
        <x:v>51.390566003533706</x:v>
      </x:c>
    </x:row>
    <x:row r="1409">
      <x:c r="A1409" t="str">
        <x:v>3110514</x:v>
      </x:c>
      <x:c r="B1409" t="str">
        <x:v>서대문우체국</x:v>
      </x:c>
      <x:c r="C1409" t="str">
        <x:v>골목상권</x:v>
      </x:c>
      <x:c r="D1409" t="str">
        <x:v>서대문구</x:v>
      </x:c>
      <x:c r="E1409" t="str">
        <x:v>신촌동</x:v>
      </x:c>
      <x:c r="F1409" s="12" t="n">
        <x:v>91935</x:v>
      </x:c>
      <x:c r="G1409" s="12" t="n">
        <x:v>283777094</x:v>
      </x:c>
      <x:c r="H1409" s="12" t="n">
        <x:v>19318</x:v>
      </x:c>
      <x:c r="I1409" s="12" t="n">
        <x:v>14689.776063774718</x:v>
      </x:c>
      <x:c r="J1409" s="12" t="n">
        <x:v>3086.7144613041824</x:v>
      </x:c>
      <x:c r="K1409" s="12" t="n">
        <x:v>49</x:v>
      </x:c>
      <x:c r="L1409" s="12" t="n">
        <x:v>5.329852613259368</x:v>
      </x:c>
      <x:c r="M1409" s="12" t="n">
        <x:v>3</x:v>
      </x:c>
      <x:c r="N1409" s="14" t="n">
        <x:v>0.7919578491419748</x:v>
      </x:c>
      <x:c r="O1409" s="14" t="n">
        <x:v>0.20804215085802522</x:v>
      </x:c>
      <x:c r="P1409" s="14" t="n">
        <x:v>0.46307206176408305</x:v>
      </x:c>
      <x:c r="Q1409" s="14" t="n">
        <x:v>0.22009730989774673</x:v>
      </x:c>
      <x:c r="R1409" s="14" t="n">
        <x:v>0.47144229688954387</x:v>
      </x:c>
      <x:c r="S1409" s="14" t="n">
        <x:v>0.37433564669599445</x:v>
      </x:c>
      <x:c r="T1409" t="str">
        <x:v>2030소비·야간활성</x:v>
      </x:c>
      <x:c r="U1409" s="16" t="n">
        <x:v>51.63674233019538</x:v>
      </x:c>
      <x:c r="V1409" t="str">
        <x:v>세탁소</x:v>
      </x:c>
      <x:c r="W1409" t="str">
        <x:v>세탁소 / 한식음식점 / 편의점</x:v>
      </x:c>
      <x:c r="X1409" s="16" t="n">
        <x:v>26.374282525195735</x:v>
      </x:c>
    </x:row>
    <x:row r="1410">
      <x:c r="A1410" t="str">
        <x:v>3110126</x:v>
      </x:c>
      <x:c r="B1410" t="str">
        <x:v>서울숲역 1번</x:v>
      </x:c>
      <x:c r="C1410" t="str">
        <x:v>골목상권</x:v>
      </x:c>
      <x:c r="D1410" t="str">
        <x:v>성동구</x:v>
      </x:c>
      <x:c r="E1410" t="str">
        <x:v>성수1가1동</x:v>
      </x:c>
      <x:c r="F1410" s="12" t="n">
        <x:v>18531</x:v>
      </x:c>
      <x:c r="G1410" s="12" t="n">
        <x:v>282344411</x:v>
      </x:c>
      <x:c r="H1410" s="12" t="n">
        <x:v>14182</x:v>
      </x:c>
      <x:c r="I1410" s="12" t="n">
        <x:v>19908.645536595686</x:v>
      </x:c>
      <x:c r="J1410" s="12" t="n">
        <x:v>15236.328908315794</x:v>
      </x:c>
      <x:c r="K1410" s="12" t="n">
        <x:v>163</x:v>
      </x:c>
      <x:c r="L1410" s="12" t="n">
        <x:v>87.96071447844153</x:v>
      </x:c>
      <x:c r="M1410" s="12" t="n">
        <x:v>3</x:v>
      </x:c>
      <x:c r="N1410" s="14" t="n">
        <x:v>0.7091274103527412</x:v>
      </x:c>
      <x:c r="O1410" s="14" t="n">
        <x:v>0.2908725896472589</x:v>
      </x:c>
      <x:c r="P1410" s="14" t="n">
        <x:v>0.38826662660590083</x:v>
      </x:c>
      <x:c r="Q1410" s="14" t="n">
        <x:v>0.35718312837437394</x:v>
      </x:c>
      <x:c r="R1410" s="14" t="n">
        <x:v>0.5663665182308142</x:v>
      </x:c>
      <x:c r="S1410" s="14" t="n">
        <x:v>0.5899150665319881</x:v>
      </x:c>
      <x:c r="T1410" t="str">
        <x:v>2030소비·여성소비</x:v>
      </x:c>
      <x:c r="U1410" s="16" t="n">
        <x:v>47.91793896592836</x:v>
      </x:c>
      <x:c r="V1410" t="str">
        <x:v>미용실</x:v>
      </x:c>
      <x:c r="W1410" t="str">
        <x:v>미용실 / 커피-음료 / 한식음식점</x:v>
      </x:c>
      <x:c r="X1410" s="16" t="n">
        <x:v>40.46241838890982</x:v>
      </x:c>
    </x:row>
    <x:row r="1411">
      <x:c r="A1411" t="str">
        <x:v>3110202</x:v>
      </x:c>
      <x:c r="B1411" t="str">
        <x:v>전농1동주민센터(전농시장)</x:v>
      </x:c>
      <x:c r="C1411" t="str">
        <x:v>골목상권</x:v>
      </x:c>
      <x:c r="D1411" t="str">
        <x:v>동대문구</x:v>
      </x:c>
      <x:c r="E1411" t="str">
        <x:v>전농1동</x:v>
      </x:c>
      <x:c r="F1411" s="12" t="n">
        <x:v>29821</x:v>
      </x:c>
      <x:c r="G1411" s="12" t="n">
        <x:v>281696168</x:v>
      </x:c>
      <x:c r="H1411" s="12" t="n">
        <x:v>1700</x:v>
      </x:c>
      <x:c r="I1411" s="12" t="n">
        <x:v>165703.6282352941</x:v>
      </x:c>
      <x:c r="J1411" s="12" t="n">
        <x:v>9446.234800979175</x:v>
      </x:c>
      <x:c r="K1411" s="12" t="n">
        <x:v>8</x:v>
      </x:c>
      <x:c r="L1411" s="12" t="n">
        <x:v>2.682673283927434</x:v>
      </x:c>
      <x:c r="M1411" s="12" t="n">
        <x:v>2</x:v>
      </x:c>
      <x:c r="N1411" s="14" t="n">
        <x:v>0.6051240746732487</x:v>
      </x:c>
      <x:c r="O1411" s="14" t="n">
        <x:v>0.39487592532675136</x:v>
      </x:c>
      <x:c r="P1411" s="14" t="n">
        <x:v>0.18388496502373436</x:v>
      </x:c>
      <x:c r="Q1411" s="14" t="n">
        <x:v>0.4944742592309598</x:v>
      </x:c>
      <x:c r="R1411" s="14" t="n">
        <x:v>0.04372799987822341</x:v>
      </x:c>
      <x:c r="S1411" s="14" t="n">
        <x:v>0.35822173129454854</x:v>
      </x:c>
      <x:c r="T1411" t="str">
        <x:v>균형형</x:v>
      </x:c>
      <x:c r="U1411" s="16" t="n">
        <x:v>43.16832930369871</x:v>
      </x:c>
      <x:c r="V1411" t="str">
        <x:v>슈퍼마켓</x:v>
      </x:c>
      <x:c r="W1411" t="str">
        <x:v>슈퍼마켓 / 한식음식점</x:v>
      </x:c>
      <x:c r="X1411" s="16" t="n">
        <x:v>34.72125545552494</x:v>
      </x:c>
    </x:row>
    <x:row r="1412">
      <x:c r="A1412" t="str">
        <x:v>3110585</x:v>
      </x:c>
      <x:c r="B1412" t="str">
        <x:v>마포경찰서</x:v>
      </x:c>
      <x:c r="C1412" t="str">
        <x:v>골목상권</x:v>
      </x:c>
      <x:c r="D1412" t="str">
        <x:v>마포구</x:v>
      </x:c>
      <x:c r="E1412" t="str">
        <x:v>아현동</x:v>
      </x:c>
      <x:c r="F1412" s="12" t="n">
        <x:v>18216</x:v>
      </x:c>
      <x:c r="G1412" s="12" t="n">
        <x:v>277011782</x:v>
      </x:c>
      <x:c r="H1412" s="12" t="n">
        <x:v>6734</x:v>
      </x:c>
      <x:c r="I1412" s="12" t="n">
        <x:v>41136.290763290766</x:v>
      </x:c>
      <x:c r="J1412" s="12" t="n">
        <x:v>15207.05873956961</x:v>
      </x:c>
      <x:c r="K1412" s="12" t="n">
        <x:v>295</x:v>
      </x:c>
      <x:c r="L1412" s="12" t="n">
        <x:v>161.945542380325</x:v>
      </x:c>
      <x:c r="M1412" s="12" t="n">
        <x:v>2</x:v>
      </x:c>
      <x:c r="N1412" s="14" t="n">
        <x:v>0.8808740200082897</x:v>
      </x:c>
      <x:c r="O1412" s="14" t="n">
        <x:v>0.11912597999171025</x:v>
      </x:c>
      <x:c r="P1412" s="14" t="n">
        <x:v>0.2471295607202729</x:v>
      </x:c>
      <x:c r="Q1412" s="14" t="n">
        <x:v>0.4830072642902965</x:v>
      </x:c>
      <x:c r="R1412" s="14" t="n">
        <x:v>0.18802526601558053</x:v>
      </x:c>
      <x:c r="S1412" s="14" t="n">
        <x:v>0.45656049748815375</x:v>
      </x:c>
      <x:c r="T1412" t="str">
        <x:v>평일집중·직장밀집</x:v>
      </x:c>
      <x:c r="U1412" s="16" t="n">
        <x:v>31.919386080284603</x:v>
      </x:c>
      <x:c r="V1412" t="str">
        <x:v>한식음식점</x:v>
      </x:c>
      <x:c r="W1412" t="str">
        <x:v>한식음식점 / 치과의원</x:v>
      </x:c>
      <x:c r="X1412" s="16" t="n">
        <x:v>27.367782476382068</x:v>
      </x:c>
    </x:row>
    <x:row r="1413">
      <x:c r="A1413" t="str">
        <x:v>3110889</x:v>
      </x:c>
      <x:c r="B1413" t="str">
        <x:v>봉천역 6번</x:v>
      </x:c>
      <x:c r="C1413" t="str">
        <x:v>골목상권</x:v>
      </x:c>
      <x:c r="D1413" t="str">
        <x:v>관악구</x:v>
      </x:c>
      <x:c r="E1413" t="str">
        <x:v>은천동</x:v>
      </x:c>
      <x:c r="F1413" s="12" t="n">
        <x:v>42797</x:v>
      </x:c>
      <x:c r="G1413" s="12" t="n">
        <x:v>269984470</x:v>
      </x:c>
      <x:c r="H1413" s="12" t="n">
        <x:v>7312</x:v>
      </x:c>
      <x:c r="I1413" s="12" t="n">
        <x:v>36923.47784463895</x:v>
      </x:c>
      <x:c r="J1413" s="12" t="n">
        <x:v>6308.490548402925</x:v>
      </x:c>
      <x:c r="K1413" s="12" t="n">
        <x:v>222</x:v>
      </x:c>
      <x:c r="L1413" s="12" t="n">
        <x:v>51.87279482206697</x:v>
      </x:c>
      <x:c r="M1413" s="12" t="n">
        <x:v>2</x:v>
      </x:c>
      <x:c r="N1413" s="14" t="n">
        <x:v>0.661455860775992</x:v>
      </x:c>
      <x:c r="O1413" s="14" t="n">
        <x:v>0.33854413922400795</x:v>
      </x:c>
      <x:c r="P1413" s="14" t="n">
        <x:v>0.624481908163088</x:v>
      </x:c>
      <x:c r="Q1413" s="14" t="n">
        <x:v>0.21627619914582494</x:v>
      </x:c>
      <x:c r="R1413" s="14" t="n">
        <x:v>0.28496398329874306</x:v>
      </x:c>
      <x:c r="S1413" s="14" t="n">
        <x:v>0.3978913861230611</x:v>
      </x:c>
      <x:c r="T1413" t="str">
        <x:v>야간활성·2030소비</x:v>
      </x:c>
      <x:c r="U1413" s="16" t="n">
        <x:v>64.2986577209421</x:v>
      </x:c>
      <x:c r="V1413" t="str">
        <x:v>일반의류</x:v>
      </x:c>
      <x:c r="W1413" t="str">
        <x:v>일반의류 / 한식음식점</x:v>
      </x:c>
      <x:c r="X1413" s="16" t="n">
        <x:v>48.83758753182947</x:v>
      </x:c>
    </x:row>
    <x:row r="1414">
      <x:c r="A1414" t="str">
        <x:v>3110910</x:v>
      </x:c>
      <x:c r="B1414" t="str">
        <x:v>내방역 5번</x:v>
      </x:c>
      <x:c r="C1414" t="str">
        <x:v>골목상권</x:v>
      </x:c>
      <x:c r="D1414" t="str">
        <x:v>서초구</x:v>
      </x:c>
      <x:c r="E1414" t="str">
        <x:v>방배4동</x:v>
      </x:c>
      <x:c r="F1414" s="12" t="n">
        <x:v>60073</x:v>
      </x:c>
      <x:c r="G1414" s="12" t="n">
        <x:v>265923849</x:v>
      </x:c>
      <x:c r="H1414" s="12" t="n">
        <x:v>9097</x:v>
      </x:c>
      <x:c r="I1414" s="12" t="n">
        <x:v>29232.037924590524</x:v>
      </x:c>
      <x:c r="J1414" s="12" t="n">
        <x:v>4426.678357997769</x:v>
      </x:c>
      <x:c r="K1414" s="12" t="n">
        <x:v>1361</x:v>
      </x:c>
      <x:c r="L1414" s="12" t="n">
        <x:v>226.55768814608894</x:v>
      </x:c>
      <x:c r="M1414" s="12" t="n">
        <x:v>2</x:v>
      </x:c>
      <x:c r="N1414" s="14" t="n">
        <x:v>0.9341840227350199</x:v>
      </x:c>
      <x:c r="O1414" s="14" t="n">
        <x:v>0.06581597726498009</x:v>
      </x:c>
      <x:c r="P1414" s="14" t="n">
        <x:v>0.08024291570779724</x:v>
      </x:c>
      <x:c r="Q1414" s="14" t="n">
        <x:v>0.4199143379577061</x:v>
      </x:c>
      <x:c r="R1414" s="14" t="n">
        <x:v>0.08860013529662772</x:v>
      </x:c>
      <x:c r="S1414" s="14" t="n">
        <x:v>0.5336182878429983</x:v>
      </x:c>
      <x:c r="T1414" t="str">
        <x:v>평일집중·여성소비</x:v>
      </x:c>
      <x:c r="U1414" s="16" t="n">
        <x:v>44.60066551537653</x:v>
      </x:c>
      <x:c r="V1414" t="str">
        <x:v>한식음식점</x:v>
      </x:c>
      <x:c r="W1414" t="str">
        <x:v>한식음식점 / 화장품</x:v>
      </x:c>
      <x:c r="X1414" s="16" t="n">
        <x:v>44.075730112882766</x:v>
      </x:c>
    </x:row>
    <x:row r="1415">
      <x:c r="A1415" t="str">
        <x:v>3110083</x:v>
      </x:c>
      <x:c r="B1415" t="str">
        <x:v>서빙고역 1번</x:v>
      </x:c>
      <x:c r="C1415" t="str">
        <x:v>골목상권</x:v>
      </x:c>
      <x:c r="D1415" t="str">
        <x:v>용산구</x:v>
      </x:c>
      <x:c r="E1415" t="str">
        <x:v>서빙고동</x:v>
      </x:c>
      <x:c r="F1415" s="12" t="n">
        <x:v>58652</x:v>
      </x:c>
      <x:c r="G1415" s="12" t="n">
        <x:v>264080712</x:v>
      </x:c>
      <x:c r="H1415" s="12" t="n">
        <x:v>2816</x:v>
      </x:c>
      <x:c r="I1415" s="12" t="n">
        <x:v>93778.66193181818</x:v>
      </x:c>
      <x:c r="J1415" s="12" t="n">
        <x:v>4502.501398076792</x:v>
      </x:c>
      <x:c r="K1415" s="12" t="n">
        <x:v>4933</x:v>
      </x:c>
      <x:c r="L1415" s="12" t="n">
        <x:v>841.0625383618632</x:v>
      </x:c>
      <x:c r="M1415" s="12" t="n">
        <x:v>4</x:v>
      </x:c>
      <x:c r="N1415" s="14" t="n">
        <x:v>0.7677149401202765</x:v>
      </x:c>
      <x:c r="O1415" s="14" t="n">
        <x:v>0.23228505987972345</x:v>
      </x:c>
      <x:c r="P1415" s="14" t="n">
        <x:v>0.2688468743601388</x:v>
      </x:c>
      <x:c r="Q1415" s="14" t="n">
        <x:v>0.21959764710116353</x:v>
      </x:c>
      <x:c r="R1415" s="14" t="n">
        <x:v>0.3108104123863465</x:v>
      </x:c>
      <x:c r="S1415" s="14" t="n">
        <x:v>0.383863725723369</x:v>
      </x:c>
      <x:c r="T1415" t="str">
        <x:v>직장밀집·2030소비</x:v>
      </x:c>
      <x:c r="U1415" s="16" t="n">
        <x:v>66.90596201053724</x:v>
      </x:c>
      <x:c r="V1415" t="str">
        <x:v>자동차수리</x:v>
      </x:c>
      <x:c r="W1415" t="str">
        <x:v>자동차수리 / 일반의류 / 커피-음료</x:v>
      </x:c>
      <x:c r="X1415" s="16" t="n">
        <x:v>57.27224276814723</x:v>
      </x:c>
    </x:row>
    <x:row r="1416">
      <x:c r="A1416" t="str">
        <x:v>3110592</x:v>
      </x:c>
      <x:c r="B1416" t="str">
        <x:v>서울금융고등학교</x:v>
      </x:c>
      <x:c r="C1416" t="str">
        <x:v>골목상권</x:v>
      </x:c>
      <x:c r="D1416" t="str">
        <x:v>양천구</x:v>
      </x:c>
      <x:c r="E1416" t="str">
        <x:v>신월3동</x:v>
      </x:c>
      <x:c r="F1416" s="12" t="n">
        <x:v>42118</x:v>
      </x:c>
      <x:c r="G1416" s="12" t="n">
        <x:v>260168261</x:v>
      </x:c>
      <x:c r="H1416" s="12" t="n">
        <x:v>11518</x:v>
      </x:c>
      <x:c r="I1416" s="12" t="n">
        <x:v>22587.97195693697</x:v>
      </x:c>
      <x:c r="J1416" s="12" t="n">
        <x:v>6177.127617645662</x:v>
      </x:c>
      <x:c r="K1416" s="12" t="n">
        <x:v>352</x:v>
      </x:c>
      <x:c r="L1416" s="12" t="n">
        <x:v>83.5747186476091</x:v>
      </x:c>
      <x:c r="M1416" s="12" t="n">
        <x:v>1</x:v>
      </x:c>
      <x:c r="N1416" s="14" t="n">
        <x:v>0.7302648727009787</x:v>
      </x:c>
      <x:c r="O1416" s="14" t="n">
        <x:v>0.2697351272990213</x:v>
      </x:c>
      <x:c r="P1416" s="14" t="n">
        <x:v>0.49576070310897763</x:v>
      </x:c>
      <x:c r="Q1416" s="14" t="n">
        <x:v>0.33021510644605495</x:v>
      </x:c>
      <x:c r="R1416" s="14" t="n">
        <x:v>0.30542412704215294</x:v>
      </x:c>
      <x:c r="S1416" s="14" t="n">
        <x:v>0.27234011453841406</x:v>
      </x:c>
      <x:c r="T1416" t="str">
        <x:v>야간활성·2030소비</x:v>
      </x:c>
      <x:c r="U1416" s="16" t="n">
        <x:v>38.936812884704715</x:v>
      </x:c>
      <x:c r="V1416" t="str">
        <x:v>한식음식점</x:v>
      </x:c>
      <x:c r="W1416" t="str">
        <x:v>한식음식점</x:v>
      </x:c>
      <x:c r="X1416" s="16" t="n">
        <x:v>38.936812884704715</x:v>
      </x:c>
    </x:row>
    <x:row r="1417">
      <x:c r="A1417" t="str">
        <x:v>3110039</x:v>
      </x:c>
      <x:c r="B1417" t="str">
        <x:v>회현역 1번</x:v>
      </x:c>
      <x:c r="C1417" t="str">
        <x:v>골목상권</x:v>
      </x:c>
      <x:c r="D1417" t="str">
        <x:v>중구</x:v>
      </x:c>
      <x:c r="E1417" t="str">
        <x:v>회현동</x:v>
      </x:c>
      <x:c r="F1417" s="12" t="n">
        <x:v>9928</x:v>
      </x:c>
      <x:c r="G1417" s="12" t="n">
        <x:v>256672859</x:v>
      </x:c>
      <x:c r="H1417" s="12" t="n">
        <x:v>11548</x:v>
      </x:c>
      <x:c r="I1417" s="12" t="n">
        <x:v>22226.60711811569</x:v>
      </x:c>
      <x:c r="J1417" s="12" t="n">
        <x:v>25853.43060032232</x:v>
      </x:c>
      <x:c r="K1417" s="12" t="n">
        <x:v>339</x:v>
      </x:c>
      <x:c r="L1417" s="12" t="n">
        <x:v>341.4585012087026</x:v>
      </x:c>
      <x:c r="M1417" s="12" t="n">
        <x:v>1</x:v>
      </x:c>
      <x:c r="N1417" s="14" t="n">
        <x:v>0.9340099686971578</x:v>
      </x:c>
      <x:c r="O1417" s="14" t="n">
        <x:v>0.06599003130284219</x:v>
      </x:c>
      <x:c r="P1417" s="14" t="n">
        <x:v>0.2409096787284393</x:v>
      </x:c>
      <x:c r="Q1417" s="14" t="n">
        <x:v>0.6538056094197322</x:v>
      </x:c>
      <x:c r="R1417" s="14" t="n">
        <x:v>0.2894857574325769</x:v>
      </x:c>
      <x:c r="S1417" s="14" t="n">
        <x:v>0.271866438359967</x:v>
      </x:c>
      <x:c r="T1417" t="str">
        <x:v>평일집중·직장밀집</x:v>
      </x:c>
      <x:c r="U1417" s="16" t="n">
        <x:v>40.75833080899239</x:v>
      </x:c>
      <x:c r="V1417" t="str">
        <x:v>한식음식점</x:v>
      </x:c>
      <x:c r="W1417" t="str">
        <x:v>한식음식점</x:v>
      </x:c>
      <x:c r="X1417" s="16" t="n">
        <x:v>40.75833080899239</x:v>
      </x:c>
    </x:row>
    <x:row r="1418">
      <x:c r="A1418" t="str">
        <x:v>3110208</x:v>
      </x:c>
      <x:c r="B1418" t="str">
        <x:v>시조사삼거리</x:v>
      </x:c>
      <x:c r="C1418" t="str">
        <x:v>골목상권</x:v>
      </x:c>
      <x:c r="D1418" t="str">
        <x:v>동대문구</x:v>
      </x:c>
      <x:c r="E1418" t="str">
        <x:v>회기동</x:v>
      </x:c>
      <x:c r="F1418" s="12" t="n">
        <x:v>42223</x:v>
      </x:c>
      <x:c r="G1418" s="12" t="n">
        <x:v>256621655</x:v>
      </x:c>
      <x:c r="H1418" s="12" t="n">
        <x:v>13070</x:v>
      </x:c>
      <x:c r="I1418" s="12" t="n">
        <x:v>19634.403596021424</x:v>
      </x:c>
      <x:c r="J1418" s="12" t="n">
        <x:v>6077.769343722615</x:v>
      </x:c>
      <x:c r="K1418" s="12" t="n">
        <x:v>62</x:v>
      </x:c>
      <x:c r="L1418" s="12" t="n">
        <x:v>14.683940032683608</x:v>
      </x:c>
      <x:c r="M1418" s="12" t="n">
        <x:v>3</x:v>
      </x:c>
      <x:c r="N1418" s="14" t="n">
        <x:v>0.981378184939225</x:v>
      </x:c>
      <x:c r="O1418" s="14" t="n">
        <x:v>0.018621815060774975</x:v>
      </x:c>
      <x:c r="P1418" s="14" t="n">
        <x:v>0.27920552145141453</x:v>
      </x:c>
      <x:c r="Q1418" s="14" t="n">
        <x:v>0.5498117062646175</x:v>
      </x:c>
      <x:c r="R1418" s="14" t="n">
        <x:v>0.15615141676176938</x:v>
      </x:c>
      <x:c r="S1418" s="14" t="n">
        <x:v>0.38227955859765617</x:v>
      </x:c>
      <x:c r="T1418" t="str">
        <x:v>평일집중</x:v>
      </x:c>
      <x:c r="U1418" s="16" t="n">
        <x:v>69.16826526178325</x:v>
      </x:c>
      <x:c r="V1418" t="str">
        <x:v>예술학원</x:v>
      </x:c>
      <x:c r="W1418" t="str">
        <x:v>예술학원 / 청과상 / 스포츠 강습</x:v>
      </x:c>
      <x:c r="X1418" s="16" t="n">
        <x:v>58.39980444520538</x:v>
      </x:c>
    </x:row>
    <x:row r="1419">
      <x:c r="A1419" t="str">
        <x:v>3110185</x:v>
      </x:c>
      <x:c r="B1419" t="str">
        <x:v>용두초등학교</x:v>
      </x:c>
      <x:c r="C1419" t="str">
        <x:v>골목상권</x:v>
      </x:c>
      <x:c r="D1419" t="str">
        <x:v>동대문구</x:v>
      </x:c>
      <x:c r="E1419" t="str">
        <x:v>용신동</x:v>
      </x:c>
      <x:c r="F1419" s="12" t="n">
        <x:v>28847</x:v>
      </x:c>
      <x:c r="G1419" s="12" t="n">
        <x:v>254684604</x:v>
      </x:c>
      <x:c r="H1419" s="12" t="n">
        <x:v>7539</x:v>
      </x:c>
      <x:c r="I1419" s="12" t="n">
        <x:v>33782.27934739355</x:v>
      </x:c>
      <x:c r="J1419" s="12" t="n">
        <x:v>8828.807293652719</x:v>
      </x:c>
      <x:c r="K1419" s="12" t="n">
        <x:v>289</x:v>
      </x:c>
      <x:c r="L1419" s="12" t="n">
        <x:v>100.18372794398032</x:v>
      </x:c>
      <x:c r="M1419" s="12" t="n">
        <x:v>2</x:v>
      </x:c>
      <x:c r="N1419" s="14" t="n">
        <x:v>0.7947092710794563</x:v>
      </x:c>
      <x:c r="O1419" s="14" t="n">
        <x:v>0.20529072892054362</x:v>
      </x:c>
      <x:c r="P1419" s="14" t="n">
        <x:v>0.3746641041560565</x:v>
      </x:c>
      <x:c r="Q1419" s="14" t="n">
        <x:v>0.3408724934154245</x:v>
      </x:c>
      <x:c r="R1419" s="14" t="n">
        <x:v>0.18478230823878147</x:v>
      </x:c>
      <x:c r="S1419" s="14" t="n">
        <x:v>0.273412938616423</x:v>
      </x:c>
      <x:c r="T1419" t="str">
        <x:v>평일집중·직장밀집</x:v>
      </x:c>
      <x:c r="U1419" s="16" t="n">
        <x:v>40.676797089512306</x:v>
      </x:c>
      <x:c r="V1419" t="str">
        <x:v>한식음식점</x:v>
      </x:c>
      <x:c r="W1419" t="str">
        <x:v>한식음식점 / 슈퍼마켓</x:v>
      </x:c>
      <x:c r="X1419" s="16" t="n">
        <x:v>39.27469269594093</x:v>
      </x:c>
    </x:row>
    <x:row r="1420">
      <x:c r="A1420" t="str">
        <x:v>3110978</x:v>
      </x:c>
      <x:c r="B1420" t="str">
        <x:v>도곡2동주민센터(대치중학교)</x:v>
      </x:c>
      <x:c r="C1420" t="str">
        <x:v>골목상권</x:v>
      </x:c>
      <x:c r="D1420" t="str">
        <x:v>강남구</x:v>
      </x:c>
      <x:c r="E1420" t="str">
        <x:v>도곡2동</x:v>
      </x:c>
      <x:c r="F1420" s="12" t="n">
        <x:v>14234</x:v>
      </x:c>
      <x:c r="G1420" s="12" t="n">
        <x:v>254610324</x:v>
      </x:c>
      <x:c r="H1420" s="12" t="n">
        <x:v>12410</x:v>
      </x:c>
      <x:c r="I1420" s="12" t="n">
        <x:v>20516.545044319097</x:v>
      </x:c>
      <x:c r="J1420" s="12" t="n">
        <x:v>17887.475340733454</x:v>
      </x:c>
      <x:c r="K1420" s="12" t="n">
        <x:v>1943</x:v>
      </x:c>
      <x:c r="L1420" s="12" t="n">
        <x:v>1365.0414500491781</x:v>
      </x:c>
      <x:c r="M1420" s="12" t="n">
        <x:v>2</x:v>
      </x:c>
      <x:c r="N1420" s="14" t="n">
        <x:v>0.7018795750010514</x:v>
      </x:c>
      <x:c r="O1420" s="14" t="n">
        <x:v>0.2981204249989486</x:v>
      </x:c>
      <x:c r="P1420" s="14" t="n">
        <x:v>0.4248804498595273</x:v>
      </x:c>
      <x:c r="Q1420" s="14" t="n">
        <x:v>0.3120331090737703</x:v>
      </x:c>
      <x:c r="R1420" s="14" t="n">
        <x:v>0.27703629566882765</x:v>
      </x:c>
      <x:c r="S1420" s="14" t="n">
        <x:v>0.3824027261361169</x:v>
      </x:c>
      <x:c r="T1420" t="str">
        <x:v>직장밀집·2030소비</x:v>
      </x:c>
      <x:c r="U1420" s="16" t="n">
        <x:v>46.19978319995371</x:v>
      </x:c>
      <x:c r="V1420" t="str">
        <x:v>커피-음료</x:v>
      </x:c>
      <x:c r="W1420" t="str">
        <x:v>커피-음료 / 양식음식점</x:v>
      </x:c>
      <x:c r="X1420" s="16" t="n">
        <x:v>46.19172772455205</x:v>
      </x:c>
    </x:row>
    <x:row r="1421">
      <x:c r="A1421" t="str">
        <x:v>3110681</x:v>
      </x:c>
      <x:c r="B1421" t="str">
        <x:v>온수역 1번</x:v>
      </x:c>
      <x:c r="C1421" t="str">
        <x:v>골목상권</x:v>
      </x:c>
      <x:c r="D1421" t="str">
        <x:v>구로구</x:v>
      </x:c>
      <x:c r="E1421" t="str">
        <x:v>수궁동</x:v>
      </x:c>
      <x:c r="F1421" s="12" t="n">
        <x:v>82313</x:v>
      </x:c>
      <x:c r="G1421" s="12" t="n">
        <x:v>253305745</x:v>
      </x:c>
      <x:c r="H1421" s="12" t="n">
        <x:v>6522</x:v>
      </x:c>
      <x:c r="I1421" s="12" t="n">
        <x:v>38838.66068690586</x:v>
      </x:c>
      <x:c r="J1421" s="12" t="n">
        <x:v>3077.3479887745557</x:v>
      </x:c>
      <x:c r="K1421" s="12" t="n">
        <x:v>184</x:v>
      </x:c>
      <x:c r="L1421" s="12" t="n">
        <x:v>22.353698686720204</x:v>
      </x:c>
      <x:c r="M1421" s="12" t="n">
        <x:v>2</x:v>
      </x:c>
      <x:c r="N1421" s="14" t="n">
        <x:v>0.7282664749668429</x:v>
      </x:c>
      <x:c r="O1421" s="14" t="n">
        <x:v>0.27173352503315706</x:v>
      </x:c>
      <x:c r="P1421" s="14" t="n">
        <x:v>0.7517483821774354</x:v>
      </x:c>
      <x:c r="Q1421" s="14" t="n">
        <x:v>0.10550449615740061</x:v>
      </x:c>
      <x:c r="R1421" s="14" t="n">
        <x:v>0.2308639742853049</x:v>
      </x:c>
      <x:c r="S1421" s="14" t="n">
        <x:v>0.2821001631842183</x:v>
      </x:c>
      <x:c r="T1421" t="str">
        <x:v>야간활성·2030소비</x:v>
      </x:c>
      <x:c r="U1421" s="16" t="n">
        <x:v>45.64813057731179</x:v>
      </x:c>
      <x:c r="V1421" t="str">
        <x:v>한식음식점</x:v>
      </x:c>
      <x:c r="W1421" t="str">
        <x:v>한식음식점 / 호프-간이주점</x:v>
      </x:c>
      <x:c r="X1421" s="16" t="n">
        <x:v>42.62904147025519</x:v>
      </x:c>
    </x:row>
    <x:row r="1422">
      <x:c r="A1422" t="str">
        <x:v>3110693</x:v>
      </x:c>
      <x:c r="B1422" t="str">
        <x:v>오류동역 4번</x:v>
      </x:c>
      <x:c r="C1422" t="str">
        <x:v>골목상권</x:v>
      </x:c>
      <x:c r="D1422" t="str">
        <x:v>구로구</x:v>
      </x:c>
      <x:c r="E1422" t="str">
        <x:v>오류1동</x:v>
      </x:c>
      <x:c r="F1422" s="12" t="n">
        <x:v>9129</x:v>
      </x:c>
      <x:c r="G1422" s="12" t="n">
        <x:v>252991417</x:v>
      </x:c>
      <x:c r="H1422" s="12" t="n">
        <x:v>3681</x:v>
      </x:c>
      <x:c r="I1422" s="12" t="n">
        <x:v>68728.99130671013</x:v>
      </x:c>
      <x:c r="J1422" s="12" t="n">
        <x:v>27712.938657027058</x:v>
      </x:c>
      <x:c r="K1422" s="12" t="n">
        <x:v>48</x:v>
      </x:c>
      <x:c r="L1422" s="12" t="n">
        <x:v>52.579691094314825</x:v>
      </x:c>
      <x:c r="M1422" s="12" t="n">
        <x:v>1</x:v>
      </x:c>
      <x:c r="N1422" s="14" t="n">
        <x:v>0.5683035207475042</x:v>
      </x:c>
      <x:c r="O1422" s="14" t="n">
        <x:v>0.43169647925249577</x:v>
      </x:c>
      <x:c r="P1422" s="14" t="n">
        <x:v>0.550623699617446</x:v>
      </x:c>
      <x:c r="Q1422" s="14" t="n">
        <x:v>0.2760551042725691</x:v>
      </x:c>
      <x:c r="R1422" s="14" t="n">
        <x:v>0.1568573016056114</x:v>
      </x:c>
      <x:c r="S1422" s="14" t="n">
        <x:v>0.23190738126898588</x:v>
      </x:c>
      <x:c r="T1422" t="str">
        <x:v>야간활성</x:v>
      </x:c>
      <x:c r="U1422" s="16" t="n">
        <x:v>37.23479486483994</x:v>
      </x:c>
      <x:c r="V1422" t="str">
        <x:v>한식음식점</x:v>
      </x:c>
      <x:c r="W1422" t="str">
        <x:v>한식음식점</x:v>
      </x:c>
      <x:c r="X1422" s="16" t="n">
        <x:v>37.23479486483994</x:v>
      </x:c>
    </x:row>
    <x:row r="1423">
      <x:c r="A1423" t="str">
        <x:v>3110153</x:v>
      </x:c>
      <x:c r="B1423" t="str">
        <x:v>중곡1동주민센터</x:v>
      </x:c>
      <x:c r="C1423" t="str">
        <x:v>골목상권</x:v>
      </x:c>
      <x:c r="D1423" t="str">
        <x:v>광진구</x:v>
      </x:c>
      <x:c r="E1423" t="str">
        <x:v>중곡1동</x:v>
      </x:c>
      <x:c r="F1423" s="12" t="n">
        <x:v>50068</x:v>
      </x:c>
      <x:c r="G1423" s="12" t="n">
        <x:v>242697293</x:v>
      </x:c>
      <x:c r="H1423" s="12" t="n">
        <x:v>3559</x:v>
      </x:c>
      <x:c r="I1423" s="12" t="n">
        <x:v>68192.55212138241</x:v>
      </x:c>
      <x:c r="J1423" s="12" t="n">
        <x:v>4847.353459295358</x:v>
      </x:c>
      <x:c r="K1423" s="12" t="n">
        <x:v>208</x:v>
      </x:c>
      <x:c r="L1423" s="12" t="n">
        <x:v>41.54350083885915</x:v>
      </x:c>
      <x:c r="M1423" s="12" t="n">
        <x:v>2</x:v>
      </x:c>
      <x:c r="N1423" s="14" t="n">
        <x:v>0.7149621730638751</x:v>
      </x:c>
      <x:c r="O1423" s="14" t="n">
        <x:v>0.2850378269361249</x:v>
      </x:c>
      <x:c r="P1423" s="14" t="n">
        <x:v>0.15619414840362475</x:v>
      </x:c>
      <x:c r="Q1423" s="14" t="n">
        <x:v>0.21070119228729922</x:v>
      </x:c>
      <x:c r="R1423" s="14" t="n">
        <x:v>0.12352452979358118</x:v>
      </x:c>
      <x:c r="S1423" s="14" t="n">
        <x:v>0.2652053684010394</x:v>
      </x:c>
      <x:c r="T1423" t="str">
        <x:v>균형형</x:v>
      </x:c>
      <x:c r="U1423" s="16" t="n">
        <x:v>48.45524221108142</x:v>
      </x:c>
      <x:c r="V1423" t="str">
        <x:v>호프-간이주점</x:v>
      </x:c>
      <x:c r="W1423" t="str">
        <x:v>호프-간이주점 / 미용실</x:v>
      </x:c>
      <x:c r="X1423" s="16" t="n">
        <x:v>45.53995672194047</x:v>
      </x:c>
    </x:row>
    <x:row r="1424">
      <x:c r="A1424" t="str">
        <x:v>3110700</x:v>
      </x:c>
      <x:c r="B1424" t="str">
        <x:v>고척초등학교</x:v>
      </x:c>
      <x:c r="C1424" t="str">
        <x:v>골목상권</x:v>
      </x:c>
      <x:c r="D1424" t="str">
        <x:v>구로구</x:v>
      </x:c>
      <x:c r="E1424" t="str">
        <x:v>고척1동</x:v>
      </x:c>
      <x:c r="F1424" s="12" t="n">
        <x:v>131905</x:v>
      </x:c>
      <x:c r="G1424" s="12" t="n">
        <x:v>242163366</x:v>
      </x:c>
      <x:c r="H1424" s="12" t="n">
        <x:v>8814</x:v>
      </x:c>
      <x:c r="I1424" s="12" t="n">
        <x:v>27474.85432266848</x:v>
      </x:c>
      <x:c r="J1424" s="12" t="n">
        <x:v>1835.8922406277245</x:v>
      </x:c>
      <x:c r="K1424" s="12" t="n">
        <x:v>627</x:v>
      </x:c>
      <x:c r="L1424" s="12" t="n">
        <x:v>47.53421022705736</x:v>
      </x:c>
      <x:c r="M1424" s="12" t="n">
        <x:v>5</x:v>
      </x:c>
      <x:c r="N1424" s="14" t="n">
        <x:v>0.7336224505567865</x:v>
      </x:c>
      <x:c r="O1424" s="14" t="n">
        <x:v>0.26637754944321346</x:v>
      </x:c>
      <x:c r="P1424" s="14" t="n">
        <x:v>0.32424316401350317</x:v>
      </x:c>
      <x:c r="Q1424" s="14" t="n">
        <x:v>0.3513407639039837</x:v>
      </x:c>
      <x:c r="R1424" s="14" t="n">
        <x:v>0.1825951329070971</x:v>
      </x:c>
      <x:c r="S1424" s="14" t="n">
        <x:v>0.3072926315370096</x:v>
      </x:c>
      <x:c r="T1424" t="str">
        <x:v>균형형</x:v>
      </x:c>
      <x:c r="U1424" s="16" t="n">
        <x:v>54.53465756710536</x:v>
      </x:c>
      <x:c r="V1424" t="str">
        <x:v>당구장</x:v>
      </x:c>
      <x:c r="W1424" t="str">
        <x:v>당구장 / 자동차수리 / 미용실</x:v>
      </x:c>
      <x:c r="X1424" s="16" t="n">
        <x:v>43.1856802430261</x:v>
      </x:c>
    </x:row>
    <x:row r="1425">
      <x:c r="A1425" t="str">
        <x:v>3110113</x:v>
      </x:c>
      <x:c r="B1425" t="str">
        <x:v>응봉산</x:v>
      </x:c>
      <x:c r="C1425" t="str">
        <x:v>골목상권</x:v>
      </x:c>
      <x:c r="D1425" t="str">
        <x:v>성동구</x:v>
      </x:c>
      <x:c r="E1425" t="str">
        <x:v>응봉동</x:v>
      </x:c>
      <x:c r="F1425" s="12" t="n">
        <x:v>89115</x:v>
      </x:c>
      <x:c r="G1425" s="12" t="n">
        <x:v>240318856</x:v>
      </x:c>
      <x:c r="H1425" s="12" t="n">
        <x:v>5276</x:v>
      </x:c>
      <x:c r="I1425" s="12" t="n">
        <x:v>45549.4420015163</x:v>
      </x:c>
      <x:c r="J1425" s="12" t="n">
        <x:v>2696.727329854682</x:v>
      </x:c>
      <x:c r="K1425" s="12" t="n">
        <x:v>475</x:v>
      </x:c>
      <x:c r="L1425" s="12" t="n">
        <x:v>53.30191325814958</x:v>
      </x:c>
      <x:c r="M1425" s="12" t="n">
        <x:v>6</x:v>
      </x:c>
      <x:c r="N1425" s="14" t="n">
        <x:v>0.8923943945538756</x:v>
      </x:c>
      <x:c r="O1425" s="14" t="n">
        <x:v>0.10760560544612446</x:v>
      </x:c>
      <x:c r="P1425" s="14" t="n">
        <x:v>0.5762705528192095</x:v>
      </x:c>
      <x:c r="Q1425" s="14" t="n">
        <x:v>0.1328188995706604</x:v>
      </x:c>
      <x:c r="R1425" s="14" t="n">
        <x:v>0.07502110446131617</x:v>
      </x:c>
      <x:c r="S1425" s="14" t="n">
        <x:v>0.5730631931769848</x:v>
      </x:c>
      <x:c r="T1425" t="str">
        <x:v>평일집중·야간활성</x:v>
      </x:c>
      <x:c r="U1425" s="16" t="n">
        <x:v>60.78918206856162</x:v>
      </x:c>
      <x:c r="V1425" t="str">
        <x:v>일반교습학원</x:v>
      </x:c>
      <x:c r="W1425" t="str">
        <x:v>일반교습학원 / 분식전문점 / 세탁소</x:v>
      </x:c>
      <x:c r="X1425" s="16" t="n">
        <x:v>45.06245640499485</x:v>
      </x:c>
    </x:row>
    <x:row r="1426">
      <x:c r="A1426" t="str">
        <x:v>3110201</x:v>
      </x:c>
      <x:c r="B1426" t="str">
        <x:v>전농119안전센터</x:v>
      </x:c>
      <x:c r="C1426" t="str">
        <x:v>골목상권</x:v>
      </x:c>
      <x:c r="D1426" t="str">
        <x:v>동대문구</x:v>
      </x:c>
      <x:c r="E1426" t="str">
        <x:v>전농1동</x:v>
      </x:c>
      <x:c r="F1426" s="12" t="n">
        <x:v>24149</x:v>
      </x:c>
      <x:c r="G1426" s="12" t="n">
        <x:v>239544964</x:v>
      </x:c>
      <x:c r="H1426" s="12" t="n">
        <x:v>4020</x:v>
      </x:c>
      <x:c r="I1426" s="12" t="n">
        <x:v>59588.29950248756</x:v>
      </x:c>
      <x:c r="J1426" s="12" t="n">
        <x:v>9919.456871920162</x:v>
      </x:c>
      <x:c r="K1426" s="12" t="n">
        <x:v>13</x:v>
      </x:c>
      <x:c r="L1426" s="12" t="n">
        <x:v>5.383245683051059</x:v>
      </x:c>
      <x:c r="M1426" s="12" t="n">
        <x:v>1</x:v>
      </x:c>
      <x:c r="N1426" s="14" t="n">
        <x:v>0.6310552827985981</x:v>
      </x:c>
      <x:c r="O1426" s="14" t="n">
        <x:v>0.36894471720140193</x:v>
      </x:c>
      <x:c r="P1426" s="14" t="n">
        <x:v>0.7920822455695624</x:v>
      </x:c>
      <x:c r="Q1426" s="14" t="n">
        <x:v>0.10156469413399982</x:v>
      </x:c>
      <x:c r="R1426" s="14" t="n">
        <x:v>0.2570986380661294</x:v>
      </x:c>
      <x:c r="S1426" s="14" t="n">
        <x:v>0.3353777623143854</x:v>
      </x:c>
      <x:c r="T1426" t="str">
        <x:v>야간활성·2030소비</x:v>
      </x:c>
      <x:c r="U1426" s="16" t="n">
        <x:v>34.82029276130634</x:v>
      </x:c>
      <x:c r="V1426" t="str">
        <x:v>한식음식점</x:v>
      </x:c>
      <x:c r="W1426" t="str">
        <x:v>한식음식점</x:v>
      </x:c>
      <x:c r="X1426" s="16" t="n">
        <x:v>34.82029276130634</x:v>
      </x:c>
    </x:row>
    <x:row r="1427">
      <x:c r="A1427" t="str">
        <x:v>3110610</x:v>
      </x:c>
      <x:c r="B1427" t="str">
        <x:v>계남근린공원</x:v>
      </x:c>
      <x:c r="C1427" t="str">
        <x:v>골목상권</x:v>
      </x:c>
      <x:c r="D1427" t="str">
        <x:v>양천구</x:v>
      </x:c>
      <x:c r="E1427" t="str">
        <x:v>신정3동</x:v>
      </x:c>
      <x:c r="F1427" s="12" t="n">
        <x:v>70654</x:v>
      </x:c>
      <x:c r="G1427" s="12" t="n">
        <x:v>239177159</x:v>
      </x:c>
      <x:c r="H1427" s="12" t="n">
        <x:v>26736</x:v>
      </x:c>
      <x:c r="I1427" s="12" t="n">
        <x:v>8945.884163674447</x:v>
      </x:c>
      <x:c r="J1427" s="12" t="n">
        <x:v>3385.1892178786766</x:v>
      </x:c>
      <x:c r="K1427" s="12" t="n">
        <x:v>139</x:v>
      </x:c>
      <x:c r="L1427" s="12" t="n">
        <x:v>19.67333767373397</x:v>
      </x:c>
      <x:c r="M1427" s="12" t="n">
        <x:v>3</x:v>
      </x:c>
      <x:c r="N1427" s="14" t="n">
        <x:v>0.665895939503153</x:v>
      </x:c>
      <x:c r="O1427" s="14" t="n">
        <x:v>0.33410406049684704</x:v>
      </x:c>
      <x:c r="P1427" s="14" t="n">
        <x:v>0.5961987825099971</x:v>
      </x:c>
      <x:c r="Q1427" s="14" t="n">
        <x:v>0.12111948783537478</x:v>
      </x:c>
      <x:c r="R1427" s="14" t="n">
        <x:v>0.19668156523257307</x:v>
      </x:c>
      <x:c r="S1427" s="14" t="n">
        <x:v>0.34478848793416766</x:v>
      </x:c>
      <x:c r="T1427" t="str">
        <x:v>야간활성</x:v>
      </x:c>
      <x:c r="U1427" s="16" t="n">
        <x:v>42.51658645597424</x:v>
      </x:c>
      <x:c r="V1427" t="str">
        <x:v>인테리어</x:v>
      </x:c>
      <x:c r="W1427" t="str">
        <x:v>인테리어 / 슈퍼마켓 / 미용실</x:v>
      </x:c>
      <x:c r="X1427" s="16" t="n">
        <x:v>39.19219442323725</x:v>
      </x:c>
    </x:row>
    <x:row r="1428">
      <x:c r="A1428" t="str">
        <x:v>3110290</x:v>
      </x:c>
      <x:c r="B1428" t="str">
        <x:v>북한산보국문역 1번</x:v>
      </x:c>
      <x:c r="C1428" t="str">
        <x:v>골목상권</x:v>
      </x:c>
      <x:c r="D1428" t="str">
        <x:v>성북구</x:v>
      </x:c>
      <x:c r="E1428" t="str">
        <x:v>정릉4동</x:v>
      </x:c>
      <x:c r="F1428" s="12" t="n">
        <x:v>45706</x:v>
      </x:c>
      <x:c r="G1428" s="12" t="n">
        <x:v>238901399</x:v>
      </x:c>
      <x:c r="H1428" s="12" t="n">
        <x:v>16565</x:v>
      </x:c>
      <x:c r="I1428" s="12" t="n">
        <x:v>14422.058496830667</x:v>
      </x:c>
      <x:c r="J1428" s="12" t="n">
        <x:v>5226.915481556032</x:v>
      </x:c>
      <x:c r="K1428" s="12" t="n">
        <x:v>199</x:v>
      </x:c>
      <x:c r="L1428" s="12" t="n">
        <x:v>43.53914146939133</x:v>
      </x:c>
      <x:c r="M1428" s="12" t="n">
        <x:v>2</x:v>
      </x:c>
      <x:c r="N1428" s="14" t="n">
        <x:v>0.6529734763085251</x:v>
      </x:c>
      <x:c r="O1428" s="14" t="n">
        <x:v>0.3470265236914749</x:v>
      </x:c>
      <x:c r="P1428" s="14" t="n">
        <x:v>0.43605433218915557</x:v>
      </x:c>
      <x:c r="Q1428" s="14" t="n">
        <x:v>0.32252118791485185</x:v>
      </x:c>
      <x:c r="R1428" s="14" t="n">
        <x:v>0.19865490197485197</x:v>
      </x:c>
      <x:c r="S1428" s="14" t="n">
        <x:v>0.39024704078857236</x:v>
      </x:c>
      <x:c r="T1428" t="str">
        <x:v>야간활성</x:v>
      </x:c>
      <x:c r="U1428" s="16" t="n">
        <x:v>43.33882329934228</x:v>
      </x:c>
      <x:c r="V1428" t="str">
        <x:v>분식전문점</x:v>
      </x:c>
      <x:c r="W1428" t="str">
        <x:v>분식전문점 / 한식음식점</x:v>
      </x:c>
      <x:c r="X1428" s="16" t="n">
        <x:v>35.62353351633584</x:v>
      </x:c>
    </x:row>
    <x:row r="1429">
      <x:c r="A1429" t="str">
        <x:v>3110878</x:v>
      </x:c>
      <x:c r="B1429" t="str">
        <x:v>미림여고</x:v>
      </x:c>
      <x:c r="C1429" t="str">
        <x:v>골목상권</x:v>
      </x:c>
      <x:c r="D1429" t="str">
        <x:v>관악구</x:v>
      </x:c>
      <x:c r="E1429" t="str">
        <x:v>삼성동</x:v>
      </x:c>
      <x:c r="F1429" s="12" t="n">
        <x:v>45308</x:v>
      </x:c>
      <x:c r="G1429" s="12" t="n">
        <x:v>237278449</x:v>
      </x:c>
      <x:c r="H1429" s="12" t="n">
        <x:v>2058</x:v>
      </x:c>
      <x:c r="I1429" s="12" t="n">
        <x:v>115295.65063168124</x:v>
      </x:c>
      <x:c r="J1429" s="12" t="n">
        <x:v>5237.009998234307</x:v>
      </x:c>
      <x:c r="K1429" s="12" t="n">
        <x:v>97</x:v>
      </x:c>
      <x:c r="L1429" s="12" t="n">
        <x:v>21.40902268914982</x:v>
      </x:c>
      <x:c r="M1429" s="12" t="n">
        <x:v>2</x:v>
      </x:c>
      <x:c r="N1429" s="14" t="n">
        <x:v>0.5967845061225936</x:v>
      </x:c>
      <x:c r="O1429" s="14" t="n">
        <x:v>0.40321549387740646</x:v>
      </x:c>
      <x:c r="P1429" s="14" t="n">
        <x:v>0.3061650491486481</x:v>
      </x:c>
      <x:c r="Q1429" s="14" t="n">
        <x:v>0.34103554006289044</x:v>
      </x:c>
      <x:c r="R1429" s="14" t="n">
        <x:v>0.02091479028506293</x:v>
      </x:c>
      <x:c r="S1429" s="14" t="n">
        <x:v>0.5645582376509887</x:v>
      </x:c>
      <x:c r="T1429" t="str">
        <x:v>여성소비</x:v>
      </x:c>
      <x:c r="U1429" s="16" t="n">
        <x:v>45.9205912214448</x:v>
      </x:c>
      <x:c r="V1429" t="str">
        <x:v>일반교습학원</x:v>
      </x:c>
      <x:c r="W1429" t="str">
        <x:v>일반교습학원 / 한식음식점</x:v>
      </x:c>
      <x:c r="X1429" s="16" t="n">
        <x:v>39.804806866555495</x:v>
      </x:c>
    </x:row>
    <x:row r="1430">
      <x:c r="A1430" t="str">
        <x:v>3130321</x:v>
      </x:c>
      <x:c r="B1430" t="str">
        <x:v>장신구 특화거리 상점가</x:v>
      </x:c>
      <x:c r="C1430" t="str">
        <x:v>전통시장</x:v>
      </x:c>
      <x:c r="D1430" t="str">
        <x:v>강동구</x:v>
      </x:c>
      <x:c r="E1430" t="str">
        <x:v>성내1동</x:v>
      </x:c>
      <x:c r="F1430" s="12" t="n">
        <x:v>38487</x:v>
      </x:c>
      <x:c r="G1430" s="12" t="n">
        <x:v>232546830</x:v>
      </x:c>
      <x:c r="H1430" s="12" t="n">
        <x:v>985</x:v>
      </x:c>
      <x:c r="I1430" s="12" t="n">
        <x:v>236088.15228426395</x:v>
      </x:c>
      <x:c r="J1430" s="12" t="n">
        <x:v>6042.217631927664</x:v>
      </x:c>
      <x:c r="K1430" s="12" t="n">
        <x:v>1249</x:v>
      </x:c>
      <x:c r="L1430" s="12" t="n">
        <x:v>324.52516434120616</x:v>
      </x:c>
      <x:c r="M1430" s="12" t="n">
        <x:v>3</x:v>
      </x:c>
      <x:c r="N1430" s="14" t="n">
        <x:v>0.9552372827442971</x:v>
      </x:c>
      <x:c r="O1430" s="14" t="n">
        <x:v>0.04476271725570286</x:v>
      </x:c>
      <x:c r="P1430" s="14" t="n">
        <x:v>0.2938962960707742</x:v>
      </x:c>
      <x:c r="Q1430" s="14" t="n">
        <x:v>0.09228410466829412</x:v>
      </x:c>
      <x:c r="R1430" s="14" t="n">
        <x:v>0.05485801720023446</x:v>
      </x:c>
      <x:c r="S1430" s="14" t="n">
        <x:v>0.2993072535110455</x:v>
      </x:c>
      <x:c r="T1430" t="str">
        <x:v>평일집중·직장밀집</x:v>
      </x:c>
      <x:c r="U1430" s="16" t="n">
        <x:v>56.16244851579414</x:v>
      </x:c>
      <x:c r="V1430" t="str">
        <x:v>일반교습학원</x:v>
      </x:c>
      <x:c r="W1430" t="str">
        <x:v>일반교습학원 / 호프-간이주점 / 스포츠 강습</x:v>
      </x:c>
      <x:c r="X1430" s="16" t="n">
        <x:v>40.07171750423558</x:v>
      </x:c>
    </x:row>
    <x:row r="1431">
      <x:c r="A1431" t="str">
        <x:v>3110116</x:v>
      </x:c>
      <x:c r="B1431" t="str">
        <x:v>청계천박물관</x:v>
      </x:c>
      <x:c r="C1431" t="str">
        <x:v>골목상권</x:v>
      </x:c>
      <x:c r="D1431" t="str">
        <x:v>성동구</x:v>
      </x:c>
      <x:c r="E1431" t="str">
        <x:v>마장동</x:v>
      </x:c>
      <x:c r="F1431" s="12" t="n">
        <x:v>98083</x:v>
      </x:c>
      <x:c r="G1431" s="12" t="n">
        <x:v>231440886</x:v>
      </x:c>
      <x:c r="H1431" s="12" t="n">
        <x:v>14846</x:v>
      </x:c>
      <x:c r="I1431" s="12" t="n">
        <x:v>15589.444025326688</x:v>
      </x:c>
      <x:c r="J1431" s="12" t="n">
        <x:v>2359.6432205377077</x:v>
      </x:c>
      <x:c r="K1431" s="12" t="n">
        <x:v>1399</x:v>
      </x:c>
      <x:c r="L1431" s="12" t="n">
        <x:v>142.63429952183355</x:v>
      </x:c>
      <x:c r="M1431" s="12" t="n">
        <x:v>3</x:v>
      </x:c>
      <x:c r="N1431" s="14" t="n">
        <x:v>0.8574332497154371</x:v>
      </x:c>
      <x:c r="O1431" s="14" t="n">
        <x:v>0.14256675028456295</x:v>
      </x:c>
      <x:c r="P1431" s="14" t="n">
        <x:v>0.25998687198250703</x:v>
      </x:c>
      <x:c r="Q1431" s="14" t="n">
        <x:v>0.3292048190655475</x:v>
      </x:c>
      <x:c r="R1431" s="14" t="n">
        <x:v>0.11633956499803583</x:v>
      </x:c>
      <x:c r="S1431" s="14" t="n">
        <x:v>0.3155938877627698</x:v>
      </x:c>
      <x:c r="T1431" t="str">
        <x:v>평일집중·직장밀집</x:v>
      </x:c>
      <x:c r="U1431" s="16" t="n">
        <x:v>53.79267086890602</x:v>
      </x:c>
      <x:c r="V1431" t="str">
        <x:v>청과상</x:v>
      </x:c>
      <x:c r="W1431" t="str">
        <x:v>청과상 / 미용실 / 한식음식점</x:v>
      </x:c>
      <x:c r="X1431" s="16" t="n">
        <x:v>38.48546557268816</x:v>
      </x:c>
    </x:row>
    <x:row r="1432">
      <x:c r="A1432" t="str">
        <x:v>3111050</x:v>
      </x:c>
      <x:c r="B1432" t="str">
        <x:v>강동구청(강동구청역 2번)</x:v>
      </x:c>
      <x:c r="C1432" t="str">
        <x:v>골목상권</x:v>
      </x:c>
      <x:c r="D1432" t="str">
        <x:v>강동구</x:v>
      </x:c>
      <x:c r="E1432" t="str">
        <x:v>성내1동</x:v>
      </x:c>
      <x:c r="F1432" s="12" t="n">
        <x:v>19565</x:v>
      </x:c>
      <x:c r="G1432" s="12" t="n">
        <x:v>230144615</x:v>
      </x:c>
      <x:c r="H1432" s="12" t="n">
        <x:v>16920</x:v>
      </x:c>
      <x:c r="I1432" s="12" t="n">
        <x:v>13601.927600472813</x:v>
      </x:c>
      <x:c r="J1432" s="12" t="n">
        <x:v>11763.077689752108</x:v>
      </x:c>
      <x:c r="K1432" s="12" t="n">
        <x:v>485</x:v>
      </x:c>
      <x:c r="L1432" s="12" t="n">
        <x:v>247.89164324048045</x:v>
      </x:c>
      <x:c r="M1432" s="12" t="n">
        <x:v>3</x:v>
      </x:c>
      <x:c r="N1432" s="14" t="n">
        <x:v>0.9006179788303976</x:v>
      </x:c>
      <x:c r="O1432" s="14" t="n">
        <x:v>0.09938202116960243</x:v>
      </x:c>
      <x:c r="P1432" s="14" t="n">
        <x:v>0.21792636338677748</x:v>
      </x:c>
      <x:c r="Q1432" s="14" t="n">
        <x:v>0.36398843831301464</x:v>
      </x:c>
      <x:c r="R1432" s="14" t="n">
        <x:v>0.1944078682875113</x:v>
      </x:c>
      <x:c r="S1432" s="14" t="n">
        <x:v>0.5170456801694013</x:v>
      </x:c>
      <x:c r="T1432" t="str">
        <x:v>평일집중·직장밀집</x:v>
      </x:c>
      <x:c r="U1432" s="16" t="n">
        <x:v>50.819525635864956</x:v>
      </x:c>
      <x:c r="V1432" t="str">
        <x:v>커피-음료</x:v>
      </x:c>
      <x:c r="W1432" t="str">
        <x:v>커피-음료 / 일반교습학원 / 한식음식점</x:v>
      </x:c>
      <x:c r="X1432" s="16" t="n">
        <x:v>40.579076991899534</x:v>
      </x:c>
    </x:row>
    <x:row r="1433">
      <x:c r="A1433" t="str">
        <x:v>3110692</x:v>
      </x:c>
      <x:c r="B1433" t="str">
        <x:v>큰굴다리</x:v>
      </x:c>
      <x:c r="C1433" t="str">
        <x:v>골목상권</x:v>
      </x:c>
      <x:c r="D1433" t="str">
        <x:v>구로구</x:v>
      </x:c>
      <x:c r="E1433" t="str">
        <x:v>개봉1동</x:v>
      </x:c>
      <x:c r="F1433" s="12" t="n">
        <x:v>68249</x:v>
      </x:c>
      <x:c r="G1433" s="12" t="n">
        <x:v>220776628</x:v>
      </x:c>
      <x:c r="H1433" s="12" t="n">
        <x:v>10309</x:v>
      </x:c>
      <x:c r="I1433" s="12" t="n">
        <x:v>21415.91114560093</x:v>
      </x:c>
      <x:c r="J1433" s="12" t="n">
        <x:v>3234.869785637885</x:v>
      </x:c>
      <x:c r="K1433" s="12" t="n">
        <x:v>495</x:v>
      </x:c>
      <x:c r="L1433" s="12" t="n">
        <x:v>72.52853521663322</x:v>
      </x:c>
      <x:c r="M1433" s="12" t="n">
        <x:v>3</x:v>
      </x:c>
      <x:c r="N1433" s="14" t="n">
        <x:v>0.6721537888512366</x:v>
      </x:c>
      <x:c r="O1433" s="14" t="n">
        <x:v>0.32784621114876344</x:v>
      </x:c>
      <x:c r="P1433" s="14" t="n">
        <x:v>0.6560518444008484</x:v>
      </x:c>
      <x:c r="Q1433" s="14" t="n">
        <x:v>0.18100940014356953</x:v>
      </x:c>
      <x:c r="R1433" s="14" t="n">
        <x:v>0.22629353683216866</x:v>
      </x:c>
      <x:c r="S1433" s="14" t="n">
        <x:v>0.28962007699474424</x:v>
      </x:c>
      <x:c r="T1433" t="str">
        <x:v>야간활성·2030소비</x:v>
      </x:c>
      <x:c r="U1433" s="16" t="n">
        <x:v>43.84753317085402</x:v>
      </x:c>
      <x:c r="V1433" t="str">
        <x:v>한식음식점</x:v>
      </x:c>
      <x:c r="W1433" t="str">
        <x:v>한식음식점 / 슈퍼마켓 / 미용실</x:v>
      </x:c>
      <x:c r="X1433" s="16" t="n">
        <x:v>36.61482312516388</x:v>
      </x:c>
    </x:row>
    <x:row r="1434">
      <x:c r="A1434" t="str">
        <x:v>3110573</x:v>
      </x:c>
      <x:c r="B1434" t="str">
        <x:v>신촌역 6번</x:v>
      </x:c>
      <x:c r="C1434" t="str">
        <x:v>골목상권</x:v>
      </x:c>
      <x:c r="D1434" t="str">
        <x:v>마포구</x:v>
      </x:c>
      <x:c r="E1434" t="str">
        <x:v>대흥동</x:v>
      </x:c>
      <x:c r="F1434" s="12" t="n">
        <x:v>9367</x:v>
      </x:c>
      <x:c r="G1434" s="12" t="n">
        <x:v>217254182</x:v>
      </x:c>
      <x:c r="H1434" s="12" t="n">
        <x:v>7913</x:v>
      </x:c>
      <x:c r="I1434" s="12" t="n">
        <x:v>27455.349677745482</x:v>
      </x:c>
      <x:c r="J1434" s="12" t="n">
        <x:v>23193.571260809225</x:v>
      </x:c>
      <x:c r="K1434" s="12" t="n">
        <x:v>113</x:v>
      </x:c>
      <x:c r="L1434" s="12" t="n">
        <x:v>120.63627628910002</x:v>
      </x:c>
      <x:c r="M1434" s="12" t="n">
        <x:v>2</x:v>
      </x:c>
      <x:c r="N1434" s="14" t="n">
        <x:v>0.7528126800339338</x:v>
      </x:c>
      <x:c r="O1434" s="14" t="n">
        <x:v>0.2471873199660663</x:v>
      </x:c>
      <x:c r="P1434" s="14" t="n">
        <x:v>0.6383134341690141</x:v>
      </x:c>
      <x:c r="Q1434" s="14" t="n">
        <x:v>0.16466803387011442</x:v>
      </x:c>
      <x:c r="R1434" s="14" t="n">
        <x:v>0.5593353687433276</x:v>
      </x:c>
      <x:c r="S1434" s="14" t="n">
        <x:v>0.4003433314807261</x:v>
      </x:c>
      <x:c r="T1434" t="str">
        <x:v>2030소비·야간활성</x:v>
      </x:c>
      <x:c r="U1434" s="16" t="n">
        <x:v>49.988169936708886</x:v>
      </x:c>
      <x:c r="V1434" t="str">
        <x:v>한식음식점</x:v>
      </x:c>
      <x:c r="W1434" t="str">
        <x:v>한식음식점 / 미용실</x:v>
      </x:c>
      <x:c r="X1434" s="16" t="n">
        <x:v>43.361044138133266</x:v>
      </x:c>
    </x:row>
    <x:row r="1435">
      <x:c r="A1435" t="str">
        <x:v>3130116</x:v>
      </x:c>
      <x:c r="B1435" t="str">
        <x:v>동성타워프라자</x:v>
      </x:c>
      <x:c r="C1435" t="str">
        <x:v>전통시장</x:v>
      </x:c>
      <x:c r="D1435" t="str">
        <x:v>중랑구</x:v>
      </x:c>
      <x:c r="E1435" t="str">
        <x:v>신내1동</x:v>
      </x:c>
      <x:c r="F1435" s="12" t="n">
        <x:v>4108</x:v>
      </x:c>
      <x:c r="G1435" s="12" t="n">
        <x:v>216882037</x:v>
      </x:c>
      <x:c r="H1435" s="12" t="n">
        <x:v>14920</x:v>
      </x:c>
      <x:c r="I1435" s="12" t="n">
        <x:v>14536.32955764075</x:v>
      </x:c>
      <x:c r="J1435" s="12" t="n">
        <x:v>52795.043086660175</x:v>
      </x:c>
      <x:c r="K1435" s="12" t="n">
        <x:v>39</x:v>
      </x:c>
      <x:c r="L1435" s="12" t="n">
        <x:v>94.9367088607595</x:v>
      </x:c>
      <x:c r="M1435" s="12" t="n">
        <x:v>5</x:v>
      </x:c>
      <x:c r="N1435" s="14" t="n">
        <x:v>0.7029169548052521</x:v>
      </x:c>
      <x:c r="O1435" s="14" t="n">
        <x:v>0.297083045194748</x:v>
      </x:c>
      <x:c r="P1435" s="14" t="n">
        <x:v>0.45558408324982674</x:v>
      </x:c>
      <x:c r="Q1435" s="14" t="n">
        <x:v>0.16464896076202015</x:v>
      </x:c>
      <x:c r="R1435" s="14" t="n">
        <x:v>0.32552244518064904</x:v>
      </x:c>
      <x:c r="S1435" s="14" t="n">
        <x:v>0.5399063962129791</x:v>
      </x:c>
      <x:c r="T1435" t="str">
        <x:v>여성소비·2030소비</x:v>
      </x:c>
      <x:c r="U1435" s="16" t="n">
        <x:v>50.877411763697296</x:v>
      </x:c>
      <x:c r="V1435" t="str">
        <x:v>미용실</x:v>
      </x:c>
      <x:c r="W1435" t="str">
        <x:v>미용실 / 네일숍 / 예술학원</x:v>
      </x:c>
      <x:c r="X1435" s="16" t="n">
        <x:v>44.55790651637093</x:v>
      </x:c>
    </x:row>
    <x:row r="1436">
      <x:c r="A1436" t="str">
        <x:v>3110501</x:v>
      </x:c>
      <x:c r="B1436" t="str">
        <x:v>연희어린이공원</x:v>
      </x:c>
      <x:c r="C1436" t="str">
        <x:v>골목상권</x:v>
      </x:c>
      <x:c r="D1436" t="str">
        <x:v>서대문구</x:v>
      </x:c>
      <x:c r="E1436" t="str">
        <x:v>연희동</x:v>
      </x:c>
      <x:c r="F1436" s="12" t="n">
        <x:v>123377</x:v>
      </x:c>
      <x:c r="G1436" s="12" t="n">
        <x:v>216691761</x:v>
      </x:c>
      <x:c r="H1436" s="12" t="n">
        <x:v>6415</x:v>
      </x:c>
      <x:c r="I1436" s="12" t="n">
        <x:v>33778.91831644583</x:v>
      </x:c>
      <x:c r="J1436" s="12" t="n">
        <x:v>1756.3383855986124</x:v>
      </x:c>
      <x:c r="K1436" s="12" t="n">
        <x:v>356</x:v>
      </x:c>
      <x:c r="L1436" s="12" t="n">
        <x:v>28.85464875949326</x:v>
      </x:c>
      <x:c r="M1436" s="12" t="n">
        <x:v>2</x:v>
      </x:c>
      <x:c r="N1436" s="14" t="n">
        <x:v>0.8838237693771845</x:v>
      </x:c>
      <x:c r="O1436" s="14" t="n">
        <x:v>0.11617623062281542</x:v>
      </x:c>
      <x:c r="P1436" s="14" t="n">
        <x:v>0.09423589021457997</x:v>
      </x:c>
      <x:c r="Q1436" s="14" t="n">
        <x:v>0.6353480647563707</x:v>
      </x:c>
      <x:c r="R1436" s="14" t="n">
        <x:v>0.21233982218640976</x:v>
      </x:c>
      <x:c r="S1436" s="14" t="n">
        <x:v>0.8039421074251181</x:v>
      </x:c>
      <x:c r="T1436" t="str">
        <x:v>여성소비·평일집중</x:v>
      </x:c>
      <x:c r="U1436" s="16" t="n">
        <x:v>37.1663026901752</x:v>
      </x:c>
      <x:c r="V1436" t="str">
        <x:v>화장품</x:v>
      </x:c>
      <x:c r="W1436" t="str">
        <x:v>화장품 / 커피-음료</x:v>
      </x:c>
      <x:c r="X1436" s="16" t="n">
        <x:v>32.88925126047896</x:v>
      </x:c>
    </x:row>
    <x:row r="1437">
      <x:c r="A1437" t="str">
        <x:v>3110580</x:v>
      </x:c>
      <x:c r="B1437" t="str">
        <x:v>양원초등학교</x:v>
      </x:c>
      <x:c r="C1437" t="str">
        <x:v>골목상권</x:v>
      </x:c>
      <x:c r="D1437" t="str">
        <x:v>마포구</x:v>
      </x:c>
      <x:c r="E1437" t="str">
        <x:v>대흥동</x:v>
      </x:c>
      <x:c r="F1437" s="12" t="n">
        <x:v>39360</x:v>
      </x:c>
      <x:c r="G1437" s="12" t="n">
        <x:v>211699007</x:v>
      </x:c>
      <x:c r="H1437" s="12" t="n">
        <x:v>16339</x:v>
      </x:c>
      <x:c r="I1437" s="12" t="n">
        <x:v>12956.668523165432</x:v>
      </x:c>
      <x:c r="J1437" s="12" t="n">
        <x:v>5378.531681910569</x:v>
      </x:c>
      <x:c r="K1437" s="12" t="n">
        <x:v>175</x:v>
      </x:c>
      <x:c r="L1437" s="12" t="n">
        <x:v>44.46138211382114</x:v>
      </x:c>
      <x:c r="M1437" s="12" t="n">
        <x:v>5</x:v>
      </x:c>
      <x:c r="N1437" s="14" t="n">
        <x:v>0.7948852306142371</x:v>
      </x:c>
      <x:c r="O1437" s="14" t="n">
        <x:v>0.20511476938576287</x:v>
      </x:c>
      <x:c r="P1437" s="14" t="n">
        <x:v>0.25092236261646705</x:v>
      </x:c>
      <x:c r="Q1437" s="14" t="n">
        <x:v>0.4633415451022876</x:v>
      </x:c>
      <x:c r="R1437" s="14" t="n">
        <x:v>0.13499795017933172</x:v>
      </x:c>
      <x:c r="S1437" s="14" t="n">
        <x:v>0.2510892599510398</x:v>
      </x:c>
      <x:c r="T1437" t="str">
        <x:v>평일집중</x:v>
      </x:c>
      <x:c r="U1437" s="16" t="n">
        <x:v>40.59967854926004</x:v>
      </x:c>
      <x:c r="V1437" t="str">
        <x:v>미용실</x:v>
      </x:c>
      <x:c r="W1437" t="str">
        <x:v>미용실 / 슈퍼마켓 / 일반의류</x:v>
      </x:c>
      <x:c r="X1437" s="16" t="n">
        <x:v>31.660204015619946</x:v>
      </x:c>
    </x:row>
    <x:row r="1438">
      <x:c r="A1438" t="str">
        <x:v>3110492</x:v>
      </x:c>
      <x:c r="B1438" t="str">
        <x:v>하나고등학교</x:v>
      </x:c>
      <x:c r="C1438" t="str">
        <x:v>골목상권</x:v>
      </x:c>
      <x:c r="D1438" t="str">
        <x:v>은평구</x:v>
      </x:c>
      <x:c r="E1438" t="str">
        <x:v>진관동</x:v>
      </x:c>
      <x:c r="F1438" s="12" t="n">
        <x:v>133323</x:v>
      </x:c>
      <x:c r="G1438" s="12" t="n">
        <x:v>210409902</x:v>
      </x:c>
      <x:c r="H1438" s="12" t="n">
        <x:v>10466</x:v>
      </x:c>
      <x:c r="I1438" s="12" t="n">
        <x:v>20104.137397286453</x:v>
      </x:c>
      <x:c r="J1438" s="12" t="n">
        <x:v>1578.1965752345807</x:v>
      </x:c>
      <x:c r="K1438" s="12" t="n">
        <x:v>109</x:v>
      </x:c>
      <x:c r="L1438" s="12" t="n">
        <x:v>8.1756336116049</x:v>
      </x:c>
      <x:c r="M1438" s="12" t="n">
        <x:v>1</x:v>
      </x:c>
      <x:c r="N1438" s="14" t="n">
        <x:v>0.5098315620146052</x:v>
      </x:c>
      <x:c r="O1438" s="14" t="n">
        <x:v>0.49016843798539483</x:v>
      </x:c>
      <x:c r="P1438" s="14" t="n">
        <x:v>0.15305021148671985</x:v>
      </x:c>
      <x:c r="Q1438" s="14" t="n">
        <x:v>0.3223852886923544</x:v>
      </x:c>
      <x:c r="R1438" s="14" t="n">
        <x:v>0.4941066034050052</x:v>
      </x:c>
      <x:c r="S1438" s="14" t="n">
        <x:v>0.5809471504815396</x:v>
      </x:c>
      <x:c r="T1438" t="str">
        <x:v>2030소비·여성소비</x:v>
      </x:c>
      <x:c r="U1438" s="16" t="n">
        <x:v>44.588670319348545</x:v>
      </x:c>
      <x:c r="V1438" t="str">
        <x:v>커피-음료</x:v>
      </x:c>
      <x:c r="W1438" t="str">
        <x:v>커피-음료</x:v>
      </x:c>
      <x:c r="X1438" s="16" t="n">
        <x:v>44.588670319348545</x:v>
      </x:c>
    </x:row>
    <x:row r="1439">
      <x:c r="A1439" t="str">
        <x:v>3110198</x:v>
      </x:c>
      <x:c r="B1439" t="str">
        <x:v>동대문중앙새마을금고본점</x:v>
      </x:c>
      <x:c r="C1439" t="str">
        <x:v>골목상권</x:v>
      </x:c>
      <x:c r="D1439" t="str">
        <x:v>동대문구</x:v>
      </x:c>
      <x:c r="E1439" t="str">
        <x:v>제기동</x:v>
      </x:c>
      <x:c r="F1439" s="12" t="n">
        <x:v>16140</x:v>
      </x:c>
      <x:c r="G1439" s="12" t="n">
        <x:v>207707033</x:v>
      </x:c>
      <x:c r="H1439" s="12" t="n">
        <x:v>4857</x:v>
      </x:c>
      <x:c r="I1439" s="12" t="n">
        <x:v>42764.47045501338</x:v>
      </x:c>
      <x:c r="J1439" s="12" t="n">
        <x:v>12869.085068153656</x:v>
      </x:c>
      <x:c r="K1439" s="12" t="n">
        <x:v>38</x:v>
      </x:c>
      <x:c r="L1439" s="12" t="n">
        <x:v>23.543990086741015</x:v>
      </x:c>
      <x:c r="M1439" s="12" t="n">
        <x:v>4</x:v>
      </x:c>
      <x:c r="N1439" s="14" t="n">
        <x:v>0.6216679095310171</x:v>
      </x:c>
      <x:c r="O1439" s="14" t="n">
        <x:v>0.3783320904689828</x:v>
      </x:c>
      <x:c r="P1439" s="14" t="n">
        <x:v>0.6247473911969076</x:v>
      </x:c>
      <x:c r="Q1439" s="14" t="n">
        <x:v>0.10173986742182196</x:v>
      </x:c>
      <x:c r="R1439" s="14" t="n">
        <x:v>0.040321701576662546</x:v>
      </x:c>
      <x:c r="S1439" s="14" t="n">
        <x:v>0.1729202352045537</x:v>
      </x:c>
      <x:c r="T1439" t="str">
        <x:v>야간활성</x:v>
      </x:c>
      <x:c r="U1439" s="16" t="n">
        <x:v>41.276769682251306</x:v>
      </x:c>
      <x:c r="V1439" t="str">
        <x:v>호프-간이주점</x:v>
      </x:c>
      <x:c r="W1439" t="str">
        <x:v>호프-간이주점 / 한식음식점 / 슈퍼마켓</x:v>
      </x:c>
      <x:c r="X1439" s="16" t="n">
        <x:v>33.4370463307353</x:v>
      </x:c>
    </x:row>
    <x:row r="1440">
      <x:c r="A1440" t="str">
        <x:v>3130272</x:v>
      </x:c>
      <x:c r="B1440" t="str">
        <x:v>사당시장</x:v>
      </x:c>
      <x:c r="C1440" t="str">
        <x:v>전통시장</x:v>
      </x:c>
      <x:c r="D1440" t="str">
        <x:v>동작구</x:v>
      </x:c>
      <x:c r="E1440" t="str">
        <x:v>사당4동</x:v>
      </x:c>
      <x:c r="F1440" s="12" t="n">
        <x:v>5844</x:v>
      </x:c>
      <x:c r="G1440" s="12" t="n">
        <x:v>206376238</x:v>
      </x:c>
      <x:c r="H1440" s="12" t="n">
        <x:v>11560</x:v>
      </x:c>
      <x:c r="I1440" s="12" t="n">
        <x:v>17852.615743944636</x:v>
      </x:c>
      <x:c r="J1440" s="12" t="n">
        <x:v>35314.20910335387</x:v>
      </x:c>
      <x:c r="K1440" s="12" t="n">
        <x:v>112</x:v>
      </x:c>
      <x:c r="L1440" s="12" t="n">
        <x:v>191.64955509924707</x:v>
      </x:c>
      <x:c r="M1440" s="12" t="n">
        <x:v>1</x:v>
      </x:c>
      <x:c r="N1440" s="14" t="n">
        <x:v>0.8176162218830639</x:v>
      </x:c>
      <x:c r="O1440" s="14" t="n">
        <x:v>0.18238377811693612</x:v>
      </x:c>
      <x:c r="P1440" s="14" t="n">
        <x:v>0.06697917422062902</x:v>
      </x:c>
      <x:c r="Q1440" s="14" t="n">
        <x:v>0.2651515529612474</x:v>
      </x:c>
      <x:c r="R1440" s="14" t="n">
        <x:v>0.09986174861855947</x:v>
      </x:c>
      <x:c r="S1440" s="14" t="n">
        <x:v>0.4624852789496047</x:v>
      </x:c>
      <x:c r="T1440" t="str">
        <x:v>평일집중·직장밀집</x:v>
      </x:c>
      <x:c r="U1440" s="16" t="n">
        <x:v>37.90993914011323</x:v>
      </x:c>
      <x:c r="V1440" t="str">
        <x:v>일반의원</x:v>
      </x:c>
      <x:c r="W1440" t="str">
        <x:v>일반의원</x:v>
      </x:c>
      <x:c r="X1440" s="16" t="n">
        <x:v>37.90993914011323</x:v>
      </x:c>
    </x:row>
    <x:row r="1441">
      <x:c r="A1441" t="str">
        <x:v>3130224</x:v>
      </x:c>
      <x:c r="B1441" t="str">
        <x:v>개봉프라자(고척근린시장)</x:v>
      </x:c>
      <x:c r="C1441" t="str">
        <x:v>전통시장</x:v>
      </x:c>
      <x:c r="D1441" t="str">
        <x:v>구로구</x:v>
      </x:c>
      <x:c r="E1441" t="str">
        <x:v>고척2동</x:v>
      </x:c>
      <x:c r="F1441" s="12" t="n">
        <x:v>2954</x:v>
      </x:c>
      <x:c r="G1441" s="12" t="n">
        <x:v>205684904</x:v>
      </x:c>
      <x:c r="H1441" s="12" t="n">
        <x:v>4090</x:v>
      </x:c>
      <x:c r="I1441" s="12" t="n">
        <x:v>50289.707579462105</x:v>
      </x:c>
      <x:c r="J1441" s="12" t="n">
        <x:v>69629.2836831415</x:v>
      </x:c>
      <x:c r="K1441" s="12" t="n">
        <x:v>32</x:v>
      </x:c>
      <x:c r="L1441" s="12" t="n">
        <x:v>108.32769126607988</x:v>
      </x:c>
      <x:c r="M1441" s="12" t="n">
        <x:v>1</x:v>
      </x:c>
      <x:c r="N1441" s="14" t="n">
        <x:v>0.7886730131638635</x:v>
      </x:c>
      <x:c r="O1441" s="14" t="n">
        <x:v>0.2113269868361365</x:v>
      </x:c>
      <x:c r="P1441" s="14" t="n">
        <x:v>0.4329875808484224</x:v>
      </x:c>
      <x:c r="Q1441" s="14" t="n">
        <x:v>0.22000331633477585</x:v>
      </x:c>
      <x:c r="R1441" s="14" t="n">
        <x:v>0.23595753045639167</x:v>
      </x:c>
      <x:c r="S1441" s="14" t="n">
        <x:v>0.7803150346901492</x:v>
      </x:c>
      <x:c r="T1441" t="str">
        <x:v>여성소비·평일집중</x:v>
      </x:c>
      <x:c r="U1441" s="16" t="n">
        <x:v>61.169820405745085</x:v>
      </x:c>
      <x:c r="V1441" t="str">
        <x:v>일반의류</x:v>
      </x:c>
      <x:c r="W1441" t="str">
        <x:v>일반의류</x:v>
      </x:c>
      <x:c r="X1441" s="16" t="n">
        <x:v>61.169820405745085</x:v>
      </x:c>
    </x:row>
    <x:row r="1442">
      <x:c r="A1442" t="str">
        <x:v>3130108</x:v>
      </x:c>
      <x:c r="B1442" t="str">
        <x:v>태능엔터피아(태릉시장)</x:v>
      </x:c>
      <x:c r="C1442" t="str">
        <x:v>전통시장</x:v>
      </x:c>
      <x:c r="D1442" t="str">
        <x:v>중랑구</x:v>
      </x:c>
      <x:c r="E1442" t="str">
        <x:v>중화2동</x:v>
      </x:c>
      <x:c r="F1442" s="12" t="n">
        <x:v>4443</x:v>
      </x:c>
      <x:c r="G1442" s="12" t="n">
        <x:v>202825404</x:v>
      </x:c>
      <x:c r="H1442" s="12" t="n">
        <x:v>9016</x:v>
      </x:c>
      <x:c r="I1442" s="12" t="n">
        <x:v>22496.1628216504</x:v>
      </x:c>
      <x:c r="J1442" s="12" t="n">
        <x:v>45650.55232950709</x:v>
      </x:c>
      <x:c r="K1442" s="12" t="n">
        <x:v>25</x:v>
      </x:c>
      <x:c r="L1442" s="12" t="n">
        <x:v>56.26828719333784</x:v>
      </x:c>
      <x:c r="M1442" s="12" t="n">
        <x:v>2</x:v>
      </x:c>
      <x:c r="N1442" s="14" t="n">
        <x:v>0.6591494968746617</x:v>
      </x:c>
      <x:c r="O1442" s="14" t="n">
        <x:v>0.34085050312533827</x:v>
      </x:c>
      <x:c r="P1442" s="14" t="n">
        <x:v>0.5725133721414898</x:v>
      </x:c>
      <x:c r="Q1442" s="14" t="n">
        <x:v>0.21847466405145186</x:v>
      </x:c>
      <x:c r="R1442" s="14" t="n">
        <x:v>0.20998214799562287</x:v>
      </x:c>
      <x:c r="S1442" s="14" t="n">
        <x:v>0.3701073806316688</x:v>
      </x:c>
      <x:c r="T1442" t="str">
        <x:v>야간활성</x:v>
      </x:c>
      <x:c r="U1442" s="16" t="n">
        <x:v>37.294599166634235</x:v>
      </x:c>
      <x:c r="V1442" t="str">
        <x:v>한식음식점</x:v>
      </x:c>
      <x:c r="W1442" t="str">
        <x:v>한식음식점 / 노래방</x:v>
      </x:c>
      <x:c r="X1442" s="16" t="n">
        <x:v>32.09381615597093</x:v>
      </x:c>
    </x:row>
    <x:row r="1443">
      <x:c r="A1443" t="str">
        <x:v>3110807</x:v>
      </x:c>
      <x:c r="B1443" t="str">
        <x:v>신길역 3번</x:v>
      </x:c>
      <x:c r="C1443" t="str">
        <x:v>골목상권</x:v>
      </x:c>
      <x:c r="D1443" t="str">
        <x:v>영등포구</x:v>
      </x:c>
      <x:c r="E1443" t="str">
        <x:v>영등포동</x:v>
      </x:c>
      <x:c r="F1443" s="12" t="n">
        <x:v>44675</x:v>
      </x:c>
      <x:c r="G1443" s="12" t="n">
        <x:v>200019198</x:v>
      </x:c>
      <x:c r="H1443" s="12" t="n">
        <x:v>10481</x:v>
      </x:c>
      <x:c r="I1443" s="12" t="n">
        <x:v>19083.98034538689</x:v>
      </x:c>
      <x:c r="J1443" s="12" t="n">
        <x:v>4477.206446558478</x:v>
      </x:c>
      <x:c r="K1443" s="12" t="n">
        <x:v>108</x:v>
      </x:c>
      <x:c r="L1443" s="12" t="n">
        <x:v>24.17459429210968</x:v>
      </x:c>
      <x:c r="M1443" s="12" t="n">
        <x:v>3</x:v>
      </x:c>
      <x:c r="N1443" s="14" t="n">
        <x:v>0.7896526862386479</x:v>
      </x:c>
      <x:c r="O1443" s="14" t="n">
        <x:v>0.21034731376135204</x:v>
      </x:c>
      <x:c r="P1443" s="14" t="n">
        <x:v>0.5925563855125546</x:v>
      </x:c>
      <x:c r="Q1443" s="14" t="n">
        <x:v>0.24718168802976603</x:v>
      </x:c>
      <x:c r="R1443" s="14" t="n">
        <x:v>0.5725028754489857</x:v>
      </x:c>
      <x:c r="S1443" s="14" t="n">
        <x:v>0.34477178535632363</x:v>
      </x:c>
      <x:c r="T1443" t="str">
        <x:v>2030소비·야간활성</x:v>
      </x:c>
      <x:c r="U1443" s="16" t="n">
        <x:v>48.40290021790683</x:v>
      </x:c>
      <x:c r="V1443" t="str">
        <x:v>세탁소</x:v>
      </x:c>
      <x:c r="W1443" t="str">
        <x:v>세탁소 / 미용실 / 한식음식점</x:v>
      </x:c>
      <x:c r="X1443" s="16" t="n">
        <x:v>30.273753380941457</x:v>
      </x:c>
    </x:row>
    <x:row r="1444">
      <x:c r="A1444" t="str">
        <x:v>3110617</x:v>
      </x:c>
      <x:c r="B1444" t="str">
        <x:v>등촌역 4번</x:v>
      </x:c>
      <x:c r="C1444" t="str">
        <x:v>골목상권</x:v>
      </x:c>
      <x:c r="D1444" t="str">
        <x:v>양천구</x:v>
      </x:c>
      <x:c r="E1444" t="str">
        <x:v>목3동</x:v>
      </x:c>
      <x:c r="F1444" s="12" t="n">
        <x:v>57686</x:v>
      </x:c>
      <x:c r="G1444" s="12" t="n">
        <x:v>199064625</x:v>
      </x:c>
      <x:c r="H1444" s="12" t="n">
        <x:v>4289</x:v>
      </x:c>
      <x:c r="I1444" s="12" t="n">
        <x:v>46412.829330846354</x:v>
      </x:c>
      <x:c r="J1444" s="12" t="n">
        <x:v>3450.8307908331312</x:v>
      </x:c>
      <x:c r="K1444" s="12" t="n">
        <x:v>120</x:v>
      </x:c>
      <x:c r="L1444" s="12" t="n">
        <x:v>20.8022743819991</x:v>
      </x:c>
      <x:c r="M1444" s="12" t="n">
        <x:v>5</x:v>
      </x:c>
      <x:c r="N1444" s="14" t="n">
        <x:v>0.6071591474376725</x:v>
      </x:c>
      <x:c r="O1444" s="14" t="n">
        <x:v>0.3928408525623274</x:v>
      </x:c>
      <x:c r="P1444" s="14" t="n">
        <x:v>0.3835030156663948</x:v>
      </x:c>
      <x:c r="Q1444" s="14" t="n">
        <x:v>0.2909918927082097</x:v>
      </x:c>
      <x:c r="R1444" s="14" t="n">
        <x:v>0.2830158145878506</x:v>
      </x:c>
      <x:c r="S1444" s="14" t="n">
        <x:v>0.621118553836474</x:v>
      </x:c>
      <x:c r="T1444" t="str">
        <x:v>여성소비·2030소비</x:v>
      </x:c>
      <x:c r="U1444" s="16" t="n">
        <x:v>66.54619946428339</x:v>
      </x:c>
      <x:c r="V1444" t="str">
        <x:v>미용실</x:v>
      </x:c>
      <x:c r="W1444" t="str">
        <x:v>미용실 / 일반의류 / 피부관리실</x:v>
      </x:c>
      <x:c r="X1444" s="16" t="n">
        <x:v>39.931167313052825</x:v>
      </x:c>
    </x:row>
    <x:row r="1445">
      <x:c r="A1445" t="str">
        <x:v>3110940</x:v>
      </x:c>
      <x:c r="B1445" t="str">
        <x:v>양재근린공원(양재2동주민센터)</x:v>
      </x:c>
      <x:c r="C1445" t="str">
        <x:v>골목상권</x:v>
      </x:c>
      <x:c r="D1445" t="str">
        <x:v>서초구</x:v>
      </x:c>
      <x:c r="E1445" t="str">
        <x:v>양재2동</x:v>
      </x:c>
      <x:c r="F1445" s="12" t="n">
        <x:v>32454</x:v>
      </x:c>
      <x:c r="G1445" s="12" t="n">
        <x:v>198584533</x:v>
      </x:c>
      <x:c r="H1445" s="12" t="n">
        <x:v>6493</x:v>
      </x:c>
      <x:c r="I1445" s="12" t="n">
        <x:v>30584.40366548591</x:v>
      </x:c>
      <x:c r="J1445" s="12" t="n">
        <x:v>6118.95399642571</x:v>
      </x:c>
      <x:c r="K1445" s="12" t="n">
        <x:v>1454</x:v>
      </x:c>
      <x:c r="L1445" s="12" t="n">
        <x:v>448.01873420841804</x:v>
      </x:c>
      <x:c r="M1445" s="12" t="n">
        <x:v>2</x:v>
      </x:c>
      <x:c r="N1445" s="14" t="n">
        <x:v>0.8635731162406288</x:v>
      </x:c>
      <x:c r="O1445" s="14" t="n">
        <x:v>0.13642688375937112</x:v>
      </x:c>
      <x:c r="P1445" s="14" t="n">
        <x:v>0.31441889283492186</x:v>
      </x:c>
      <x:c r="Q1445" s="14" t="n">
        <x:v>0.5683423290574195</x:v>
      </x:c>
      <x:c r="R1445" s="14" t="n">
        <x:v>0.22278186690400506</x:v>
      </x:c>
      <x:c r="S1445" s="14" t="n">
        <x:v>0.31950327672296613</x:v>
      </x:c>
      <x:c r="T1445" t="str">
        <x:v>평일집중·직장밀집</x:v>
      </x:c>
      <x:c r="U1445" s="16" t="n">
        <x:v>50.308341147559126</x:v>
      </x:c>
      <x:c r="V1445" t="str">
        <x:v>일반의류</x:v>
      </x:c>
      <x:c r="W1445" t="str">
        <x:v>일반의류 / 한식음식점</x:v>
      </x:c>
      <x:c r="X1445" s="16" t="n">
        <x:v>37.04769445093832</x:v>
      </x:c>
    </x:row>
    <x:row r="1446">
      <x:c r="A1446" t="str">
        <x:v>3110223</x:v>
      </x:c>
      <x:c r="B1446" t="str">
        <x:v>군자초등학교</x:v>
      </x:c>
      <x:c r="C1446" t="str">
        <x:v>골목상권</x:v>
      </x:c>
      <x:c r="D1446" t="str">
        <x:v>동대문구</x:v>
      </x:c>
      <x:c r="E1446" t="str">
        <x:v>장안1동</x:v>
      </x:c>
      <x:c r="F1446" s="12" t="n">
        <x:v>43581</x:v>
      </x:c>
      <x:c r="G1446" s="12" t="n">
        <x:v>196724827</x:v>
      </x:c>
      <x:c r="H1446" s="12" t="n">
        <x:v>5161</x:v>
      </x:c>
      <x:c r="I1446" s="12" t="n">
        <x:v>38117.57934508816</x:v>
      </x:c>
      <x:c r="J1446" s="12" t="n">
        <x:v>4514.004428535371</x:v>
      </x:c>
      <x:c r="K1446" s="12" t="n">
        <x:v>684</x:v>
      </x:c>
      <x:c r="L1446" s="12" t="n">
        <x:v>156.94912920768223</x:v>
      </x:c>
      <x:c r="M1446" s="12" t="n">
        <x:v>2</x:v>
      </x:c>
      <x:c r="N1446" s="14" t="n">
        <x:v>0.8274779369865706</x:v>
      </x:c>
      <x:c r="O1446" s="14" t="n">
        <x:v>0.1725220630134294</x:v>
      </x:c>
      <x:c r="P1446" s="14" t="n">
        <x:v>0.15711718989083162</x:v>
      </x:c>
      <x:c r="Q1446" s="14" t="n">
        <x:v>0.4984337386150046</x:v>
      </x:c>
      <x:c r="R1446" s="14" t="n">
        <x:v>0.14145839355598977</x:v>
      </x:c>
      <x:c r="S1446" s="14" t="n">
        <x:v>0.24919291452725487</x:v>
      </x:c>
      <x:c r="T1446" t="str">
        <x:v>평일집중·직장밀집</x:v>
      </x:c>
      <x:c r="U1446" s="16" t="n">
        <x:v>29.879166105762145</x:v>
      </x:c>
      <x:c r="V1446" t="str">
        <x:v>자동차수리</x:v>
      </x:c>
      <x:c r="W1446" t="str">
        <x:v>자동차수리 / 한식음식점</x:v>
      </x:c>
      <x:c r="X1446" s="16" t="n">
        <x:v>24.28317150972181</x:v>
      </x:c>
    </x:row>
    <x:row r="1447">
      <x:c r="A1447" t="str">
        <x:v>3111084</x:v>
      </x:c>
      <x:c r="B1447" t="str">
        <x:v>길동신동아아파트</x:v>
      </x:c>
      <x:c r="C1447" t="str">
        <x:v>골목상권</x:v>
      </x:c>
      <x:c r="D1447" t="str">
        <x:v>강동구</x:v>
      </x:c>
      <x:c r="E1447" t="str">
        <x:v>길동</x:v>
      </x:c>
      <x:c r="F1447" s="12" t="n">
        <x:v>20962</x:v>
      </x:c>
      <x:c r="G1447" s="12" t="n">
        <x:v>195867960</x:v>
      </x:c>
      <x:c r="H1447" s="12" t="n">
        <x:v>753</x:v>
      </x:c>
      <x:c r="I1447" s="12" t="n">
        <x:v>260116.812749004</x:v>
      </x:c>
      <x:c r="J1447" s="12" t="n">
        <x:v>9343.953821200266</x:v>
      </x:c>
      <x:c r="K1447" s="12" t="n">
        <x:v>106</x:v>
      </x:c>
      <x:c r="L1447" s="12" t="n">
        <x:v>50.56769392233565</x:v>
      </x:c>
      <x:c r="M1447" s="12" t="n">
        <x:v>2</x:v>
      </x:c>
      <x:c r="N1447" s="14" t="n">
        <x:v>0.9924128989754119</x:v>
      </x:c>
      <x:c r="O1447" s="14" t="n">
        <x:v>0.007587101024588197</x:v>
      </x:c>
      <x:c r="P1447" s="14" t="n">
        <x:v>0.32630738074772414</x:v>
      </x:c>
      <x:c r="Q1447" s="14" t="n">
        <x:v>0.30623145306664756</x:v>
      </x:c>
      <x:c r="R1447" s="14" t="n">
        <x:v>0.004985807786020746</x:v>
      </x:c>
      <x:c r="S1447" s="14" t="n">
        <x:v>0.9176406952928902</x:v>
      </x:c>
      <x:c r="T1447" t="str">
        <x:v>여성소비·평일집중</x:v>
      </x:c>
      <x:c r="U1447" s="16" t="n">
        <x:v>38.44241126248541</x:v>
      </x:c>
      <x:c r="V1447" t="str">
        <x:v>일반교습학원</x:v>
      </x:c>
      <x:c r="W1447" t="str">
        <x:v>일반교습학원 / 일반의류</x:v>
      </x:c>
      <x:c r="X1447" s="16" t="n">
        <x:v>36.93091588401105</x:v>
      </x:c>
    </x:row>
    <x:row r="1448">
      <x:c r="A1448" t="str">
        <x:v>3130276</x:v>
      </x:c>
      <x:c r="B1448" t="str">
        <x:v>신림중앙시장(조원동 펭귄시장)</x:v>
      </x:c>
      <x:c r="C1448" t="str">
        <x:v>전통시장</x:v>
      </x:c>
      <x:c r="D1448" t="str">
        <x:v>관악구</x:v>
      </x:c>
      <x:c r="E1448" t="str">
        <x:v>조원동</x:v>
      </x:c>
      <x:c r="F1448" s="12" t="n">
        <x:v>7150</x:v>
      </x:c>
      <x:c r="G1448" s="12" t="n">
        <x:v>194383412</x:v>
      </x:c>
      <x:c r="H1448" s="12" t="n">
        <x:v>7312</x:v>
      </x:c>
      <x:c r="I1448" s="12" t="n">
        <x:v>26584.16466083151</x:v>
      </x:c>
      <x:c r="J1448" s="12" t="n">
        <x:v>27186.49118881119</x:v>
      </x:c>
      <x:c r="K1448" s="12" t="n">
        <x:v>50</x:v>
      </x:c>
      <x:c r="L1448" s="12" t="n">
        <x:v>69.93006993006993</x:v>
      </x:c>
      <x:c r="M1448" s="12" t="n">
        <x:v>3</x:v>
      </x:c>
      <x:c r="N1448" s="14" t="n">
        <x:v>0.7760976024024108</x:v>
      </x:c>
      <x:c r="O1448" s="14" t="n">
        <x:v>0.22390239759758923</x:v>
      </x:c>
      <x:c r="P1448" s="14" t="n">
        <x:v>0.15460879449939896</x:v>
      </x:c>
      <x:c r="Q1448" s="14" t="n">
        <x:v>0.24316569769852583</x:v>
      </x:c>
      <x:c r="R1448" s="14" t="n">
        <x:v>0.05384123003252973</x:v>
      </x:c>
      <x:c r="S1448" s="14" t="n">
        <x:v>0.6796859703234348</x:v>
      </x:c>
      <x:c r="T1448" t="str">
        <x:v>여성소비·평일집중</x:v>
      </x:c>
      <x:c r="U1448" s="16" t="n">
        <x:v>45.754900183029946</x:v>
      </x:c>
      <x:c r="V1448" t="str">
        <x:v>일반의류</x:v>
      </x:c>
      <x:c r="W1448" t="str">
        <x:v>일반의류 / 반찬가게 / 수산물판매</x:v>
      </x:c>
      <x:c r="X1448" s="16" t="n">
        <x:v>43.187080758461626</x:v>
      </x:c>
    </x:row>
    <x:row r="1449">
      <x:c r="A1449" t="str">
        <x:v>3110177</x:v>
      </x:c>
      <x:c r="B1449" t="str">
        <x:v>동의초등학교</x:v>
      </x:c>
      <x:c r="C1449" t="str">
        <x:v>골목상권</x:v>
      </x:c>
      <x:c r="D1449" t="str">
        <x:v>광진구</x:v>
      </x:c>
      <x:c r="E1449" t="str">
        <x:v>구의2동</x:v>
      </x:c>
      <x:c r="F1449" s="12" t="n">
        <x:v>29079</x:v>
      </x:c>
      <x:c r="G1449" s="12" t="n">
        <x:v>191312526</x:v>
      </x:c>
      <x:c r="H1449" s="12" t="n">
        <x:v>3841</x:v>
      </x:c>
      <x:c r="I1449" s="12" t="n">
        <x:v>49807.99947930226</x:v>
      </x:c>
      <x:c r="J1449" s="12" t="n">
        <x:v>6579.061384504282</x:v>
      </x:c>
      <x:c r="K1449" s="12" t="n">
        <x:v>72</x:v>
      </x:c>
      <x:c r="L1449" s="12" t="n">
        <x:v>24.760136180748994</x:v>
      </x:c>
      <x:c r="M1449" s="12" t="n">
        <x:v>3</x:v>
      </x:c>
      <x:c r="N1449" s="14" t="n">
        <x:v>0.5777587767567295</x:v>
      </x:c>
      <x:c r="O1449" s="14" t="n">
        <x:v>0.42224122324327057</x:v>
      </x:c>
      <x:c r="P1449" s="14" t="n">
        <x:v>0.523152070032257</x:v>
      </x:c>
      <x:c r="Q1449" s="14" t="n">
        <x:v>0.20357939343710302</x:v>
      </x:c>
      <x:c r="R1449" s="14" t="n">
        <x:v>0.23648536217644212</x:v>
      </x:c>
      <x:c r="S1449" s="14" t="n">
        <x:v>0.39740266667118285</x:v>
      </x:c>
      <x:c r="T1449" t="str">
        <x:v>야간활성·2030소비</x:v>
      </x:c>
      <x:c r="U1449" s="16" t="n">
        <x:v>39.95064212412096</x:v>
      </x:c>
      <x:c r="V1449" t="str">
        <x:v>일반의류</x:v>
      </x:c>
      <x:c r="W1449" t="str">
        <x:v>일반의류 / 한식음식점 / 슈퍼마켓</x:v>
      </x:c>
      <x:c r="X1449" s="16" t="n">
        <x:v>28.645742461078793</x:v>
      </x:c>
    </x:row>
    <x:row r="1450">
      <x:c r="A1450" t="str">
        <x:v>3110972</x:v>
      </x:c>
      <x:c r="B1450" t="str">
        <x:v>강남세브란스병원미래의학연구센터</x:v>
      </x:c>
      <x:c r="C1450" t="str">
        <x:v>골목상권</x:v>
      </x:c>
      <x:c r="D1450" t="str">
        <x:v>강남구</x:v>
      </x:c>
      <x:c r="E1450" t="str">
        <x:v>역삼2동</x:v>
      </x:c>
      <x:c r="F1450" s="12" t="n">
        <x:v>46603</x:v>
      </x:c>
      <x:c r="G1450" s="12" t="n">
        <x:v>190407956</x:v>
      </x:c>
      <x:c r="H1450" s="12" t="n">
        <x:v>19387</x:v>
      </x:c>
      <x:c r="I1450" s="12" t="n">
        <x:v>9821.424459689482</x:v>
      </x:c>
      <x:c r="J1450" s="12" t="n">
        <x:v>4085.744608716177</x:v>
      </x:c>
      <x:c r="K1450" s="12" t="n">
        <x:v>280</x:v>
      </x:c>
      <x:c r="L1450" s="12" t="n">
        <x:v>60.081968971954595</x:v>
      </x:c>
      <x:c r="M1450" s="12" t="n">
        <x:v>2</x:v>
      </x:c>
      <x:c r="N1450" s="14" t="n">
        <x:v>0.767030013178651</x:v>
      </x:c>
      <x:c r="O1450" s="14" t="n">
        <x:v>0.232969986821349</x:v>
      </x:c>
      <x:c r="P1450" s="14" t="n">
        <x:v>0.37591243823866266</x:v>
      </x:c>
      <x:c r="Q1450" s="14" t="n">
        <x:v>0.29472807323240213</x:v>
      </x:c>
      <x:c r="R1450" s="14" t="n">
        <x:v>0.27396970219038536</x:v>
      </x:c>
      <x:c r="S1450" s="14" t="n">
        <x:v>0.40742003973825547</x:v>
      </x:c>
      <x:c r="T1450" t="str">
        <x:v>2030소비·평일집중</x:v>
      </x:c>
      <x:c r="U1450" s="16" t="n">
        <x:v>55.817621819148606</x:v>
      </x:c>
      <x:c r="V1450" t="str">
        <x:v>커피-음료</x:v>
      </x:c>
      <x:c r="W1450" t="str">
        <x:v>커피-음료 / 치킨전문점</x:v>
      </x:c>
      <x:c r="X1450" s="16" t="n">
        <x:v>53.17823075521432</x:v>
      </x:c>
    </x:row>
    <x:row r="1451">
      <x:c r="A1451" t="str">
        <x:v>3110238</x:v>
      </x:c>
      <x:c r="B1451" t="str">
        <x:v>배꽃어린이공원</x:v>
      </x:c>
      <x:c r="C1451" t="str">
        <x:v>골목상권</x:v>
      </x:c>
      <x:c r="D1451" t="str">
        <x:v>중랑구</x:v>
      </x:c>
      <x:c r="E1451" t="str">
        <x:v>중화2동</x:v>
      </x:c>
      <x:c r="F1451" s="12" t="n">
        <x:v>29174</x:v>
      </x:c>
      <x:c r="G1451" s="12" t="n">
        <x:v>187764909</x:v>
      </x:c>
      <x:c r="H1451" s="12" t="n">
        <x:v>213</x:v>
      </x:c>
      <x:c r="I1451" s="12" t="n">
        <x:v>881525.3943661972</x:v>
      </x:c>
      <x:c r="J1451" s="12" t="n">
        <x:v>6436.035819565366</x:v>
      </x:c>
      <x:c r="K1451" s="12" t="n">
        <x:v>7</x:v>
      </x:c>
      <x:c r="L1451" s="12" t="n">
        <x:v>2.3993967231096183</x:v>
      </x:c>
      <x:c r="M1451" s="12" t="n">
        <x:v>1</x:v>
      </x:c>
      <x:c r="N1451" s="14" t="n">
        <x:v>1</x:v>
      </x:c>
      <x:c r="O1451" s="14" t="n">
        <x:v>0</x:v>
      </x:c>
      <x:c r="P1451" s="14" t="n">
        <x:v>0.6439393955129283</x:v>
      </x:c>
      <x:c r="Q1451" s="14" t="n">
        <x:v>0.30681818187870236</x:v>
      </x:c>
      <x:c r="R1451" s="14" t="n">
        <x:v>0.04924242260836928</x:v>
      </x:c>
      <x:c r="S1451" s="14" t="n">
        <x:v>0</x:v>
      </x:c>
      <x:c r="T1451" t="str">
        <x:v>평일집중·야간활성</x:v>
      </x:c>
      <x:c r="U1451" s="16" t="n">
        <x:v>54.470524610668555</x:v>
      </x:c>
      <x:c r="V1451" t="str">
        <x:v>운동/경기용품</x:v>
      </x:c>
      <x:c r="W1451" t="str">
        <x:v>운동/경기용품</x:v>
      </x:c>
      <x:c r="X1451" s="16" t="n">
        <x:v>54.470524610668555</x:v>
      </x:c>
    </x:row>
    <x:row r="1452">
      <x:c r="A1452" t="str">
        <x:v>3111058</x:v>
      </x:c>
      <x:c r="B1452" t="str">
        <x:v>성내중학교</x:v>
      </x:c>
      <x:c r="C1452" t="str">
        <x:v>골목상권</x:v>
      </x:c>
      <x:c r="D1452" t="str">
        <x:v>강동구</x:v>
      </x:c>
      <x:c r="E1452" t="str">
        <x:v>성내1동</x:v>
      </x:c>
      <x:c r="F1452" s="12" t="n">
        <x:v>39694</x:v>
      </x:c>
      <x:c r="G1452" s="12" t="n">
        <x:v>187613778</x:v>
      </x:c>
      <x:c r="H1452" s="12" t="n">
        <x:v>6338</x:v>
      </x:c>
      <x:c r="I1452" s="12" t="n">
        <x:v>29601.416535184602</x:v>
      </x:c>
      <x:c r="J1452" s="12" t="n">
        <x:v>4726.502191767017</x:v>
      </x:c>
      <x:c r="K1452" s="12" t="n">
        <x:v>685</x:v>
      </x:c>
      <x:c r="L1452" s="12" t="n">
        <x:v>172.57016173729028</x:v>
      </x:c>
      <x:c r="M1452" s="12" t="n">
        <x:v>3</x:v>
      </x:c>
      <x:c r="N1452" s="14" t="n">
        <x:v>0.8020769721933748</x:v>
      </x:c>
      <x:c r="O1452" s="14" t="n">
        <x:v>0.19792302780662516</x:v>
      </x:c>
      <x:c r="P1452" s="14" t="n">
        <x:v>0.21917894537574953</x:v>
      </x:c>
      <x:c r="Q1452" s="14" t="n">
        <x:v>0.2892669215370739</x:v>
      </x:c>
      <x:c r="R1452" s="14" t="n">
        <x:v>0.09992278925271682</x:v>
      </x:c>
      <x:c r="S1452" s="14" t="n">
        <x:v>0.6135913909265235</x:v>
      </x:c>
      <x:c r="T1452" t="str">
        <x:v>여성소비·평일집중</x:v>
      </x:c>
      <x:c r="U1452" s="16" t="n">
        <x:v>53.74211791850171</x:v>
      </x:c>
      <x:c r="V1452" t="str">
        <x:v>일반교습학원</x:v>
      </x:c>
      <x:c r="W1452" t="str">
        <x:v>일반교습학원 / 커피-음료 / 한식음식점</x:v>
      </x:c>
      <x:c r="X1452" s="16" t="n">
        <x:v>38.041540357132085</x:v>
      </x:c>
    </x:row>
    <x:row r="1453">
      <x:c r="A1453" t="str">
        <x:v>3111043</x:v>
      </x:c>
      <x:c r="B1453" t="str">
        <x:v>마천공원</x:v>
      </x:c>
      <x:c r="C1453" t="str">
        <x:v>골목상권</x:v>
      </x:c>
      <x:c r="D1453" t="str">
        <x:v>송파구</x:v>
      </x:c>
      <x:c r="E1453" t="str">
        <x:v>마천2동</x:v>
      </x:c>
      <x:c r="F1453" s="12" t="n">
        <x:v>67894</x:v>
      </x:c>
      <x:c r="G1453" s="12" t="n">
        <x:v>182895674</x:v>
      </x:c>
      <x:c r="H1453" s="12" t="n">
        <x:v>3002</x:v>
      </x:c>
      <x:c r="I1453" s="12" t="n">
        <x:v>60924.60826115923</x:v>
      </x:c>
      <x:c r="J1453" s="12" t="n">
        <x:v>2693.8414882021975</x:v>
      </x:c>
      <x:c r="K1453" s="12" t="n">
        <x:v>170</x:v>
      </x:c>
      <x:c r="L1453" s="12" t="n">
        <x:v>25.039031431348867</x:v>
      </x:c>
      <x:c r="M1453" s="12" t="n">
        <x:v>3</x:v>
      </x:c>
      <x:c r="N1453" s="14" t="n">
        <x:v>0.6988124716388864</x:v>
      </x:c>
      <x:c r="O1453" s="14" t="n">
        <x:v>0.3011875283611137</x:v>
      </x:c>
      <x:c r="P1453" s="14" t="n">
        <x:v>0.808252441225045</x:v>
      </x:c>
      <x:c r="Q1453" s="14" t="n">
        <x:v>0.04701089868314764</x:v>
      </x:c>
      <x:c r="R1453" s="14" t="n">
        <x:v>0.1329346204219133</x:v>
      </x:c>
      <x:c r="S1453" s="14" t="n">
        <x:v>0.26635935085047446</x:v>
      </x:c>
      <x:c r="T1453" t="str">
        <x:v>야간활성</x:v>
      </x:c>
      <x:c r="U1453" s="16" t="n">
        <x:v>49.5000180331622</x:v>
      </x:c>
      <x:c r="V1453" t="str">
        <x:v>육류판매</x:v>
      </x:c>
      <x:c r="W1453" t="str">
        <x:v>육류판매 / 가전제품수리 / 미용실</x:v>
      </x:c>
      <x:c r="X1453" s="16" t="n">
        <x:v>43.14867691007305</x:v>
      </x:c>
    </x:row>
    <x:row r="1454">
      <x:c r="A1454" t="str">
        <x:v>3110795</x:v>
      </x:c>
      <x:c r="B1454" t="str">
        <x:v>도림초등학교</x:v>
      </x:c>
      <x:c r="C1454" t="str">
        <x:v>골목상권</x:v>
      </x:c>
      <x:c r="D1454" t="str">
        <x:v>영등포구</x:v>
      </x:c>
      <x:c r="E1454" t="str">
        <x:v>신길3동</x:v>
      </x:c>
      <x:c r="F1454" s="12" t="n">
        <x:v>68722</x:v>
      </x:c>
      <x:c r="G1454" s="12" t="n">
        <x:v>178860131</x:v>
      </x:c>
      <x:c r="H1454" s="12" t="n">
        <x:v>17721</x:v>
      </x:c>
      <x:c r="I1454" s="12" t="n">
        <x:v>10093.11726200553</x:v>
      </x:c>
      <x:c r="J1454" s="12" t="n">
        <x:v>2602.6618986641834</x:v>
      </x:c>
      <x:c r="K1454" s="12" t="n">
        <x:v>100</x:v>
      </x:c>
      <x:c r="L1454" s="12" t="n">
        <x:v>14.551380926049882</x:v>
      </x:c>
      <x:c r="M1454" s="12" t="n">
        <x:v>3</x:v>
      </x:c>
      <x:c r="N1454" s="14" t="n">
        <x:v>0.6563640054585446</x:v>
      </x:c>
      <x:c r="O1454" s="14" t="n">
        <x:v>0.34363599454145544</x:v>
      </x:c>
      <x:c r="P1454" s="14" t="n">
        <x:v>0.38005755458157414</x:v>
      </x:c>
      <x:c r="Q1454" s="14" t="n">
        <x:v>0.12692360154874313</x:v>
      </x:c>
      <x:c r="R1454" s="14" t="n">
        <x:v>0.3222728099198362</x:v>
      </x:c>
      <x:c r="S1454" s="14" t="n">
        <x:v>0.34479804781088974</x:v>
      </x:c>
      <x:c r="T1454" t="str">
        <x:v>2030소비</x:v>
      </x:c>
      <x:c r="U1454" s="16" t="n">
        <x:v>45.95146716793346</x:v>
      </x:c>
      <x:c r="V1454" t="str">
        <x:v>슈퍼마켓</x:v>
      </x:c>
      <x:c r="W1454" t="str">
        <x:v>슈퍼마켓 / 미용실 / 호프-간이주점</x:v>
      </x:c>
      <x:c r="X1454" s="16" t="n">
        <x:v>34.901579521789195</x:v>
      </x:c>
    </x:row>
    <x:row r="1455">
      <x:c r="A1455" t="str">
        <x:v>3110493</x:v>
      </x:c>
      <x:c r="B1455" t="str">
        <x:v>북가좌초등학교</x:v>
      </x:c>
      <x:c r="C1455" t="str">
        <x:v>골목상권</x:v>
      </x:c>
      <x:c r="D1455" t="str">
        <x:v>서대문구</x:v>
      </x:c>
      <x:c r="E1455" t="str">
        <x:v>북가좌1동</x:v>
      </x:c>
      <x:c r="F1455" s="12" t="n">
        <x:v>44322</x:v>
      </x:c>
      <x:c r="G1455" s="12" t="n">
        <x:v>178734938</x:v>
      </x:c>
      <x:c r="H1455" s="12" t="n">
        <x:v>4217</x:v>
      </x:c>
      <x:c r="I1455" s="12" t="n">
        <x:v>42384.38178800095</x:v>
      </x:c>
      <x:c r="J1455" s="12" t="n">
        <x:v>4032.6460448535718</x:v>
      </x:c>
      <x:c r="K1455" s="12" t="n">
        <x:v>245</x:v>
      </x:c>
      <x:c r="L1455" s="12" t="n">
        <x:v>55.27728893100492</x:v>
      </x:c>
      <x:c r="M1455" s="12" t="n">
        <x:v>4</x:v>
      </x:c>
      <x:c r="N1455" s="14" t="n">
        <x:v>0.6663886553618297</x:v>
      </x:c>
      <x:c r="O1455" s="14" t="n">
        <x:v>0.33361134463817027</x:v>
      </x:c>
      <x:c r="P1455" s="14" t="n">
        <x:v>0.6679434996642906</x:v>
      </x:c>
      <x:c r="Q1455" s="14" t="n">
        <x:v>0.2546821148084657</x:v>
      </x:c>
      <x:c r="R1455" s="14" t="n">
        <x:v>0.03145026407763657</x:v>
      </x:c>
      <x:c r="S1455" s="14" t="n">
        <x:v>0.21041161521537552</x:v>
      </x:c>
      <x:c r="T1455" t="str">
        <x:v>야간활성</x:v>
      </x:c>
      <x:c r="U1455" s="16" t="n">
        <x:v>62.15723801796487</x:v>
      </x:c>
      <x:c r="V1455" t="str">
        <x:v>분식전문점</x:v>
      </x:c>
      <x:c r="W1455" t="str">
        <x:v>분식전문점 / 한식음식점 / 미용실</x:v>
      </x:c>
      <x:c r="X1455" s="16" t="n">
        <x:v>45.55282867097888</x:v>
      </x:c>
    </x:row>
    <x:row r="1456">
      <x:c r="A1456" t="str">
        <x:v>3110523</x:v>
      </x:c>
      <x:c r="B1456" t="str">
        <x:v>홍제성원아파트</x:v>
      </x:c>
      <x:c r="C1456" t="str">
        <x:v>골목상권</x:v>
      </x:c>
      <x:c r="D1456" t="str">
        <x:v>서대문구</x:v>
      </x:c>
      <x:c r="E1456" t="str">
        <x:v>홍제1동</x:v>
      </x:c>
      <x:c r="F1456" s="12" t="n">
        <x:v>14283</x:v>
      </x:c>
      <x:c r="G1456" s="12" t="n">
        <x:v>177024319</x:v>
      </x:c>
      <x:c r="H1456" s="12" t="n">
        <x:v>992</x:v>
      </x:c>
      <x:c r="I1456" s="12" t="n">
        <x:v>178451.93447580645</x:v>
      </x:c>
      <x:c r="J1456" s="12" t="n">
        <x:v>12394.057200868165</x:v>
      </x:c>
      <x:c r="K1456" s="12" t="n">
        <x:v>21</x:v>
      </x:c>
      <x:c r="L1456" s="12" t="n">
        <x:v>14.702793530770846</x:v>
      </x:c>
      <x:c r="M1456" s="12" t="n">
        <x:v>2</x:v>
      </x:c>
      <x:c r="N1456" s="14" t="n">
        <x:v>1</x:v>
      </x:c>
      <x:c r="O1456" s="14" t="n">
        <x:v>0</x:v>
      </x:c>
      <x:c r="P1456" s="14" t="n">
        <x:v>0.1519671317023962</x:v>
      </x:c>
      <x:c r="Q1456" s="14" t="n">
        <x:v>0.21188225556738338</x:v>
      </x:c>
      <x:c r="R1456" s="14" t="n">
        <x:v>0.1525539606792669</x:v>
      </x:c>
      <x:c r="S1456" s="14" t="n">
        <x:v>0.37650290862014274</x:v>
      </x:c>
      <x:c r="T1456" t="str">
        <x:v>평일집중</x:v>
      </x:c>
      <x:c r="U1456" s="16" t="n">
        <x:v>55.34420937301352</x:v>
      </x:c>
      <x:c r="V1456" t="str">
        <x:v>예술학원</x:v>
      </x:c>
      <x:c r="W1456" t="str">
        <x:v>예술학원 / 일반교습학원</x:v>
      </x:c>
      <x:c r="X1456" s="16" t="n">
        <x:v>52.14806941072436</x:v>
      </x:c>
    </x:row>
    <x:row r="1457">
      <x:c r="A1457" t="str">
        <x:v>3111055</x:v>
      </x:c>
      <x:c r="B1457" t="str">
        <x:v>선사초등학교</x:v>
      </x:c>
      <x:c r="C1457" t="str">
        <x:v>골목상권</x:v>
      </x:c>
      <x:c r="D1457" t="str">
        <x:v>강동구</x:v>
      </x:c>
      <x:c r="E1457" t="str">
        <x:v>암사2동</x:v>
      </x:c>
      <x:c r="F1457" s="12" t="n">
        <x:v>11026</x:v>
      </x:c>
      <x:c r="G1457" s="12" t="n">
        <x:v>175614774</x:v>
      </x:c>
      <x:c r="H1457" s="12" t="n">
        <x:v>1297</x:v>
      </x:c>
      <x:c r="I1457" s="12" t="n">
        <x:v>135400.75096376252</x:v>
      </x:c>
      <x:c r="J1457" s="12" t="n">
        <x:v>15927.333031017595</x:v>
      </x:c>
      <x:c r="K1457" s="12" t="n">
        <x:v>209</x:v>
      </x:c>
      <x:c r="L1457" s="12" t="n">
        <x:v>189.551968075458</x:v>
      </x:c>
      <x:c r="M1457" s="12" t="n">
        <x:v>1</x:v>
      </x:c>
      <x:c r="N1457" s="14" t="n">
        <x:v>0.6282004895556225</x:v>
      </x:c>
      <x:c r="O1457" s="14" t="n">
        <x:v>0.37179951044437753</x:v>
      </x:c>
      <x:c r="P1457" s="14" t="n">
        <x:v>0.6455038913753349</x:v>
      </x:c>
      <x:c r="Q1457" s="14" t="n">
        <x:v>0.22715760235525514</x:v>
      </x:c>
      <x:c r="R1457" s="14" t="n">
        <x:v>0.06091305279361063</x:v>
      </x:c>
      <x:c r="S1457" s="14" t="n">
        <x:v>0.24305629889658373</x:v>
      </x:c>
      <x:c r="T1457" t="str">
        <x:v>야간활성·직장밀집</x:v>
      </x:c>
      <x:c r="U1457" s="16" t="n">
        <x:v>45.35683786907145</x:v>
      </x:c>
      <x:c r="V1457" t="str">
        <x:v>한식음식점</x:v>
      </x:c>
      <x:c r="W1457" t="str">
        <x:v>한식음식점</x:v>
      </x:c>
      <x:c r="X1457" s="16" t="n">
        <x:v>45.35683786907145</x:v>
      </x:c>
    </x:row>
    <x:row r="1458">
      <x:c r="A1458" t="str">
        <x:v>3130256</x:v>
      </x:c>
      <x:c r="B1458" t="str">
        <x:v>신동시장</x:v>
      </x:c>
      <x:c r="C1458" t="str">
        <x:v>전통시장</x:v>
      </x:c>
      <x:c r="D1458" t="str">
        <x:v>영등포구</x:v>
      </x:c>
      <x:c r="E1458" t="str">
        <x:v>신길3동</x:v>
      </x:c>
      <x:c r="F1458" s="12" t="n">
        <x:v>4593</x:v>
      </x:c>
      <x:c r="G1458" s="12" t="n">
        <x:v>175308303</x:v>
      </x:c>
      <x:c r="H1458" s="12" t="n">
        <x:v>5279</x:v>
      </x:c>
      <x:c r="I1458" s="12" t="n">
        <x:v>33208.619624928964</x:v>
      </x:c>
      <x:c r="J1458" s="12" t="n">
        <x:v>38168.583278902675</x:v>
      </x:c>
      <x:c r="K1458" s="12" t="n">
        <x:v>12</x:v>
      </x:c>
      <x:c r="L1458" s="12" t="n">
        <x:v>26.126714565643372</x:v>
      </x:c>
      <x:c r="M1458" s="12" t="n">
        <x:v>2</x:v>
      </x:c>
      <x:c r="N1458" s="14" t="n">
        <x:v>0.648136865485487</x:v>
      </x:c>
      <x:c r="O1458" s="14" t="n">
        <x:v>0.351863134514513</x:v>
      </x:c>
      <x:c r="P1458" s="14" t="n">
        <x:v>0.2062776627299849</x:v>
      </x:c>
      <x:c r="Q1458" s="14" t="n">
        <x:v>0.20092300477062972</x:v>
      </x:c>
      <x:c r="R1458" s="14" t="n">
        <x:v>0.04506043846651119</x:v>
      </x:c>
      <x:c r="S1458" s="14" t="n">
        <x:v>0.6670811764118212</x:v>
      </x:c>
      <x:c r="T1458" t="str">
        <x:v>여성소비</x:v>
      </x:c>
      <x:c r="U1458" s="16" t="n">
        <x:v>66.58582271976549</x:v>
      </x:c>
      <x:c r="V1458" t="str">
        <x:v>일반의류</x:v>
      </x:c>
      <x:c r="W1458" t="str">
        <x:v>일반의류 / 한식음식점</x:v>
      </x:c>
      <x:c r="X1458" s="16" t="n">
        <x:v>55.10928539539671</x:v>
      </x:c>
    </x:row>
    <x:row r="1459">
      <x:c r="A1459" t="str">
        <x:v>3120155</x:v>
      </x:c>
      <x:c r="B1459" t="str">
        <x:v>총신대학교</x:v>
      </x:c>
      <x:c r="C1459" t="str">
        <x:v>발달상권</x:v>
      </x:c>
      <x:c r="D1459" t="str">
        <x:v>동작구</x:v>
      </x:c>
      <x:c r="E1459" t="str">
        <x:v>사당5동</x:v>
      </x:c>
      <x:c r="F1459" s="12" t="n">
        <x:v>46691</x:v>
      </x:c>
      <x:c r="G1459" s="12" t="n">
        <x:v>172354595</x:v>
      </x:c>
      <x:c r="H1459" s="12" t="n">
        <x:v>1300</x:v>
      </x:c>
      <x:c r="I1459" s="12" t="n">
        <x:v>132580.45769230768</x:v>
      </x:c>
      <x:c r="J1459" s="12" t="n">
        <x:v>3691.3879548521127</x:v>
      </x:c>
      <x:c r="K1459" s="12" t="n">
        <x:v>323</x:v>
      </x:c>
      <x:c r="L1459" s="12" t="n">
        <x:v>69.17821421687263</x:v>
      </x:c>
      <x:c r="M1459" s="12" t="n">
        <x:v>4</x:v>
      </x:c>
      <x:c r="N1459" s="14" t="n">
        <x:v>0.9379802493806446</x:v>
      </x:c>
      <x:c r="O1459" s="14" t="n">
        <x:v>0.062019750619355406</x:v>
      </x:c>
      <x:c r="P1459" s="14" t="n">
        <x:v>0.34379967067312595</x:v>
      </x:c>
      <x:c r="Q1459" s="14" t="n">
        <x:v>0.15893104561558105</x:v>
      </x:c>
      <x:c r="R1459" s="14" t="n">
        <x:v>0.055686510707765</x:v>
      </x:c>
      <x:c r="S1459" s="14" t="n">
        <x:v>0.42220077741472456</x:v>
      </x:c>
      <x:c r="T1459" t="str">
        <x:v>평일집중</x:v>
      </x:c>
      <x:c r="U1459" s="16" t="n">
        <x:v>67.27899248605985</x:v>
      </x:c>
      <x:c r="V1459" t="str">
        <x:v>예술학원</x:v>
      </x:c>
      <x:c r="W1459" t="str">
        <x:v>예술학원 / 일반교습학원 / 미용실</x:v>
      </x:c>
      <x:c r="X1459" s="16" t="n">
        <x:v>53.25885107527865</x:v>
      </x:c>
    </x:row>
    <x:row r="1460">
      <x:c r="A1460" t="str">
        <x:v>3110036</x:v>
      </x:c>
      <x:c r="B1460" t="str">
        <x:v>동묘앞역 3번</x:v>
      </x:c>
      <x:c r="C1460" t="str">
        <x:v>골목상권</x:v>
      </x:c>
      <x:c r="D1460" t="str">
        <x:v>종로구</x:v>
      </x:c>
      <x:c r="E1460" t="str">
        <x:v>숭인2동</x:v>
      </x:c>
      <x:c r="F1460" s="12" t="n">
        <x:v>18431</x:v>
      </x:c>
      <x:c r="G1460" s="12" t="n">
        <x:v>171421877</x:v>
      </x:c>
      <x:c r="H1460" s="12" t="n">
        <x:v>3853</x:v>
      </x:c>
      <x:c r="I1460" s="12" t="n">
        <x:v>44490.49493900857</x:v>
      </x:c>
      <x:c r="J1460" s="12" t="n">
        <x:v>9300.736639357605</x:v>
      </x:c>
      <x:c r="K1460" s="12" t="n">
        <x:v>145</x:v>
      </x:c>
      <x:c r="L1460" s="12" t="n">
        <x:v>78.67180294069773</x:v>
      </x:c>
      <x:c r="M1460" s="12" t="n">
        <x:v>4</x:v>
      </x:c>
      <x:c r="N1460" s="14" t="n">
        <x:v>0.7225402858002774</x:v>
      </x:c>
      <x:c r="O1460" s="14" t="n">
        <x:v>0.2774597141997226</x:v>
      </x:c>
      <x:c r="P1460" s="14" t="n">
        <x:v>0.35934249512388666</x:v>
      </x:c>
      <x:c r="Q1460" s="14" t="n">
        <x:v>0.30213802874180407</x:v>
      </x:c>
      <x:c r="R1460" s="14" t="n">
        <x:v>0.4415139264867576</x:v>
      </x:c>
      <x:c r="S1460" s="14" t="n">
        <x:v>0.2828603142643223</x:v>
      </x:c>
      <x:c r="T1460" t="str">
        <x:v>2030소비</x:v>
      </x:c>
      <x:c r="U1460" s="16" t="n">
        <x:v>50.17795844625113</x:v>
      </x:c>
      <x:c r="V1460" t="str">
        <x:v>가방</x:v>
      </x:c>
      <x:c r="W1460" t="str">
        <x:v>가방 / 한식음식점 / 일반의류</x:v>
      </x:c>
      <x:c r="X1460" s="16" t="n">
        <x:v>39.24412542235634</x:v>
      </x:c>
    </x:row>
    <x:row r="1461">
      <x:c r="A1461" t="str">
        <x:v>3110073</x:v>
      </x:c>
      <x:c r="B1461" t="str">
        <x:v>삼각지역 3번</x:v>
      </x:c>
      <x:c r="C1461" t="str">
        <x:v>골목상권</x:v>
      </x:c>
      <x:c r="D1461" t="str">
        <x:v>용산구</x:v>
      </x:c>
      <x:c r="E1461" t="str">
        <x:v>한강로동</x:v>
      </x:c>
      <x:c r="F1461" s="12" t="n">
        <x:v>41421</x:v>
      </x:c>
      <x:c r="G1461" s="12" t="n">
        <x:v>167895752</x:v>
      </x:c>
      <x:c r="H1461" s="12" t="n">
        <x:v>1831</x:v>
      </x:c>
      <x:c r="I1461" s="12" t="n">
        <x:v>91696.20535226652</x:v>
      </x:c>
      <x:c r="J1461" s="12" t="n">
        <x:v>4053.3968759807826</x:v>
      </x:c>
      <x:c r="K1461" s="12" t="n">
        <x:v>2372</x:v>
      </x:c>
      <x:c r="L1461" s="12" t="n">
        <x:v>572.6563820284397</x:v>
      </x:c>
      <x:c r="M1461" s="12" t="n">
        <x:v>1</x:v>
      </x:c>
      <x:c r="N1461" s="14" t="n">
        <x:v>0.6572039356898083</x:v>
      </x:c>
      <x:c r="O1461" s="14" t="n">
        <x:v>0.3427960643101917</x:v>
      </x:c>
      <x:c r="P1461" s="14" t="n">
        <x:v>0.7260083983542359</x:v>
      </x:c>
      <x:c r="Q1461" s="14" t="n">
        <x:v>0.1788435361961987</x:v>
      </x:c>
      <x:c r="R1461" s="14" t="n">
        <x:v>0.5216236501326132</x:v>
      </x:c>
      <x:c r="S1461" s="14" t="n">
        <x:v>0.3537104798220267</x:v>
      </x:c>
      <x:c r="T1461" t="str">
        <x:v>야간활성·2030소비</x:v>
      </x:c>
      <x:c r="U1461" s="16" t="n">
        <x:v>21.00188128638461</x:v>
      </x:c>
      <x:c r="V1461" t="str">
        <x:v>한식음식점</x:v>
      </x:c>
      <x:c r="W1461" t="str">
        <x:v>한식음식점</x:v>
      </x:c>
      <x:c r="X1461" s="16" t="n">
        <x:v>21.00188128638461</x:v>
      </x:c>
    </x:row>
    <x:row r="1462">
      <x:c r="A1462" t="str">
        <x:v>3110567</x:v>
      </x:c>
      <x:c r="B1462" t="str">
        <x:v>광흥창역 6번</x:v>
      </x:c>
      <x:c r="C1462" t="str">
        <x:v>골목상권</x:v>
      </x:c>
      <x:c r="D1462" t="str">
        <x:v>마포구</x:v>
      </x:c>
      <x:c r="E1462" t="str">
        <x:v>서강동</x:v>
      </x:c>
      <x:c r="F1462" s="12" t="n">
        <x:v>21814</x:v>
      </x:c>
      <x:c r="G1462" s="12" t="n">
        <x:v>166814555</x:v>
      </x:c>
      <x:c r="H1462" s="12" t="n">
        <x:v>6011</x:v>
      </x:c>
      <x:c r="I1462" s="12" t="n">
        <x:v>27751.547995341873</x:v>
      </x:c>
      <x:c r="J1462" s="12" t="n">
        <x:v>7647.1328046208855</x:v>
      </x:c>
      <x:c r="K1462" s="12" t="n">
        <x:v>259</x:v>
      </x:c>
      <x:c r="L1462" s="12" t="n">
        <x:v>118.73109012560741</x:v>
      </x:c>
      <x:c r="M1462" s="12" t="n">
        <x:v>6</x:v>
      </x:c>
      <x:c r="N1462" s="14" t="n">
        <x:v>0.815235229323964</x:v>
      </x:c>
      <x:c r="O1462" s="14" t="n">
        <x:v>0.18476477067603603</x:v>
      </x:c>
      <x:c r="P1462" s="14" t="n">
        <x:v>0.4087149409714278</x:v>
      </x:c>
      <x:c r="Q1462" s="14" t="n">
        <x:v>0.18096497634753753</x:v>
      </x:c>
      <x:c r="R1462" s="14" t="n">
        <x:v>0.2507738368513467</x:v>
      </x:c>
      <x:c r="S1462" s="14" t="n">
        <x:v>0.6111237595544345</x:v>
      </x:c>
      <x:c r="T1462" t="str">
        <x:v>여성소비·평일집중</x:v>
      </x:c>
      <x:c r="U1462" s="16" t="n">
        <x:v>57.8512436827793</x:v>
      </x:c>
      <x:c r="V1462" t="str">
        <x:v>예술학원</x:v>
      </x:c>
      <x:c r="W1462" t="str">
        <x:v>예술학원 / 운동/경기용품 / 일반의류</x:v>
      </x:c>
      <x:c r="X1462" s="16" t="n">
        <x:v>46.057037382744845</x:v>
      </x:c>
    </x:row>
    <x:row r="1463">
      <x:c r="A1463" t="str">
        <x:v>3110505</x:v>
      </x:c>
      <x:c r="B1463" t="str">
        <x:v>홍남교남측</x:v>
      </x:c>
      <x:c r="C1463" t="str">
        <x:v>골목상권</x:v>
      </x:c>
      <x:c r="D1463" t="str">
        <x:v>서대문구</x:v>
      </x:c>
      <x:c r="E1463" t="str">
        <x:v>연희동</x:v>
      </x:c>
      <x:c r="F1463" s="12" t="n">
        <x:v>21259</x:v>
      </x:c>
      <x:c r="G1463" s="12" t="n">
        <x:v>164412924</x:v>
      </x:c>
      <x:c r="H1463" s="12" t="n">
        <x:v>633</x:v>
      </x:c>
      <x:c r="I1463" s="12" t="n">
        <x:v>259736.0568720379</x:v>
      </x:c>
      <x:c r="J1463" s="12" t="n">
        <x:v>7733.803283315302</x:v>
      </x:c>
      <x:c r="K1463" s="12" t="n">
        <x:v>97</x:v>
      </x:c>
      <x:c r="L1463" s="12" t="n">
        <x:v>45.62773413613058</x:v>
      </x:c>
      <x:c r="M1463" s="12" t="n">
        <x:v>1</x:v>
      </x:c>
      <x:c r="N1463" s="14" t="n">
        <x:v>0.8574465654536988</x:v>
      </x:c>
      <x:c r="O1463" s="14" t="n">
        <x:v>0.14255343454630123</x:v>
      </x:c>
      <x:c r="P1463" s="14" t="n">
        <x:v>0.1701045715846523</x:v>
      </x:c>
      <x:c r="Q1463" s="14" t="n">
        <x:v>0.2878648578745549</x:v>
      </x:c>
      <x:c r="R1463" s="14" t="n">
        <x:v>0.08173408557590035</x:v>
      </x:c>
      <x:c r="S1463" s="14" t="n">
        <x:v>0.11365203869253003</x:v>
      </x:c>
      <x:c r="T1463" t="str">
        <x:v>평일집중</x:v>
      </x:c>
      <x:c r="U1463" s="16" t="n">
        <x:v>38.15011454122839</x:v>
      </x:c>
      <x:c r="V1463" t="str">
        <x:v>자동차수리</x:v>
      </x:c>
      <x:c r="W1463" t="str">
        <x:v>자동차수리</x:v>
      </x:c>
      <x:c r="X1463" s="16" t="n">
        <x:v>38.15011454122839</x:v>
      </x:c>
    </x:row>
    <x:row r="1464">
      <x:c r="A1464" t="str">
        <x:v>3110874</x:v>
      </x:c>
      <x:c r="B1464" t="str">
        <x:v>원신초등학교(구세군관악영문교회)</x:v>
      </x:c>
      <x:c r="C1464" t="str">
        <x:v>골목상권</x:v>
      </x:c>
      <x:c r="D1464" t="str">
        <x:v>관악구</x:v>
      </x:c>
      <x:c r="E1464" t="str">
        <x:v>삼성동</x:v>
      </x:c>
      <x:c r="F1464" s="12" t="n">
        <x:v>110847</x:v>
      </x:c>
      <x:c r="G1464" s="12" t="n">
        <x:v>159096752</x:v>
      </x:c>
      <x:c r="H1464" s="12" t="n">
        <x:v>4838</x:v>
      </x:c>
      <x:c r="I1464" s="12" t="n">
        <x:v>32884.81852004961</x:v>
      </x:c>
      <x:c r="J1464" s="12" t="n">
        <x:v>1435.2824343464415</x:v>
      </x:c>
      <x:c r="K1464" s="12" t="n">
        <x:v>193</x:v>
      </x:c>
      <x:c r="L1464" s="12" t="n">
        <x:v>17.411386866581864</x:v>
      </x:c>
      <x:c r="M1464" s="12" t="n">
        <x:v>4</x:v>
      </x:c>
      <x:c r="N1464" s="14" t="n">
        <x:v>0.6823357148108216</x:v>
      </x:c>
      <x:c r="O1464" s="14" t="n">
        <x:v>0.3176642851891785</x:v>
      </x:c>
      <x:c r="P1464" s="14" t="n">
        <x:v>0.2037268051833013</x:v>
      </x:c>
      <x:c r="Q1464" s="14" t="n">
        <x:v>0.31616452484209107</x:v>
      </x:c>
      <x:c r="R1464" s="14" t="n">
        <x:v>0.04812722386689579</x:v>
      </x:c>
      <x:c r="S1464" s="14" t="n">
        <x:v>0.4199797931764188</x:v>
      </x:c>
      <x:c r="T1464" t="str">
        <x:v>균형형</x:v>
      </x:c>
      <x:c r="U1464" s="16" t="n">
        <x:v>65.28332052962897</x:v>
      </x:c>
      <x:c r="V1464" t="str">
        <x:v>일반의류</x:v>
      </x:c>
      <x:c r="W1464" t="str">
        <x:v>일반의류 / 미용실 / 청과상</x:v>
      </x:c>
      <x:c r="X1464" s="16" t="n">
        <x:v>46.91213859686661</x:v>
      </x:c>
    </x:row>
    <x:row r="1465">
      <x:c r="A1465" t="str">
        <x:v>3110822</x:v>
      </x:c>
      <x:c r="B1465" t="str">
        <x:v>신대방삼거리역 4번(대림초등학교)</x:v>
      </x:c>
      <x:c r="C1465" t="str">
        <x:v>골목상권</x:v>
      </x:c>
      <x:c r="D1465" t="str">
        <x:v>동작구</x:v>
      </x:c>
      <x:c r="E1465" t="str">
        <x:v>대방동</x:v>
      </x:c>
      <x:c r="F1465" s="12" t="n">
        <x:v>91041</x:v>
      </x:c>
      <x:c r="G1465" s="12" t="n">
        <x:v>157336023</x:v>
      </x:c>
      <x:c r="H1465" s="12" t="n">
        <x:v>1525</x:v>
      </x:c>
      <x:c r="I1465" s="12" t="n">
        <x:v>103171.16262295083</x:v>
      </x:c>
      <x:c r="J1465" s="12" t="n">
        <x:v>1728.1886512670117</x:v>
      </x:c>
      <x:c r="K1465" s="12" t="n">
        <x:v>105</x:v>
      </x:c>
      <x:c r="L1465" s="12" t="n">
        <x:v>11.533265232148153</x:v>
      </x:c>
      <x:c r="M1465" s="12" t="n">
        <x:v>2</x:v>
      </x:c>
      <x:c r="N1465" s="14" t="n">
        <x:v>0.9688428695061143</x:v>
      </x:c>
      <x:c r="O1465" s="14" t="n">
        <x:v>0.031157130493885687</x:v>
      </x:c>
      <x:c r="P1465" s="14" t="n">
        <x:v>0.03433641512598803</x:v>
      </x:c>
      <x:c r="Q1465" s="14" t="n">
        <x:v>0.9340741693973033</x:v>
      </x:c>
      <x:c r="R1465" s="14" t="n">
        <x:v>0.20125160402713368</x:v>
      </x:c>
      <x:c r="S1465" s="14" t="n">
        <x:v>0.28783356243852687</x:v>
      </x:c>
      <x:c r="T1465" t="str">
        <x:v>평일집중</x:v>
      </x:c>
      <x:c r="U1465" s="16" t="n">
        <x:v>49.17476302863322</x:v>
      </x:c>
      <x:c r="V1465" t="str">
        <x:v>서적</x:v>
      </x:c>
      <x:c r="W1465" t="str">
        <x:v>서적 / 미용실</x:v>
      </x:c>
      <x:c r="X1465" s="16" t="n">
        <x:v>42.251756345688044</x:v>
      </x:c>
    </x:row>
    <x:row r="1466">
      <x:c r="A1466" t="str">
        <x:v>3110616</x:v>
      </x:c>
      <x:c r="B1466" t="str">
        <x:v>양목초등학교</x:v>
      </x:c>
      <x:c r="C1466" t="str">
        <x:v>골목상권</x:v>
      </x:c>
      <x:c r="D1466" t="str">
        <x:v>양천구</x:v>
      </x:c>
      <x:c r="E1466" t="str">
        <x:v>신정4동</x:v>
      </x:c>
      <x:c r="F1466" s="12" t="n">
        <x:v>15723</x:v>
      </x:c>
      <x:c r="G1466" s="12" t="n">
        <x:v>156489446</x:v>
      </x:c>
      <x:c r="H1466" s="12" t="n">
        <x:v>5082</x:v>
      </x:c>
      <x:c r="I1466" s="12" t="n">
        <x:v>30792.885871704053</x:v>
      </x:c>
      <x:c r="J1466" s="12" t="n">
        <x:v>9952.899955479234</x:v>
      </x:c>
      <x:c r="K1466" s="12" t="n">
        <x:v>219</x:v>
      </x:c>
      <x:c r="L1466" s="12" t="n">
        <x:v>139.28639572600648</x:v>
      </x:c>
      <x:c r="M1466" s="12" t="n">
        <x:v>3</x:v>
      </x:c>
      <x:c r="N1466" s="14" t="n">
        <x:v>0.832714539739632</x:v>
      </x:c>
      <x:c r="O1466" s="14" t="n">
        <x:v>0.16728546026036797</x:v>
      </x:c>
      <x:c r="P1466" s="14" t="n">
        <x:v>0.3662225119002594</x:v>
      </x:c>
      <x:c r="Q1466" s="14" t="n">
        <x:v>0.4668038891261715</x:v>
      </x:c>
      <x:c r="R1466" s="14" t="n">
        <x:v>0.22037443342984292</x:v>
      </x:c>
      <x:c r="S1466" s="14" t="n">
        <x:v>0.2517015173023234</x:v>
      </x:c>
      <x:c r="T1466" t="str">
        <x:v>평일집중·직장밀집</x:v>
      </x:c>
      <x:c r="U1466" s="16" t="n">
        <x:v>42.431064432976164</x:v>
      </x:c>
      <x:c r="V1466" t="str">
        <x:v>미용실</x:v>
      </x:c>
      <x:c r="W1466" t="str">
        <x:v>미용실 / 커피-음료 / 한식음식점</x:v>
      </x:c>
      <x:c r="X1466" s="16" t="n">
        <x:v>37.60955503614006</x:v>
      </x:c>
    </x:row>
    <x:row r="1467">
      <x:c r="A1467" t="str">
        <x:v>3110563</x:v>
      </x:c>
      <x:c r="B1467" t="str">
        <x:v>상수역 3번</x:v>
      </x:c>
      <x:c r="C1467" t="str">
        <x:v>골목상권</x:v>
      </x:c>
      <x:c r="D1467" t="str">
        <x:v>마포구</x:v>
      </x:c>
      <x:c r="E1467" t="str">
        <x:v>서강동</x:v>
      </x:c>
      <x:c r="F1467" s="12" t="n">
        <x:v>37381</x:v>
      </x:c>
      <x:c r="G1467" s="12" t="n">
        <x:v>155362166</x:v>
      </x:c>
      <x:c r="H1467" s="12" t="n">
        <x:v>3297</x:v>
      </x:c>
      <x:c r="I1467" s="12" t="n">
        <x:v>47122.282681225355</x:v>
      </x:c>
      <x:c r="J1467" s="12" t="n">
        <x:v>4156.180037987213</x:v>
      </x:c>
      <x:c r="K1467" s="12" t="n">
        <x:v>331</x:v>
      </x:c>
      <x:c r="L1467" s="12" t="n">
        <x:v>88.54765790107274</x:v>
      </x:c>
      <x:c r="M1467" s="12" t="n">
        <x:v>1</x:v>
      </x:c>
      <x:c r="N1467" s="14" t="n">
        <x:v>0.9259228723677809</x:v>
      </x:c>
      <x:c r="O1467" s="14" t="n">
        <x:v>0.07407712763221903</x:v>
      </x:c>
      <x:c r="P1467" s="14" t="n">
        <x:v>0.5521157319601221</x:v>
      </x:c>
      <x:c r="Q1467" s="14" t="n">
        <x:v>0.38119435075332303</x:v>
      </x:c>
      <x:c r="R1467" s="14" t="n">
        <x:v>0.2313723084936908</x:v>
      </x:c>
      <x:c r="S1467" s="14" t="n">
        <x:v>0.17491351787667533</x:v>
      </x:c>
      <x:c r="T1467" t="str">
        <x:v>평일집중·야간활성</x:v>
      </x:c>
      <x:c r="U1467" s="16" t="n">
        <x:v>37.115621011381926</x:v>
      </x:c>
      <x:c r="V1467" t="str">
        <x:v>한식음식점</x:v>
      </x:c>
      <x:c r="W1467" t="str">
        <x:v>한식음식점</x:v>
      </x:c>
      <x:c r="X1467" s="16" t="n">
        <x:v>37.115621011381926</x:v>
      </x:c>
    </x:row>
    <x:row r="1468">
      <x:c r="A1468" t="str">
        <x:v>3110349</x:v>
      </x:c>
      <x:c r="B1468" t="str">
        <x:v>화계역 2번</x:v>
      </x:c>
      <x:c r="C1468" t="str">
        <x:v>골목상권</x:v>
      </x:c>
      <x:c r="D1468" t="str">
        <x:v>강북구</x:v>
      </x:c>
      <x:c r="E1468" t="str">
        <x:v>수유1동</x:v>
      </x:c>
      <x:c r="F1468" s="12" t="n">
        <x:v>26807</x:v>
      </x:c>
      <x:c r="G1468" s="12" t="n">
        <x:v>155190593</x:v>
      </x:c>
      <x:c r="H1468" s="12" t="n">
        <x:v>13549</x:v>
      </x:c>
      <x:c r="I1468" s="12" t="n">
        <x:v>11454.025610746181</x:v>
      </x:c>
      <x:c r="J1468" s="12" t="n">
        <x:v>5789.18166896706</x:v>
      </x:c>
      <x:c r="K1468" s="12" t="n">
        <x:v>44</x:v>
      </x:c>
      <x:c r="L1468" s="12" t="n">
        <x:v>16.413623307345095</x:v>
      </x:c>
      <x:c r="M1468" s="12" t="n">
        <x:v>3</x:v>
      </x:c>
      <x:c r="N1468" s="14" t="n">
        <x:v>0.6777384245190686</x:v>
      </x:c>
      <x:c r="O1468" s="14" t="n">
        <x:v>0.3222615754809314</x:v>
      </x:c>
      <x:c r="P1468" s="14" t="n">
        <x:v>0.5430846894179984</x:v>
      </x:c>
      <x:c r="Q1468" s="14" t="n">
        <x:v>0.08505045792305208</x:v>
      </x:c>
      <x:c r="R1468" s="14" t="n">
        <x:v>0.2655255657151848</x:v>
      </x:c>
      <x:c r="S1468" s="14" t="n">
        <x:v>0.3040366499533899</x:v>
      </x:c>
      <x:c r="T1468" t="str">
        <x:v>야간활성·2030소비</x:v>
      </x:c>
      <x:c r="U1468" s="16" t="n">
        <x:v>35.75550413662299</x:v>
      </x:c>
      <x:c r="V1468" t="str">
        <x:v>미용실</x:v>
      </x:c>
      <x:c r="W1468" t="str">
        <x:v>미용실 / 호프-간이주점 / 슈퍼마켓</x:v>
      </x:c>
      <x:c r="X1468" s="16" t="n">
        <x:v>31.26384706988186</x:v>
      </x:c>
    </x:row>
    <x:row r="1469">
      <x:c r="A1469" t="str">
        <x:v>3111065</x:v>
      </x:c>
      <x:c r="B1469" t="str">
        <x:v>천일초등학교</x:v>
      </x:c>
      <x:c r="C1469" t="str">
        <x:v>골목상권</x:v>
      </x:c>
      <x:c r="D1469" t="str">
        <x:v>강동구</x:v>
      </x:c>
      <x:c r="E1469" t="str">
        <x:v>천호3동</x:v>
      </x:c>
      <x:c r="F1469" s="12" t="n">
        <x:v>62233</x:v>
      </x:c>
      <x:c r="G1469" s="12" t="n">
        <x:v>154880300</x:v>
      </x:c>
      <x:c r="H1469" s="12" t="n">
        <x:v>5021</x:v>
      </x:c>
      <x:c r="I1469" s="12" t="n">
        <x:v>30846.50468034256</x:v>
      </x:c>
      <x:c r="J1469" s="12" t="n">
        <x:v>2488.7165973036813</x:v>
      </x:c>
      <x:c r="K1469" s="12" t="n">
        <x:v>108</x:v>
      </x:c>
      <x:c r="L1469" s="12" t="n">
        <x:v>17.35413687272026</x:v>
      </x:c>
      <x:c r="M1469" s="12" t="n">
        <x:v>4</x:v>
      </x:c>
      <x:c r="N1469" s="14" t="n">
        <x:v>0.7832976563191058</x:v>
      </x:c>
      <x:c r="O1469" s="14" t="n">
        <x:v>0.21670234368089422</x:v>
      </x:c>
      <x:c r="P1469" s="14" t="n">
        <x:v>0.27772051061368036</x:v>
      </x:c>
      <x:c r="Q1469" s="14" t="n">
        <x:v>0.34897261950034963</x:v>
      </x:c>
      <x:c r="R1469" s="14" t="n">
        <x:v>0.09246099729920461</x:v>
      </x:c>
      <x:c r="S1469" s="14" t="n">
        <x:v>0.7898952416801879</x:v>
      </x:c>
      <x:c r="T1469" t="str">
        <x:v>여성소비·평일집중</x:v>
      </x:c>
      <x:c r="U1469" s="16" t="n">
        <x:v>51.64720251449731</x:v>
      </x:c>
      <x:c r="V1469" t="str">
        <x:v>미용실</x:v>
      </x:c>
      <x:c r="W1469" t="str">
        <x:v>미용실 / 일반의류 / 슈퍼마켓</x:v>
      </x:c>
      <x:c r="X1469" s="16" t="n">
        <x:v>29.02769732206868</x:v>
      </x:c>
    </x:row>
    <x:row r="1470">
      <x:c r="A1470" t="str">
        <x:v>3111082</x:v>
      </x:c>
      <x:c r="B1470" t="str">
        <x:v>중앙보훈병원</x:v>
      </x:c>
      <x:c r="C1470" t="str">
        <x:v>골목상권</x:v>
      </x:c>
      <x:c r="D1470" t="str">
        <x:v>강동구</x:v>
      </x:c>
      <x:c r="E1470" t="str">
        <x:v>둔촌2동</x:v>
      </x:c>
      <x:c r="F1470" s="12" t="n">
        <x:v>21834</x:v>
      </x:c>
      <x:c r="G1470" s="12" t="n">
        <x:v>151583312</x:v>
      </x:c>
      <x:c r="H1470" s="12" t="n">
        <x:v>1116</x:v>
      </x:c>
      <x:c r="I1470" s="12" t="n">
        <x:v>135827.34050179212</x:v>
      </x:c>
      <x:c r="J1470" s="12" t="n">
        <x:v>6942.5351286983605</x:v>
      </x:c>
      <x:c r="K1470" s="12" t="n">
        <x:v>48</x:v>
      </x:c>
      <x:c r="L1470" s="12" t="n">
        <x:v>21.984061555372353</x:v>
      </x:c>
      <x:c r="M1470" s="12" t="n">
        <x:v>2</x:v>
      </x:c>
      <x:c r="N1470" s="14" t="n">
        <x:v>0.992926582841784</x:v>
      </x:c>
      <x:c r="O1470" s="14" t="n">
        <x:v>0.007073417158215939</x:v>
      </x:c>
      <x:c r="P1470" s="14" t="n">
        <x:v>0.2705438049803266</x:v>
      </x:c>
      <x:c r="Q1470" s="14" t="n">
        <x:v>0.3801714861593735</x:v>
      </x:c>
      <x:c r="R1470" s="14" t="n">
        <x:v>0.23120495612340228</x:v>
      </x:c>
      <x:c r="S1470" s="14" t="n">
        <x:v>0.32608586227486575</x:v>
      </x:c>
      <x:c r="T1470" t="str">
        <x:v>평일집중·2030소비</x:v>
      </x:c>
      <x:c r="U1470" s="16" t="n">
        <x:v>67.30279053045268</x:v>
      </x:c>
      <x:c r="V1470" t="str">
        <x:v>예술학원</x:v>
      </x:c>
      <x:c r="W1470" t="str">
        <x:v>예술학원 / 미용실</x:v>
      </x:c>
      <x:c r="X1470" s="16" t="n">
        <x:v>53.38788491931479</x:v>
      </x:c>
    </x:row>
    <x:row r="1471">
      <x:c r="A1471" t="str">
        <x:v>3110932</x:v>
      </x:c>
      <x:c r="B1471" t="str">
        <x:v>서울시인재개발원</x:v>
      </x:c>
      <x:c r="C1471" t="str">
        <x:v>골목상권</x:v>
      </x:c>
      <x:c r="D1471" t="str">
        <x:v>서초구</x:v>
      </x:c>
      <x:c r="E1471" t="str">
        <x:v>서초1동</x:v>
      </x:c>
      <x:c r="F1471" s="12" t="n">
        <x:v>40038</x:v>
      </x:c>
      <x:c r="G1471" s="12" t="n">
        <x:v>148771384</x:v>
      </x:c>
      <x:c r="H1471" s="12" t="n">
        <x:v>6653</x:v>
      </x:c>
      <x:c r="I1471" s="12" t="n">
        <x:v>22361.548774988725</x:v>
      </x:c>
      <x:c r="J1471" s="12" t="n">
        <x:v>3715.7546330985565</x:v>
      </x:c>
      <x:c r="K1471" s="12" t="n">
        <x:v>1618</x:v>
      </x:c>
      <x:c r="L1471" s="12" t="n">
        <x:v>404.11608971477096</x:v>
      </x:c>
      <x:c r="M1471" s="12" t="n">
        <x:v>1</x:v>
      </x:c>
      <x:c r="N1471" s="14" t="n">
        <x:v>0.926594431628061</x:v>
      </x:c>
      <x:c r="O1471" s="14" t="n">
        <x:v>0.07340556837193905</x:v>
      </x:c>
      <x:c r="P1471" s="14" t="n">
        <x:v>0.3604748141618418</x:v>
      </x:c>
      <x:c r="Q1471" s="14" t="n">
        <x:v>0.6045181444302488</x:v>
      </x:c>
      <x:c r="R1471" s="14" t="n">
        <x:v>0.2470324534992563</x:v>
      </x:c>
      <x:c r="S1471" s="14" t="n">
        <x:v>0.2478946959315778</x:v>
      </x:c>
      <x:c r="T1471" t="str">
        <x:v>평일집중·직장밀집</x:v>
      </x:c>
      <x:c r="U1471" s="16" t="n">
        <x:v>26.618908664800838</x:v>
      </x:c>
      <x:c r="V1471" t="str">
        <x:v>한식음식점</x:v>
      </x:c>
      <x:c r="W1471" t="str">
        <x:v>한식음식점</x:v>
      </x:c>
      <x:c r="X1471" s="16" t="n">
        <x:v>26.618908664800838</x:v>
      </x:c>
    </x:row>
    <x:row r="1472">
      <x:c r="A1472" t="str">
        <x:v>3130284</x:v>
      </x:c>
      <x:c r="B1472" t="str">
        <x:v>관악종합시장(신원시장)</x:v>
      </x:c>
      <x:c r="C1472" t="str">
        <x:v>전통시장</x:v>
      </x:c>
      <x:c r="D1472" t="str">
        <x:v>관악구</x:v>
      </x:c>
      <x:c r="E1472" t="str">
        <x:v>신원동</x:v>
      </x:c>
      <x:c r="F1472" s="12" t="n">
        <x:v>2721</x:v>
      </x:c>
      <x:c r="G1472" s="12" t="n">
        <x:v>147132534</x:v>
      </x:c>
      <x:c r="H1472" s="12" t="n">
        <x:v>8986</x:v>
      </x:c>
      <x:c r="I1472" s="12" t="n">
        <x:v>16373.529267749833</x:v>
      </x:c>
      <x:c r="J1472" s="12" t="n">
        <x:v>54072.96361631753</x:v>
      </x:c>
      <x:c r="K1472" s="12" t="n">
        <x:v>12</x:v>
      </x:c>
      <x:c r="L1472" s="12" t="n">
        <x:v>44.10143329658214</x:v>
      </x:c>
      <x:c r="M1472" s="12" t="n">
        <x:v>2</x:v>
      </x:c>
      <x:c r="N1472" s="14" t="n">
        <x:v>0.7248212145928242</x:v>
      </x:c>
      <x:c r="O1472" s="14" t="n">
        <x:v>0.27517878540717583</x:v>
      </x:c>
      <x:c r="P1472" s="14" t="n">
        <x:v>0.24448556020927364</x:v>
      </x:c>
      <x:c r="Q1472" s="14" t="n">
        <x:v>0.3467300372873344</x:v>
      </x:c>
      <x:c r="R1472" s="14" t="n">
        <x:v>0.14161078745507094</x:v>
      </x:c>
      <x:c r="S1472" s="14" t="n">
        <x:v>0.7334110211137939</x:v>
      </x:c>
      <x:c r="T1472" t="str">
        <x:v>여성소비</x:v>
      </x:c>
      <x:c r="U1472" s="16" t="n">
        <x:v>50.958407450591054</x:v>
      </x:c>
      <x:c r="V1472" t="str">
        <x:v>일반의류</x:v>
      </x:c>
      <x:c r="W1472" t="str">
        <x:v>일반의류 / 분식전문점</x:v>
      </x:c>
      <x:c r="X1472" s="16" t="n">
        <x:v>48.71322720008263</x:v>
      </x:c>
    </x:row>
    <x:row r="1473">
      <x:c r="A1473" t="str">
        <x:v>3110092</x:v>
      </x:c>
      <x:c r="B1473" t="str">
        <x:v>NH농협은행 보광동지점</x:v>
      </x:c>
      <x:c r="C1473" t="str">
        <x:v>골목상권</x:v>
      </x:c>
      <x:c r="D1473" t="str">
        <x:v>용산구</x:v>
      </x:c>
      <x:c r="E1473" t="str">
        <x:v>보광동</x:v>
      </x:c>
      <x:c r="F1473" s="12" t="n">
        <x:v>105153</x:v>
      </x:c>
      <x:c r="G1473" s="12" t="n">
        <x:v>146426975</x:v>
      </x:c>
      <x:c r="H1473" s="12" t="n">
        <x:v>4669</x:v>
      </x:c>
      <x:c r="I1473" s="12" t="n">
        <x:v>31361.528164489184</x:v>
      </x:c>
      <x:c r="J1473" s="12" t="n">
        <x:v>1392.5135279069546</x:v>
      </x:c>
      <x:c r="K1473" s="12" t="n">
        <x:v>99</x:v>
      </x:c>
      <x:c r="L1473" s="12" t="n">
        <x:v>9.414852643291203</x:v>
      </x:c>
      <x:c r="M1473" s="12" t="n">
        <x:v>4</x:v>
      </x:c>
      <x:c r="N1473" s="14" t="n">
        <x:v>0.7782783670836606</x:v>
      </x:c>
      <x:c r="O1473" s="14" t="n">
        <x:v>0.22172163291633937</x:v>
      </x:c>
      <x:c r="P1473" s="14" t="n">
        <x:v>0.48301796168363104</x:v>
      </x:c>
      <x:c r="Q1473" s="14" t="n">
        <x:v>0.33392225715241336</x:v>
      </x:c>
      <x:c r="R1473" s="14" t="n">
        <x:v>0.12422711047605811</x:v>
      </x:c>
      <x:c r="S1473" s="14" t="n">
        <x:v>0.17224434227368285</x:v>
      </x:c>
      <x:c r="T1473" t="str">
        <x:v>야간활성·평일집중</x:v>
      </x:c>
      <x:c r="U1473" s="16" t="n">
        <x:v>46.16122410068711</x:v>
      </x:c>
      <x:c r="V1473" t="str">
        <x:v>미용실</x:v>
      </x:c>
      <x:c r="W1473" t="str">
        <x:v>미용실 / 철물점 / 호프-간이주점</x:v>
      </x:c>
      <x:c r="X1473" s="16" t="n">
        <x:v>34.272450365719486</x:v>
      </x:c>
    </x:row>
    <x:row r="1474">
      <x:c r="A1474" t="str">
        <x:v>3130138</x:v>
      </x:c>
      <x:c r="B1474" t="str">
        <x:v>수유프라자</x:v>
      </x:c>
      <x:c r="C1474" t="str">
        <x:v>전통시장</x:v>
      </x:c>
      <x:c r="D1474" t="str">
        <x:v>강북구</x:v>
      </x:c>
      <x:c r="E1474" t="str">
        <x:v>수유1동</x:v>
      </x:c>
      <x:c r="F1474" s="12" t="n">
        <x:v>2065</x:v>
      </x:c>
      <x:c r="G1474" s="12" t="n">
        <x:v>138924525</x:v>
      </x:c>
      <x:c r="H1474" s="12" t="n">
        <x:v>713</x:v>
      </x:c>
      <x:c r="I1474" s="12" t="n">
        <x:v>194845.05610098178</x:v>
      </x:c>
      <x:c r="J1474" s="12" t="n">
        <x:v>67275.799031477</x:v>
      </x:c>
      <x:c r="K1474" s="12" t="n">
        <x:v>20</x:v>
      </x:c>
      <x:c r="L1474" s="12" t="n">
        <x:v>96.85230024213075</x:v>
      </x:c>
      <x:c r="M1474" s="12" t="n">
        <x:v>3</x:v>
      </x:c>
      <x:c r="N1474" s="14" t="n">
        <x:v>0.7666204581228548</x:v>
      </x:c>
      <x:c r="O1474" s="14" t="n">
        <x:v>0.23337954187714516</x:v>
      </x:c>
      <x:c r="P1474" s="14" t="n">
        <x:v>0.17287418474167898</x:v>
      </x:c>
      <x:c r="Q1474" s="14" t="n">
        <x:v>0.18673463162821682</x:v>
      </x:c>
      <x:c r="R1474" s="14" t="n">
        <x:v>0.06894681122717533</x:v>
      </x:c>
      <x:c r="S1474" s="14" t="n">
        <x:v>0.6236971261913619</x:v>
      </x:c>
      <x:c r="T1474" t="str">
        <x:v>여성소비·고매출밀도</x:v>
      </x:c>
      <x:c r="U1474" s="16" t="n">
        <x:v>61.35868806557339</x:v>
      </x:c>
      <x:c r="V1474" t="str">
        <x:v>가구</x:v>
      </x:c>
      <x:c r="W1474" t="str">
        <x:v>가구 / 일반의류 / 네일숍</x:v>
      </x:c>
      <x:c r="X1474" s="16" t="n">
        <x:v>54.468513792760234</x:v>
      </x:c>
    </x:row>
    <x:row r="1475">
      <x:c r="A1475" t="str">
        <x:v>3110708</x:v>
      </x:c>
      <x:c r="B1475" t="str">
        <x:v>화원어린이공원</x:v>
      </x:c>
      <x:c r="C1475" t="str">
        <x:v>골목상권</x:v>
      </x:c>
      <x:c r="D1475" t="str">
        <x:v>구로구</x:v>
      </x:c>
      <x:c r="E1475" t="str">
        <x:v>구로2동</x:v>
      </x:c>
      <x:c r="F1475" s="12" t="n">
        <x:v>50397</x:v>
      </x:c>
      <x:c r="G1475" s="12" t="n">
        <x:v>138161939</x:v>
      </x:c>
      <x:c r="H1475" s="12" t="n">
        <x:v>8575</x:v>
      </x:c>
      <x:c r="I1475" s="12" t="n">
        <x:v>16112.17947521866</x:v>
      </x:c>
      <x:c r="J1475" s="12" t="n">
        <x:v>2741.4714963192255</x:v>
      </x:c>
      <x:c r="K1475" s="12" t="n">
        <x:v>104</x:v>
      </x:c>
      <x:c r="L1475" s="12" t="n">
        <x:v>20.636148977121657</x:v>
      </x:c>
      <x:c r="M1475" s="12" t="n">
        <x:v>4</x:v>
      </x:c>
      <x:c r="N1475" s="14" t="n">
        <x:v>0.7162043158644437</x:v>
      </x:c>
      <x:c r="O1475" s="14" t="n">
        <x:v>0.28379568413555634</x:v>
      </x:c>
      <x:c r="P1475" s="14" t="n">
        <x:v>0.5492290897857188</x:v>
      </x:c>
      <x:c r="Q1475" s="14" t="n">
        <x:v>0.16188317247053113</x:v>
      </x:c>
      <x:c r="R1475" s="14" t="n">
        <x:v>0.23146826276084617</x:v>
      </x:c>
      <x:c r="S1475" s="14" t="n">
        <x:v>0.3645987264263858</x:v>
      </x:c>
      <x:c r="T1475" t="str">
        <x:v>야간활성·2030소비</x:v>
      </x:c>
      <x:c r="U1475" s="16" t="n">
        <x:v>47.19676693451144</x:v>
      </x:c>
      <x:c r="V1475" t="str">
        <x:v>분식전문점</x:v>
      </x:c>
      <x:c r="W1475" t="str">
        <x:v>분식전문점 / 슈퍼마켓 / 미용실</x:v>
      </x:c>
      <x:c r="X1475" s="16" t="n">
        <x:v>30.449218807915372</x:v>
      </x:c>
    </x:row>
    <x:row r="1476">
      <x:c r="A1476" t="str">
        <x:v>3130184</x:v>
      </x:c>
      <x:c r="B1476" t="str">
        <x:v>마포농수산물시장</x:v>
      </x:c>
      <x:c r="C1476" t="str">
        <x:v>전통시장</x:v>
      </x:c>
      <x:c r="D1476" t="str">
        <x:v>마포구</x:v>
      </x:c>
      <x:c r="E1476" t="str">
        <x:v>성산2동</x:v>
      </x:c>
      <x:c r="F1476" s="12" t="n">
        <x:v>217669</x:v>
      </x:c>
      <x:c r="G1476" s="12" t="n">
        <x:v>134054864</x:v>
      </x:c>
      <x:c r="H1476" s="12" t="n">
        <x:v>11983</x:v>
      </x:c>
      <x:c r="I1476" s="12" t="n">
        <x:v>11187.087039973296</x:v>
      </x:c>
      <x:c r="J1476" s="12" t="n">
        <x:v>615.8656675962126</x:v>
      </x:c>
      <x:c r="K1476" s="12" t="n">
        <x:v>135</x:v>
      </x:c>
      <x:c r="L1476" s="12" t="n">
        <x:v>6.202077466244619</x:v>
      </x:c>
      <x:c r="M1476" s="12" t="n">
        <x:v>1</x:v>
      </x:c>
      <x:c r="N1476" s="14" t="n">
        <x:v>0.5421342861531678</x:v>
      </x:c>
      <x:c r="O1476" s="14" t="n">
        <x:v>0.45786571384683217</x:v>
      </x:c>
      <x:c r="P1476" s="14" t="n">
        <x:v>0.058417201482521365</x:v>
      </x:c>
      <x:c r="Q1476" s="14" t="n">
        <x:v>0.4315308693312314</x:v>
      </x:c>
      <x:c r="R1476" s="14" t="n">
        <x:v>0.2787263429695472</x:v>
      </x:c>
      <x:c r="S1476" s="14" t="n">
        <x:v>0.510482514084681</x:v>
      </x:c>
      <x:c r="T1476" t="str">
        <x:v>여성소비·2030소비</x:v>
      </x:c>
      <x:c r="U1476" s="16" t="n">
        <x:v>43.14941476095601</x:v>
      </x:c>
      <x:c r="V1476" t="str">
        <x:v>커피-음료</x:v>
      </x:c>
      <x:c r="W1476" t="str">
        <x:v>커피-음료</x:v>
      </x:c>
      <x:c r="X1476" s="16" t="n">
        <x:v>43.14941476095601</x:v>
      </x:c>
    </x:row>
    <x:row r="1477">
      <x:c r="A1477" t="str">
        <x:v>3110556</x:v>
      </x:c>
      <x:c r="B1477" t="str">
        <x:v>절두산순교성지</x:v>
      </x:c>
      <x:c r="C1477" t="str">
        <x:v>골목상권</x:v>
      </x:c>
      <x:c r="D1477" t="str">
        <x:v>마포구</x:v>
      </x:c>
      <x:c r="E1477" t="str">
        <x:v>합정동</x:v>
      </x:c>
      <x:c r="F1477" s="12" t="n">
        <x:v>41215</x:v>
      </x:c>
      <x:c r="G1477" s="12" t="n">
        <x:v>128008929</x:v>
      </x:c>
      <x:c r="H1477" s="12" t="n">
        <x:v>771</x:v>
      </x:c>
      <x:c r="I1477" s="12" t="n">
        <x:v>166029.7392996109</x:v>
      </x:c>
      <x:c r="J1477" s="12" t="n">
        <x:v>3105.882057503336</x:v>
      </x:c>
      <x:c r="K1477" s="12" t="n">
        <x:v>146</x:v>
      </x:c>
      <x:c r="L1477" s="12" t="n">
        <x:v>35.423996117918236</x:v>
      </x:c>
      <x:c r="M1477" s="12" t="n">
        <x:v>1</x:v>
      </x:c>
      <x:c r="N1477" s="14" t="n">
        <x:v>0.6294562155113415</x:v>
      </x:c>
      <x:c r="O1477" s="14" t="n">
        <x:v>0.3705437844886586</x:v>
      </x:c>
      <x:c r="P1477" s="14" t="n">
        <x:v>0.929147317528139</x:v>
      </x:c>
      <x:c r="Q1477" s="14" t="n">
        <x:v>0.0021370462368293076</x:v>
      </x:c>
      <x:c r="R1477" s="14" t="n">
        <x:v>0.49373458159313244</x:v>
      </x:c>
      <x:c r="S1477" s="14" t="n">
        <x:v>0.3062965006136408</x:v>
      </x:c>
      <x:c r="T1477" t="str">
        <x:v>야간활성·2030소비</x:v>
      </x:c>
      <x:c r="U1477" s="16" t="n">
        <x:v>42.42093887082848</x:v>
      </x:c>
      <x:c r="V1477" t="str">
        <x:v>양식음식점</x:v>
      </x:c>
      <x:c r="W1477" t="str">
        <x:v>양식음식점</x:v>
      </x:c>
      <x:c r="X1477" s="16" t="n">
        <x:v>42.42093887082848</x:v>
      </x:c>
    </x:row>
    <x:row r="1478">
      <x:c r="A1478" t="str">
        <x:v>3111017</x:v>
      </x:c>
      <x:c r="B1478" t="str">
        <x:v>송파나루역 3번</x:v>
      </x:c>
      <x:c r="C1478" t="str">
        <x:v>골목상권</x:v>
      </x:c>
      <x:c r="D1478" t="str">
        <x:v>송파구</x:v>
      </x:c>
      <x:c r="E1478" t="str">
        <x:v>방이2동</x:v>
      </x:c>
      <x:c r="F1478" s="12" t="n">
        <x:v>32806</x:v>
      </x:c>
      <x:c r="G1478" s="12" t="n">
        <x:v>125385527</x:v>
      </x:c>
      <x:c r="H1478" s="12" t="n">
        <x:v>9823</x:v>
      </x:c>
      <x:c r="I1478" s="12" t="n">
        <x:v>12764.484068003665</x:v>
      </x:c>
      <x:c r="J1478" s="12" t="n">
        <x:v>3822.0303298177164</x:v>
      </x:c>
      <x:c r="K1478" s="12" t="n">
        <x:v>712</x:v>
      </x:c>
      <x:c r="L1478" s="12" t="n">
        <x:v>217.03346948728893</x:v>
      </x:c>
      <x:c r="M1478" s="12" t="n">
        <x:v>2</x:v>
      </x:c>
      <x:c r="N1478" s="14" t="n">
        <x:v>0.8353107771361842</x:v>
      </x:c>
      <x:c r="O1478" s="14" t="n">
        <x:v>0.16468922286381585</x:v>
      </x:c>
      <x:c r="P1478" s="14" t="n">
        <x:v>0.26487780363996877</x:v>
      </x:c>
      <x:c r="Q1478" s="14" t="n">
        <x:v>0.4889623903722158</x:v>
      </x:c>
      <x:c r="R1478" s="14" t="n">
        <x:v>0.2583234905572475</x:v>
      </x:c>
      <x:c r="S1478" s="14" t="n">
        <x:v>0.4419069515096427</x:v>
      </x:c>
      <x:c r="T1478" t="str">
        <x:v>평일집중·직장밀집</x:v>
      </x:c>
      <x:c r="U1478" s="16" t="n">
        <x:v>41.74050630016278</x:v>
      </x:c>
      <x:c r="V1478" t="str">
        <x:v>커피-음료</x:v>
      </x:c>
      <x:c r="W1478" t="str">
        <x:v>커피-음료 / 한식음식점</x:v>
      </x:c>
      <x:c r="X1478" s="16" t="n">
        <x:v>29.611242464534968</x:v>
      </x:c>
    </x:row>
    <x:row r="1479">
      <x:c r="A1479" t="str">
        <x:v>3110197</x:v>
      </x:c>
      <x:c r="B1479" t="str">
        <x:v>세종대왕기념관교차로</x:v>
      </x:c>
      <x:c r="C1479" t="str">
        <x:v>골목상권</x:v>
      </x:c>
      <x:c r="D1479" t="str">
        <x:v>동대문구</x:v>
      </x:c>
      <x:c r="E1479" t="str">
        <x:v>청량리동</x:v>
      </x:c>
      <x:c r="F1479" s="12" t="n">
        <x:v>24771</x:v>
      </x:c>
      <x:c r="G1479" s="12" t="n">
        <x:v>124851222</x:v>
      </x:c>
      <x:c r="H1479" s="12" t="n">
        <x:v>4487</x:v>
      </x:c>
      <x:c r="I1479" s="12" t="n">
        <x:v>27825.0996211277</x:v>
      </x:c>
      <x:c r="J1479" s="12" t="n">
        <x:v>5040.217270194986</x:v>
      </x:c>
      <x:c r="K1479" s="12" t="n">
        <x:v>55</x:v>
      </x:c>
      <x:c r="L1479" s="12" t="n">
        <x:v>22.20338298817165</x:v>
      </x:c>
      <x:c r="M1479" s="12" t="n">
        <x:v>2</x:v>
      </x:c>
      <x:c r="N1479" s="14" t="n">
        <x:v>0.9057141787526918</x:v>
      </x:c>
      <x:c r="O1479" s="14" t="n">
        <x:v>0.09428582124730826</x:v>
      </x:c>
      <x:c r="P1479" s="14" t="n">
        <x:v>0.389731059260277</x:v>
      </x:c>
      <x:c r="Q1479" s="14" t="n">
        <x:v>0.505767632774952</x:v>
      </x:c>
      <x:c r="R1479" s="14" t="n">
        <x:v>0.20577381293072167</x:v>
      </x:c>
      <x:c r="S1479" s="14" t="n">
        <x:v>0.21852539016398254</x:v>
      </x:c>
      <x:c r="T1479" t="str">
        <x:v>평일집중</x:v>
      </x:c>
      <x:c r="U1479" s="16" t="n">
        <x:v>36.50348677413527</x:v>
      </x:c>
      <x:c r="V1479" t="str">
        <x:v>커피-음료</x:v>
      </x:c>
      <x:c r="W1479" t="str">
        <x:v>커피-음료 / 한식음식점</x:v>
      </x:c>
      <x:c r="X1479" s="16" t="n">
        <x:v>31.86593180932566</x:v>
      </x:c>
    </x:row>
    <x:row r="1480">
      <x:c r="A1480" t="str">
        <x:v>3110829</x:v>
      </x:c>
      <x:c r="B1480" t="str">
        <x:v>장승배기역 5번</x:v>
      </x:c>
      <x:c r="C1480" t="str">
        <x:v>골목상권</x:v>
      </x:c>
      <x:c r="D1480" t="str">
        <x:v>동작구</x:v>
      </x:c>
      <x:c r="E1480" t="str">
        <x:v>노량진2동</x:v>
      </x:c>
      <x:c r="F1480" s="12" t="n">
        <x:v>92311</x:v>
      </x:c>
      <x:c r="G1480" s="12" t="n">
        <x:v>123316306</x:v>
      </x:c>
      <x:c r="H1480" s="12" t="n">
        <x:v>11857</x:v>
      </x:c>
      <x:c r="I1480" s="12" t="n">
        <x:v>10400.295690309522</x:v>
      </x:c>
      <x:c r="J1480" s="12" t="n">
        <x:v>1335.8787793437402</x:v>
      </x:c>
      <x:c r="K1480" s="12" t="n">
        <x:v>189</x:v>
      </x:c>
      <x:c r="L1480" s="12" t="n">
        <x:v>20.474266338789526</x:v>
      </x:c>
      <x:c r="M1480" s="12" t="n">
        <x:v>2</x:v>
      </x:c>
      <x:c r="N1480" s="14" t="n">
        <x:v>0.6777131971500995</x:v>
      </x:c>
      <x:c r="O1480" s="14" t="n">
        <x:v>0.32228680284990047</x:v>
      </x:c>
      <x:c r="P1480" s="14" t="n">
        <x:v>0.35095836393282814</x:v>
      </x:c>
      <x:c r="Q1480" s="14" t="n">
        <x:v>0.3737320431898114</x:v>
      </x:c>
      <x:c r="R1480" s="14" t="n">
        <x:v>0.2245441572017248</x:v>
      </x:c>
      <x:c r="S1480" s="14" t="n">
        <x:v>0.4504173438344804</x:v>
      </x:c>
      <x:c r="T1480" t="str">
        <x:v>균형형</x:v>
      </x:c>
      <x:c r="U1480" s="16" t="n">
        <x:v>53.618037720472756</x:v>
      </x:c>
      <x:c r="V1480" t="str">
        <x:v>미용실</x:v>
      </x:c>
      <x:c r="W1480" t="str">
        <x:v>미용실 / 한식음식점</x:v>
      </x:c>
      <x:c r="X1480" s="16" t="n">
        <x:v>38.10635919565866</x:v>
      </x:c>
    </x:row>
    <x:row r="1481">
      <x:c r="A1481" t="str">
        <x:v>3110924</x:v>
      </x:c>
      <x:c r="B1481" t="str">
        <x:v>반포4동주민센터(몽마르뜨공원)</x:v>
      </x:c>
      <x:c r="C1481" t="str">
        <x:v>골목상권</x:v>
      </x:c>
      <x:c r="D1481" t="str">
        <x:v>서초구</x:v>
      </x:c>
      <x:c r="E1481" t="str">
        <x:v>반포4동</x:v>
      </x:c>
      <x:c r="F1481" s="12" t="n">
        <x:v>75392</x:v>
      </x:c>
      <x:c r="G1481" s="12" t="n">
        <x:v>120912233</x:v>
      </x:c>
      <x:c r="H1481" s="12" t="n">
        <x:v>1618</x:v>
      </x:c>
      <x:c r="I1481" s="12" t="n">
        <x:v>74729.4394313968</x:v>
      </x:c>
      <x:c r="J1481" s="12" t="n">
        <x:v>1603.780679647708</x:v>
      </x:c>
      <x:c r="K1481" s="12" t="n">
        <x:v>1237</x:v>
      </x:c>
      <x:c r="L1481" s="12" t="n">
        <x:v>164.0757640067912</x:v>
      </x:c>
      <x:c r="M1481" s="12" t="n">
        <x:v>2</x:v>
      </x:c>
      <x:c r="N1481" s="14" t="n">
        <x:v>0.6470012757104568</x:v>
      </x:c>
      <x:c r="O1481" s="14" t="n">
        <x:v>0.35299872428954315</x:v>
      </x:c>
      <x:c r="P1481" s="14" t="n">
        <x:v>0.42746678907170627</x:v>
      </x:c>
      <x:c r="Q1481" s="14" t="n">
        <x:v>0.20016187278585781</x:v>
      </x:c>
      <x:c r="R1481" s="14" t="n">
        <x:v>0.16449051933397013</x:v>
      </x:c>
      <x:c r="S1481" s="14" t="n">
        <x:v>0.5425377595995601</x:v>
      </x:c>
      <x:c r="T1481" t="str">
        <x:v>여성소비·직장밀집</x:v>
      </x:c>
      <x:c r="U1481" s="16" t="n">
        <x:v>61.837064880996465</x:v>
      </x:c>
      <x:c r="V1481" t="str">
        <x:v>미용실</x:v>
      </x:c>
      <x:c r="W1481" t="str">
        <x:v>미용실 / 커피-음료</x:v>
      </x:c>
      <x:c r="X1481" s="16" t="n">
        <x:v>48.57867269151393</x:v>
      </x:c>
    </x:row>
    <x:row r="1482">
      <x:c r="A1482" t="str">
        <x:v>3130243</x:v>
      </x:c>
      <x:c r="B1482" t="str">
        <x:v>도림시장</x:v>
      </x:c>
      <x:c r="C1482" t="str">
        <x:v>전통시장</x:v>
      </x:c>
      <x:c r="D1482" t="str">
        <x:v>영등포구</x:v>
      </x:c>
      <x:c r="E1482" t="str">
        <x:v>도림동</x:v>
      </x:c>
      <x:c r="F1482" s="12" t="n">
        <x:v>5598</x:v>
      </x:c>
      <x:c r="G1482" s="12" t="n">
        <x:v>114829788</x:v>
      </x:c>
      <x:c r="H1482" s="12" t="n">
        <x:v>1086</x:v>
      </x:c>
      <x:c r="I1482" s="12" t="n">
        <x:v>105736.45303867404</x:v>
      </x:c>
      <x:c r="J1482" s="12" t="n">
        <x:v>20512.645230439444</x:v>
      </x:c>
      <x:c r="K1482" s="12" t="n">
        <x:v>48</x:v>
      </x:c>
      <x:c r="L1482" s="12" t="n">
        <x:v>85.7449088960343</x:v>
      </x:c>
      <x:c r="M1482" s="12" t="n">
        <x:v>2</x:v>
      </x:c>
      <x:c r="N1482" s="14" t="n">
        <x:v>0.882264504398458</x:v>
      </x:c>
      <x:c r="O1482" s="14" t="n">
        <x:v>0.11773549560154199</x:v>
      </x:c>
      <x:c r="P1482" s="14" t="n">
        <x:v>0.6702292527092361</x:v>
      </x:c>
      <x:c r="Q1482" s="14" t="n">
        <x:v>0.13408413677468428</x:v>
      </x:c>
      <x:c r="R1482" s="14" t="n">
        <x:v>0.5441056374675185</x:v>
      </x:c>
      <x:c r="S1482" s="14" t="n">
        <x:v>0.4567943206513627</x:v>
      </x:c>
      <x:c r="T1482" t="str">
        <x:v>야간활성·2030소비</x:v>
      </x:c>
      <x:c r="U1482" s="16" t="n">
        <x:v>58.010662401705986</x:v>
      </x:c>
      <x:c r="V1482" t="str">
        <x:v>스포츠클럽</x:v>
      </x:c>
      <x:c r="W1482" t="str">
        <x:v>스포츠클럽 / 한식음식점</x:v>
      </x:c>
      <x:c r="X1482" s="16" t="n">
        <x:v>50.371884093647125</x:v>
      </x:c>
    </x:row>
    <x:row r="1483">
      <x:c r="A1483" t="str">
        <x:v>3130288</x:v>
      </x:c>
      <x:c r="B1483" t="str">
        <x:v>신림현대종합상가</x:v>
      </x:c>
      <x:c r="C1483" t="str">
        <x:v>전통시장</x:v>
      </x:c>
      <x:c r="D1483" t="str">
        <x:v>관악구</x:v>
      </x:c>
      <x:c r="E1483" t="str">
        <x:v>서림동</x:v>
      </x:c>
      <x:c r="F1483" s="12" t="n">
        <x:v>3964</x:v>
      </x:c>
      <x:c r="G1483" s="12" t="n">
        <x:v>114028375</x:v>
      </x:c>
      <x:c r="H1483" s="12" t="n">
        <x:v>2207</x:v>
      </x:c>
      <x:c r="I1483" s="12" t="n">
        <x:v>51666.68554599003</x:v>
      </x:c>
      <x:c r="J1483" s="12" t="n">
        <x:v>28765.98763874874</x:v>
      </x:c>
      <x:c r="K1483" s="12" t="n">
        <x:v>56</x:v>
      </x:c>
      <x:c r="L1483" s="12" t="n">
        <x:v>141.27144298688194</x:v>
      </x:c>
      <x:c r="M1483" s="12" t="n">
        <x:v>3</x:v>
      </x:c>
      <x:c r="N1483" s="14" t="n">
        <x:v>0.8755056362067775</x:v>
      </x:c>
      <x:c r="O1483" s="14" t="n">
        <x:v>0.12449436379322253</x:v>
      </x:c>
      <x:c r="P1483" s="14" t="n">
        <x:v>0.6591028417268947</x:v>
      </x:c>
      <x:c r="Q1483" s="14" t="n">
        <x:v>0.272587660746722</x:v>
      </x:c>
      <x:c r="R1483" s="14" t="n">
        <x:v>0.05175206609758317</x:v>
      </x:c>
      <x:c r="S1483" s="14" t="n">
        <x:v>0.34712161775522976</x:v>
      </x:c>
      <x:c r="T1483" t="str">
        <x:v>야간활성·평일집중</x:v>
      </x:c>
      <x:c r="U1483" s="16" t="n">
        <x:v>39.32376532729653</x:v>
      </x:c>
      <x:c r="V1483" t="str">
        <x:v>일반교습학원</x:v>
      </x:c>
      <x:c r="W1483" t="str">
        <x:v>일반교습학원 / 미용실 / 한식음식점</x:v>
      </x:c>
      <x:c r="X1483" s="16" t="n">
        <x:v>36.13543517882528</x:v>
      </x:c>
    </x:row>
    <x:row r="1484">
      <x:c r="A1484" t="str">
        <x:v>3130173</x:v>
      </x:c>
      <x:c r="B1484" t="str">
        <x:v>백련시장</x:v>
      </x:c>
      <x:c r="C1484" t="str">
        <x:v>전통시장</x:v>
      </x:c>
      <x:c r="D1484" t="str">
        <x:v>서대문구</x:v>
      </x:c>
      <x:c r="E1484" t="str">
        <x:v>남가좌2동</x:v>
      </x:c>
      <x:c r="F1484" s="12" t="n">
        <x:v>2130</x:v>
      </x:c>
      <x:c r="G1484" s="12" t="n">
        <x:v>113113681</x:v>
      </x:c>
      <x:c r="H1484" s="12" t="n">
        <x:v>5008</x:v>
      </x:c>
      <x:c r="I1484" s="12" t="n">
        <x:v>22586.59764376997</x:v>
      </x:c>
      <x:c r="J1484" s="12" t="n">
        <x:v>53105.01455399061</x:v>
      </x:c>
      <x:c r="K1484" s="12" t="n">
        <x:v>14</x:v>
      </x:c>
      <x:c r="L1484" s="12" t="n">
        <x:v>65.72769953051643</x:v>
      </x:c>
      <x:c r="M1484" s="12" t="n">
        <x:v>1</x:v>
      </x:c>
      <x:c r="N1484" s="14" t="n">
        <x:v>0.764329020465703</x:v>
      </x:c>
      <x:c r="O1484" s="14" t="n">
        <x:v>0.235670979534297</x:v>
      </x:c>
      <x:c r="P1484" s="14" t="n">
        <x:v>0.5557876858414678</x:v>
      </x:c>
      <x:c r="Q1484" s="14" t="n">
        <x:v>0.3017101706733423</x:v>
      </x:c>
      <x:c r="R1484" s="14" t="n">
        <x:v>0.1199173687929049</x:v>
      </x:c>
      <x:c r="S1484" s="14" t="n">
        <x:v>0.24584026224025013</x:v>
      </x:c>
      <x:c r="T1484" t="str">
        <x:v>야간활성·평일집중</x:v>
      </x:c>
      <x:c r="U1484" s="16" t="n">
        <x:v>23.82677454622358</x:v>
      </x:c>
      <x:c r="V1484" t="str">
        <x:v>한식음식점</x:v>
      </x:c>
      <x:c r="W1484" t="str">
        <x:v>한식음식점</x:v>
      </x:c>
      <x:c r="X1484" s="16" t="n">
        <x:v>23.82677454622358</x:v>
      </x:c>
    </x:row>
    <x:row r="1485">
      <x:c r="A1485" t="str">
        <x:v>3110476</x:v>
      </x:c>
      <x:c r="B1485" t="str">
        <x:v>역촌역 2번</x:v>
      </x:c>
      <x:c r="C1485" t="str">
        <x:v>골목상권</x:v>
      </x:c>
      <x:c r="D1485" t="str">
        <x:v>은평구</x:v>
      </x:c>
      <x:c r="E1485" t="str">
        <x:v>대조동</x:v>
      </x:c>
      <x:c r="F1485" s="12" t="n">
        <x:v>31638</x:v>
      </x:c>
      <x:c r="G1485" s="12" t="n">
        <x:v>109307696</x:v>
      </x:c>
      <x:c r="H1485" s="12" t="n">
        <x:v>2586</x:v>
      </x:c>
      <x:c r="I1485" s="12" t="n">
        <x:v>42269.02397525135</x:v>
      </x:c>
      <x:c r="J1485" s="12" t="n">
        <x:v>3454.9496175485174</x:v>
      </x:c>
      <x:c r="K1485" s="12" t="n">
        <x:v>44</x:v>
      </x:c>
      <x:c r="L1485" s="12" t="n">
        <x:v>13.907326632530502</x:v>
      </x:c>
      <x:c r="M1485" s="12" t="n">
        <x:v>2</x:v>
      </x:c>
      <x:c r="N1485" s="14" t="n">
        <x:v>0.7092493835017801</x:v>
      </x:c>
      <x:c r="O1485" s="14" t="n">
        <x:v>0.29075061649821987</x:v>
      </x:c>
      <x:c r="P1485" s="14" t="n">
        <x:v>0.5132993014508329</x:v>
      </x:c>
      <x:c r="Q1485" s="14" t="n">
        <x:v>0.19091128771024504</x:v>
      </x:c>
      <x:c r="R1485" s="14" t="n">
        <x:v>0.282285713898864</x:v>
      </x:c>
      <x:c r="S1485" s="14" t="n">
        <x:v>0.3758541759035887</x:v>
      </x:c>
      <x:c r="T1485" t="str">
        <x:v>야간활성·2030소비</x:v>
      </x:c>
      <x:c r="U1485" s="16" t="n">
        <x:v>37.49603551877462</x:v>
      </x:c>
      <x:c r="V1485" t="str">
        <x:v>한식음식점</x:v>
      </x:c>
      <x:c r="W1485" t="str">
        <x:v>한식음식점 / 미용실</x:v>
      </x:c>
      <x:c r="X1485" s="16" t="n">
        <x:v>26.52027604947859</x:v>
      </x:c>
    </x:row>
    <x:row r="1486">
      <x:c r="A1486" t="str">
        <x:v>3110899</x:v>
      </x:c>
      <x:c r="B1486" t="str">
        <x:v>낙성대역 5번(관악중학교)</x:v>
      </x:c>
      <x:c r="C1486" t="str">
        <x:v>골목상권</x:v>
      </x:c>
      <x:c r="D1486" t="str">
        <x:v>관악구</x:v>
      </x:c>
      <x:c r="E1486" t="str">
        <x:v>행운동</x:v>
      </x:c>
      <x:c r="F1486" s="12" t="n">
        <x:v>73363</x:v>
      </x:c>
      <x:c r="G1486" s="12" t="n">
        <x:v>99358851</x:v>
      </x:c>
      <x:c r="H1486" s="12" t="n">
        <x:v>4458</x:v>
      </x:c>
      <x:c r="I1486" s="12" t="n">
        <x:v>22287.763795423958</x:v>
      </x:c>
      <x:c r="J1486" s="12" t="n">
        <x:v>1354.3455283998746</x:v>
      </x:c>
      <x:c r="K1486" s="12" t="n">
        <x:v>689</x:v>
      </x:c>
      <x:c r="L1486" s="12" t="n">
        <x:v>93.91655194035141</x:v>
      </x:c>
      <x:c r="M1486" s="12" t="n">
        <x:v>2</x:v>
      </x:c>
      <x:c r="N1486" s="14" t="n">
        <x:v>0.7436750753085902</x:v>
      </x:c>
      <x:c r="O1486" s="14" t="n">
        <x:v>0.2563249246914097</x:v>
      </x:c>
      <x:c r="P1486" s="14" t="n">
        <x:v>0.5178199474146495</x:v>
      </x:c>
      <x:c r="Q1486" s="14" t="n">
        <x:v>0.1562181108555694</x:v>
      </x:c>
      <x:c r="R1486" s="14" t="n">
        <x:v>0.5257224140001377</x:v>
      </x:c>
      <x:c r="S1486" s="14" t="n">
        <x:v>0.5354046415049627</x:v>
      </x:c>
      <x:c r="T1486" t="str">
        <x:v>2030소비·여성소비</x:v>
      </x:c>
      <x:c r="U1486" s="16" t="n">
        <x:v>50.75876389588079</x:v>
      </x:c>
      <x:c r="V1486" t="str">
        <x:v>세탁소</x:v>
      </x:c>
      <x:c r="W1486" t="str">
        <x:v>세탁소 / 미용실</x:v>
      </x:c>
      <x:c r="X1486" s="16" t="n">
        <x:v>40.05651379207836</x:v>
      </x:c>
    </x:row>
    <x:row r="1487">
      <x:c r="A1487" t="str">
        <x:v>3110516</x:v>
      </x:c>
      <x:c r="B1487" t="str">
        <x:v>정원여중</x:v>
      </x:c>
      <x:c r="C1487" t="str">
        <x:v>골목상권</x:v>
      </x:c>
      <x:c r="D1487" t="str">
        <x:v>서대문구</x:v>
      </x:c>
      <x:c r="E1487" t="str">
        <x:v>홍은2동</x:v>
      </x:c>
      <x:c r="F1487" s="12" t="n">
        <x:v>65332</x:v>
      </x:c>
      <x:c r="G1487" s="12" t="n">
        <x:v>98810407</x:v>
      </x:c>
      <x:c r="H1487" s="12" t="n">
        <x:v>3591</x:v>
      </x:c>
      <x:c r="I1487" s="12" t="n">
        <x:v>27516.125591757173</x:v>
      </x:c>
      <x:c r="J1487" s="12" t="n">
        <x:v>1512.4350547970366</x:v>
      </x:c>
      <x:c r="K1487" s="12" t="n">
        <x:v>199</x:v>
      </x:c>
      <x:c r="L1487" s="12" t="n">
        <x:v>30.45980530214902</x:v>
      </x:c>
      <x:c r="M1487" s="12" t="n">
        <x:v>1</x:v>
      </x:c>
      <x:c r="N1487" s="14" t="n">
        <x:v>0.747226423224833</x:v>
      </x:c>
      <x:c r="O1487" s="14" t="n">
        <x:v>0.252773576775167</x:v>
      </x:c>
      <x:c r="P1487" s="14" t="n">
        <x:v>0.6465154626880547</x:v>
      </x:c>
      <x:c r="Q1487" s="14" t="n">
        <x:v>0.24002345218555773</x:v>
      </x:c>
      <x:c r="R1487" s="14" t="n">
        <x:v>0.17084778327044034</x:v>
      </x:c>
      <x:c r="S1487" s="14" t="n">
        <x:v>0.35783798562837615</x:v>
      </x:c>
      <x:c r="T1487" t="str">
        <x:v>야간활성</x:v>
      </x:c>
      <x:c r="U1487" s="16" t="n">
        <x:v>45.97164167638381</x:v>
      </x:c>
      <x:c r="V1487" t="str">
        <x:v>한식음식점</x:v>
      </x:c>
      <x:c r="W1487" t="str">
        <x:v>한식음식점</x:v>
      </x:c>
      <x:c r="X1487" s="16" t="n">
        <x:v>45.97164167638381</x:v>
      </x:c>
    </x:row>
    <x:row r="1488">
      <x:c r="A1488" t="str">
        <x:v>3130282</x:v>
      </x:c>
      <x:c r="B1488" t="str">
        <x:v>난곡 골목형상점가</x:v>
      </x:c>
      <x:c r="C1488" t="str">
        <x:v>전통시장</x:v>
      </x:c>
      <x:c r="D1488" t="str">
        <x:v>관악구</x:v>
      </x:c>
      <x:c r="E1488" t="str">
        <x:v>난곡동</x:v>
      </x:c>
      <x:c r="F1488" s="12" t="n">
        <x:v>11565</x:v>
      </x:c>
      <x:c r="G1488" s="12" t="n">
        <x:v>94637230</x:v>
      </x:c>
      <x:c r="H1488" s="12" t="n">
        <x:v>3033</x:v>
      </x:c>
      <x:c r="I1488" s="12" t="n">
        <x:v>31202.515661061654</x:v>
      </x:c>
      <x:c r="J1488" s="12" t="n">
        <x:v>8183.072200605275</x:v>
      </x:c>
      <x:c r="K1488" s="12" t="n">
        <x:v>58</x:v>
      </x:c>
      <x:c r="L1488" s="12" t="n">
        <x:v>50.15131863380891</x:v>
      </x:c>
      <x:c r="M1488" s="12" t="n">
        <x:v>2</x:v>
      </x:c>
      <x:c r="N1488" s="14" t="n">
        <x:v>0.6575449640696372</x:v>
      </x:c>
      <x:c r="O1488" s="14" t="n">
        <x:v>0.3424550359303627</x:v>
      </x:c>
      <x:c r="P1488" s="14" t="n">
        <x:v>0.4594200823502548</x:v>
      </x:c>
      <x:c r="Q1488" s="14" t="n">
        <x:v>0.21803596745171008</x:v>
      </x:c>
      <x:c r="R1488" s="14" t="n">
        <x:v>0.1400659233158029</x:v>
      </x:c>
      <x:c r="S1488" s="14" t="n">
        <x:v>0.49136331441653563</x:v>
      </x:c>
      <x:c r="T1488" t="str">
        <x:v>여성소비·야간활성</x:v>
      </x:c>
      <x:c r="U1488" s="16" t="n">
        <x:v>51.76010863696489</x:v>
      </x:c>
      <x:c r="V1488" t="str">
        <x:v>미용실</x:v>
      </x:c>
      <x:c r="W1488" t="str">
        <x:v>미용실 / 한식음식점</x:v>
      </x:c>
      <x:c r="X1488" s="16" t="n">
        <x:v>46.09198109313162</x:v>
      </x:c>
    </x:row>
    <x:row r="1489">
      <x:c r="A1489" t="str">
        <x:v>3110534</x:v>
      </x:c>
      <x:c r="B1489" t="str">
        <x:v>경기대학교</x:v>
      </x:c>
      <x:c r="C1489" t="str">
        <x:v>골목상권</x:v>
      </x:c>
      <x:c r="D1489" t="str">
        <x:v>서대문구</x:v>
      </x:c>
      <x:c r="E1489" t="str">
        <x:v>충현동</x:v>
      </x:c>
      <x:c r="F1489" s="12" t="n">
        <x:v>71787</x:v>
      </x:c>
      <x:c r="G1489" s="12" t="n">
        <x:v>94133244</x:v>
      </x:c>
      <x:c r="H1489" s="12" t="n">
        <x:v>4639</x:v>
      </x:c>
      <x:c r="I1489" s="12" t="n">
        <x:v>20291.710282388445</x:v>
      </x:c>
      <x:c r="J1489" s="12" t="n">
        <x:v>1311.2853859333864</x:v>
      </x:c>
      <x:c r="K1489" s="12" t="n">
        <x:v>194</x:v>
      </x:c>
      <x:c r="L1489" s="12" t="n">
        <x:v>27.024391602936465</x:v>
      </x:c>
      <x:c r="M1489" s="12" t="n">
        <x:v>2</x:v>
      </x:c>
      <x:c r="N1489" s="14" t="n">
        <x:v>0.8399996286115455</x:v>
      </x:c>
      <x:c r="O1489" s="14" t="n">
        <x:v>0.16000037138845444</x:v>
      </x:c>
      <x:c r="P1489" s="14" t="n">
        <x:v>0.39039055107885157</x:v>
      </x:c>
      <x:c r="Q1489" s="14" t="n">
        <x:v>0.31881631530726806</x:v>
      </x:c>
      <x:c r="R1489" s="14" t="n">
        <x:v>0.16680265475606046</x:v>
      </x:c>
      <x:c r="S1489" s="14" t="n">
        <x:v>0.31451364833448214</x:v>
      </x:c>
      <x:c r="T1489" t="str">
        <x:v>평일집중</x:v>
      </x:c>
      <x:c r="U1489" s="16" t="n">
        <x:v>62.16202523922696</x:v>
      </x:c>
      <x:c r="V1489" t="str">
        <x:v>세탁소</x:v>
      </x:c>
      <x:c r="W1489" t="str">
        <x:v>세탁소 / 한식음식점</x:v>
      </x:c>
      <x:c r="X1489" s="16" t="n">
        <x:v>48.715040687025805</x:v>
      </x:c>
    </x:row>
    <x:row r="1490">
      <x:c r="A1490" t="str">
        <x:v>3130071</x:v>
      </x:c>
      <x:c r="B1490" t="str">
        <x:v>성수역 골목형상점가</x:v>
      </x:c>
      <x:c r="C1490" t="str">
        <x:v>전통시장</x:v>
      </x:c>
      <x:c r="D1490" t="str">
        <x:v>성동구</x:v>
      </x:c>
      <x:c r="E1490" t="str">
        <x:v>성수2가3동</x:v>
      </x:c>
      <x:c r="F1490" s="12" t="n">
        <x:v>10659</x:v>
      </x:c>
      <x:c r="G1490" s="12" t="n">
        <x:v>93000000</x:v>
      </x:c>
      <x:c r="H1490" s="12" t="n">
        <x:v>5562</x:v>
      </x:c>
      <x:c r="I1490" s="12" t="n">
        <x:v>16720.604099244876</x:v>
      </x:c>
      <x:c r="J1490" s="12" t="n">
        <x:v>8725.021108922037</x:v>
      </x:c>
      <x:c r="K1490" s="12" t="n">
        <x:v>885</x:v>
      </x:c>
      <x:c r="L1490" s="12" t="n">
        <x:v>830.2842668167746</x:v>
      </x:c>
      <x:c r="M1490" s="12" t="n">
        <x:v>1</x:v>
      </x:c>
      <x:c r="N1490" s="14" t="n">
        <x:v>0.9307215376344086</x:v>
      </x:c>
      <x:c r="O1490" s="14" t="n">
        <x:v>0.0692784623655914</x:v>
      </x:c>
      <x:c r="P1490" s="14" t="n">
        <x:v>0.21020390322580645</x:v>
      </x:c>
      <x:c r="Q1490" s="14" t="n">
        <x:v>0.7251800430107527</x:v>
      </x:c>
      <x:c r="R1490" s="14" t="n">
        <x:v>0.3581834731182796</x:v>
      </x:c>
      <x:c r="S1490" s="14" t="n">
        <x:v>0.29926487096774196</x:v>
      </x:c>
      <x:c r="T1490" t="str">
        <x:v>평일집중·직장밀집</x:v>
      </x:c>
      <x:c r="U1490" s="16" t="n">
        <x:v>30.093997020098705</x:v>
      </x:c>
      <x:c r="V1490" t="str">
        <x:v>한식음식점</x:v>
      </x:c>
      <x:c r="W1490" t="str">
        <x:v>한식음식점</x:v>
      </x:c>
      <x:c r="X1490" s="16" t="n">
        <x:v>30.093997020098705</x:v>
      </x:c>
    </x:row>
    <x:row r="1491">
      <x:c r="A1491" t="str">
        <x:v>3110642</x:v>
      </x:c>
      <x:c r="B1491" t="str">
        <x:v>정곡초등학교</x:v>
      </x:c>
      <x:c r="C1491" t="str">
        <x:v>골목상권</x:v>
      </x:c>
      <x:c r="D1491" t="str">
        <x:v>강서구</x:v>
      </x:c>
      <x:c r="E1491" t="str">
        <x:v>방화3동</x:v>
      </x:c>
      <x:c r="F1491" s="12" t="n">
        <x:v>19884</x:v>
      </x:c>
      <x:c r="G1491" s="12" t="n">
        <x:v>92662732</x:v>
      </x:c>
      <x:c r="H1491" s="12" t="n">
        <x:v>1198</x:v>
      </x:c>
      <x:c r="I1491" s="12" t="n">
        <x:v>77347.85642737897</x:v>
      </x:c>
      <x:c r="J1491" s="12" t="n">
        <x:v>4660.165560249447</x:v>
      </x:c>
      <x:c r="K1491" s="12" t="n">
        <x:v>138</x:v>
      </x:c>
      <x:c r="L1491" s="12" t="n">
        <x:v>69.40253470126734</x:v>
      </x:c>
      <x:c r="M1491" s="12" t="n">
        <x:v>1</x:v>
      </x:c>
      <x:c r="N1491" s="14" t="n">
        <x:v>0.5733520677978715</x:v>
      </x:c>
      <x:c r="O1491" s="14" t="n">
        <x:v>0.4266479322021285</x:v>
      </x:c>
      <x:c r="P1491" s="14" t="n">
        <x:v>0.5712431832896963</x:v>
      </x:c>
      <x:c r="Q1491" s="14" t="n">
        <x:v>0.23614340444872703</x:v>
      </x:c>
      <x:c r="R1491" s="14" t="n">
        <x:v>0.05039745644451752</x:v>
      </x:c>
      <x:c r="S1491" s="14" t="n">
        <x:v>0.29454388415830435</x:v>
      </x:c>
      <x:c r="T1491" t="str">
        <x:v>야간활성</x:v>
      </x:c>
      <x:c r="U1491" s="16" t="n">
        <x:v>36.26264376791211</x:v>
      </x:c>
      <x:c r="V1491" t="str">
        <x:v>한식음식점</x:v>
      </x:c>
      <x:c r="W1491" t="str">
        <x:v>한식음식점</x:v>
      </x:c>
      <x:c r="X1491" s="16" t="n">
        <x:v>36.26264376791211</x:v>
      </x:c>
    </x:row>
    <x:row r="1492">
      <x:c r="A1492" t="str">
        <x:v>3110935</x:v>
      </x:c>
      <x:c r="B1492" t="str">
        <x:v>한전아트센터</x:v>
      </x:c>
      <x:c r="C1492" t="str">
        <x:v>골목상권</x:v>
      </x:c>
      <x:c r="D1492" t="str">
        <x:v>서초구</x:v>
      </x:c>
      <x:c r="E1492" t="str">
        <x:v>서초2동</x:v>
      </x:c>
      <x:c r="F1492" s="12" t="n">
        <x:v>32304</x:v>
      </x:c>
      <x:c r="G1492" s="12" t="n">
        <x:v>92058001</x:v>
      </x:c>
      <x:c r="H1492" s="12" t="n">
        <x:v>322</x:v>
      </x:c>
      <x:c r="I1492" s="12" t="n">
        <x:v>285894.4130434783</x:v>
      </x:c>
      <x:c r="J1492" s="12" t="n">
        <x:v>2849.740001238237</x:v>
      </x:c>
      <x:c r="K1492" s="12" t="n">
        <x:v>2439</x:v>
      </x:c>
      <x:c r="L1492" s="12" t="n">
        <x:v>755.0148588410103</x:v>
      </x:c>
      <x:c r="M1492" s="12" t="n">
        <x:v>1</x:v>
      </x:c>
      <x:c r="N1492" s="14" t="n">
        <x:v>0.8278781004597309</x:v>
      </x:c>
      <x:c r="O1492" s="14" t="n">
        <x:v>0.17212189954026919</x:v>
      </x:c>
      <x:c r="P1492" s="14" t="n">
        <x:v>0.5931151274944586</x:v>
      </x:c>
      <x:c r="Q1492" s="14" t="n">
        <x:v>0.20880359980877708</x:v>
      </x:c>
      <x:c r="R1492" s="14" t="n">
        <x:v>0</x:v>
      </x:c>
      <x:c r="S1492" s="14" t="n">
        <x:v>0.6168171629101526</x:v>
      </x:c>
      <x:c r="T1492" t="str">
        <x:v>여성소비·직장밀집</x:v>
      </x:c>
      <x:c r="U1492" s="16" t="n">
        <x:v>40.07438162510264</x:v>
      </x:c>
      <x:c r="V1492" t="str">
        <x:v>일반교습학원</x:v>
      </x:c>
      <x:c r="W1492" t="str">
        <x:v>일반교습학원</x:v>
      </x:c>
      <x:c r="X1492" s="16" t="n">
        <x:v>40.07438162510264</x:v>
      </x:c>
    </x:row>
    <x:row r="1493">
      <x:c r="A1493" t="str">
        <x:v>3110447</x:v>
      </x:c>
      <x:c r="B1493" t="str">
        <x:v>구산초등학교</x:v>
      </x:c>
      <x:c r="C1493" t="str">
        <x:v>골목상권</x:v>
      </x:c>
      <x:c r="D1493" t="str">
        <x:v>은평구</x:v>
      </x:c>
      <x:c r="E1493" t="str">
        <x:v>구산동</x:v>
      </x:c>
      <x:c r="F1493" s="12" t="n">
        <x:v>36415</x:v>
      </x:c>
      <x:c r="G1493" s="12" t="n">
        <x:v>89900946</x:v>
      </x:c>
      <x:c r="H1493" s="12" t="n">
        <x:v>2045</x:v>
      </x:c>
      <x:c r="I1493" s="12" t="n">
        <x:v>43961.34278728606</x:v>
      </x:c>
      <x:c r="J1493" s="12" t="n">
        <x:v>2468.788850748318</x:v>
      </x:c>
      <x:c r="K1493" s="12" t="n">
        <x:v>83</x:v>
      </x:c>
      <x:c r="L1493" s="12" t="n">
        <x:v>22.792805162707676</x:v>
      </x:c>
      <x:c r="M1493" s="12" t="n">
        <x:v>3</x:v>
      </x:c>
      <x:c r="N1493" s="14" t="n">
        <x:v>0.9607791446376993</x:v>
      </x:c>
      <x:c r="O1493" s="14" t="n">
        <x:v>0.03922085536230064</x:v>
      </x:c>
      <x:c r="P1493" s="14" t="n">
        <x:v>0.5142885815684297</x:v>
      </x:c>
      <x:c r="Q1493" s="14" t="n">
        <x:v>0.04954078013817563</x:v>
      </x:c>
      <x:c r="R1493" s="14" t="n">
        <x:v>0.006939493161729355</x:v>
      </x:c>
      <x:c r="S1493" s="14" t="n">
        <x:v>0.6403185345791578</x:v>
      </x:c>
      <x:c r="T1493" t="str">
        <x:v>평일집중·여성소비</x:v>
      </x:c>
      <x:c r="U1493" s="16" t="n">
        <x:v>52.42931423400415</x:v>
      </x:c>
      <x:c r="V1493" t="str">
        <x:v>일반의류</x:v>
      </x:c>
      <x:c r="W1493" t="str">
        <x:v>일반의류 / 반찬가게 / 일반교습학원</x:v>
      </x:c>
      <x:c r="X1493" s="16" t="n">
        <x:v>41.58510045285957</x:v>
      </x:c>
    </x:row>
    <x:row r="1494">
      <x:c r="A1494" t="str">
        <x:v>3110017</x:v>
      </x:c>
      <x:c r="B1494" t="str">
        <x:v>정독도서관</x:v>
      </x:c>
      <x:c r="C1494" t="str">
        <x:v>골목상권</x:v>
      </x:c>
      <x:c r="D1494" t="str">
        <x:v>종로구</x:v>
      </x:c>
      <x:c r="E1494" t="str">
        <x:v>가회동</x:v>
      </x:c>
      <x:c r="F1494" s="12" t="n">
        <x:v>83855</x:v>
      </x:c>
      <x:c r="G1494" s="12" t="n">
        <x:v>88954652</x:v>
      </x:c>
      <x:c r="H1494" s="12" t="n">
        <x:v>3895</x:v>
      </x:c>
      <x:c r="I1494" s="12" t="n">
        <x:v>22838.164826700897</x:v>
      </x:c>
      <x:c r="J1494" s="12" t="n">
        <x:v>1060.815121340409</x:v>
      </x:c>
      <x:c r="K1494" s="12" t="n">
        <x:v>294</x:v>
      </x:c>
      <x:c r="L1494" s="12" t="n">
        <x:v>35.06052113767814</x:v>
      </x:c>
      <x:c r="M1494" s="12" t="n">
        <x:v>2</x:v>
      </x:c>
      <x:c r="N1494" s="14" t="n">
        <x:v>0.5415339155056219</x:v>
      </x:c>
      <x:c r="O1494" s="14" t="n">
        <x:v>0.4584660844943781</x:v>
      </x:c>
      <x:c r="P1494" s="14" t="n">
        <x:v>0.21809509186770806</x:v>
      </x:c>
      <x:c r="Q1494" s="14" t="n">
        <x:v>0.21524931602228065</x:v>
      </x:c>
      <x:c r="R1494" s="14" t="n">
        <x:v>0.40790199482765666</x:v>
      </x:c>
      <x:c r="S1494" s="14" t="n">
        <x:v>0.6421257878677329</x:v>
      </x:c>
      <x:c r="T1494" t="str">
        <x:v>여성소비·2030소비</x:v>
      </x:c>
      <x:c r="U1494" s="16" t="n">
        <x:v>49.820612661345145</x:v>
      </x:c>
      <x:c r="V1494" t="str">
        <x:v>커피-음료</x:v>
      </x:c>
      <x:c r="W1494" t="str">
        <x:v>커피-음료 / 슈퍼마켓</x:v>
      </x:c>
      <x:c r="X1494" s="16" t="n">
        <x:v>41.01818769898207</x:v>
      </x:c>
    </x:row>
    <x:row r="1495">
      <x:c r="A1495" t="str">
        <x:v>3110739</x:v>
      </x:c>
      <x:c r="B1495" t="str">
        <x:v>시흥3동 우편취급국</x:v>
      </x:c>
      <x:c r="C1495" t="str">
        <x:v>골목상권</x:v>
      </x:c>
      <x:c r="D1495" t="str">
        <x:v>금천구</x:v>
      </x:c>
      <x:c r="E1495" t="str">
        <x:v>시흥3동</x:v>
      </x:c>
      <x:c r="F1495" s="12" t="n">
        <x:v>20887</x:v>
      </x:c>
      <x:c r="G1495" s="12" t="n">
        <x:v>88004582</x:v>
      </x:c>
      <x:c r="H1495" s="12" t="n">
        <x:v>1780</x:v>
      </x:c>
      <x:c r="I1495" s="12" t="n">
        <x:v>49440.77640449438</x:v>
      </x:c>
      <x:c r="J1495" s="12" t="n">
        <x:v>4213.366304399866</x:v>
      </x:c>
      <x:c r="K1495" s="12" t="n">
        <x:v>325</x:v>
      </x:c>
      <x:c r="L1495" s="12" t="n">
        <x:v>155.59917652128118</x:v>
      </x:c>
      <x:c r="M1495" s="12" t="n">
        <x:v>1</x:v>
      </x:c>
      <x:c r="N1495" s="14" t="n">
        <x:v>0.9087046058579086</x:v>
      </x:c>
      <x:c r="O1495" s="14" t="n">
        <x:v>0.09129539414209137</x:v>
      </x:c>
      <x:c r="P1495" s="14" t="n">
        <x:v>0.46162760025381405</x:v>
      </x:c>
      <x:c r="Q1495" s="14" t="n">
        <x:v>0.39833891830768536</x:v>
      </x:c>
      <x:c r="R1495" s="14" t="n">
        <x:v>0.04468194621957298</x:v>
      </x:c>
      <x:c r="S1495" s="14" t="n">
        <x:v>0.1496265728527635</x:v>
      </x:c>
      <x:c r="T1495" t="str">
        <x:v>평일집중·야간활성</x:v>
      </x:c>
      <x:c r="U1495" s="16" t="n">
        <x:v>28.892062199766574</x:v>
      </x:c>
      <x:c r="V1495" t="str">
        <x:v>한식음식점</x:v>
      </x:c>
      <x:c r="W1495" t="str">
        <x:v>한식음식점</x:v>
      </x:c>
      <x:c r="X1495" s="16" t="n">
        <x:v>28.892062199766574</x:v>
      </x:c>
    </x:row>
    <x:row r="1496">
      <x:c r="A1496" t="str">
        <x:v>3110213</x:v>
      </x:c>
      <x:c r="B1496" t="str">
        <x:v>청량초등학교</x:v>
      </x:c>
      <x:c r="C1496" t="str">
        <x:v>골목상권</x:v>
      </x:c>
      <x:c r="D1496" t="str">
        <x:v>동대문구</x:v>
      </x:c>
      <x:c r="E1496" t="str">
        <x:v>이문1동</x:v>
      </x:c>
      <x:c r="F1496" s="12" t="n">
        <x:v>35455</x:v>
      </x:c>
      <x:c r="G1496" s="12" t="n">
        <x:v>87765439</x:v>
      </x:c>
      <x:c r="H1496" s="12" t="n">
        <x:v>4028</x:v>
      </x:c>
      <x:c r="I1496" s="12" t="n">
        <x:v>21788.837884806355</x:v>
      </x:c>
      <x:c r="J1496" s="12" t="n">
        <x:v>2475.403723029192</x:v>
      </x:c>
      <x:c r="K1496" s="12" t="n">
        <x:v>93</x:v>
      </x:c>
      <x:c r="L1496" s="12" t="n">
        <x:v>26.230432943167397</x:v>
      </x:c>
      <x:c r="M1496" s="12" t="n">
        <x:v>2</x:v>
      </x:c>
      <x:c r="N1496" s="14" t="n">
        <x:v>0.4877353943389949</x:v>
      </x:c>
      <x:c r="O1496" s="14" t="n">
        <x:v>0.5122646056610052</x:v>
      </x:c>
      <x:c r="P1496" s="14" t="n">
        <x:v>0.1887842206315404</x:v>
      </x:c>
      <x:c r="Q1496" s="14" t="n">
        <x:v>0.5195318626503993</x:v>
      </x:c>
      <x:c r="R1496" s="14" t="n">
        <x:v>0.18393665187500516</x:v>
      </x:c>
      <x:c r="S1496" s="14" t="n">
        <x:v>0.827948892274099</x:v>
      </x:c>
      <x:c r="T1496" t="str">
        <x:v>여성소비</x:v>
      </x:c>
      <x:c r="U1496" s="16" t="n">
        <x:v>41.691992937438236</x:v>
      </x:c>
      <x:c r="V1496" t="str">
        <x:v>일반교습학원</x:v>
      </x:c>
      <x:c r="W1496" t="str">
        <x:v>일반교습학원 / 커피-음료</x:v>
      </x:c>
      <x:c r="X1496" s="16" t="n">
        <x:v>40.10525813993277</x:v>
      </x:c>
    </x:row>
    <x:row r="1497">
      <x:c r="A1497" t="str">
        <x:v>3110522</x:v>
      </x:c>
      <x:c r="B1497" t="str">
        <x:v>홍제역 3번</x:v>
      </x:c>
      <x:c r="C1497" t="str">
        <x:v>골목상권</x:v>
      </x:c>
      <x:c r="D1497" t="str">
        <x:v>서대문구</x:v>
      </x:c>
      <x:c r="E1497" t="str">
        <x:v>홍제1동</x:v>
      </x:c>
      <x:c r="F1497" s="12" t="n">
        <x:v>37420</x:v>
      </x:c>
      <x:c r="G1497" s="12" t="n">
        <x:v>87509144</x:v>
      </x:c>
      <x:c r="H1497" s="12" t="n">
        <x:v>2776</x:v>
      </x:c>
      <x:c r="I1497" s="12" t="n">
        <x:v>31523.466858789627</x:v>
      </x:c>
      <x:c r="J1497" s="12" t="n">
        <x:v>2338.566114377338</x:v>
      </x:c>
      <x:c r="K1497" s="12" t="n">
        <x:v>349</x:v>
      </x:c>
      <x:c r="L1497" s="12" t="n">
        <x:v>93.2656333511491</x:v>
      </x:c>
      <x:c r="M1497" s="12" t="n">
        <x:v>5</x:v>
      </x:c>
      <x:c r="N1497" s="14" t="n">
        <x:v>0.7955363727475154</x:v>
      </x:c>
      <x:c r="O1497" s="14" t="n">
        <x:v>0.2044636272524846</x:v>
      </x:c>
      <x:c r="P1497" s="14" t="n">
        <x:v>0.2614768234962966</x:v>
      </x:c>
      <x:c r="Q1497" s="14" t="n">
        <x:v>0.29456583417156956</x:v>
      </x:c>
      <x:c r="R1497" s="14" t="n">
        <x:v>0.22430178267999057</x:v>
      </x:c>
      <x:c r="S1497" s="14" t="n">
        <x:v>0.47646904190949463</x:v>
      </x:c>
      <x:c r="T1497" t="str">
        <x:v>평일집중·여성소비</x:v>
      </x:c>
      <x:c r="U1497" s="16" t="n">
        <x:v>59.10747218988524</x:v>
      </x:c>
      <x:c r="V1497" t="str">
        <x:v>미용실</x:v>
      </x:c>
      <x:c r="W1497" t="str">
        <x:v>미용실 / 일반교습학원 / 한식음식점</x:v>
      </x:c>
      <x:c r="X1497" s="16" t="n">
        <x:v>48.826926919682066</x:v>
      </x:c>
    </x:row>
    <x:row r="1498">
      <x:c r="A1498" t="str">
        <x:v>3110777</x:v>
      </x:c>
      <x:c r="B1498" t="str">
        <x:v>구로세무서</x:v>
      </x:c>
      <x:c r="C1498" t="str">
        <x:v>골목상권</x:v>
      </x:c>
      <x:c r="D1498" t="str">
        <x:v>영등포구</x:v>
      </x:c>
      <x:c r="E1498" t="str">
        <x:v>문래동</x:v>
      </x:c>
      <x:c r="F1498" s="12" t="n">
        <x:v>45358</x:v>
      </x:c>
      <x:c r="G1498" s="12" t="n">
        <x:v>84924741</x:v>
      </x:c>
      <x:c r="H1498" s="12" t="n">
        <x:v>5699</x:v>
      </x:c>
      <x:c r="I1498" s="12" t="n">
        <x:v>14901.691700298297</x:v>
      </x:c>
      <x:c r="J1498" s="12" t="n">
        <x:v>1872.3211120419771</x:v>
      </x:c>
      <x:c r="K1498" s="12" t="n">
        <x:v>2788</x:v>
      </x:c>
      <x:c r="L1498" s="12" t="n">
        <x:v>614.6655496274086</x:v>
      </x:c>
      <x:c r="M1498" s="12" t="n">
        <x:v>1</x:v>
      </x:c>
      <x:c r="N1498" s="14" t="n">
        <x:v>1</x:v>
      </x:c>
      <x:c r="O1498" s="14" t="n">
        <x:v>0</x:v>
      </x:c>
      <x:c r="P1498" s="14" t="n">
        <x:v>0.11429271241463074</x:v>
      </x:c>
      <x:c r="Q1498" s="14" t="n">
        <x:v>0.8499279850615029</x:v>
      </x:c>
      <x:c r="R1498" s="14" t="n">
        <x:v>0.06314281252856574</x:v>
      </x:c>
      <x:c r="S1498" s="14" t="n">
        <x:v>0.16461821178824673</x:v>
      </x:c>
      <x:c r="T1498" t="str">
        <x:v>평일집중·직장밀집</x:v>
      </x:c>
      <x:c r="U1498" s="16" t="n">
        <x:v>32.050897327825304</x:v>
      </x:c>
      <x:c r="V1498" t="str">
        <x:v>한식음식점</x:v>
      </x:c>
      <x:c r="W1498" t="str">
        <x:v>한식음식점</x:v>
      </x:c>
      <x:c r="X1498" s="16" t="n">
        <x:v>32.050897327825304</x:v>
      </x:c>
    </x:row>
    <x:row r="1499">
      <x:c r="A1499" t="str">
        <x:v>3110941</x:v>
      </x:c>
      <x:c r="B1499" t="str">
        <x:v>언남고등학교</x:v>
      </x:c>
      <x:c r="C1499" t="str">
        <x:v>골목상권</x:v>
      </x:c>
      <x:c r="D1499" t="str">
        <x:v>서초구</x:v>
      </x:c>
      <x:c r="E1499" t="str">
        <x:v>양재2동</x:v>
      </x:c>
      <x:c r="F1499" s="12" t="n">
        <x:v>23167</x:v>
      </x:c>
      <x:c r="G1499" s="12" t="n">
        <x:v>80714458</x:v>
      </x:c>
      <x:c r="H1499" s="12" t="n">
        <x:v>892</x:v>
      </x:c>
      <x:c r="I1499" s="12" t="n">
        <x:v>90487.0605381166</x:v>
      </x:c>
      <x:c r="J1499" s="12" t="n">
        <x:v>3484.027193853326</x:v>
      </x:c>
      <x:c r="K1499" s="12" t="n">
        <x:v>868</x:v>
      </x:c>
      <x:c r="L1499" s="12" t="n">
        <x:v>374.6708680450641</x:v>
      </x:c>
      <x:c r="M1499" s="12" t="n">
        <x:v>3</x:v>
      </x:c>
      <x:c r="N1499" s="14" t="n">
        <x:v>0.7921779515635229</x:v>
      </x:c>
      <x:c r="O1499" s="14" t="n">
        <x:v>0.20782204843647714</x:v>
      </x:c>
      <x:c r="P1499" s="14" t="n">
        <x:v>0.6600895591716666</x:v>
      </x:c>
      <x:c r="Q1499" s="14" t="n">
        <x:v>0.10885150216829803</x:v>
      </x:c>
      <x:c r="R1499" s="14" t="n">
        <x:v>0.2120565314333152</x:v>
      </x:c>
      <x:c r="S1499" s="14" t="n">
        <x:v>0.6525368478594008</x:v>
      </x:c>
      <x:c r="T1499" t="str">
        <x:v>여성소비·야간활성</x:v>
      </x:c>
      <x:c r="U1499" s="16" t="n">
        <x:v>43.40160542926836</x:v>
      </x:c>
      <x:c r="V1499" t="str">
        <x:v>미용실</x:v>
      </x:c>
      <x:c r="W1499" t="str">
        <x:v>미용실 / 일반교습학원 / 화초</x:v>
      </x:c>
      <x:c r="X1499" s="16" t="n">
        <x:v>40.28453556688547</x:v>
      </x:c>
    </x:row>
    <x:row r="1500">
      <x:c r="A1500" t="str">
        <x:v>3110734</x:v>
      </x:c>
      <x:c r="B1500" t="str">
        <x:v>금천파출소</x:v>
      </x:c>
      <x:c r="C1500" t="str">
        <x:v>골목상권</x:v>
      </x:c>
      <x:c r="D1500" t="str">
        <x:v>금천구</x:v>
      </x:c>
      <x:c r="E1500" t="str">
        <x:v>시흥1동</x:v>
      </x:c>
      <x:c r="F1500" s="12" t="n">
        <x:v>16742</x:v>
      </x:c>
      <x:c r="G1500" s="12" t="n">
        <x:v>79557556</x:v>
      </x:c>
      <x:c r="H1500" s="12" t="n">
        <x:v>1616</x:v>
      </x:c>
      <x:c r="I1500" s="12" t="n">
        <x:v>49231.16089108911</x:v>
      </x:c>
      <x:c r="J1500" s="12" t="n">
        <x:v>4751.9744355513085</x:v>
      </x:c>
      <x:c r="K1500" s="12" t="n">
        <x:v>100</x:v>
      </x:c>
      <x:c r="L1500" s="12" t="n">
        <x:v>59.7300203082069</x:v>
      </x:c>
      <x:c r="M1500" s="12" t="n">
        <x:v>1</x:v>
      </x:c>
      <x:c r="N1500" s="14" t="n">
        <x:v>0.7027118957751795</x:v>
      </x:c>
      <x:c r="O1500" s="14" t="n">
        <x:v>0.2972881042248206</x:v>
      </x:c>
      <x:c r="P1500" s="14" t="n">
        <x:v>0.6263474584362546</x:v>
      </x:c>
      <x:c r="Q1500" s="14" t="n">
        <x:v>0.040735275980574366</x:v>
      </x:c>
      <x:c r="R1500" s="14" t="n">
        <x:v>0.21093839282845742</x:v>
      </x:c>
      <x:c r="S1500" s="14" t="n">
        <x:v>0.14660159997876254</x:v>
      </x:c>
      <x:c r="T1500" t="str">
        <x:v>야간활성</x:v>
      </x:c>
      <x:c r="U1500" s="16" t="n">
        <x:v>41.17162395019536</x:v>
      </x:c>
      <x:c r="V1500" t="str">
        <x:v>여관</x:v>
      </x:c>
      <x:c r="W1500" t="str">
        <x:v>여관</x:v>
      </x:c>
      <x:c r="X1500" s="16" t="n">
        <x:v>41.17162395019536</x:v>
      </x:c>
    </x:row>
    <x:row r="1501">
      <x:c r="A1501" t="str">
        <x:v>3110952</x:v>
      </x:c>
      <x:c r="B1501" t="str">
        <x:v>논현목련공원</x:v>
      </x:c>
      <x:c r="C1501" t="str">
        <x:v>골목상권</x:v>
      </x:c>
      <x:c r="D1501" t="str">
        <x:v>강남구</x:v>
      </x:c>
      <x:c r="E1501" t="str">
        <x:v>논현1동</x:v>
      </x:c>
      <x:c r="F1501" s="12" t="n">
        <x:v>21629</x:v>
      </x:c>
      <x:c r="G1501" s="12" t="n">
        <x:v>74445478</x:v>
      </x:c>
      <x:c r="H1501" s="12" t="n">
        <x:v>2149</x:v>
      </x:c>
      <x:c r="I1501" s="12" t="n">
        <x:v>34641.91624011168</x:v>
      </x:c>
      <x:c r="J1501" s="12" t="n">
        <x:v>3441.92879929724</x:v>
      </x:c>
      <x:c r="K1501" s="12" t="n">
        <x:v>226</x:v>
      </x:c>
      <x:c r="L1501" s="12" t="n">
        <x:v>104.48934301169726</x:v>
      </x:c>
      <x:c r="M1501" s="12" t="n">
        <x:v>1</x:v>
      </x:c>
      <x:c r="N1501" s="14" t="n">
        <x:v>0.711026517957209</x:v>
      </x:c>
      <x:c r="O1501" s="14" t="n">
        <x:v>0.2889734820427911</x:v>
      </x:c>
      <x:c r="P1501" s="14" t="n">
        <x:v>0.25883425719961123</x:v>
      </x:c>
      <x:c r="Q1501" s="14" t="n">
        <x:v>0.3893069636815281</x:v>
      </x:c>
      <x:c r="R1501" s="14" t="n">
        <x:v>0.07858269108030981</x:v>
      </x:c>
      <x:c r="S1501" s="14" t="n">
        <x:v>0.11527112499700788</x:v>
      </x:c>
      <x:c r="T1501" t="str">
        <x:v>직장밀집</x:v>
      </x:c>
      <x:c r="U1501" s="16" t="n">
        <x:v>36.56929529755816</x:v>
      </x:c>
      <x:c r="V1501" t="str">
        <x:v>한식음식점</x:v>
      </x:c>
      <x:c r="W1501" t="str">
        <x:v>한식음식점</x:v>
      </x:c>
      <x:c r="X1501" s="16" t="n">
        <x:v>36.56929529755816</x:v>
      </x:c>
    </x:row>
    <x:row r="1502">
      <x:c r="A1502" t="str">
        <x:v>3130267</x:v>
      </x:c>
      <x:c r="B1502" t="str">
        <x:v>본동인정시장(기능상실)</x:v>
      </x:c>
      <x:c r="C1502" t="str">
        <x:v>전통시장</x:v>
      </x:c>
      <x:c r="D1502" t="str">
        <x:v>동작구</x:v>
      </x:c>
      <x:c r="E1502" t="str">
        <x:v>노량진1동</x:v>
      </x:c>
      <x:c r="F1502" s="12" t="n">
        <x:v>24321</x:v>
      </x:c>
      <x:c r="G1502" s="12" t="n">
        <x:v>74215371</x:v>
      </x:c>
      <x:c r="H1502" s="12" t="n">
        <x:v>2194</x:v>
      </x:c>
      <x:c r="I1502" s="12" t="n">
        <x:v>33826.51367365543</x:v>
      </x:c>
      <x:c r="J1502" s="12" t="n">
        <x:v>3051.493400764771</x:v>
      </x:c>
      <x:c r="K1502" s="12" t="n">
        <x:v>72</x:v>
      </x:c>
      <x:c r="L1502" s="12" t="n">
        <x:v>29.604045886271127</x:v>
      </x:c>
      <x:c r="M1502" s="12" t="n">
        <x:v>2</x:v>
      </x:c>
      <x:c r="N1502" s="14" t="n">
        <x:v>0.5813523724081363</x:v>
      </x:c>
      <x:c r="O1502" s="14" t="n">
        <x:v>0.4186476275918637</x:v>
      </x:c>
      <x:c r="P1502" s="14" t="n">
        <x:v>0.28066068685420975</x:v>
      </x:c>
      <x:c r="Q1502" s="14" t="n">
        <x:v>0.25245051998729484</x:v>
      </x:c>
      <x:c r="R1502" s="14" t="n">
        <x:v>0.08121836378073216</x:v>
      </x:c>
      <x:c r="S1502" s="14" t="n">
        <x:v>0.5679843195825296</x:v>
      </x:c>
      <x:c r="T1502" t="str">
        <x:v>여성소비</x:v>
      </x:c>
      <x:c r="U1502" s="16" t="n">
        <x:v>54.750397950157</x:v>
      </x:c>
      <x:c r="V1502" t="str">
        <x:v>미용실</x:v>
      </x:c>
      <x:c r="W1502" t="str">
        <x:v>미용실 / 한식음식점</x:v>
      </x:c>
      <x:c r="X1502" s="16" t="n">
        <x:v>36.92937133535963</x:v>
      </x:c>
    </x:row>
    <x:row r="1503">
      <x:c r="A1503" t="str">
        <x:v>3110494</x:v>
      </x:c>
      <x:c r="B1503" t="str">
        <x:v>증산3교남측</x:v>
      </x:c>
      <x:c r="C1503" t="str">
        <x:v>골목상권</x:v>
      </x:c>
      <x:c r="D1503" t="str">
        <x:v>서대문구</x:v>
      </x:c>
      <x:c r="E1503" t="str">
        <x:v>북가좌1동</x:v>
      </x:c>
      <x:c r="F1503" s="12" t="n">
        <x:v>32244</x:v>
      </x:c>
      <x:c r="G1503" s="12" t="n">
        <x:v>74175778</x:v>
      </x:c>
      <x:c r="H1503" s="12" t="n">
        <x:v>597</x:v>
      </x:c>
      <x:c r="I1503" s="12" t="n">
        <x:v>124247.53433835845</x:v>
      </x:c>
      <x:c r="J1503" s="12" t="n">
        <x:v>2300.4521151221934</x:v>
      </x:c>
      <x:c r="K1503" s="12" t="n">
        <x:v>46</x:v>
      </x:c>
      <x:c r="L1503" s="12" t="n">
        <x:v>14.26622007195137</x:v>
      </x:c>
      <x:c r="M1503" s="12" t="n">
        <x:v>1</x:v>
      </x:c>
      <x:c r="N1503" s="14" t="n">
        <x:v>0.8512780546770942</x:v>
      </x:c>
      <x:c r="O1503" s="14" t="n">
        <x:v>0.1487219453229058</x:v>
      </x:c>
      <x:c r="P1503" s="14" t="n">
        <x:v>0.14400680772097868</x:v>
      </x:c>
      <x:c r="Q1503" s="14" t="n">
        <x:v>0.2837166871374103</x:v>
      </x:c>
      <x:c r="R1503" s="14" t="n">
        <x:v>0.0726576538233276</x:v>
      </x:c>
      <x:c r="S1503" s="14" t="n">
        <x:v>0.12911048941070763</x:v>
      </x:c>
      <x:c r="T1503" t="str">
        <x:v>평일집중</x:v>
      </x:c>
      <x:c r="U1503" s="16" t="n">
        <x:v>37.54674856829444</x:v>
      </x:c>
      <x:c r="V1503" t="str">
        <x:v>자동차수리</x:v>
      </x:c>
      <x:c r="W1503" t="str">
        <x:v>자동차수리</x:v>
      </x:c>
      <x:c r="X1503" s="16" t="n">
        <x:v>37.54674856829444</x:v>
      </x:c>
    </x:row>
    <x:row r="1504">
      <x:c r="A1504" t="str">
        <x:v>3110986</x:v>
      </x:c>
      <x:c r="B1504" t="str">
        <x:v>삼성중앙역 7번</x:v>
      </x:c>
      <x:c r="C1504" t="str">
        <x:v>골목상권</x:v>
      </x:c>
      <x:c r="D1504" t="str">
        <x:v>강남구</x:v>
      </x:c>
      <x:c r="E1504" t="str">
        <x:v>삼성2동</x:v>
      </x:c>
      <x:c r="F1504" s="12" t="n">
        <x:v>15944</x:v>
      </x:c>
      <x:c r="G1504" s="12" t="n">
        <x:v>72782240</x:v>
      </x:c>
      <x:c r="H1504" s="12" t="n">
        <x:v>2056</x:v>
      </x:c>
      <x:c r="I1504" s="12" t="n">
        <x:v>35399.92217898833</x:v>
      </x:c>
      <x:c r="J1504" s="12" t="n">
        <x:v>4564.867034621174</x:v>
      </x:c>
      <x:c r="K1504" s="12" t="n">
        <x:v>291</x:v>
      </x:c>
      <x:c r="L1504" s="12" t="n">
        <x:v>182.5137982940291</x:v>
      </x:c>
      <x:c r="M1504" s="12" t="n">
        <x:v>2</x:v>
      </x:c>
      <x:c r="N1504" s="14" t="n">
        <x:v>0.8406829193495556</x:v>
      </x:c>
      <x:c r="O1504" s="14" t="n">
        <x:v>0.1593170806504444</x:v>
      </x:c>
      <x:c r="P1504" s="14" t="n">
        <x:v>0.27000880984152176</x:v>
      </x:c>
      <x:c r="Q1504" s="14" t="n">
        <x:v>0.30513780559653014</x:v>
      </x:c>
      <x:c r="R1504" s="14" t="n">
        <x:v>0.2891488500491329</x:v>
      </x:c>
      <x:c r="S1504" s="14" t="n">
        <x:v>0.45589162960634355</x:v>
      </x:c>
      <x:c r="T1504" t="str">
        <x:v>평일집중·직장밀집</x:v>
      </x:c>
      <x:c r="U1504" s="16" t="n">
        <x:v>40.80846048543348</x:v>
      </x:c>
      <x:c r="V1504" t="str">
        <x:v>미용실</x:v>
      </x:c>
      <x:c r="W1504" t="str">
        <x:v>미용실 / 피부관리실</x:v>
      </x:c>
      <x:c r="X1504" s="16" t="n">
        <x:v>40.31818416786355</x:v>
      </x:c>
    </x:row>
    <x:row r="1505">
      <x:c r="A1505" t="str">
        <x:v>3110032</x:v>
      </x:c>
      <x:c r="B1505" t="str">
        <x:v>수족관거리</x:v>
      </x:c>
      <x:c r="C1505" t="str">
        <x:v>골목상권</x:v>
      </x:c>
      <x:c r="D1505" t="str">
        <x:v>종로구</x:v>
      </x:c>
      <x:c r="E1505" t="str">
        <x:v>창신1동</x:v>
      </x:c>
      <x:c r="F1505" s="12" t="n">
        <x:v>9323</x:v>
      </x:c>
      <x:c r="G1505" s="12" t="n">
        <x:v>70943028</x:v>
      </x:c>
      <x:c r="H1505" s="12" t="n">
        <x:v>2407</x:v>
      </x:c>
      <x:c r="I1505" s="12" t="n">
        <x:v>29473.630245118406</x:v>
      </x:c>
      <x:c r="J1505" s="12" t="n">
        <x:v>7609.463477421431</x:v>
      </x:c>
      <x:c r="K1505" s="12" t="n">
        <x:v>88</x:v>
      </x:c>
      <x:c r="L1505" s="12" t="n">
        <x:v>94.39021774107046</x:v>
      </x:c>
      <x:c r="M1505" s="12" t="n">
        <x:v>1</x:v>
      </x:c>
      <x:c r="N1505" s="14" t="n">
        <x:v>0.7920843750847512</x:v>
      </x:c>
      <x:c r="O1505" s="14" t="n">
        <x:v>0.2079156249152489</x:v>
      </x:c>
      <x:c r="P1505" s="14" t="n">
        <x:v>0.5484322293094115</x:v>
      </x:c>
      <x:c r="Q1505" s="14" t="n">
        <x:v>0.13813136084352082</x:v>
      </x:c>
      <x:c r="R1505" s="14" t="n">
        <x:v>0.41583822726033065</x:v>
      </x:c>
      <x:c r="S1505" s="14" t="n">
        <x:v>0.38213635313113503</x:v>
      </x:c>
      <x:c r="T1505" t="str">
        <x:v>2030소비·야간활성</x:v>
      </x:c>
      <x:c r="U1505" s="16" t="n">
        <x:v>22.553784874319476</x:v>
      </x:c>
      <x:c r="V1505" t="str">
        <x:v>한식음식점</x:v>
      </x:c>
      <x:c r="W1505" t="str">
        <x:v>한식음식점</x:v>
      </x:c>
      <x:c r="X1505" s="16" t="n">
        <x:v>22.553784874319476</x:v>
      </x:c>
    </x:row>
    <x:row r="1506">
      <x:c r="A1506" t="str">
        <x:v>3110491</x:v>
      </x:c>
      <x:c r="B1506" t="str">
        <x:v>불광중학교</x:v>
      </x:c>
      <x:c r="C1506" t="str">
        <x:v>골목상권</x:v>
      </x:c>
      <x:c r="D1506" t="str">
        <x:v>은평구</x:v>
      </x:c>
      <x:c r="E1506" t="str">
        <x:v>불광2동</x:v>
      </x:c>
      <x:c r="F1506" s="12" t="n">
        <x:v>300653</x:v>
      </x:c>
      <x:c r="G1506" s="12" t="n">
        <x:v>69261533</x:v>
      </x:c>
      <x:c r="H1506" s="12" t="n">
        <x:v>2044</x:v>
      </x:c>
      <x:c r="I1506" s="12" t="n">
        <x:v>33885.29011741683</x:v>
      </x:c>
      <x:c r="J1506" s="12" t="n">
        <x:v>230.37033723262365</x:v>
      </x:c>
      <x:c r="K1506" s="12" t="n">
        <x:v>93</x:v>
      </x:c>
      <x:c r="L1506" s="12" t="n">
        <x:v>3.0932669888542605</x:v>
      </x:c>
      <x:c r="M1506" s="12" t="n">
        <x:v>1</x:v>
      </x:c>
      <x:c r="N1506" s="14" t="n">
        <x:v>0.5361834829731533</x:v>
      </x:c>
      <x:c r="O1506" s="14" t="n">
        <x:v>0.4638165170268466</x:v>
      </x:c>
      <x:c r="P1506" s="14" t="n">
        <x:v>0.44291755713810144</x:v>
      </x:c>
      <x:c r="Q1506" s="14" t="n">
        <x:v>0.25929124323598207</x:v>
      </x:c>
      <x:c r="R1506" s="14" t="n">
        <x:v>0.11767452504985704</x:v>
      </x:c>
      <x:c r="S1506" s="14" t="n">
        <x:v>0.3263464151161656</x:v>
      </x:c>
      <x:c r="T1506" t="str">
        <x:v>야간활성</x:v>
      </x:c>
      <x:c r="U1506" s="16" t="n">
        <x:v>36.0972128045701</x:v>
      </x:c>
      <x:c r="V1506" t="str">
        <x:v>한식음식점</x:v>
      </x:c>
      <x:c r="W1506" t="str">
        <x:v>한식음식점</x:v>
      </x:c>
      <x:c r="X1506" s="16" t="n">
        <x:v>36.0972128045701</x:v>
      </x:c>
    </x:row>
    <x:row r="1507">
      <x:c r="A1507" t="str">
        <x:v>3110923</x:v>
      </x:c>
      <x:c r="B1507" t="str">
        <x:v>방배역 1번</x:v>
      </x:c>
      <x:c r="C1507" t="str">
        <x:v>골목상권</x:v>
      </x:c>
      <x:c r="D1507" t="str">
        <x:v>서초구</x:v>
      </x:c>
      <x:c r="E1507" t="str">
        <x:v>방배3동</x:v>
      </x:c>
      <x:c r="F1507" s="12" t="n">
        <x:v>14707</x:v>
      </x:c>
      <x:c r="G1507" s="12" t="n">
        <x:v>68548936</x:v>
      </x:c>
      <x:c r="H1507" s="12" t="n">
        <x:v>618</x:v>
      </x:c>
      <x:c r="I1507" s="12" t="n">
        <x:v>110920.60841423948</x:v>
      </x:c>
      <x:c r="J1507" s="12" t="n">
        <x:v>4660.973414020535</x:v>
      </x:c>
      <x:c r="K1507" s="12" t="n">
        <x:v>272</x:v>
      </x:c>
      <x:c r="L1507" s="12" t="n">
        <x:v>184.94594410824777</x:v>
      </x:c>
      <x:c r="M1507" s="12" t="n">
        <x:v>1</x:v>
      </x:c>
      <x:c r="N1507" s="14" t="n">
        <x:v>0.7206038033909089</x:v>
      </x:c>
      <x:c r="O1507" s="14" t="n">
        <x:v>0.27939619660909104</x:v>
      </x:c>
      <x:c r="P1507" s="14" t="n">
        <x:v>0.42737639282978807</x:v>
      </x:c>
      <x:c r="Q1507" s="14" t="n">
        <x:v>0.20877085532005923</x:v>
      </x:c>
      <x:c r="R1507" s="14" t="n">
        <x:v>0.7090155564194315</x:v>
      </x:c>
      <x:c r="S1507" s="14" t="n">
        <x:v>0.7049991264634654</x:v>
      </x:c>
      <x:c r="T1507" t="str">
        <x:v>2030소비·여성소비</x:v>
      </x:c>
      <x:c r="U1507" s="16" t="n">
        <x:v>60.6973276130123</x:v>
      </x:c>
      <x:c r="V1507" t="str">
        <x:v>미용실</x:v>
      </x:c>
      <x:c r="W1507" t="str">
        <x:v>미용실</x:v>
      </x:c>
      <x:c r="X1507" s="16" t="n">
        <x:v>60.6973276130123</x:v>
      </x:c>
    </x:row>
    <x:row r="1508">
      <x:c r="A1508" t="str">
        <x:v>3110624</x:v>
      </x:c>
      <x:c r="B1508" t="str">
        <x:v>목동문화체육센터</x:v>
      </x:c>
      <x:c r="C1508" t="str">
        <x:v>골목상권</x:v>
      </x:c>
      <x:c r="D1508" t="str">
        <x:v>양천구</x:v>
      </x:c>
      <x:c r="E1508" t="str">
        <x:v>목2동</x:v>
      </x:c>
      <x:c r="F1508" s="12" t="n">
        <x:v>43801</x:v>
      </x:c>
      <x:c r="G1508" s="12" t="n">
        <x:v>65368648</x:v>
      </x:c>
      <x:c r="H1508" s="12" t="n">
        <x:v>1875</x:v>
      </x:c>
      <x:c r="I1508" s="12" t="n">
        <x:v>34863.278933333335</x:v>
      </x:c>
      <x:c r="J1508" s="12" t="n">
        <x:v>1492.400812766832</x:v>
      </x:c>
      <x:c r="K1508" s="12" t="n">
        <x:v>182</x:v>
      </x:c>
      <x:c r="L1508" s="12" t="n">
        <x:v>41.55156274970891</x:v>
      </x:c>
      <x:c r="M1508" s="12" t="n">
        <x:v>3</x:v>
      </x:c>
      <x:c r="N1508" s="14" t="n">
        <x:v>0.6983521672346658</x:v>
      </x:c>
      <x:c r="O1508" s="14" t="n">
        <x:v>0.30164783276533425</x:v>
      </x:c>
      <x:c r="P1508" s="14" t="n">
        <x:v>0.2784743077445934</x:v>
      </x:c>
      <x:c r="Q1508" s="14" t="n">
        <x:v>0.315113171684383</x:v>
      </x:c>
      <x:c r="R1508" s="14" t="n">
        <x:v>0.16252026506651934</x:v>
      </x:c>
      <x:c r="S1508" s="14" t="n">
        <x:v>0.4390943958333053</x:v>
      </x:c>
      <x:c r="T1508" t="str">
        <x:v>균형형</x:v>
      </x:c>
      <x:c r="U1508" s="16" t="n">
        <x:v>46.157263433161994</x:v>
      </x:c>
      <x:c r="V1508" t="str">
        <x:v>미용실</x:v>
      </x:c>
      <x:c r="W1508" t="str">
        <x:v>미용실 / 예술학원 / 한식음식점</x:v>
      </x:c>
      <x:c r="X1508" s="16" t="n">
        <x:v>36.489800120756286</x:v>
      </x:c>
    </x:row>
    <x:row r="1509">
      <x:c r="A1509" t="str">
        <x:v>3110031</x:v>
      </x:c>
      <x:c r="B1509" t="str">
        <x:v>창신역 1번</x:v>
      </x:c>
      <x:c r="C1509" t="str">
        <x:v>골목상권</x:v>
      </x:c>
      <x:c r="D1509" t="str">
        <x:v>종로구</x:v>
      </x:c>
      <x:c r="E1509" t="str">
        <x:v>창신3동</x:v>
      </x:c>
      <x:c r="F1509" s="12" t="n">
        <x:v>32878</x:v>
      </x:c>
      <x:c r="G1509" s="12" t="n">
        <x:v>64663104</x:v>
      </x:c>
      <x:c r="H1509" s="12" t="n">
        <x:v>2178</x:v>
      </x:c>
      <x:c r="I1509" s="12" t="n">
        <x:v>29689.21212121212</x:v>
      </x:c>
      <x:c r="J1509" s="12" t="n">
        <x:v>1966.7590486039296</x:v>
      </x:c>
      <x:c r="K1509" s="12" t="n">
        <x:v>69</x:v>
      </x:c>
      <x:c r="L1509" s="12" t="n">
        <x:v>20.986678021777482</x:v>
      </x:c>
      <x:c r="M1509" s="12" t="n">
        <x:v>1</x:v>
      </x:c>
      <x:c r="N1509" s="14" t="n">
        <x:v>0.5406888602192682</x:v>
      </x:c>
      <x:c r="O1509" s="14" t="n">
        <x:v>0.45931113978073185</x:v>
      </x:c>
      <x:c r="P1509" s="14" t="n">
        <x:v>0.24545236801499662</x:v>
      </x:c>
      <x:c r="Q1509" s="14" t="n">
        <x:v>0.22946577077401048</x:v>
      </x:c>
      <x:c r="R1509" s="14" t="n">
        <x:v>0.30796916275469854</x:v>
      </x:c>
      <x:c r="S1509" s="14" t="n">
        <x:v>0.5550934733971323</x:v>
      </x:c>
      <x:c r="T1509" t="str">
        <x:v>여성소비·2030소비</x:v>
      </x:c>
      <x:c r="U1509" s="16" t="n">
        <x:v>48.04443206583452</x:v>
      </x:c>
      <x:c r="V1509" t="str">
        <x:v>미용실</x:v>
      </x:c>
      <x:c r="W1509" t="str">
        <x:v>미용실</x:v>
      </x:c>
      <x:c r="X1509" s="16" t="n">
        <x:v>48.04443206583452</x:v>
      </x:c>
    </x:row>
    <x:row r="1510">
      <x:c r="A1510" t="str">
        <x:v>3110363</x:v>
      </x:c>
      <x:c r="B1510" t="str">
        <x:v>송천동주민센터</x:v>
      </x:c>
      <x:c r="C1510" t="str">
        <x:v>골목상권</x:v>
      </x:c>
      <x:c r="D1510" t="str">
        <x:v>강북구</x:v>
      </x:c>
      <x:c r="E1510" t="str">
        <x:v>송천동</x:v>
      </x:c>
      <x:c r="F1510" s="12" t="n">
        <x:v>26098</x:v>
      </x:c>
      <x:c r="G1510" s="12" t="n">
        <x:v>64078581</x:v>
      </x:c>
      <x:c r="H1510" s="12" t="n">
        <x:v>1411</x:v>
      </x:c>
      <x:c r="I1510" s="12" t="n">
        <x:v>45413.59390503189</x:v>
      </x:c>
      <x:c r="J1510" s="12" t="n">
        <x:v>2455.3061920453674</x:v>
      </x:c>
      <x:c r="K1510" s="12" t="n">
        <x:v>20</x:v>
      </x:c>
      <x:c r="L1510" s="12" t="n">
        <x:v>7.663422484481569</x:v>
      </x:c>
      <x:c r="M1510" s="12" t="n">
        <x:v>2</x:v>
      </x:c>
      <x:c r="N1510" s="14" t="n">
        <x:v>0.5782054537069102</x:v>
      </x:c>
      <x:c r="O1510" s="14" t="n">
        <x:v>0.4217945462930897</x:v>
      </x:c>
      <x:c r="P1510" s="14" t="n">
        <x:v>0.7363399947948286</x:v>
      </x:c>
      <x:c r="Q1510" s="14" t="n">
        <x:v>0.1240229398962502</x:v>
      </x:c>
      <x:c r="R1510" s="14" t="n">
        <x:v>0.13723785487696738</x:v>
      </x:c>
      <x:c r="S1510" s="14" t="n">
        <x:v>0.27165646817303896</x:v>
      </x:c>
      <x:c r="T1510" t="str">
        <x:v>야간활성</x:v>
      </x:c>
      <x:c r="U1510" s="16" t="n">
        <x:v>41.36952156135781</x:v>
      </x:c>
      <x:c r="V1510" t="str">
        <x:v>패스트푸드점</x:v>
      </x:c>
      <x:c r="W1510" t="str">
        <x:v>패스트푸드점 / 한식음식점</x:v>
      </x:c>
      <x:c r="X1510" s="16" t="n">
        <x:v>38.71608938620794</x:v>
      </x:c>
    </x:row>
    <x:row r="1511">
      <x:c r="A1511" t="str">
        <x:v>3110006</x:v>
      </x:c>
      <x:c r="B1511" t="str">
        <x:v>부암동주민센터</x:v>
      </x:c>
      <x:c r="C1511" t="str">
        <x:v>골목상권</x:v>
      </x:c>
      <x:c r="D1511" t="str">
        <x:v>종로구</x:v>
      </x:c>
      <x:c r="E1511" t="str">
        <x:v>부암동</x:v>
      </x:c>
      <x:c r="F1511" s="12" t="n">
        <x:v>91486</x:v>
      </x:c>
      <x:c r="G1511" s="12" t="n">
        <x:v>61276669</x:v>
      </x:c>
      <x:c r="H1511" s="12" t="n">
        <x:v>4955</x:v>
      </x:c>
      <x:c r="I1511" s="12" t="n">
        <x:v>12366.633501513623</x:v>
      </x:c>
      <x:c r="J1511" s="12" t="n">
        <x:v>669.792853551363</x:v>
      </x:c>
      <x:c r="K1511" s="12" t="n">
        <x:v>284</x:v>
      </x:c>
      <x:c r="L1511" s="12" t="n">
        <x:v>31.04300111492469</x:v>
      </x:c>
      <x:c r="M1511" s="12" t="n">
        <x:v>1</x:v>
      </x:c>
      <x:c r="N1511" s="14" t="n">
        <x:v>0.5374940990999364</x:v>
      </x:c>
      <x:c r="O1511" s="14" t="n">
        <x:v>0.4625059009000636</x:v>
      </x:c>
      <x:c r="P1511" s="14" t="n">
        <x:v>0.35139773997832685</x:v>
      </x:c>
      <x:c r="Q1511" s="14" t="n">
        <x:v>0.22044631701504533</x:v>
      </x:c>
      <x:c r="R1511" s="14" t="n">
        <x:v>0.36752160924413174</x:v>
      </x:c>
      <x:c r="S1511" s="14" t="n">
        <x:v>0.5835036333322884</x:v>
      </x:c>
      <x:c r="T1511" t="str">
        <x:v>여성소비·2030소비</x:v>
      </x:c>
      <x:c r="U1511" s="16" t="n">
        <x:v>43.394849097934824</x:v>
      </x:c>
      <x:c r="V1511" t="str">
        <x:v>커피-음료</x:v>
      </x:c>
      <x:c r="W1511" t="str">
        <x:v>커피-음료</x:v>
      </x:c>
      <x:c r="X1511" s="16" t="n">
        <x:v>43.394849097934824</x:v>
      </x:c>
    </x:row>
    <x:row r="1512">
      <x:c r="A1512" t="str">
        <x:v>3110344</x:v>
      </x:c>
      <x:c r="B1512" t="str">
        <x:v>화계중학교</x:v>
      </x:c>
      <x:c r="C1512" t="str">
        <x:v>골목상권</x:v>
      </x:c>
      <x:c r="D1512" t="str">
        <x:v>강북구</x:v>
      </x:c>
      <x:c r="E1512" t="str">
        <x:v>수유1동</x:v>
      </x:c>
      <x:c r="F1512" s="12" t="n">
        <x:v>38830</x:v>
      </x:c>
      <x:c r="G1512" s="12" t="n">
        <x:v>61094197</x:v>
      </x:c>
      <x:c r="H1512" s="12" t="n">
        <x:v>807</x:v>
      </x:c>
      <x:c r="I1512" s="12" t="n">
        <x:v>75705.32465923172</x:v>
      </x:c>
      <x:c r="J1512" s="12" t="n">
        <x:v>1573.3761782127222</x:v>
      </x:c>
      <x:c r="K1512" s="12" t="n">
        <x:v>56</x:v>
      </x:c>
      <x:c r="L1512" s="12" t="n">
        <x:v>14.421838784445017</x:v>
      </x:c>
      <x:c r="M1512" s="12" t="n">
        <x:v>2</x:v>
      </x:c>
      <x:c r="N1512" s="14" t="n">
        <x:v>0.8147024831179956</x:v>
      </x:c>
      <x:c r="O1512" s="14" t="n">
        <x:v>0.18529751688200435</x:v>
      </x:c>
      <x:c r="P1512" s="14" t="n">
        <x:v>0.39998965859228824</x:v>
      </x:c>
      <x:c r="Q1512" s="14" t="n">
        <x:v>0.3784196394299118</x:v>
      </x:c>
      <x:c r="R1512" s="14" t="n">
        <x:v>0.030858921019945643</x:v>
      </x:c>
      <x:c r="S1512" s="14" t="n">
        <x:v>0.5061502322389146</x:v>
      </x:c>
      <x:c r="T1512" t="str">
        <x:v>평일집중·여성소비</x:v>
      </x:c>
      <x:c r="U1512" s="16" t="n">
        <x:v>42.471047961217614</x:v>
      </x:c>
      <x:c r="V1512" t="str">
        <x:v>커피-음료</x:v>
      </x:c>
      <x:c r="W1512" t="str">
        <x:v>커피-음료 / 한식음식점</x:v>
      </x:c>
      <x:c r="X1512" s="16" t="n">
        <x:v>32.70413567639432</x:v>
      </x:c>
    </x:row>
    <x:row r="1513">
      <x:c r="A1513" t="str">
        <x:v>3111040</x:v>
      </x:c>
      <x:c r="B1513" t="str">
        <x:v>거여초등학교</x:v>
      </x:c>
      <x:c r="C1513" t="str">
        <x:v>골목상권</x:v>
      </x:c>
      <x:c r="D1513" t="str">
        <x:v>송파구</x:v>
      </x:c>
      <x:c r="E1513" t="str">
        <x:v>오금동</x:v>
      </x:c>
      <x:c r="F1513" s="12" t="n">
        <x:v>57097</x:v>
      </x:c>
      <x:c r="G1513" s="12" t="n">
        <x:v>59255460</x:v>
      </x:c>
      <x:c r="H1513" s="12" t="n">
        <x:v>2530</x:v>
      </x:c>
      <x:c r="I1513" s="12" t="n">
        <x:v>23421.130434782608</x:v>
      </x:c>
      <x:c r="J1513" s="12" t="n">
        <x:v>1037.8033872182427</x:v>
      </x:c>
      <x:c r="K1513" s="12" t="n">
        <x:v>578</x:v>
      </x:c>
      <x:c r="L1513" s="12" t="n">
        <x:v>101.23123806855001</x:v>
      </x:c>
      <x:c r="M1513" s="12" t="n">
        <x:v>3</x:v>
      </x:c>
      <x:c r="N1513" s="14" t="n">
        <x:v>0.7084235613055742</x:v>
      </x:c>
      <x:c r="O1513" s="14" t="n">
        <x:v>0.2915764386944258</x:v>
      </x:c>
      <x:c r="P1513" s="14" t="n">
        <x:v>0.2786050770680035</x:v>
      </x:c>
      <x:c r="Q1513" s="14" t="n">
        <x:v>0.2861602120715964</x:v>
      </x:c>
      <x:c r="R1513" s="14" t="n">
        <x:v>0.3203573814126158</x:v>
      </x:c>
      <x:c r="S1513" s="14" t="n">
        <x:v>0.5137632380205976</x:v>
      </x:c>
      <x:c r="T1513" t="str">
        <x:v>2030소비·여성소비</x:v>
      </x:c>
      <x:c r="U1513" s="16" t="n">
        <x:v>42.26454654350365</x:v>
      </x:c>
      <x:c r="V1513" t="str">
        <x:v>미용실</x:v>
      </x:c>
      <x:c r="W1513" t="str">
        <x:v>미용실 / 커피-음료 / 예술학원</x:v>
      </x:c>
      <x:c r="X1513" s="16" t="n">
        <x:v>40.55145178932298</x:v>
      </x:c>
    </x:row>
    <x:row r="1514">
      <x:c r="A1514" t="str">
        <x:v>3110779</x:v>
      </x:c>
      <x:c r="B1514" t="str">
        <x:v>대림갑을명가아파트</x:v>
      </x:c>
      <x:c r="C1514" t="str">
        <x:v>골목상권</x:v>
      </x:c>
      <x:c r="D1514" t="str">
        <x:v>영등포구</x:v>
      </x:c>
      <x:c r="E1514" t="str">
        <x:v>대림1동</x:v>
      </x:c>
      <x:c r="F1514" s="12" t="n">
        <x:v>13131</x:v>
      </x:c>
      <x:c r="G1514" s="12" t="n">
        <x:v>57939213</x:v>
      </x:c>
      <x:c r="H1514" s="12" t="n">
        <x:v>1267</x:v>
      </x:c>
      <x:c r="I1514" s="12" t="n">
        <x:v>45729.449881610104</x:v>
      </x:c>
      <x:c r="J1514" s="12" t="n">
        <x:v>4412.399131825451</x:v>
      </x:c>
      <x:c r="K1514" s="12" t="n">
        <x:v>44</x:v>
      </x:c>
      <x:c r="L1514" s="12" t="n">
        <x:v>33.50849135633234</x:v>
      </x:c>
      <x:c r="M1514" s="12" t="n">
        <x:v>1</x:v>
      </x:c>
      <x:c r="N1514" s="14" t="n">
        <x:v>0.7284598946830707</x:v>
      </x:c>
      <x:c r="O1514" s="14" t="n">
        <x:v>0.2715401053169293</x:v>
      </x:c>
      <x:c r="P1514" s="14" t="n">
        <x:v>0.48800567933154354</x:v>
      </x:c>
      <x:c r="Q1514" s="14" t="n">
        <x:v>0.4702626009089906</x:v>
      </x:c>
      <x:c r="R1514" s="14" t="n">
        <x:v>0.10674237152651694</x:v>
      </x:c>
      <x:c r="S1514" s="14" t="n">
        <x:v>0.14137685991696158</x:v>
      </x:c>
      <x:c r="T1514" t="str">
        <x:v>야간활성</x:v>
      </x:c>
      <x:c r="U1514" s="16" t="n">
        <x:v>24.87968667256476</x:v>
      </x:c>
      <x:c r="V1514" t="str">
        <x:v>한식음식점</x:v>
      </x:c>
      <x:c r="W1514" t="str">
        <x:v>한식음식점</x:v>
      </x:c>
      <x:c r="X1514" s="16" t="n">
        <x:v>24.87968667256476</x:v>
      </x:c>
    </x:row>
    <x:row r="1515">
      <x:c r="A1515" t="str">
        <x:v>3130291</x:v>
      </x:c>
      <x:c r="B1515" t="str">
        <x:v>봉천제일종합시장</x:v>
      </x:c>
      <x:c r="C1515" t="str">
        <x:v>전통시장</x:v>
      </x:c>
      <x:c r="D1515" t="str">
        <x:v>관악구</x:v>
      </x:c>
      <x:c r="E1515" t="str">
        <x:v>청룡동</x:v>
      </x:c>
      <x:c r="F1515" s="12" t="n">
        <x:v>3079</x:v>
      </x:c>
      <x:c r="G1515" s="12" t="n">
        <x:v>57818572</x:v>
      </x:c>
      <x:c r="H1515" s="12" t="n">
        <x:v>1856</x:v>
      </x:c>
      <x:c r="I1515" s="12" t="n">
        <x:v>31152.247844827587</x:v>
      </x:c>
      <x:c r="J1515" s="12" t="n">
        <x:v>18778.360506658006</x:v>
      </x:c>
      <x:c r="K1515" s="12" t="n">
        <x:v>48</x:v>
      </x:c>
      <x:c r="L1515" s="12" t="n">
        <x:v>155.89477102955505</x:v>
      </x:c>
      <x:c r="M1515" s="12" t="n">
        <x:v>1</x:v>
      </x:c>
      <x:c r="N1515" s="14" t="n">
        <x:v>0.7593532403394535</x:v>
      </x:c>
      <x:c r="O1515" s="14" t="n">
        <x:v>0.24064675966054644</x:v>
      </x:c>
      <x:c r="P1515" s="14" t="n">
        <x:v>0.5658988430222732</x:v>
      </x:c>
      <x:c r="Q1515" s="14" t="n">
        <x:v>0.21710769681409633</x:v>
      </x:c>
      <x:c r="R1515" s="14" t="n">
        <x:v>0.5320012400167891</x:v>
      </x:c>
      <x:c r="S1515" s="14" t="n">
        <x:v>0.5926009033913878</x:v>
      </x:c>
      <x:c r="T1515" t="str">
        <x:v>2030소비·여성소비</x:v>
      </x:c>
      <x:c r="U1515" s="16" t="n">
        <x:v>40.290039827592175</x:v>
      </x:c>
      <x:c r="V1515" t="str">
        <x:v>한식음식점</x:v>
      </x:c>
      <x:c r="W1515" t="str">
        <x:v>한식음식점</x:v>
      </x:c>
      <x:c r="X1515" s="16" t="n">
        <x:v>40.290039827592175</x:v>
      </x:c>
    </x:row>
    <x:row r="1516">
      <x:c r="A1516" t="str">
        <x:v>3110767</x:v>
      </x:c>
      <x:c r="B1516" t="str">
        <x:v>도림동주민센터</x:v>
      </x:c>
      <x:c r="C1516" t="str">
        <x:v>골목상권</x:v>
      </x:c>
      <x:c r="D1516" t="str">
        <x:v>영등포구</x:v>
      </x:c>
      <x:c r="E1516" t="str">
        <x:v>도림동</x:v>
      </x:c>
      <x:c r="F1516" s="12" t="n">
        <x:v>27268</x:v>
      </x:c>
      <x:c r="G1516" s="12" t="n">
        <x:v>57049342</x:v>
      </x:c>
      <x:c r="H1516" s="12" t="n">
        <x:v>187</x:v>
      </x:c>
      <x:c r="I1516" s="12" t="n">
        <x:v>305076.69518716575</x:v>
      </x:c>
      <x:c r="J1516" s="12" t="n">
        <x:v>2092.1718497872967</x:v>
      </x:c>
      <x:c r="K1516" s="12" t="n">
        <x:v>40</x:v>
      </x:c>
      <x:c r="L1516" s="12" t="n">
        <x:v>14.669209329617134</x:v>
      </x:c>
      <x:c r="M1516" s="12" t="n">
        <x:v>1</x:v>
      </x:c>
      <x:c r="N1516" s="14" t="n">
        <x:v>0.9917297205636482</x:v>
      </x:c>
      <x:c r="O1516" s="14" t="n">
        <x:v>0.008270279436351781</x:v>
      </x:c>
      <x:c r="P1516" s="14" t="n">
        <x:v>0.6383383002033572</x:v>
      </x:c>
      <x:c r="Q1516" s="14" t="n">
        <x:v>0.11954306151331245</x:v>
      </x:c>
      <x:c r="R1516" s="14" t="n">
        <x:v>0.6587460903580623</x:v>
      </x:c>
      <x:c r="S1516" s="14" t="n">
        <x:v>0.5301124244342731</x:v>
      </x:c>
      <x:c r="T1516" t="str">
        <x:v>2030소비·평일집중</x:v>
      </x:c>
      <x:c r="U1516" s="16" t="n">
        <x:v>48.54979130593426</x:v>
      </x:c>
      <x:c r="V1516" t="str">
        <x:v>스포츠 강습</x:v>
      </x:c>
      <x:c r="W1516" t="str">
        <x:v>스포츠 강습</x:v>
      </x:c>
      <x:c r="X1516" s="16" t="n">
        <x:v>48.54979130593426</x:v>
      </x:c>
    </x:row>
    <x:row r="1517">
      <x:c r="A1517" t="str">
        <x:v>3110956</x:v>
      </x:c>
      <x:c r="B1517" t="str">
        <x:v>언주역 8번</x:v>
      </x:c>
      <x:c r="C1517" t="str">
        <x:v>골목상권</x:v>
      </x:c>
      <x:c r="D1517" t="str">
        <x:v>강남구</x:v>
      </x:c>
      <x:c r="E1517" t="str">
        <x:v>역삼1동</x:v>
      </x:c>
      <x:c r="F1517" s="12" t="n">
        <x:v>71587</x:v>
      </x:c>
      <x:c r="G1517" s="12" t="n">
        <x:v>55621351</x:v>
      </x:c>
      <x:c r="H1517" s="12" t="n">
        <x:v>608</x:v>
      </x:c>
      <x:c r="I1517" s="12" t="n">
        <x:v>91482.48519736843</x:v>
      </x:c>
      <x:c r="J1517" s="12" t="n">
        <x:v>776.9755821587719</x:v>
      </x:c>
      <x:c r="K1517" s="12" t="n">
        <x:v>1131</x:v>
      </x:c>
      <x:c r="L1517" s="12" t="n">
        <x:v>157.98957911352622</x:v>
      </x:c>
      <x:c r="M1517" s="12" t="n">
        <x:v>3</x:v>
      </x:c>
      <x:c r="N1517" s="14" t="n">
        <x:v>0.8430786048328816</x:v>
      </x:c>
      <x:c r="O1517" s="14" t="n">
        <x:v>0.15692139516711848</x:v>
      </x:c>
      <x:c r="P1517" s="14" t="n">
        <x:v>0.10699184563136556</x:v>
      </x:c>
      <x:c r="Q1517" s="14" t="n">
        <x:v>0.3139030909191688</x:v>
      </x:c>
      <x:c r="R1517" s="14" t="n">
        <x:v>0.0095103946684071</x:v>
      </x:c>
      <x:c r="S1517" s="14" t="n">
        <x:v>0.7204146120075364</x:v>
      </x:c>
      <x:c r="T1517" t="str">
        <x:v>여성소비·평일집중</x:v>
      </x:c>
      <x:c r="U1517" s="16" t="n">
        <x:v>41.422544565899315</x:v>
      </x:c>
      <x:c r="V1517" t="str">
        <x:v>미용실</x:v>
      </x:c>
      <x:c r="W1517" t="str">
        <x:v>미용실 / 일반의류 / 화장품</x:v>
      </x:c>
      <x:c r="X1517" s="16" t="n">
        <x:v>27.990523161184143</x:v>
      </x:c>
    </x:row>
    <x:row r="1518">
      <x:c r="A1518" t="str">
        <x:v>3110799</x:v>
      </x:c>
      <x:c r="B1518" t="str">
        <x:v>영등포본동주민센터</x:v>
      </x:c>
      <x:c r="C1518" t="str">
        <x:v>골목상권</x:v>
      </x:c>
      <x:c r="D1518" t="str">
        <x:v>영등포구</x:v>
      </x:c>
      <x:c r="E1518" t="str">
        <x:v>영등포본동</x:v>
      </x:c>
      <x:c r="F1518" s="12" t="n">
        <x:v>29319</x:v>
      </x:c>
      <x:c r="G1518" s="12" t="n">
        <x:v>49125060</x:v>
      </x:c>
      <x:c r="H1518" s="12" t="n">
        <x:v>1625</x:v>
      </x:c>
      <x:c r="I1518" s="12" t="n">
        <x:v>30230.806153846155</x:v>
      </x:c>
      <x:c r="J1518" s="12" t="n">
        <x:v>1675.536682697227</x:v>
      </x:c>
      <x:c r="K1518" s="12" t="n">
        <x:v>129</x:v>
      </x:c>
      <x:c r="L1518" s="12" t="n">
        <x:v>43.99877212728947</x:v>
      </x:c>
      <x:c r="M1518" s="12" t="n">
        <x:v>1</x:v>
      </x:c>
      <x:c r="N1518" s="14" t="n">
        <x:v>0.8872956898169692</x:v>
      </x:c>
      <x:c r="O1518" s="14" t="n">
        <x:v>0.11270431018303081</x:v>
      </x:c>
      <x:c r="P1518" s="14" t="n">
        <x:v>0.15427946551108537</x:v>
      </x:c>
      <x:c r="Q1518" s="14" t="n">
        <x:v>0.7336299233018748</x:v>
      </x:c>
      <x:c r="R1518" s="14" t="n">
        <x:v>0.041076692832538016</x:v>
      </x:c>
      <x:c r="S1518" s="14" t="n">
        <x:v>0.42764159473800134</x:v>
      </x:c>
      <x:c r="T1518" t="str">
        <x:v>평일집중</x:v>
      </x:c>
      <x:c r="U1518" s="16" t="n">
        <x:v>28.875695576713998</x:v>
      </x:c>
      <x:c r="V1518" t="str">
        <x:v>한식음식점</x:v>
      </x:c>
      <x:c r="W1518" t="str">
        <x:v>한식음식점</x:v>
      </x:c>
      <x:c r="X1518" s="16" t="n">
        <x:v>28.875695576713998</x:v>
      </x:c>
    </x:row>
    <x:row r="1519">
      <x:c r="A1519" t="str">
        <x:v>3110280</x:v>
      </x:c>
      <x:c r="B1519" t="str">
        <x:v>북정마을</x:v>
      </x:c>
      <x:c r="C1519" t="str">
        <x:v>골목상권</x:v>
      </x:c>
      <x:c r="D1519" t="str">
        <x:v>성북구</x:v>
      </x:c>
      <x:c r="E1519" t="str">
        <x:v>성북동</x:v>
      </x:c>
      <x:c r="F1519" s="12" t="n">
        <x:v>151078</x:v>
      </x:c>
      <x:c r="G1519" s="12" t="n">
        <x:v>48658361</x:v>
      </x:c>
      <x:c r="H1519" s="12" t="n">
        <x:v>2467</x:v>
      </x:c>
      <x:c r="I1519" s="12" t="n">
        <x:v>19723.697203080665</x:v>
      </x:c>
      <x:c r="J1519" s="12" t="n">
        <x:v>322.0744317504865</x:v>
      </x:c>
      <x:c r="K1519" s="12" t="n">
        <x:v>754</x:v>
      </x:c>
      <x:c r="L1519" s="12" t="n">
        <x:v>49.90799454586373</x:v>
      </x:c>
      <x:c r="M1519" s="12" t="n">
        <x:v>1</x:v>
      </x:c>
      <x:c r="N1519" s="14" t="n">
        <x:v>0.5949419258079819</x:v>
      </x:c>
      <x:c r="O1519" s="14" t="n">
        <x:v>0.4050580741920181</x:v>
      </x:c>
      <x:c r="P1519" s="14" t="n">
        <x:v>0.16270706282112543</x:v>
      </x:c>
      <x:c r="Q1519" s="14" t="n">
        <x:v>0.4371868176981958</x:v>
      </x:c>
      <x:c r="R1519" s="14" t="n">
        <x:v>0.3456346382073987</x:v>
      </x:c>
      <x:c r="S1519" s="14" t="n">
        <x:v>0.4735600938140929</x:v>
      </x:c>
      <x:c r="T1519" t="str">
        <x:v>2030소비·여성소비</x:v>
      </x:c>
      <x:c r="U1519" s="16" t="n">
        <x:v>36.81972811654251</x:v>
      </x:c>
      <x:c r="V1519" t="str">
        <x:v>커피-음료</x:v>
      </x:c>
      <x:c r="W1519" t="str">
        <x:v>커피-음료</x:v>
      </x:c>
      <x:c r="X1519" s="16" t="n">
        <x:v>36.81972811654251</x:v>
      </x:c>
    </x:row>
    <x:row r="1520">
      <x:c r="A1520" t="str">
        <x:v>3110960</x:v>
      </x:c>
      <x:c r="B1520" t="str">
        <x:v>은광여고</x:v>
      </x:c>
      <x:c r="C1520" t="str">
        <x:v>골목상권</x:v>
      </x:c>
      <x:c r="D1520" t="str">
        <x:v>강남구</x:v>
      </x:c>
      <x:c r="E1520" t="str">
        <x:v>도곡1동</x:v>
      </x:c>
      <x:c r="F1520" s="12" t="n">
        <x:v>25543</x:v>
      </x:c>
      <x:c r="G1520" s="12" t="n">
        <x:v>48000000</x:v>
      </x:c>
      <x:c r="H1520" s="12" t="n">
        <x:v>109</x:v>
      </x:c>
      <x:c r="I1520" s="12" t="n">
        <x:v>440366.97247706424</x:v>
      </x:c>
      <x:c r="J1520" s="12" t="n">
        <x:v>1879.1841208941785</x:v>
      </x:c>
      <x:c r="K1520" s="12" t="n">
        <x:v>556</x:v>
      </x:c>
      <x:c r="L1520" s="12" t="n">
        <x:v>217.67216067024233</x:v>
      </x:c>
      <x:c r="M1520" s="12" t="n">
        <x:v>1</x:v>
      </x:c>
      <x:c r="N1520" s="14" t="n">
        <x:v>0.4302246458333333</x:v>
      </x:c>
      <x:c r="O1520" s="14" t="n">
        <x:v>0.5697753541666667</x:v>
      </x:c>
      <x:c r="P1520" s="14" t="n">
        <x:v>0.16401304166666666</x:v>
      </x:c>
      <x:c r="Q1520" s="14" t="n">
        <x:v>0.37990064583333333</x:v>
      </x:c>
      <x:c r="R1520" s="14" t="n">
        <x:v>0</x:v>
      </x:c>
      <x:c r="S1520" s="14" t="n">
        <x:v>0.19500483333333332</x:v>
      </x:c>
      <x:c r="T1520" t="str">
        <x:v>직장밀집</x:v>
      </x:c>
      <x:c r="U1520" s="16" t="n">
        <x:v>36.83729306090317</x:v>
      </x:c>
      <x:c r="V1520" t="str">
        <x:v>스포츠 강습</x:v>
      </x:c>
      <x:c r="W1520" t="str">
        <x:v>스포츠 강습</x:v>
      </x:c>
      <x:c r="X1520" s="16" t="n">
        <x:v>36.83729306090317</x:v>
      </x:c>
    </x:row>
    <x:row r="1521">
      <x:c r="A1521" t="str">
        <x:v>3110672</x:v>
      </x:c>
      <x:c r="B1521" t="str">
        <x:v>백석중학교</x:v>
      </x:c>
      <x:c r="C1521" t="str">
        <x:v>골목상권</x:v>
      </x:c>
      <x:c r="D1521" t="str">
        <x:v>강서구</x:v>
      </x:c>
      <x:c r="E1521" t="str">
        <x:v>등촌2동</x:v>
      </x:c>
      <x:c r="F1521" s="12" t="n">
        <x:v>69786</x:v>
      </x:c>
      <x:c r="G1521" s="12" t="n">
        <x:v>47754503</x:v>
      </x:c>
      <x:c r="H1521" s="12" t="n">
        <x:v>635</x:v>
      </x:c>
      <x:c r="I1521" s="12" t="n">
        <x:v>75203.94173228346</x:v>
      </x:c>
      <x:c r="J1521" s="12" t="n">
        <x:v>684.2991860831686</x:v>
      </x:c>
      <x:c r="K1521" s="12" t="n">
        <x:v>276</x:v>
      </x:c>
      <x:c r="L1521" s="12" t="n">
        <x:v>39.54947983836299</x:v>
      </x:c>
      <x:c r="M1521" s="12" t="n">
        <x:v>2</x:v>
      </x:c>
      <x:c r="N1521" s="14" t="n">
        <x:v>0.7806708615520509</x:v>
      </x:c>
      <x:c r="O1521" s="14" t="n">
        <x:v>0.21932913844794907</x:v>
      </x:c>
      <x:c r="P1521" s="14" t="n">
        <x:v>0.3245106749409579</x:v>
      </x:c>
      <x:c r="Q1521" s="14" t="n">
        <x:v>0.33486986557058296</x:v>
      </x:c>
      <x:c r="R1521" s="14" t="n">
        <x:v>0.22478361883485626</x:v>
      </x:c>
      <x:c r="S1521" s="14" t="n">
        <x:v>0.6785431731956252</x:v>
      </x:c>
      <x:c r="T1521" t="str">
        <x:v>여성소비·평일집중</x:v>
      </x:c>
      <x:c r="U1521" s="16" t="n">
        <x:v>34.48741477435</x:v>
      </x:c>
      <x:c r="V1521" t="str">
        <x:v>일반교습학원</x:v>
      </x:c>
      <x:c r="W1521" t="str">
        <x:v>일반교습학원 / 미용실</x:v>
      </x:c>
      <x:c r="X1521" s="16" t="n">
        <x:v>33.914862374263336</x:v>
      </x:c>
    </x:row>
    <x:row r="1522">
      <x:c r="A1522" t="str">
        <x:v>3110298</x:v>
      </x:c>
      <x:c r="B1522" t="str">
        <x:v>솔숲어린이공원</x:v>
      </x:c>
      <x:c r="C1522" t="str">
        <x:v>골목상권</x:v>
      </x:c>
      <x:c r="D1522" t="str">
        <x:v>성북구</x:v>
      </x:c>
      <x:c r="E1522" t="str">
        <x:v>정릉1동</x:v>
      </x:c>
      <x:c r="F1522" s="12" t="n">
        <x:v>37902</x:v>
      </x:c>
      <x:c r="G1522" s="12" t="n">
        <x:v>47320973</x:v>
      </x:c>
      <x:c r="H1522" s="12" t="n">
        <x:v>257</x:v>
      </x:c>
      <x:c r="I1522" s="12" t="n">
        <x:v>184128.29961089493</x:v>
      </x:c>
      <x:c r="J1522" s="12" t="n">
        <x:v>1248.508601129228</x:v>
      </x:c>
      <x:c r="K1522" s="12" t="n">
        <x:v>88</x:v>
      </x:c>
      <x:c r="L1522" s="12" t="n">
        <x:v>23.217772149226953</x:v>
      </x:c>
      <x:c r="M1522" s="12" t="n">
        <x:v>2</x:v>
      </x:c>
      <x:c r="N1522" s="14" t="n">
        <x:v>0.9374975024287856</x:v>
      </x:c>
      <x:c r="O1522" s="14" t="n">
        <x:v>0.06250249757121436</x:v>
      </x:c>
      <x:c r="P1522" s="14" t="n">
        <x:v>0.31751265976716075</x:v>
      </x:c>
      <x:c r="Q1522" s="14" t="n">
        <x:v>0.10875433605306467</x:v>
      </x:c>
      <x:c r="R1522" s="14" t="n">
        <x:v>0.030001200524765202</x:v>
      </x:c>
      <x:c r="S1522" s="14" t="n">
        <x:v>0.47751902734544366</x:v>
      </x:c>
      <x:c r="T1522" t="str">
        <x:v>평일집중·여성소비</x:v>
      </x:c>
      <x:c r="U1522" s="16" t="n">
        <x:v>54.206280813919555</x:v>
      </x:c>
      <x:c r="V1522" t="str">
        <x:v>예술학원</x:v>
      </x:c>
      <x:c r="W1522" t="str">
        <x:v>예술학원 / 일반교습학원</x:v>
      </x:c>
      <x:c r="X1522" s="16" t="n">
        <x:v>50.83197229317763</x:v>
      </x:c>
    </x:row>
    <x:row r="1523">
      <x:c r="A1523" t="str">
        <x:v>3130259</x:v>
      </x:c>
      <x:c r="B1523" t="str">
        <x:v>대신시장</x:v>
      </x:c>
      <x:c r="C1523" t="str">
        <x:v>전통시장</x:v>
      </x:c>
      <x:c r="D1523" t="str">
        <x:v>영등포구</x:v>
      </x:c>
      <x:c r="E1523" t="str">
        <x:v>신길1동</x:v>
      </x:c>
      <x:c r="F1523" s="12" t="n">
        <x:v>8116</x:v>
      </x:c>
      <x:c r="G1523" s="12" t="n">
        <x:v>46796147</x:v>
      </x:c>
      <x:c r="H1523" s="12" t="n">
        <x:v>1717</x:v>
      </x:c>
      <x:c r="I1523" s="12" t="n">
        <x:v>27254.59930110658</x:v>
      </x:c>
      <x:c r="J1523" s="12" t="n">
        <x:v>5765.912641695417</x:v>
      </x:c>
      <x:c r="K1523" s="12" t="n">
        <x:v>28</x:v>
      </x:c>
      <x:c r="L1523" s="12" t="n">
        <x:v>34.49975357318876</x:v>
      </x:c>
      <x:c r="M1523" s="12" t="n">
        <x:v>1</x:v>
      </x:c>
      <x:c r="N1523" s="14" t="n">
        <x:v>0.5185791257558021</x:v>
      </x:c>
      <x:c r="O1523" s="14" t="n">
        <x:v>0.48142087424419794</x:v>
      </x:c>
      <x:c r="P1523" s="14" t="n">
        <x:v>0.3711147415619495</x:v>
      </x:c>
      <x:c r="Q1523" s="14" t="n">
        <x:v>0.28441226154794325</x:v>
      </x:c>
      <x:c r="R1523" s="14" t="n">
        <x:v>0.1250292251624904</x:v>
      </x:c>
      <x:c r="S1523" s="14" t="n">
        <x:v>0.6859079231458949</x:v>
      </x:c>
      <x:c r="T1523" t="str">
        <x:v>여성소비</x:v>
      </x:c>
      <x:c r="U1523" s="16" t="n">
        <x:v>39.60811466780194</x:v>
      </x:c>
      <x:c r="V1523" t="str">
        <x:v>미용실</x:v>
      </x:c>
      <x:c r="W1523" t="str">
        <x:v>미용실</x:v>
      </x:c>
      <x:c r="X1523" s="16" t="n">
        <x:v>39.60811466780194</x:v>
      </x:c>
    </x:row>
    <x:row r="1524">
      <x:c r="A1524" t="str">
        <x:v>3110533</x:v>
      </x:c>
      <x:c r="B1524" t="str">
        <x:v>충정로역 7번</x:v>
      </x:c>
      <x:c r="C1524" t="str">
        <x:v>골목상권</x:v>
      </x:c>
      <x:c r="D1524" t="str">
        <x:v>서대문구</x:v>
      </x:c>
      <x:c r="E1524" t="str">
        <x:v>북아현동</x:v>
      </x:c>
      <x:c r="F1524" s="12" t="n">
        <x:v>39228</x:v>
      </x:c>
      <x:c r="G1524" s="12" t="n">
        <x:v>46481579</x:v>
      </x:c>
      <x:c r="H1524" s="12" t="n">
        <x:v>62</x:v>
      </x:c>
      <x:c r="I1524" s="12" t="n">
        <x:v>749702.8870967742</x:v>
      </x:c>
      <x:c r="J1524" s="12" t="n">
        <x:v>1184.9082033241561</x:v>
      </x:c>
      <x:c r="K1524" s="12" t="n">
        <x:v>90</x:v>
      </x:c>
      <x:c r="L1524" s="12" t="n">
        <x:v>22.942795962067912</x:v>
      </x:c>
      <x:c r="M1524" s="12" t="n">
        <x:v>1</x:v>
      </x:c>
      <x:c r="N1524" s="14" t="n">
        <x:v>1</x:v>
      </x:c>
      <x:c r="O1524" s="14" t="n">
        <x:v>0</x:v>
      </x:c>
      <x:c r="P1524" s="14" t="n">
        <x:v>0.029130572349962552</x:v>
      </x:c>
      <x:c r="Q1524" s="14" t="n">
        <x:v>0.2991104497547297</x:v>
      </x:c>
      <x:c r="R1524" s="14" t="n">
        <x:v>0.1154819202678119</x:v>
      </x:c>
      <x:c r="S1524" s="14" t="n">
        <x:v>0.9271735583681441</x:v>
      </x:c>
      <x:c r="T1524" t="str">
        <x:v>여성소비·평일집중</x:v>
      </x:c>
      <x:c r="U1524" s="16" t="n">
        <x:v>19.587556887462455</x:v>
      </x:c>
      <x:c r="V1524" t="str">
        <x:v>가구</x:v>
      </x:c>
      <x:c r="W1524" t="str">
        <x:v>가구</x:v>
      </x:c>
      <x:c r="X1524" s="16" t="n">
        <x:v>19.587556887462455</x:v>
      </x:c>
    </x:row>
    <x:row r="1525">
      <x:c r="A1525" t="str">
        <x:v>3110013</x:v>
      </x:c>
      <x:c r="B1525" t="str">
        <x:v>체부동홍종문가옥</x:v>
      </x:c>
      <x:c r="C1525" t="str">
        <x:v>골목상권</x:v>
      </x:c>
      <x:c r="D1525" t="str">
        <x:v>종로구</x:v>
      </x:c>
      <x:c r="E1525" t="str">
        <x:v>사직동</x:v>
      </x:c>
      <x:c r="F1525" s="12" t="n">
        <x:v>17064</x:v>
      </x:c>
      <x:c r="G1525" s="12" t="n">
        <x:v>44280497</x:v>
      </x:c>
      <x:c r="H1525" s="12" t="n">
        <x:v>2708</x:v>
      </x:c>
      <x:c r="I1525" s="12" t="n">
        <x:v>16351.734490398818</x:v>
      </x:c>
      <x:c r="J1525" s="12" t="n">
        <x:v>2594.9658345053913</x:v>
      </x:c>
      <x:c r="K1525" s="12" t="n">
        <x:v>119</x:v>
      </x:c>
      <x:c r="L1525" s="12" t="n">
        <x:v>69.7374589779653</x:v>
      </x:c>
      <x:c r="M1525" s="12" t="n">
        <x:v>1</x:v>
      </x:c>
      <x:c r="N1525" s="14" t="n">
        <x:v>0.6015435418441667</x:v>
      </x:c>
      <x:c r="O1525" s="14" t="n">
        <x:v>0.39845645815583325</x:v>
      </x:c>
      <x:c r="P1525" s="14" t="n">
        <x:v>0.3574113678082701</x:v>
      </x:c>
      <x:c r="Q1525" s="14" t="n">
        <x:v>0.2643436228821009</x:v>
      </x:c>
      <x:c r="R1525" s="14" t="n">
        <x:v>0.7220388696179268</x:v>
      </x:c>
      <x:c r="S1525" s="14" t="n">
        <x:v>0.7479131501166304</x:v>
      </x:c>
      <x:c r="T1525" t="str">
        <x:v>2030소비·여성소비</x:v>
      </x:c>
      <x:c r="U1525" s="16" t="n">
        <x:v>36.70273610275311</x:v>
      </x:c>
      <x:c r="V1525" t="str">
        <x:v>커피-음료</x:v>
      </x:c>
      <x:c r="W1525" t="str">
        <x:v>커피-음료</x:v>
      </x:c>
      <x:c r="X1525" s="16" t="n">
        <x:v>36.70273610275311</x:v>
      </x:c>
    </x:row>
    <x:row r="1526">
      <x:c r="A1526" t="str">
        <x:v>3110719</x:v>
      </x:c>
      <x:c r="B1526" t="str">
        <x:v>영서중학교</x:v>
      </x:c>
      <x:c r="C1526" t="str">
        <x:v>골목상권</x:v>
      </x:c>
      <x:c r="D1526" t="str">
        <x:v>구로구</x:v>
      </x:c>
      <x:c r="E1526" t="str">
        <x:v>구로3동</x:v>
      </x:c>
      <x:c r="F1526" s="12" t="n">
        <x:v>12156</x:v>
      </x:c>
      <x:c r="G1526" s="12" t="n">
        <x:v>42429553</x:v>
      </x:c>
      <x:c r="H1526" s="12" t="n">
        <x:v>3944</x:v>
      </x:c>
      <x:c r="I1526" s="12" t="n">
        <x:v>10758.000253549695</x:v>
      </x:c>
      <x:c r="J1526" s="12" t="n">
        <x:v>3490.4206153339915</x:v>
      </x:c>
      <x:c r="K1526" s="12" t="n">
        <x:v>116</x:v>
      </x:c>
      <x:c r="L1526" s="12" t="n">
        <x:v>95.42612701546561</x:v>
      </x:c>
      <x:c r="M1526" s="12" t="n">
        <x:v>1</x:v>
      </x:c>
      <x:c r="N1526" s="14" t="n">
        <x:v>0.7787789562619243</x:v>
      </x:c>
      <x:c r="O1526" s="14" t="n">
        <x:v>0.22122104373807566</x:v>
      </x:c>
      <x:c r="P1526" s="14" t="n">
        <x:v>0.3211501426847462</x:v>
      </x:c>
      <x:c r="Q1526" s="14" t="n">
        <x:v>0.309466423084872</x:v>
      </x:c>
      <x:c r="R1526" s="14" t="n">
        <x:v>0.4035030724928919</x:v>
      </x:c>
      <x:c r="S1526" s="14" t="n">
        <x:v>0.37278523768562916</x:v>
      </x:c>
      <x:c r="T1526" t="str">
        <x:v>2030소비·평일집중</x:v>
      </x:c>
      <x:c r="U1526" s="16" t="n">
        <x:v>38.93500557786561</x:v>
      </x:c>
      <x:c r="V1526" t="str">
        <x:v>패스트푸드점</x:v>
      </x:c>
      <x:c r="W1526" t="str">
        <x:v>패스트푸드점</x:v>
      </x:c>
      <x:c r="X1526" s="16" t="n">
        <x:v>38.93500557786561</x:v>
      </x:c>
    </x:row>
    <x:row r="1527">
      <x:c r="A1527" t="str">
        <x:v>3110963</x:v>
      </x:c>
      <x:c r="B1527" t="str">
        <x:v>역삼월드메르디앙아파트</x:v>
      </x:c>
      <x:c r="C1527" t="str">
        <x:v>골목상권</x:v>
      </x:c>
      <x:c r="D1527" t="str">
        <x:v>강남구</x:v>
      </x:c>
      <x:c r="E1527" t="str">
        <x:v>역삼1동</x:v>
      </x:c>
      <x:c r="F1527" s="12" t="n">
        <x:v>40391</x:v>
      </x:c>
      <x:c r="G1527" s="12" t="n">
        <x:v>41693072</x:v>
      </x:c>
      <x:c r="H1527" s="12" t="n">
        <x:v>961</x:v>
      </x:c>
      <x:c r="I1527" s="12" t="n">
        <x:v>43385.09053069719</x:v>
      </x:c>
      <x:c r="J1527" s="12" t="n">
        <x:v>1032.2366863905324</x:v>
      </x:c>
      <x:c r="K1527" s="12" t="n">
        <x:v>501</x:v>
      </x:c>
      <x:c r="L1527" s="12" t="n">
        <x:v>124.03753311381249</x:v>
      </x:c>
      <x:c r="M1527" s="12" t="n">
        <x:v>2</x:v>
      </x:c>
      <x:c r="N1527" s="14" t="n">
        <x:v>0.7294686992601552</x:v>
      </x:c>
      <x:c r="O1527" s="14" t="n">
        <x:v>0.2705313007398447</x:v>
      </x:c>
      <x:c r="P1527" s="14" t="n">
        <x:v>0.26569939485389804</x:v>
      </x:c>
      <x:c r="Q1527" s="14" t="n">
        <x:v>0.27107074288025595</x:v>
      </x:c>
      <x:c r="R1527" s="14" t="n">
        <x:v>0.10828427322409824</x:v>
      </x:c>
      <x:c r="S1527" s="14" t="n">
        <x:v>0.6116399146601622</x:v>
      </x:c>
      <x:c r="T1527" t="str">
        <x:v>여성소비·직장밀집</x:v>
      </x:c>
      <x:c r="U1527" s="16" t="n">
        <x:v>38.888732130728336</x:v>
      </x:c>
      <x:c r="V1527" t="str">
        <x:v>미용실</x:v>
      </x:c>
      <x:c r="W1527" t="str">
        <x:v>미용실 / 세탁소</x:v>
      </x:c>
      <x:c r="X1527" s="16" t="n">
        <x:v>27.733267745663635</x:v>
      </x:c>
    </x:row>
    <x:row r="1528">
      <x:c r="A1528" t="str">
        <x:v>3110515</x:v>
      </x:c>
      <x:c r="B1528" t="str">
        <x:v>홍은중학교</x:v>
      </x:c>
      <x:c r="C1528" t="str">
        <x:v>골목상권</x:v>
      </x:c>
      <x:c r="D1528" t="str">
        <x:v>서대문구</x:v>
      </x:c>
      <x:c r="E1528" t="str">
        <x:v>홍은2동</x:v>
      </x:c>
      <x:c r="F1528" s="12" t="n">
        <x:v>64938</x:v>
      </x:c>
      <x:c r="G1528" s="12" t="n">
        <x:v>40277353</x:v>
      </x:c>
      <x:c r="H1528" s="12" t="n">
        <x:v>1506</x:v>
      </x:c>
      <x:c r="I1528" s="12" t="n">
        <x:v>26744.590305444886</x:v>
      </x:c>
      <x:c r="J1528" s="12" t="n">
        <x:v>620.2432012073054</x:v>
      </x:c>
      <x:c r="K1528" s="12" t="n">
        <x:v>184</x:v>
      </x:c>
      <x:c r="L1528" s="12" t="n">
        <x:v>28.334719270688968</x:v>
      </x:c>
      <x:c r="M1528" s="12" t="n">
        <x:v>2</x:v>
      </x:c>
      <x:c r="N1528" s="14" t="n">
        <x:v>0.5481199819660443</x:v>
      </x:c>
      <x:c r="O1528" s="14" t="n">
        <x:v>0.4518800180339557</x:v>
      </x:c>
      <x:c r="P1528" s="14" t="n">
        <x:v>0.35375862460475</x:v>
      </x:c>
      <x:c r="Q1528" s="14" t="n">
        <x:v>0.16350793956097362</x:v>
      </x:c>
      <x:c r="R1528" s="14" t="n">
        <x:v>0.11403686334600985</x:v>
      </x:c>
      <x:c r="S1528" s="14" t="n">
        <x:v>0.6069795102970148</x:v>
      </x:c>
      <x:c r="T1528" t="str">
        <x:v>여성소비</x:v>
      </x:c>
      <x:c r="U1528" s="16" t="n">
        <x:v>40.78937241724141</x:v>
      </x:c>
      <x:c r="V1528" t="str">
        <x:v>미용실</x:v>
      </x:c>
      <x:c r="W1528" t="str">
        <x:v>미용실 / 세탁소</x:v>
      </x:c>
      <x:c r="X1528" s="16" t="n">
        <x:v>37.95992985289469</x:v>
      </x:c>
    </x:row>
    <x:row r="1529">
      <x:c r="A1529" t="str">
        <x:v>3110007</x:v>
      </x:c>
      <x:c r="B1529" t="str">
        <x:v>사직공원(한국사회과학도서관)</x:v>
      </x:c>
      <x:c r="C1529" t="str">
        <x:v>골목상권</x:v>
      </x:c>
      <x:c r="D1529" t="str">
        <x:v>종로구</x:v>
      </x:c>
      <x:c r="E1529" t="str">
        <x:v>사직동</x:v>
      </x:c>
      <x:c r="F1529" s="12" t="n">
        <x:v>80252</x:v>
      </x:c>
      <x:c r="G1529" s="12" t="n">
        <x:v>39000000</x:v>
      </x:c>
      <x:c r="H1529" s="12" t="n">
        <x:v>332</x:v>
      </x:c>
      <x:c r="I1529" s="12" t="n">
        <x:v>117469.8795180723</x:v>
      </x:c>
      <x:c r="J1529" s="12" t="n">
        <x:v>485.96919702935753</x:v>
      </x:c>
      <x:c r="K1529" s="12" t="n">
        <x:v>311</x:v>
      </x:c>
      <x:c r="L1529" s="12" t="n">
        <x:v>38.75292827593082</x:v>
      </x:c>
      <x:c r="M1529" s="12" t="n">
        <x:v>1</x:v>
      </x:c>
      <x:c r="N1529" s="14" t="n">
        <x:v>0.8452668205128205</x:v>
      </x:c>
      <x:c r="O1529" s="14" t="n">
        <x:v>0.1547331794871795</x:v>
      </x:c>
      <x:c r="P1529" s="14" t="n">
        <x:v>0.624735</x:v>
      </x:c>
      <x:c r="Q1529" s="14" t="n">
        <x:v>0.2940098205128205</x:v>
      </x:c>
      <x:c r="R1529" s="14" t="n">
        <x:v>0.13166194871794873</x:v>
      </x:c>
      <x:c r="S1529" s="14" t="n">
        <x:v>0.2641500769230769</x:v>
      </x:c>
      <x:c r="T1529" t="str">
        <x:v>야간활성·평일집중</x:v>
      </x:c>
      <x:c r="U1529" s="16" t="n">
        <x:v>23.907709854150877</x:v>
      </x:c>
      <x:c r="V1529" t="str">
        <x:v>한식음식점</x:v>
      </x:c>
      <x:c r="W1529" t="str">
        <x:v>한식음식점</x:v>
      </x:c>
      <x:c r="X1529" s="16" t="n">
        <x:v>23.907709854150877</x:v>
      </x:c>
    </x:row>
    <x:row r="1530">
      <x:c r="A1530" t="str">
        <x:v>3110661</x:v>
      </x:c>
      <x:c r="B1530" t="str">
        <x:v>강서새말어린이공원</x:v>
      </x:c>
      <x:c r="C1530" t="str">
        <x:v>골목상권</x:v>
      </x:c>
      <x:c r="D1530" t="str">
        <x:v>강서구</x:v>
      </x:c>
      <x:c r="E1530" t="str">
        <x:v>화곡6동</x:v>
      </x:c>
      <x:c r="F1530" s="12" t="n">
        <x:v>38920</x:v>
      </x:c>
      <x:c r="G1530" s="12" t="n">
        <x:v>38926793</x:v>
      </x:c>
      <x:c r="H1530" s="12" t="n">
        <x:v>1645</x:v>
      </x:c>
      <x:c r="I1530" s="12" t="n">
        <x:v>23663.70395136778</x:v>
      </x:c>
      <x:c r="J1530" s="12" t="n">
        <x:v>1000.1745375128469</x:v>
      </x:c>
      <x:c r="K1530" s="12" t="n">
        <x:v>339</x:v>
      </x:c>
      <x:c r="L1530" s="12" t="n">
        <x:v>87.10174717368962</x:v>
      </x:c>
      <x:c r="M1530" s="12" t="n">
        <x:v>3</x:v>
      </x:c>
      <x:c r="N1530" s="14" t="n">
        <x:v>0.8988515699199777</x:v>
      </x:c>
      <x:c r="O1530" s="14" t="n">
        <x:v>0.10114843008002226</x:v>
      </x:c>
      <x:c r="P1530" s="14" t="n">
        <x:v>0.34905824376541883</x:v>
      </x:c>
      <x:c r="Q1530" s="14" t="n">
        <x:v>0.3749104119622698</x:v>
      </x:c>
      <x:c r="R1530" s="14" t="n">
        <x:v>0.23665085895979152</x:v>
      </x:c>
      <x:c r="S1530" s="14" t="n">
        <x:v>0.5849455155476075</x:v>
      </x:c>
      <x:c r="T1530" t="str">
        <x:v>평일집중·여성소비</x:v>
      </x:c>
      <x:c r="U1530" s="16" t="n">
        <x:v>54.216607071910595</x:v>
      </x:c>
      <x:c r="V1530" t="str">
        <x:v>세탁소</x:v>
      </x:c>
      <x:c r="W1530" t="str">
        <x:v>세탁소 / 미용실 / 한식음식점</x:v>
      </x:c>
      <x:c r="X1530" s="16" t="n">
        <x:v>32.23495512715425</x:v>
      </x:c>
    </x:row>
    <x:row r="1531">
      <x:c r="A1531" t="str">
        <x:v>3110990</x:v>
      </x:c>
      <x:c r="B1531" t="str">
        <x:v>청담역 12번</x:v>
      </x:c>
      <x:c r="C1531" t="str">
        <x:v>골목상권</x:v>
      </x:c>
      <x:c r="D1531" t="str">
        <x:v>강남구</x:v>
      </x:c>
      <x:c r="E1531" t="str">
        <x:v>청담동</x:v>
      </x:c>
      <x:c r="F1531" s="12" t="n">
        <x:v>10107</x:v>
      </x:c>
      <x:c r="G1531" s="12" t="n">
        <x:v>38474933</x:v>
      </x:c>
      <x:c r="H1531" s="12" t="n">
        <x:v>4097</x:v>
      </x:c>
      <x:c r="I1531" s="12" t="n">
        <x:v>9391.00146448621</x:v>
      </x:c>
      <x:c r="J1531" s="12" t="n">
        <x:v>3806.760957752053</x:v>
      </x:c>
      <x:c r="K1531" s="12" t="n">
        <x:v>369</x:v>
      </x:c>
      <x:c r="L1531" s="12" t="n">
        <x:v>365.09349955476404</x:v>
      </x:c>
      <x:c r="M1531" s="12" t="n">
        <x:v>1</x:v>
      </x:c>
      <x:c r="N1531" s="14" t="n">
        <x:v>0.575574387614918</x:v>
      </x:c>
      <x:c r="O1531" s="14" t="n">
        <x:v>0.424425612385082</x:v>
      </x:c>
      <x:c r="P1531" s="14" t="n">
        <x:v>0.112965992689318</x:v>
      </x:c>
      <x:c r="Q1531" s="14" t="n">
        <x:v>0.43923668431079527</x:v>
      </x:c>
      <x:c r="R1531" s="14" t="n">
        <x:v>0.3648490563973172</x:v>
      </x:c>
      <x:c r="S1531" s="14" t="n">
        <x:v>0.41464649204197446</x:v>
      </x:c>
      <x:c r="T1531" t="str">
        <x:v>직장밀집·2030소비</x:v>
      </x:c>
      <x:c r="U1531" s="16" t="n">
        <x:v>39.99641626587821</x:v>
      </x:c>
      <x:c r="V1531" t="str">
        <x:v>커피-음료</x:v>
      </x:c>
      <x:c r="W1531" t="str">
        <x:v>커피-음료</x:v>
      </x:c>
      <x:c r="X1531" s="16" t="n">
        <x:v>39.99641626587821</x:v>
      </x:c>
    </x:row>
    <x:row r="1532">
      <x:c r="A1532" t="str">
        <x:v>3111036</x:v>
      </x:c>
      <x:c r="B1532" t="str">
        <x:v>투구봉어린이공원</x:v>
      </x:c>
      <x:c r="C1532" t="str">
        <x:v>골목상권</x:v>
      </x:c>
      <x:c r="D1532" t="str">
        <x:v>송파구</x:v>
      </x:c>
      <x:c r="E1532" t="str">
        <x:v>가락2동</x:v>
      </x:c>
      <x:c r="F1532" s="12" t="n">
        <x:v>31938</x:v>
      </x:c>
      <x:c r="G1532" s="12" t="n">
        <x:v>37957619</x:v>
      </x:c>
      <x:c r="H1532" s="12" t="n">
        <x:v>2570</x:v>
      </x:c>
      <x:c r="I1532" s="12" t="n">
        <x:v>14769.501556420233</x:v>
      </x:c>
      <x:c r="J1532" s="12" t="n">
        <x:v>1188.4782703988978</x:v>
      </x:c>
      <x:c r="K1532" s="12" t="n">
        <x:v>449</x:v>
      </x:c>
      <x:c r="L1532" s="12" t="n">
        <x:v>140.58488321122175</x:v>
      </x:c>
      <x:c r="M1532" s="12" t="n">
        <x:v>1</x:v>
      </x:c>
      <x:c r="N1532" s="14" t="n">
        <x:v>0.9234044158565372</x:v>
      </x:c>
      <x:c r="O1532" s="14" t="n">
        <x:v>0.07659558414346274</x:v>
      </x:c>
      <x:c r="P1532" s="14" t="n">
        <x:v>0.015387503626083607</x:v>
      </x:c>
      <x:c r="Q1532" s="14" t="n">
        <x:v>0.8568106972147015</x:v>
      </x:c>
      <x:c r="R1532" s="14" t="n">
        <x:v>0.14520678970933346</x:v>
      </x:c>
      <x:c r="S1532" s="14" t="n">
        <x:v>0.48525361930631106</x:v>
      </x:c>
      <x:c r="T1532" t="str">
        <x:v>평일집중·여성소비</x:v>
      </x:c>
      <x:c r="U1532" s="16" t="n">
        <x:v>31.28271013334394</x:v>
      </x:c>
      <x:c r="V1532" t="str">
        <x:v>한식음식점</x:v>
      </x:c>
      <x:c r="W1532" t="str">
        <x:v>한식음식점</x:v>
      </x:c>
      <x:c r="X1532" s="16" t="n">
        <x:v>31.28271013334394</x:v>
      </x:c>
    </x:row>
    <x:row r="1533">
      <x:c r="A1533" t="str">
        <x:v>3110669</x:v>
      </x:c>
      <x:c r="B1533" t="str">
        <x:v>화곡보람2차아파트</x:v>
      </x:c>
      <x:c r="C1533" t="str">
        <x:v>골목상권</x:v>
      </x:c>
      <x:c r="D1533" t="str">
        <x:v>강서구</x:v>
      </x:c>
      <x:c r="E1533" t="str">
        <x:v>화곡6동</x:v>
      </x:c>
      <x:c r="F1533" s="12" t="n">
        <x:v>15189</x:v>
      </x:c>
      <x:c r="G1533" s="12" t="n">
        <x:v>36304933</x:v>
      </x:c>
      <x:c r="H1533" s="12" t="n">
        <x:v>605</x:v>
      </x:c>
      <x:c r="I1533" s="12" t="n">
        <x:v>60008.15371900827</x:v>
      </x:c>
      <x:c r="J1533" s="12" t="n">
        <x:v>2390.212193034433</x:v>
      </x:c>
      <x:c r="K1533" s="12" t="n">
        <x:v>65</x:v>
      </x:c>
      <x:c r="L1533" s="12" t="n">
        <x:v>42.79412732898808</x:v>
      </x:c>
      <x:c r="M1533" s="12" t="n">
        <x:v>1</x:v>
      </x:c>
      <x:c r="N1533" s="14" t="n">
        <x:v>0.602126603566518</x:v>
      </x:c>
      <x:c r="O1533" s="14" t="n">
        <x:v>0.3978733964334819</x:v>
      </x:c>
      <x:c r="P1533" s="14" t="n">
        <x:v>0.5960735969406692</x:v>
      </x:c>
      <x:c r="Q1533" s="14" t="n">
        <x:v>0.14352906256568496</x:v>
      </x:c>
      <x:c r="R1533" s="14" t="n">
        <x:v>0.2971709657197274</x:v>
      </x:c>
      <x:c r="S1533" s="14" t="n">
        <x:v>0.16773869270052089</x:v>
      </x:c>
      <x:c r="T1533" t="str">
        <x:v>야간활성·2030소비</x:v>
      </x:c>
      <x:c r="U1533" s="16" t="n">
        <x:v>14.745816747744009</x:v>
      </x:c>
      <x:c r="V1533" t="str">
        <x:v>한식음식점</x:v>
      </x:c>
      <x:c r="W1533" t="str">
        <x:v>한식음식점</x:v>
      </x:c>
      <x:c r="X1533" s="16" t="n">
        <x:v>14.745816747744009</x:v>
      </x:c>
    </x:row>
    <x:row r="1534">
      <x:c r="A1534" t="str">
        <x:v>3110953</x:v>
      </x:c>
      <x:c r="B1534" t="str">
        <x:v>학동근린공원</x:v>
      </x:c>
      <x:c r="C1534" t="str">
        <x:v>골목상권</x:v>
      </x:c>
      <x:c r="D1534" t="str">
        <x:v>강남구</x:v>
      </x:c>
      <x:c r="E1534" t="str">
        <x:v>논현1동</x:v>
      </x:c>
      <x:c r="F1534" s="12" t="n">
        <x:v>92947</x:v>
      </x:c>
      <x:c r="G1534" s="12" t="n">
        <x:v>35910754</x:v>
      </x:c>
      <x:c r="H1534" s="12" t="n">
        <x:v>3727</x:v>
      </x:c>
      <x:c r="I1534" s="12" t="n">
        <x:v>9635.297558357928</x:v>
      </x:c>
      <x:c r="J1534" s="12" t="n">
        <x:v>386.3573219146395</x:v>
      </x:c>
      <x:c r="K1534" s="12" t="n">
        <x:v>1573</x:v>
      </x:c>
      <x:c r="L1534" s="12" t="n">
        <x:v>169.23623140069074</x:v>
      </x:c>
      <x:c r="M1534" s="12" t="n">
        <x:v>1</x:v>
      </x:c>
      <x:c r="N1534" s="14" t="n">
        <x:v>0.7387077141293107</x:v>
      </x:c>
      <x:c r="O1534" s="14" t="n">
        <x:v>0.2612922858706893</x:v>
      </x:c>
      <x:c r="P1534" s="14" t="n">
        <x:v>0.02134555570735162</x:v>
      </x:c>
      <x:c r="Q1534" s="14" t="n">
        <x:v>0.469967464342297</x:v>
      </x:c>
      <x:c r="R1534" s="14" t="n">
        <x:v>0.4505490193828846</x:v>
      </x:c>
      <x:c r="S1534" s="14" t="n">
        <x:v>0.36489512305979427</x:v>
      </x:c>
      <x:c r="T1534" t="str">
        <x:v>2030소비·직장밀집</x:v>
      </x:c>
      <x:c r="U1534" s="16" t="n">
        <x:v>40.56916673913482</x:v>
      </x:c>
      <x:c r="V1534" t="str">
        <x:v>커피-음료</x:v>
      </x:c>
      <x:c r="W1534" t="str">
        <x:v>커피-음료</x:v>
      </x:c>
      <x:c r="X1534" s="16" t="n">
        <x:v>40.56916673913482</x:v>
      </x:c>
    </x:row>
    <x:row r="1535">
      <x:c r="A1535" t="str">
        <x:v>3110222</x:v>
      </x:c>
      <x:c r="B1535" t="str">
        <x:v>회기역 2번</x:v>
      </x:c>
      <x:c r="C1535" t="str">
        <x:v>골목상권</x:v>
      </x:c>
      <x:c r="D1535" t="str">
        <x:v>동대문구</x:v>
      </x:c>
      <x:c r="E1535" t="str">
        <x:v>휘경1동</x:v>
      </x:c>
      <x:c r="F1535" s="12" t="n">
        <x:v>10334</x:v>
      </x:c>
      <x:c r="G1535" s="12" t="n">
        <x:v>33000000</x:v>
      </x:c>
      <x:c r="H1535" s="12" t="n">
        <x:v>576</x:v>
      </x:c>
      <x:c r="I1535" s="12" t="n">
        <x:v>57291.666666666664</x:v>
      </x:c>
      <x:c r="J1535" s="12" t="n">
        <x:v>3193.3423650087093</x:v>
      </x:c>
      <x:c r="K1535" s="12" t="n">
        <x:v>33</x:v>
      </x:c>
      <x:c r="L1535" s="12" t="n">
        <x:v>31.93342365008709</x:v>
      </x:c>
      <x:c r="M1535" s="12" t="n">
        <x:v>1</x:v>
      </x:c>
      <x:c r="N1535" s="14" t="n">
        <x:v>0.7360093333333333</x:v>
      </x:c>
      <x:c r="O1535" s="14" t="n">
        <x:v>0.26399066666666665</x:v>
      </x:c>
      <x:c r="P1535" s="14" t="n">
        <x:v>0.40573427272727275</x:v>
      </x:c>
      <x:c r="Q1535" s="14" t="n">
        <x:v>0.3432443636363636</x:v>
      </x:c>
      <x:c r="R1535" s="14" t="n">
        <x:v>0.3305454242424242</x:v>
      </x:c>
      <x:c r="S1535" s="14" t="n">
        <x:v>0.34668754545454544</x:v>
      </x:c>
      <x:c r="T1535" t="str">
        <x:v>2030소비·야간활성</x:v>
      </x:c>
      <x:c r="U1535" s="16" t="n">
        <x:v>36.02872490830285</x:v>
      </x:c>
      <x:c r="V1535" t="str">
        <x:v>한식음식점</x:v>
      </x:c>
      <x:c r="W1535" t="str">
        <x:v>한식음식점</x:v>
      </x:c>
      <x:c r="X1535" s="16" t="n">
        <x:v>36.02872490830285</x:v>
      </x:c>
    </x:row>
    <x:row r="1536">
      <x:c r="A1536" t="str">
        <x:v>3110160</x:v>
      </x:c>
      <x:c r="B1536" t="str">
        <x:v>광진경찰서</x:v>
      </x:c>
      <x:c r="C1536" t="str">
        <x:v>골목상권</x:v>
      </x:c>
      <x:c r="D1536" t="str">
        <x:v>광진구</x:v>
      </x:c>
      <x:c r="E1536" t="str">
        <x:v>구의1동</x:v>
      </x:c>
      <x:c r="F1536" s="12" t="n">
        <x:v>47848</x:v>
      </x:c>
      <x:c r="G1536" s="12" t="n">
        <x:v>31740694</x:v>
      </x:c>
      <x:c r="H1536" s="12" t="n">
        <x:v>728</x:v>
      </x:c>
      <x:c r="I1536" s="12" t="n">
        <x:v>43599.854395604394</x:v>
      </x:c>
      <x:c r="J1536" s="12" t="n">
        <x:v>663.3651145293429</x:v>
      </x:c>
      <x:c r="K1536" s="12" t="n">
        <x:v>330</x:v>
      </x:c>
      <x:c r="L1536" s="12" t="n">
        <x:v>68.96839993312155</x:v>
      </x:c>
      <x:c r="M1536" s="12" t="n">
        <x:v>2</x:v>
      </x:c>
      <x:c r="N1536" s="14" t="n">
        <x:v>0.8005287471030091</x:v>
      </x:c>
      <x:c r="O1536" s="14" t="n">
        <x:v>0.19947125289699086</x:v>
      </x:c>
      <x:c r="P1536" s="14" t="n">
        <x:v>0.557901538006699</x:v>
      </x:c>
      <x:c r="Q1536" s="14" t="n">
        <x:v>0.2028476756053286</x:v>
      </x:c>
      <x:c r="R1536" s="14" t="n">
        <x:v>0.08842396451696992</x:v>
      </x:c>
      <x:c r="S1536" s="14" t="n">
        <x:v>0.28133357764641187</x:v>
      </x:c>
      <x:c r="T1536" t="str">
        <x:v>야간활성·평일집중</x:v>
      </x:c>
      <x:c r="U1536" s="16" t="n">
        <x:v>38.002492566797244</x:v>
      </x:c>
      <x:c r="V1536" t="str">
        <x:v>미용실</x:v>
      </x:c>
      <x:c r="W1536" t="str">
        <x:v>미용실 / 치킨전문점</x:v>
      </x:c>
      <x:c r="X1536" s="16" t="n">
        <x:v>31.517145501400666</x:v>
      </x:c>
    </x:row>
    <x:row r="1537">
      <x:c r="A1537" t="str">
        <x:v>3110909</x:v>
      </x:c>
      <x:c r="B1537" t="str">
        <x:v>남태령역(서울전자고등학교)</x:v>
      </x:c>
      <x:c r="C1537" t="str">
        <x:v>골목상권</x:v>
      </x:c>
      <x:c r="D1537" t="str">
        <x:v>서초구</x:v>
      </x:c>
      <x:c r="E1537" t="str">
        <x:v>방배2동</x:v>
      </x:c>
      <x:c r="F1537" s="12" t="n">
        <x:v>73654</x:v>
      </x:c>
      <x:c r="G1537" s="12" t="n">
        <x:v>30000000</x:v>
      </x:c>
      <x:c r="H1537" s="12" t="n">
        <x:v>2142</x:v>
      </x:c>
      <x:c r="I1537" s="12" t="n">
        <x:v>14005.602240896358</x:v>
      </x:c>
      <x:c r="J1537" s="12" t="n">
        <x:v>407.3098541830722</x:v>
      </x:c>
      <x:c r="K1537" s="12" t="n">
        <x:v>450</x:v>
      </x:c>
      <x:c r="L1537" s="12" t="n">
        <x:v>61.096478127460834</x:v>
      </x:c>
      <x:c r="M1537" s="12" t="n">
        <x:v>1</x:v>
      </x:c>
      <x:c r="N1537" s="14" t="n">
        <x:v>0.5814591333333333</x:v>
      </x:c>
      <x:c r="O1537" s="14" t="n">
        <x:v>0.4185408666666667</x:v>
      </x:c>
      <x:c r="P1537" s="14" t="n">
        <x:v>0.3932816</x:v>
      </x:c>
      <x:c r="Q1537" s="14" t="n">
        <x:v>0.2016951</x:v>
      </x:c>
      <x:c r="R1537" s="14" t="n">
        <x:v>0.5284641</x:v>
      </x:c>
      <x:c r="S1537" s="14" t="n">
        <x:v>0.18938286666666668</x:v>
      </x:c>
      <x:c r="T1537" t="str">
        <x:v>2030소비</x:v>
      </x:c>
      <x:c r="U1537" s="16" t="n">
        <x:v>44.88629775719226</x:v>
      </x:c>
      <x:c r="V1537" t="str">
        <x:v>자동차미용</x:v>
      </x:c>
      <x:c r="W1537" t="str">
        <x:v>자동차미용</x:v>
      </x:c>
      <x:c r="X1537" s="16" t="n">
        <x:v>44.88629775719226</x:v>
      </x:c>
    </x:row>
    <x:row r="1538">
      <x:c r="A1538" t="str">
        <x:v>3130103</x:v>
      </x:c>
      <x:c r="B1538" t="str">
        <x:v>이경시장</x:v>
      </x:c>
      <x:c r="C1538" t="str">
        <x:v>전통시장</x:v>
      </x:c>
      <x:c r="D1538" t="str">
        <x:v>동대문구</x:v>
      </x:c>
      <x:c r="E1538" t="str">
        <x:v>휘경1동</x:v>
      </x:c>
      <x:c r="F1538" s="12" t="n">
        <x:v>11622</x:v>
      </x:c>
      <x:c r="G1538" s="12" t="n">
        <x:v>30000000</x:v>
      </x:c>
      <x:c r="H1538" s="12" t="n">
        <x:v>1062</x:v>
      </x:c>
      <x:c r="I1538" s="12" t="n">
        <x:v>28248.58757062147</x:v>
      </x:c>
      <x:c r="J1538" s="12" t="n">
        <x:v>2581.311306143521</x:v>
      </x:c>
      <x:c r="K1538" s="12" t="n">
        <x:v>37</x:v>
      </x:c>
      <x:c r="L1538" s="12" t="n">
        <x:v>31.83617277577009</x:v>
      </x:c>
      <x:c r="M1538" s="12" t="n">
        <x:v>1</x:v>
      </x:c>
      <x:c r="N1538" s="14" t="n">
        <x:v>0.6694998333333333</x:v>
      </x:c>
      <x:c r="O1538" s="14" t="n">
        <x:v>0.33050016666666665</x:v>
      </x:c>
      <x:c r="P1538" s="14" t="n">
        <x:v>0.33043246666666665</x:v>
      </x:c>
      <x:c r="Q1538" s="14" t="n">
        <x:v>0.21990106666666667</x:v>
      </x:c>
      <x:c r="R1538" s="14" t="n">
        <x:v>0.12238986666666667</x:v>
      </x:c>
      <x:c r="S1538" s="14" t="n">
        <x:v>0.4999707</x:v>
      </x:c>
      <x:c r="T1538" t="str">
        <x:v>여성소비</x:v>
      </x:c>
      <x:c r="U1538" s="16" t="n">
        <x:v>34.97914683512834</x:v>
      </x:c>
      <x:c r="V1538" t="str">
        <x:v>슈퍼마켓</x:v>
      </x:c>
      <x:c r="W1538" t="str">
        <x:v>슈퍼마켓</x:v>
      </x:c>
      <x:c r="X1538" s="16" t="n">
        <x:v>34.97914683512834</x:v>
      </x:c>
    </x:row>
    <x:row r="1539">
      <x:c r="A1539" t="str">
        <x:v>3110209</x:v>
      </x:c>
      <x:c r="B1539" t="str">
        <x:v>답십리 장령당공원</x:v>
      </x:c>
      <x:c r="C1539" t="str">
        <x:v>골목상권</x:v>
      </x:c>
      <x:c r="D1539" t="str">
        <x:v>동대문구</x:v>
      </x:c>
      <x:c r="E1539" t="str">
        <x:v>답십리1동</x:v>
      </x:c>
      <x:c r="F1539" s="12" t="n">
        <x:v>27972</x:v>
      </x:c>
      <x:c r="G1539" s="12" t="n">
        <x:v>28908166</x:v>
      </x:c>
      <x:c r="H1539" s="12" t="n">
        <x:v>291</x:v>
      </x:c>
      <x:c r="I1539" s="12" t="n">
        <x:v>99340.77663230241</x:v>
      </x:c>
      <x:c r="J1539" s="12" t="n">
        <x:v>1033.467967967968</x:v>
      </x:c>
      <x:c r="K1539" s="12" t="n">
        <x:v>210</x:v>
      </x:c>
      <x:c r="L1539" s="12" t="n">
        <x:v>75.07507507507508</x:v>
      </x:c>
      <x:c r="M1539" s="12" t="n">
        <x:v>1</x:v>
      </x:c>
      <x:c r="N1539" s="14" t="n">
        <x:v>0.9685434904448799</x:v>
      </x:c>
      <x:c r="O1539" s="14" t="n">
        <x:v>0.03145650955512017</x:v>
      </x:c>
      <x:c r="P1539" s="14" t="n">
        <x:v>0.14988104053366788</x:v>
      </x:c>
      <x:c r="Q1539" s="14" t="n">
        <x:v>0.4588950748380233</x:v>
      </x:c>
      <x:c r="R1539" s="14" t="n">
        <x:v>0.019296831213713107</x:v>
      </x:c>
      <x:c r="S1539" s="14" t="n">
        <x:v>0.20565690677160217</x:v>
      </x:c>
      <x:c r="T1539" t="str">
        <x:v>평일집중</x:v>
      </x:c>
      <x:c r="U1539" s="16" t="n">
        <x:v>48.863330567800574</x:v>
      </x:c>
      <x:c r="V1539" t="str">
        <x:v>인테리어</x:v>
      </x:c>
      <x:c r="W1539" t="str">
        <x:v>인테리어</x:v>
      </x:c>
      <x:c r="X1539" s="16" t="n">
        <x:v>48.863330567800574</x:v>
      </x:c>
    </x:row>
    <x:row r="1540">
      <x:c r="A1540" t="str">
        <x:v>3110771</x:v>
      </x:c>
      <x:c r="B1540" t="str">
        <x:v>대림역 11번</x:v>
      </x:c>
      <x:c r="C1540" t="str">
        <x:v>골목상권</x:v>
      </x:c>
      <x:c r="D1540" t="str">
        <x:v>영등포구</x:v>
      </x:c>
      <x:c r="E1540" t="str">
        <x:v>대림2동</x:v>
      </x:c>
      <x:c r="F1540" s="12" t="n">
        <x:v>24375</x:v>
      </x:c>
      <x:c r="G1540" s="12" t="n">
        <x:v>28223195</x:v>
      </x:c>
      <x:c r="H1540" s="12" t="n">
        <x:v>505</x:v>
      </x:c>
      <x:c r="I1540" s="12" t="n">
        <x:v>55887.514851485146</x:v>
      </x:c>
      <x:c r="J1540" s="12" t="n">
        <x:v>1157.8746666666666</x:v>
      </x:c>
      <x:c r="K1540" s="12" t="n">
        <x:v>138</x:v>
      </x:c>
      <x:c r="L1540" s="12" t="n">
        <x:v>56.61538461538462</x:v>
      </x:c>
      <x:c r="M1540" s="12" t="n">
        <x:v>1</x:v>
      </x:c>
      <x:c r="N1540" s="14" t="n">
        <x:v>0.6376470488192425</x:v>
      </x:c>
      <x:c r="O1540" s="14" t="n">
        <x:v>0.36235295118075755</x:v>
      </x:c>
      <x:c r="P1540" s="14" t="n">
        <x:v>0.34117646850400885</x:v>
      </x:c>
      <x:c r="Q1540" s="14" t="n">
        <x:v>0.28470585984329555</x:v>
      </x:c>
      <x:c r="R1540" s="14" t="n">
        <x:v>0</x:v>
      </x:c>
      <x:c r="S1540" s="14" t="n">
        <x:v>0.016470601574343373</x:v>
      </x:c>
      <x:c r="T1540" t="str">
        <x:v>균형형</x:v>
      </x:c>
      <x:c r="U1540" s="16" t="n">
        <x:v>20.247160987454926</x:v>
      </x:c>
      <x:c r="V1540" t="str">
        <x:v>호프-간이주점</x:v>
      </x:c>
      <x:c r="W1540" t="str">
        <x:v>호프-간이주점</x:v>
      </x:c>
      <x:c r="X1540" s="16" t="n">
        <x:v>20.247160987454926</x:v>
      </x:c>
    </x:row>
    <x:row r="1541">
      <x:c r="A1541" t="str">
        <x:v>3110906</x:v>
      </x:c>
      <x:c r="B1541" t="str">
        <x:v>서문여고</x:v>
      </x:c>
      <x:c r="C1541" t="str">
        <x:v>골목상권</x:v>
      </x:c>
      <x:c r="D1541" t="str">
        <x:v>서초구</x:v>
      </x:c>
      <x:c r="E1541" t="str">
        <x:v>방배4동</x:v>
      </x:c>
      <x:c r="F1541" s="12" t="n">
        <x:v>37319</x:v>
      </x:c>
      <x:c r="G1541" s="12" t="n">
        <x:v>26303906</x:v>
      </x:c>
      <x:c r="H1541" s="12" t="n">
        <x:v>91</x:v>
      </x:c>
      <x:c r="I1541" s="12" t="n">
        <x:v>289053.9120879121</x:v>
      </x:c>
      <x:c r="J1541" s="12" t="n">
        <x:v>704.8395187438034</x:v>
      </x:c>
      <x:c r="K1541" s="12" t="n">
        <x:v>854</x:v>
      </x:c>
      <x:c r="L1541" s="12" t="n">
        <x:v>228.83785739167718</x:v>
      </x:c>
      <x:c r="M1541" s="12" t="n">
        <x:v>1</x:v>
      </x:c>
      <x:c r="N1541" s="14" t="n">
        <x:v>0.7243755357094114</x:v>
      </x:c>
      <x:c r="O1541" s="14" t="n">
        <x:v>0.2756244642905886</x:v>
      </x:c>
      <x:c r="P1541" s="14" t="n">
        <x:v>0.7243755357094114</x:v>
      </x:c>
      <x:c r="Q1541" s="14" t="n">
        <x:v>0.2756244642905886</x:v>
      </x:c>
      <x:c r="R1541" s="14" t="n">
        <x:v>0</x:v>
      </x:c>
      <x:c r="S1541" s="14" t="n">
        <x:v>0.4108527075788668</x:v>
      </x:c>
      <x:c r="T1541" t="str">
        <x:v>야간활성·직장밀집</x:v>
      </x:c>
      <x:c r="U1541" s="16" t="n">
        <x:v>39.233840935675424</x:v>
      </x:c>
      <x:c r="V1541" t="str">
        <x:v>일반교습학원</x:v>
      </x:c>
      <x:c r="W1541" t="str">
        <x:v>일반교습학원</x:v>
      </x:c>
      <x:c r="X1541" s="16" t="n">
        <x:v>39.233840935675424</x:v>
      </x:c>
    </x:row>
    <x:row r="1542">
      <x:c r="A1542" t="str">
        <x:v>3110171</x:v>
      </x:c>
      <x:c r="B1542" t="str">
        <x:v>중곡4동주민센터</x:v>
      </x:c>
      <x:c r="C1542" t="str">
        <x:v>골목상권</x:v>
      </x:c>
      <x:c r="D1542" t="str">
        <x:v>광진구</x:v>
      </x:c>
      <x:c r="E1542" t="str">
        <x:v>중곡4동</x:v>
      </x:c>
      <x:c r="F1542" s="12" t="n">
        <x:v>47879</x:v>
      </x:c>
      <x:c r="G1542" s="12" t="n">
        <x:v>25567237</x:v>
      </x:c>
      <x:c r="H1542" s="12" t="n">
        <x:v>757</x:v>
      </x:c>
      <x:c r="I1542" s="12" t="n">
        <x:v>33774.421400264204</x:v>
      </x:c>
      <x:c r="J1542" s="12" t="n">
        <x:v>533.9968879884709</x:v>
      </x:c>
      <x:c r="K1542" s="12" t="n">
        <x:v>222</x:v>
      </x:c>
      <x:c r="L1542" s="12" t="n">
        <x:v>46.36688318469476</x:v>
      </x:c>
      <x:c r="M1542" s="12" t="n">
        <x:v>1</x:v>
      </x:c>
      <x:c r="N1542" s="14" t="n">
        <x:v>0.6509128851115199</x:v>
      </x:c>
      <x:c r="O1542" s="14" t="n">
        <x:v>0.34908711488848015</x:v>
      </x:c>
      <x:c r="P1542" s="14" t="n">
        <x:v>0.5161830744557967</x:v>
      </x:c>
      <x:c r="Q1542" s="14" t="n">
        <x:v>0.24925927662813155</x:v>
      </x:c>
      <x:c r="R1542" s="14" t="n">
        <x:v>0.24760512839146442</x:v>
      </x:c>
      <x:c r="S1542" s="14" t="n">
        <x:v>0.45592106804501403</x:v>
      </x:c>
      <x:c r="T1542" t="str">
        <x:v>야간활성·2030소비</x:v>
      </x:c>
      <x:c r="U1542" s="16" t="n">
        <x:v>43.91183732061622</x:v>
      </x:c>
      <x:c r="V1542" t="str">
        <x:v>미용실</x:v>
      </x:c>
      <x:c r="W1542" t="str">
        <x:v>미용실</x:v>
      </x:c>
      <x:c r="X1542" s="16" t="n">
        <x:v>43.91183732061622</x:v>
      </x:c>
    </x:row>
    <x:row r="1543">
      <x:c r="A1543" t="str">
        <x:v>3111045</x:v>
      </x:c>
      <x:c r="B1543" t="str">
        <x:v>개미어린이공원</x:v>
      </x:c>
      <x:c r="C1543" t="str">
        <x:v>골목상권</x:v>
      </x:c>
      <x:c r="D1543" t="str">
        <x:v>송파구</x:v>
      </x:c>
      <x:c r="E1543" t="str">
        <x:v>거여2동</x:v>
      </x:c>
      <x:c r="F1543" s="12" t="n">
        <x:v>42008</x:v>
      </x:c>
      <x:c r="G1543" s="12" t="n">
        <x:v>22653019</x:v>
      </x:c>
      <x:c r="H1543" s="12" t="n">
        <x:v>1025</x:v>
      </x:c>
      <x:c r="I1543" s="12" t="n">
        <x:v>22100.506341463413</x:v>
      </x:c>
      <x:c r="J1543" s="12" t="n">
        <x:v>539.2548800228528</x:v>
      </x:c>
      <x:c r="K1543" s="12" t="n">
        <x:v>93</x:v>
      </x:c>
      <x:c r="L1543" s="12" t="n">
        <x:v>22.138640258998286</x:v>
      </x:c>
      <x:c r="M1543" s="12" t="n">
        <x:v>2</x:v>
      </x:c>
      <x:c r="N1543" s="14" t="n">
        <x:v>0.7470051122104299</x:v>
      </x:c>
      <x:c r="O1543" s="14" t="n">
        <x:v>0.25299488778957013</x:v>
      </x:c>
      <x:c r="P1543" s="14" t="n">
        <x:v>0.3836555736787225</x:v>
      </x:c>
      <x:c r="Q1543" s="14" t="n">
        <x:v>0.18970566351443047</x:v>
      </x:c>
      <x:c r="R1543" s="14" t="n">
        <x:v>0.10011358750902032</x:v>
      </x:c>
      <x:c r="S1543" s="14" t="n">
        <x:v>0.4332866625856801</x:v>
      </x:c>
      <x:c r="T1543" t="str">
        <x:v>균형형</x:v>
      </x:c>
      <x:c r="U1543" s="16" t="n">
        <x:v>42.425943687928026</x:v>
      </x:c>
      <x:c r="V1543" t="str">
        <x:v>세탁소</x:v>
      </x:c>
      <x:c r="W1543" t="str">
        <x:v>세탁소 / 미용실</x:v>
      </x:c>
      <x:c r="X1543" s="16" t="n">
        <x:v>35.88364048082646</x:v>
      </x:c>
    </x:row>
    <x:row r="1544">
      <x:c r="A1544" t="str">
        <x:v>3110870</x:v>
      </x:c>
      <x:c r="B1544" t="str">
        <x:v>신림주공2단지(광신고등학교)</x:v>
      </x:c>
      <x:c r="C1544" t="str">
        <x:v>골목상권</x:v>
      </x:c>
      <x:c r="D1544" t="str">
        <x:v>관악구</x:v>
      </x:c>
      <x:c r="E1544" t="str">
        <x:v>삼성동</x:v>
      </x:c>
      <x:c r="F1544" s="12" t="n">
        <x:v>26565</x:v>
      </x:c>
      <x:c r="G1544" s="12" t="n">
        <x:v>22195122</x:v>
      </x:c>
      <x:c r="H1544" s="12" t="n">
        <x:v>117</x:v>
      </x:c>
      <x:c r="I1544" s="12" t="n">
        <x:v>189701.89743589744</x:v>
      </x:c>
      <x:c r="J1544" s="12" t="n">
        <x:v>835.5024280067759</x:v>
      </x:c>
      <x:c r="K1544" s="12" t="n">
        <x:v>64</x:v>
      </x:c>
      <x:c r="L1544" s="12" t="n">
        <x:v>24.0918501788067</x:v>
      </x:c>
      <x:c r="M1544" s="12" t="n">
        <x:v>1</x:v>
      </x:c>
      <x:c r="N1544" s="14" t="n">
        <x:v>0.8294505432319769</x:v>
      </x:c>
      <x:c r="O1544" s="14" t="n">
        <x:v>0.17054945676802316</x:v>
      </x:c>
      <x:c r="P1544" s="14" t="n">
        <x:v>0.0901098899118464</x:v>
      </x:c>
      <x:c r="Q1544" s="14" t="n">
        <x:v>0</x:v>
      </x:c>
      <x:c r="R1544" s="14" t="n">
        <x:v>0</x:v>
      </x:c>
      <x:c r="S1544" s="14" t="n">
        <x:v>0.6668131853476633</x:v>
      </x:c>
      <x:c r="T1544" t="str">
        <x:v>여성소비·평일집중</x:v>
      </x:c>
      <x:c r="U1544" s="16" t="n">
        <x:v>33.11171067992905</x:v>
      </x:c>
      <x:c r="V1544" t="str">
        <x:v>일반교습학원</x:v>
      </x:c>
      <x:c r="W1544" t="str">
        <x:v>일반교습학원</x:v>
      </x:c>
      <x:c r="X1544" s="16" t="n">
        <x:v>33.11171067992905</x:v>
      </x:c>
    </x:row>
    <x:row r="1545">
      <x:c r="A1545" t="str">
        <x:v>3110543</x:v>
      </x:c>
      <x:c r="B1545" t="str">
        <x:v>중암중학교</x:v>
      </x:c>
      <x:c r="C1545" t="str">
        <x:v>골목상권</x:v>
      </x:c>
      <x:c r="D1545" t="str">
        <x:v>마포구</x:v>
      </x:c>
      <x:c r="E1545" t="str">
        <x:v>성산2동</x:v>
      </x:c>
      <x:c r="F1545" s="12" t="n">
        <x:v>21216</x:v>
      </x:c>
      <x:c r="G1545" s="12" t="n">
        <x:v>19320322</x:v>
      </x:c>
      <x:c r="H1545" s="12" t="n">
        <x:v>600</x:v>
      </x:c>
      <x:c r="I1545" s="12" t="n">
        <x:v>32200.536666666667</x:v>
      </x:c>
      <x:c r="J1545" s="12" t="n">
        <x:v>910.6486613876319</x:v>
      </x:c>
      <x:c r="K1545" s="12" t="n">
        <x:v>4</x:v>
      </x:c>
      <x:c r="L1545" s="12" t="n">
        <x:v>1.8853695324283561</x:v>
      </x:c>
      <x:c r="M1545" s="12" t="n">
        <x:v>1</x:v>
      </x:c>
      <x:c r="N1545" s="14" t="n">
        <x:v>0.9012379296783977</x:v>
      </x:c>
      <x:c r="O1545" s="14" t="n">
        <x:v>0.0987620703216023</x:v>
      </x:c>
      <x:c r="P1545" s="14" t="n">
        <x:v>0.07279640577418947</x:v>
      </x:c>
      <x:c r="Q1545" s="14" t="n">
        <x:v>0.3551722378125996</x:v>
      </x:c>
      <x:c r="R1545" s="14" t="n">
        <x:v>0.12611860195704813</x:v>
      </x:c>
      <x:c r="S1545" s="14" t="n">
        <x:v>0.3439050342949771</x:v>
      </x:c>
      <x:c r="T1545" t="str">
        <x:v>평일집중</x:v>
      </x:c>
      <x:c r="U1545" s="16" t="n">
        <x:v>29.738717364506304</x:v>
      </x:c>
      <x:c r="V1545" t="str">
        <x:v>한식음식점</x:v>
      </x:c>
      <x:c r="W1545" t="str">
        <x:v>한식음식점</x:v>
      </x:c>
      <x:c r="X1545" s="16" t="n">
        <x:v>29.738717364506304</x:v>
      </x:c>
    </x:row>
    <x:row r="1546">
      <x:c r="A1546" t="str">
        <x:v>3130126</x:v>
      </x:c>
      <x:c r="B1546" t="str">
        <x:v>새석관시장</x:v>
      </x:c>
      <x:c r="C1546" t="str">
        <x:v>전통시장</x:v>
      </x:c>
      <x:c r="D1546" t="str">
        <x:v>성북구</x:v>
      </x:c>
      <x:c r="E1546" t="str">
        <x:v>석관동</x:v>
      </x:c>
      <x:c r="F1546" s="12" t="n">
        <x:v>7327</x:v>
      </x:c>
      <x:c r="G1546" s="12" t="n">
        <x:v>18128468</x:v>
      </x:c>
      <x:c r="H1546" s="12" t="n">
        <x:v>69</x:v>
      </x:c>
      <x:c r="I1546" s="12" t="n">
        <x:v>262731.4202898551</x:v>
      </x:c>
      <x:c r="J1546" s="12" t="n">
        <x:v>2474.200627814931</x:v>
      </x:c>
      <x:c r="K1546" s="12" t="n">
        <x:v>41</x:v>
      </x:c>
      <x:c r="L1546" s="12" t="n">
        <x:v>55.95741776989218</x:v>
      </x:c>
      <x:c r="M1546" s="12" t="n">
        <x:v>1</x:v>
      </x:c>
      <x:c r="N1546" s="14" t="n">
        <x:v>0.646827078824311</x:v>
      </x:c>
      <x:c r="O1546" s="14" t="n">
        <x:v>0.353172921175689</x:v>
      </x:c>
      <x:c r="P1546" s="14" t="n">
        <x:v>0.5100510975334485</x:v>
      </x:c>
      <x:c r="Q1546" s="14" t="n">
        <x:v>0.23972213206322784</x:v>
      </x:c>
      <x:c r="R1546" s="14" t="n">
        <x:v>0</x:v>
      </x:c>
      <x:c r="S1546" s="14" t="n">
        <x:v>0.8319247384831415</x:v>
      </x:c>
      <x:c r="T1546" t="str">
        <x:v>여성소비·야간활성</x:v>
      </x:c>
      <x:c r="U1546" s="16" t="n">
        <x:v>28.250579102068944</x:v>
      </x:c>
      <x:c r="V1546" t="str">
        <x:v>일반교습학원</x:v>
      </x:c>
      <x:c r="W1546" t="str">
        <x:v>일반교습학원</x:v>
      </x:c>
      <x:c r="X1546" s="16" t="n">
        <x:v>28.250579102068944</x:v>
      </x:c>
    </x:row>
    <x:row r="1547">
      <x:c r="A1547" t="str">
        <x:v>3130122</x:v>
      </x:c>
      <x:c r="B1547" t="str">
        <x:v>밤나무골시장</x:v>
      </x:c>
      <x:c r="C1547" t="str">
        <x:v>전통시장</x:v>
      </x:c>
      <x:c r="D1547" t="str">
        <x:v>성북구</x:v>
      </x:c>
      <x:c r="E1547" t="str">
        <x:v>월곡1동</x:v>
      </x:c>
      <x:c r="F1547" s="12" t="n">
        <x:v>6751</x:v>
      </x:c>
      <x:c r="G1547" s="12" t="n">
        <x:v>13731959</x:v>
      </x:c>
      <x:c r="H1547" s="12" t="n">
        <x:v>182</x:v>
      </x:c>
      <x:c r="I1547" s="12" t="n">
        <x:v>75450.32417582418</x:v>
      </x:c>
      <x:c r="J1547" s="12" t="n">
        <x:v>2034.0629536364984</x:v>
      </x:c>
      <x:c r="K1547" s="12" t="n">
        <x:v>31</x:v>
      </x:c>
      <x:c r="L1547" s="12" t="n">
        <x:v>45.91912309287513</x:v>
      </x:c>
      <x:c r="M1547" s="12" t="n">
        <x:v>1</x:v>
      </x:c>
      <x:c r="N1547" s="14" t="n">
        <x:v>0.5705244240825362</x:v>
      </x:c>
      <x:c r="O1547" s="14" t="n">
        <x:v>0.42947557591746377</x:v>
      </x:c>
      <x:c r="P1547" s="14" t="n">
        <x:v>0.9523809385099388</x:v>
      </x:c>
      <x:c r="Q1547" s="14" t="n">
        <x:v>0.02049430820467786</x:v>
      </x:c>
      <x:c r="R1547" s="14" t="n">
        <x:v>0.22754670327809748</x:v>
      </x:c>
      <x:c r="S1547" s="14" t="n">
        <x:v>0.3712749215170246</x:v>
      </x:c>
      <x:c r="T1547" t="str">
        <x:v>야간활성·2030소비</x:v>
      </x:c>
      <x:c r="U1547" s="16" t="n">
        <x:v>29.89446064654732</x:v>
      </x:c>
      <x:c r="V1547" t="str">
        <x:v>한식음식점</x:v>
      </x:c>
      <x:c r="W1547" t="str">
        <x:v>한식음식점</x:v>
      </x:c>
      <x:c r="X1547" s="16" t="n">
        <x:v>29.89446064654732</x:v>
      </x:c>
    </x:row>
    <x:row r="1548">
      <x:c r="A1548" t="str">
        <x:v>3110512</x:v>
      </x:c>
      <x:c r="B1548" t="str">
        <x:v>연희지하차도</x:v>
      </x:c>
      <x:c r="C1548" t="str">
        <x:v>골목상권</x:v>
      </x:c>
      <x:c r="D1548" t="str">
        <x:v>서대문구</x:v>
      </x:c>
      <x:c r="E1548" t="str">
        <x:v>연희동</x:v>
      </x:c>
      <x:c r="F1548" s="12" t="n">
        <x:v>112524</x:v>
      </x:c>
      <x:c r="G1548" s="12" t="n">
        <x:v>13424590</x:v>
      </x:c>
      <x:c r="H1548" s="12" t="n">
        <x:v>1430</x:v>
      </x:c>
      <x:c r="I1548" s="12" t="n">
        <x:v>9387.825174825175</x:v>
      </x:c>
      <x:c r="J1548" s="12" t="n">
        <x:v>119.30423731826099</x:v>
      </x:c>
      <x:c r="K1548" s="12" t="n">
        <x:v>1568</x:v>
      </x:c>
      <x:c r="L1548" s="12" t="n">
        <x:v>139.34805019373644</x:v>
      </x:c>
      <x:c r="M1548" s="12" t="n">
        <x:v>1</x:v>
      </x:c>
      <x:c r="N1548" s="14" t="n">
        <x:v>0.684999020454256</x:v>
      </x:c>
      <x:c r="O1548" s="14" t="n">
        <x:v>0.315000979545744</x:v>
      </x:c>
      <x:c r="P1548" s="14" t="n">
        <x:v>0.5306259632510192</x:v>
      </x:c>
      <x:c r="Q1548" s="14" t="n">
        <x:v>0.18539620204415927</x:v>
      </x:c>
      <x:c r="R1548" s="14" t="n">
        <x:v>0.12388542219911372</x:v>
      </x:c>
      <x:c r="S1548" s="14" t="n">
        <x:v>0.34245269315487475</x:v>
      </x:c>
      <x:c r="T1548" t="str">
        <x:v>야간활성·직장밀집</x:v>
      </x:c>
      <x:c r="U1548" s="16" t="n">
        <x:v>31.255001070214163</x:v>
      </x:c>
      <x:c r="V1548" t="str">
        <x:v>슈퍼마켓</x:v>
      </x:c>
      <x:c r="W1548" t="str">
        <x:v>슈퍼마켓</x:v>
      </x:c>
      <x:c r="X1548" s="16" t="n">
        <x:v>31.255001070214163</x:v>
      </x:c>
    </x:row>
    <x:row r="1549">
      <x:c r="A1549" t="str">
        <x:v>3110284</x:v>
      </x:c>
      <x:c r="B1549" t="str">
        <x:v>정릉북한산국립공원입구</x:v>
      </x:c>
      <x:c r="C1549" t="str">
        <x:v>골목상권</x:v>
      </x:c>
      <x:c r="D1549" t="str">
        <x:v>성북구</x:v>
      </x:c>
      <x:c r="E1549" t="str">
        <x:v>정릉4동</x:v>
      </x:c>
      <x:c r="F1549" s="12" t="n">
        <x:v>57402</x:v>
      </x:c>
      <x:c r="G1549" s="12" t="n">
        <x:v>13383839</x:v>
      </x:c>
      <x:c r="H1549" s="12" t="n">
        <x:v>50</x:v>
      </x:c>
      <x:c r="I1549" s="12" t="n">
        <x:v>267676.78</x:v>
      </x:c>
      <x:c r="J1549" s="12" t="n">
        <x:v>233.15980279432773</x:v>
      </x:c>
      <x:c r="K1549" s="12" t="n">
        <x:v>259</x:v>
      </x:c>
      <x:c r="L1549" s="12" t="n">
        <x:v>45.12037908086826</x:v>
      </x:c>
      <x:c r="M1549" s="12" t="n">
        <x:v>1</x:v>
      </x:c>
      <x:c r="N1549" s="14" t="n">
        <x:v>0.7735848436311883</x:v>
      </x:c>
      <x:c r="O1549" s="14" t="n">
        <x:v>0.22641515636881168</x:v>
      </x:c>
      <x:c r="P1549" s="14" t="n">
        <x:v>0.26415096595229515</x:v>
      </x:c>
      <x:c r="Q1549" s="14" t="n">
        <x:v>0</x:v>
      </x:c>
      <x:c r="R1549" s="14" t="n">
        <x:v>0</x:v>
      </x:c>
      <x:c r="S1549" s="14" t="n">
        <x:v>0.037735884300461174</x:v>
      </x:c>
      <x:c r="T1549" t="str">
        <x:v>평일집중</x:v>
      </x:c>
      <x:c r="U1549" s="16" t="n">
        <x:v>48.01411527427426</x:v>
      </x:c>
      <x:c r="V1549" t="str">
        <x:v>일반교습학원</x:v>
      </x:c>
      <x:c r="W1549" t="str">
        <x:v>일반교습학원</x:v>
      </x:c>
      <x:c r="X1549" s="16" t="n">
        <x:v>48.01411527427426</x:v>
      </x:c>
    </x:row>
    <x:row r="1550">
      <x:c r="A1550" t="str">
        <x:v>3130215</x:v>
      </x:c>
      <x:c r="B1550" t="str">
        <x:v>대원종합시장</x:v>
      </x:c>
      <x:c r="C1550" t="str">
        <x:v>전통시장</x:v>
      </x:c>
      <x:c r="D1550" t="str">
        <x:v>강서구</x:v>
      </x:c>
      <x:c r="E1550" t="str">
        <x:v>화곡3동</x:v>
      </x:c>
      <x:c r="F1550" s="12" t="n">
        <x:v>3092</x:v>
      </x:c>
      <x:c r="G1550" s="12" t="n">
        <x:v>13096329</x:v>
      </x:c>
      <x:c r="H1550" s="12" t="n">
        <x:v>211</x:v>
      </x:c>
      <x:c r="I1550" s="12" t="n">
        <x:v>62067.909952606635</x:v>
      </x:c>
      <x:c r="J1550" s="12" t="n">
        <x:v>4235.5527166882275</x:v>
      </x:c>
      <x:c r="K1550" s="12" t="n">
        <x:v>21</x:v>
      </x:c>
      <x:c r="L1550" s="12" t="n">
        <x:v>67.91720569210867</x:v>
      </x:c>
      <x:c r="M1550" s="12" t="n">
        <x:v>1</x:v>
      </x:c>
      <x:c r="N1550" s="14" t="n">
        <x:v>0.811434334003063</x:v>
      </x:c>
      <x:c r="O1550" s="14" t="n">
        <x:v>0.188565665996937</x:v>
      </x:c>
      <x:c r="P1550" s="14" t="n">
        <x:v>0.07321967858321214</x:v>
      </x:c>
      <x:c r="Q1550" s="14" t="n">
        <x:v>0.45235714527330523</x:v>
      </x:c>
      <x:c r="R1550" s="14" t="n">
        <x:v>0.20060178695877295</x:v>
      </x:c>
      <x:c r="S1550" s="14" t="n">
        <x:v>0.9578736148122119</x:v>
      </x:c>
      <x:c r="T1550" t="str">
        <x:v>여성소비·평일집중</x:v>
      </x:c>
      <x:c r="U1550" s="16" t="n">
        <x:v>56.97967800097883</x:v>
      </x:c>
      <x:c r="V1550" t="str">
        <x:v>일반의류</x:v>
      </x:c>
      <x:c r="W1550" t="str">
        <x:v>일반의류</x:v>
      </x:c>
      <x:c r="X1550" s="16" t="n">
        <x:v>56.97967800097883</x:v>
      </x:c>
    </x:row>
    <x:row r="1551">
      <x:c r="A1551" t="str">
        <x:v>3130199</x:v>
      </x:c>
      <x:c r="B1551" t="str">
        <x:v>신월3동 골목시장</x:v>
      </x:c>
      <x:c r="C1551" t="str">
        <x:v>전통시장</x:v>
      </x:c>
      <x:c r="D1551" t="str">
        <x:v>양천구</x:v>
      </x:c>
      <x:c r="E1551" t="str">
        <x:v>신월3동</x:v>
      </x:c>
      <x:c r="F1551" s="12" t="n">
        <x:v>21147</x:v>
      </x:c>
      <x:c r="G1551" s="12" t="n">
        <x:v>12866425</x:v>
      </x:c>
      <x:c r="H1551" s="12" t="n">
        <x:v>397</x:v>
      </x:c>
      <x:c r="I1551" s="12" t="n">
        <x:v>32409.13098236776</x:v>
      </x:c>
      <x:c r="J1551" s="12" t="n">
        <x:v>608.4279093961319</x:v>
      </x:c>
      <x:c r="K1551" s="12" t="n">
        <x:v>72</x:v>
      </x:c>
      <x:c r="L1551" s="12" t="n">
        <x:v>34.04738260746205</x:v>
      </x:c>
      <x:c r="M1551" s="12" t="n">
        <x:v>1</x:v>
      </x:c>
      <x:c r="N1551" s="14" t="n">
        <x:v>0.8867746868302578</x:v>
      </x:c>
      <x:c r="O1551" s="14" t="n">
        <x:v>0.11322531316974217</x:v>
      </x:c>
      <x:c r="P1551" s="14" t="n">
        <x:v>0.09408269973982672</x:v>
      </x:c>
      <x:c r="Q1551" s="14" t="n">
        <x:v>0.2927575453165895</x:v>
      </x:c>
      <x:c r="R1551" s="14" t="n">
        <x:v>0.05800197024425977</x:v>
      </x:c>
      <x:c r="S1551" s="14" t="n">
        <x:v>0.739848403888415</x:v>
      </x:c>
      <x:c r="T1551" t="str">
        <x:v>여성소비·평일집중</x:v>
      </x:c>
      <x:c r="U1551" s="16" t="n">
        <x:v>36.042211875482444</x:v>
      </x:c>
      <x:c r="V1551" t="str">
        <x:v>미용실</x:v>
      </x:c>
      <x:c r="W1551" t="str">
        <x:v>미용실</x:v>
      </x:c>
      <x:c r="X1551" s="16" t="n">
        <x:v>36.042211875482444</x:v>
      </x:c>
    </x:row>
    <x:row r="1552">
      <x:c r="A1552" t="str">
        <x:v>3130136</x:v>
      </x:c>
      <x:c r="B1552" t="str">
        <x:v>수유재래시장</x:v>
      </x:c>
      <x:c r="C1552" t="str">
        <x:v>전통시장</x:v>
      </x:c>
      <x:c r="D1552" t="str">
        <x:v>강북구</x:v>
      </x:c>
      <x:c r="E1552" t="str">
        <x:v>수유1동</x:v>
      </x:c>
      <x:c r="F1552" s="12" t="n">
        <x:v>10960</x:v>
      </x:c>
      <x:c r="G1552" s="12" t="n">
        <x:v>12000000</x:v>
      </x:c>
      <x:c r="H1552" s="12" t="n">
        <x:v>861</x:v>
      </x:c>
      <x:c r="I1552" s="12" t="n">
        <x:v>13937.282229965156</x:v>
      </x:c>
      <x:c r="J1552" s="12" t="n">
        <x:v>1094.890510948905</x:v>
      </x:c>
      <x:c r="K1552" s="12" t="n">
        <x:v>56</x:v>
      </x:c>
      <x:c r="L1552" s="12" t="n">
        <x:v>51.09489051094891</x:v>
      </x:c>
      <x:c r="M1552" s="12" t="n">
        <x:v>1</x:v>
      </x:c>
      <x:c r="N1552" s="14" t="n">
        <x:v>0.5905246666666667</x:v>
      </x:c>
      <x:c r="O1552" s="14" t="n">
        <x:v>0.40947533333333336</x:v>
      </x:c>
      <x:c r="P1552" s="14" t="n">
        <x:v>0.20731733333333333</x:v>
      </x:c>
      <x:c r="Q1552" s="14" t="n">
        <x:v>0.29200966666666667</x:v>
      </x:c>
      <x:c r="R1552" s="14" t="n">
        <x:v>0.11744783333333333</x:v>
      </x:c>
      <x:c r="S1552" s="14" t="n">
        <x:v>0.61311575</x:v>
      </x:c>
      <x:c r="T1552" t="str">
        <x:v>여성소비</x:v>
      </x:c>
      <x:c r="U1552" s="16" t="n">
        <x:v>32.09359248499241</x:v>
      </x:c>
      <x:c r="V1552" t="str">
        <x:v>청과상</x:v>
      </x:c>
      <x:c r="W1552" t="str">
        <x:v>청과상</x:v>
      </x:c>
      <x:c r="X1552" s="16" t="n">
        <x:v>32.09359248499241</x:v>
      </x:c>
    </x:row>
    <x:row r="1553">
      <x:c r="A1553" t="str">
        <x:v>3110898</x:v>
      </x:c>
      <x:c r="B1553" t="str">
        <x:v>청림동주민센터(상도중학교)</x:v>
      </x:c>
      <x:c r="C1553" t="str">
        <x:v>골목상권</x:v>
      </x:c>
      <x:c r="D1553" t="str">
        <x:v>관악구</x:v>
      </x:c>
      <x:c r="E1553" t="str">
        <x:v>청림동</x:v>
      </x:c>
      <x:c r="F1553" s="12" t="n">
        <x:v>57942</x:v>
      </x:c>
      <x:c r="G1553" s="12" t="n">
        <x:v>10491145</x:v>
      </x:c>
      <x:c r="H1553" s="12" t="n">
        <x:v>272</x:v>
      </x:c>
      <x:c r="I1553" s="12" t="n">
        <x:v>38570.38602941176</x:v>
      </x:c>
      <x:c r="J1553" s="12" t="n">
        <x:v>181.06287321804564</x:v>
      </x:c>
      <x:c r="K1553" s="12" t="n">
        <x:v>344</x:v>
      </x:c>
      <x:c r="L1553" s="12" t="n">
        <x:v>59.369714542128335</x:v>
      </x:c>
      <x:c r="M1553" s="12" t="n">
        <x:v>1</x:v>
      </x:c>
      <x:c r="N1553" s="14" t="n">
        <x:v>0.46336200672090605</x:v>
      </x:c>
      <x:c r="O1553" s="14" t="n">
        <x:v>0.5366379932790939</x:v>
      </x:c>
      <x:c r="P1553" s="14" t="n">
        <x:v>0.8265085460166646</x:v>
      </x:c>
      <x:c r="Q1553" s="14" t="n">
        <x:v>0</x:v>
      </x:c>
      <x:c r="R1553" s="14" t="n">
        <x:v>0.11099141228150025</x:v>
      </x:c>
      <x:c r="S1553" s="14" t="n">
        <x:v>0.38362066294956365</x:v>
      </x:c>
      <x:c r="T1553" t="str">
        <x:v>야간활성</x:v>
      </x:c>
      <x:c r="U1553" s="16" t="n">
        <x:v>29.228192329125577</x:v>
      </x:c>
      <x:c r="V1553" t="str">
        <x:v>호프-간이주점</x:v>
      </x:c>
      <x:c r="W1553" t="str">
        <x:v>호프-간이주점</x:v>
      </x:c>
      <x:c r="X1553" s="16" t="n">
        <x:v>29.228192329125577</x:v>
      </x:c>
    </x:row>
    <x:row r="1554">
      <x:c r="A1554" t="str">
        <x:v>3130280</x:v>
      </x:c>
      <x:c r="B1554" t="str">
        <x:v>신림종합시장</x:v>
      </x:c>
      <x:c r="C1554" t="str">
        <x:v>전통시장</x:v>
      </x:c>
      <x:c r="D1554" t="str">
        <x:v>관악구</x:v>
      </x:c>
      <x:c r="E1554" t="str">
        <x:v>신사동</x:v>
      </x:c>
      <x:c r="F1554" s="12" t="n">
        <x:v>8761</x:v>
      </x:c>
      <x:c r="G1554" s="12" t="n">
        <x:v>10000000</x:v>
      </x:c>
      <x:c r="H1554" s="12" t="n">
        <x:v>12</x:v>
      </x:c>
      <x:c r="I1554" s="12" t="n">
        <x:v>833333.3333333334</x:v>
      </x:c>
      <x:c r="J1554" s="12" t="n">
        <x:v>1141.422212076247</x:v>
      </x:c>
      <x:c r="K1554" s="12" t="n">
        <x:v>63</x:v>
      </x:c>
      <x:c r="L1554" s="12" t="n">
        <x:v>71.90959936080355</x:v>
      </x:c>
      <x:c r="M1554" s="12" t="n">
        <x:v>1</x:v>
      </x:c>
      <x:c r="N1554" s="14" t="n">
        <x:v>0.3</x:v>
      </x:c>
      <x:c r="O1554" s="14" t="n">
        <x:v>0.7</x:v>
      </x:c>
      <x:c r="P1554" s="14" t="n">
        <x:v>0</x:v>
      </x:c>
      <x:c r="Q1554" s="14" t="n">
        <x:v>0</x:v>
      </x:c>
      <x:c r="R1554" s="14" t="n">
        <x:v>0</x:v>
      </x:c>
      <x:c r="S1554" s="14" t="n">
        <x:v>1</x:v>
      </x:c>
      <x:c r="T1554" t="str">
        <x:v>여성소비</x:v>
      </x:c>
      <x:c r="U1554" s="16" t="n">
        <x:v>37.70631588634387</x:v>
      </x:c>
      <x:c r="V1554" t="str">
        <x:v>전자상거래업</x:v>
      </x:c>
      <x:c r="W1554" t="str">
        <x:v>전자상거래업</x:v>
      </x:c>
      <x:c r="X1554" s="16" t="n">
        <x:v>37.70631588634387</x:v>
      </x:c>
    </x:row>
    <x:row r="1555">
      <x:c r="A1555" t="str">
        <x:v>3130144</x:v>
      </x:c>
      <x:c r="B1555" t="str">
        <x:v>백운시장</x:v>
      </x:c>
      <x:c r="C1555" t="str">
        <x:v>전통시장</x:v>
      </x:c>
      <x:c r="D1555" t="str">
        <x:v>도봉구</x:v>
      </x:c>
      <x:c r="E1555" t="str">
        <x:v>쌍문1동</x:v>
      </x:c>
      <x:c r="F1555" s="12" t="n">
        <x:v>16119</x:v>
      </x:c>
      <x:c r="G1555" s="12" t="n">
        <x:v>7881899</x:v>
      </x:c>
      <x:c r="H1555" s="12" t="n">
        <x:v>692</x:v>
      </x:c>
      <x:c r="I1555" s="12" t="n">
        <x:v>11390.027456647398</x:v>
      </x:c>
      <x:c r="J1555" s="12" t="n">
        <x:v>488.9818847323035</x:v>
      </x:c>
      <x:c r="K1555" s="12" t="n">
        <x:v>36</x:v>
      </x:c>
      <x:c r="L1555" s="12" t="n">
        <x:v>22.33389168062535</x:v>
      </x:c>
      <x:c r="M1555" s="12" t="n">
        <x:v>1</x:v>
      </x:c>
      <x:c r="N1555" s="14" t="n">
        <x:v>0.8169343453906223</x:v>
      </x:c>
      <x:c r="O1555" s="14" t="n">
        <x:v>0.18306565460937776</x:v>
      </x:c>
      <x:c r="P1555" s="14" t="n">
        <x:v>0.28887061354122906</x:v>
      </x:c>
      <x:c r="Q1555" s="14" t="n">
        <x:v>0.47879768568463005</x:v>
      </x:c>
      <x:c r="R1555" s="14" t="n">
        <x:v>0.1785993451578103</x:v>
      </x:c>
      <x:c r="S1555" s="14" t="n">
        <x:v>0.5643667852125483</x:v>
      </x:c>
      <x:c r="T1555" t="str">
        <x:v>여성소비·평일집중</x:v>
      </x:c>
      <x:c r="U1555" s="16" t="n">
        <x:v>44.826687148314335</x:v>
      </x:c>
      <x:c r="V1555" t="str">
        <x:v>분식전문점</x:v>
      </x:c>
      <x:c r="W1555" t="str">
        <x:v>분식전문점</x:v>
      </x:c>
      <x:c r="X1555" s="16" t="n">
        <x:v>44.826687148314335</x:v>
      </x:c>
    </x:row>
    <x:row r="1556">
      <x:c r="A1556" t="str">
        <x:v>3110887</x:v>
      </x:c>
      <x:c r="B1556" t="str">
        <x:v>서울산업정보학교(서울삼성초등학교)</x:v>
      </x:c>
      <x:c r="C1556" t="str">
        <x:v>골목상권</x:v>
      </x:c>
      <x:c r="D1556" t="str">
        <x:v>관악구</x:v>
      </x:c>
      <x:c r="E1556" t="str">
        <x:v>대학동</x:v>
      </x:c>
      <x:c r="F1556" s="12" t="n">
        <x:v>56397</x:v>
      </x:c>
      <x:c r="G1556" s="12" t="n">
        <x:v>7784432</x:v>
      </x:c>
      <x:c r="H1556" s="12" t="n">
        <x:v>225</x:v>
      </x:c>
      <x:c r="I1556" s="12" t="n">
        <x:v>34597.47555555555</x:v>
      </x:c>
      <x:c r="J1556" s="12" t="n">
        <x:v>138.02918594960724</x:v>
      </x:c>
      <x:c r="K1556" s="12" t="n">
        <x:v>44</x:v>
      </x:c>
      <x:c r="L1556" s="12" t="n">
        <x:v>7.801833430856251</x:v>
      </x:c>
      <x:c r="M1556" s="12" t="n">
        <x:v>1</x:v>
      </x:c>
      <x:c r="N1556" s="14" t="n">
        <x:v>0.8076923274556191</x:v>
      </x:c>
      <x:c r="O1556" s="14" t="n">
        <x:v>0.1923076725443809</x:v>
      </x:c>
      <x:c r="P1556" s="14" t="n">
        <x:v>0.5961538362721904</x:v>
      </x:c>
      <x:c r="Q1556" s="14" t="n">
        <x:v>0.14423069017752355</x:v>
      </x:c>
      <x:c r="R1556" s="14" t="n">
        <x:v>0.05769232745561911</x:v>
      </x:c>
      <x:c r="S1556" s="14" t="n">
        <x:v>0.8557691813609523</x:v>
      </x:c>
      <x:c r="T1556" t="str">
        <x:v>여성소비·야간활성</x:v>
      </x:c>
      <x:c r="U1556" s="16" t="n">
        <x:v>41.28621883817659</x:v>
      </x:c>
      <x:c r="V1556" t="str">
        <x:v>미용실</x:v>
      </x:c>
      <x:c r="W1556" t="str">
        <x:v>미용실</x:v>
      </x:c>
      <x:c r="X1556" s="16" t="n">
        <x:v>41.28621883817659</x:v>
      </x:c>
    </x:row>
    <x:row r="1557">
      <x:c r="A1557" t="str">
        <x:v>3130162</x:v>
      </x:c>
      <x:c r="B1557" t="str">
        <x:v>증산골목시장</x:v>
      </x:c>
      <x:c r="C1557" t="str">
        <x:v>전통시장</x:v>
      </x:c>
      <x:c r="D1557" t="str">
        <x:v>은평구</x:v>
      </x:c>
      <x:c r="E1557" t="str">
        <x:v>증산동</x:v>
      </x:c>
      <x:c r="F1557" s="12" t="n">
        <x:v>7969</x:v>
      </x:c>
      <x:c r="G1557" s="12" t="n">
        <x:v>7231947</x:v>
      </x:c>
      <x:c r="H1557" s="12" t="n">
        <x:v>434</x:v>
      </x:c>
      <x:c r="I1557" s="12" t="n">
        <x:v>16663.472350230415</x:v>
      </x:c>
      <x:c r="J1557" s="12" t="n">
        <x:v>907.5099761576107</x:v>
      </x:c>
      <x:c r="K1557" s="12" t="n">
        <x:v>77</x:v>
      </x:c>
      <x:c r="L1557" s="12" t="n">
        <x:v>96.62441962605095</x:v>
      </x:c>
      <x:c r="M1557" s="12" t="n">
        <x:v>1</x:v>
      </x:c>
      <x:c r="N1557" s="14" t="n">
        <x:v>0.6824376616698103</x:v>
      </x:c>
      <x:c r="O1557" s="14" t="n">
        <x:v>0.31756233833018965</x:v>
      </x:c>
      <x:c r="P1557" s="14" t="n">
        <x:v>0.2804000084624514</x:v>
      </x:c>
      <x:c r="Q1557" s="14" t="n">
        <x:v>0.24494579398881103</x:v>
      </x:c>
      <x:c r="R1557" s="14" t="n">
        <x:v>0.08895543620549211</x:v>
      </x:c>
      <x:c r="S1557" s="14" t="n">
        <x:v>0.4617206127201983</x:v>
      </x:c>
      <x:c r="T1557" t="str">
        <x:v>여성소비·직장밀집</x:v>
      </x:c>
      <x:c r="U1557" s="16" t="n">
        <x:v>33.700998449734186</x:v>
      </x:c>
      <x:c r="V1557" t="str">
        <x:v>미용실</x:v>
      </x:c>
      <x:c r="W1557" t="str">
        <x:v>미용실</x:v>
      </x:c>
      <x:c r="X1557" s="16" t="n">
        <x:v>33.700998449734186</x:v>
      </x:c>
    </x:row>
    <x:row r="1558">
      <x:c r="A1558" t="str">
        <x:v>3130142</x:v>
      </x:c>
      <x:c r="B1558" t="str">
        <x:v>강북북부시장</x:v>
      </x:c>
      <x:c r="C1558" t="str">
        <x:v>전통시장</x:v>
      </x:c>
      <x:c r="D1558" t="str">
        <x:v>강북구</x:v>
      </x:c>
      <x:c r="E1558" t="str">
        <x:v>번1동</x:v>
      </x:c>
      <x:c r="F1558" s="12" t="n">
        <x:v>4209</x:v>
      </x:c>
      <x:c r="G1558" s="12" t="n">
        <x:v>6998988</x:v>
      </x:c>
      <x:c r="H1558" s="12" t="n">
        <x:v>146</x:v>
      </x:c>
      <x:c r="I1558" s="12" t="n">
        <x:v>47938.27397260274</x:v>
      </x:c>
      <x:c r="J1558" s="12" t="n">
        <x:v>1662.8624376336422</x:v>
      </x:c>
      <x:c r="K1558" s="12" t="n">
        <x:v>15</x:v>
      </x:c>
      <x:c r="L1558" s="12" t="n">
        <x:v>35.637918745545264</x:v>
      </x:c>
      <x:c r="M1558" s="12" t="n">
        <x:v>1</x:v>
      </x:c>
      <x:c r="N1558" s="14" t="n">
        <x:v>1</x:v>
      </x:c>
      <x:c r="O1558" s="14" t="n">
        <x:v>0</x:v>
      </x:c>
      <x:c r="P1558" s="14" t="n">
        <x:v>1</x:v>
      </x:c>
      <x:c r="Q1558" s="14" t="n">
        <x:v>0</x:v>
      </x:c>
      <x:c r="R1558" s="14" t="n">
        <x:v>0.10371656588066731</x:v>
      </x:c>
      <x:c r="S1558" s="14" t="n">
        <x:v>0.8962834341193326</x:v>
      </x:c>
      <x:c r="T1558" t="str">
        <x:v>야간활성·평일집중</x:v>
      </x:c>
      <x:c r="U1558" s="16" t="n">
        <x:v>43.51699468727361</x:v>
      </x:c>
      <x:c r="V1558" t="str">
        <x:v>육류판매</x:v>
      </x:c>
      <x:c r="W1558" t="str">
        <x:v>육류판매</x:v>
      </x:c>
      <x:c r="X1558" s="16" t="n">
        <x:v>43.51699468727361</x:v>
      </x:c>
    </x:row>
    <x:row r="1559">
      <x:c r="A1559" t="str">
        <x:v>3130254</x:v>
      </x:c>
      <x:c r="B1559" t="str">
        <x:v>남서울상가</x:v>
      </x:c>
      <x:c r="C1559" t="str">
        <x:v>전통시장</x:v>
      </x:c>
      <x:c r="D1559" t="str">
        <x:v>영등포구</x:v>
      </x:c>
      <x:c r="E1559" t="str">
        <x:v>영등포동</x:v>
      </x:c>
      <x:c r="F1559" s="12" t="n">
        <x:v>3391</x:v>
      </x:c>
      <x:c r="G1559" s="12" t="n">
        <x:v>6716739</x:v>
      </x:c>
      <x:c r="H1559" s="12" t="n">
        <x:v>239</x:v>
      </x:c>
      <x:c r="I1559" s="12" t="n">
        <x:v>28103.510460251047</x:v>
      </x:c>
      <x:c r="J1559" s="12" t="n">
        <x:v>1980.7546446475965</x:v>
      </x:c>
      <x:c r="K1559" s="12" t="n">
        <x:v>9</x:v>
      </x:c>
      <x:c r="L1559" s="12" t="n">
        <x:v>26.540843409023886</x:v>
      </x:c>
      <x:c r="M1559" s="12" t="n">
        <x:v>1</x:v>
      </x:c>
      <x:c r="N1559" s="14" t="n">
        <x:v>0.8268193836324442</x:v>
      </x:c>
      <x:c r="O1559" s="14" t="n">
        <x:v>0.17318061636755575</x:v>
      </x:c>
      <x:c r="P1559" s="14" t="n">
        <x:v>0.024208027139360336</x:v>
      </x:c>
      <x:c r="Q1559" s="14" t="n">
        <x:v>0.6126492335045325</x:v>
      </x:c>
      <x:c r="R1559" s="14" t="n">
        <x:v>0</x:v>
      </x:c>
      <x:c r="S1559" s="14" t="n">
        <x:v>0.7076416100134306</x:v>
      </x:c>
      <x:c r="T1559" t="str">
        <x:v>여성소비·평일집중</x:v>
      </x:c>
      <x:c r="U1559" s="16" t="n">
        <x:v>27.353914292310996</x:v>
      </x:c>
      <x:c r="V1559" t="str">
        <x:v>일반의류</x:v>
      </x:c>
      <x:c r="W1559" t="str">
        <x:v>일반의류</x:v>
      </x:c>
      <x:c r="X1559" s="16" t="n">
        <x:v>27.353914292310996</x:v>
      </x:c>
    </x:row>
    <x:row r="1560">
      <x:c r="A1560" t="str">
        <x:v>3130296</x:v>
      </x:c>
      <x:c r="B1560" t="str">
        <x:v>남부종합시장</x:v>
      </x:c>
      <x:c r="C1560" t="str">
        <x:v>전통시장</x:v>
      </x:c>
      <x:c r="D1560" t="str">
        <x:v>서초구</x:v>
      </x:c>
      <x:c r="E1560" t="str">
        <x:v>방배본동</x:v>
      </x:c>
      <x:c r="F1560" s="12" t="n">
        <x:v>6658</x:v>
      </x:c>
      <x:c r="G1560" s="12" t="n">
        <x:v>4662925</x:v>
      </x:c>
      <x:c r="H1560" s="12" t="n">
        <x:v>625</x:v>
      </x:c>
      <x:c r="I1560" s="12" t="n">
        <x:v>7460.68</x:v>
      </x:c>
      <x:c r="J1560" s="12" t="n">
        <x:v>700.3492039651547</x:v>
      </x:c>
      <x:c r="K1560" s="12" t="n">
        <x:v>413</x:v>
      </x:c>
      <x:c r="L1560" s="12" t="n">
        <x:v>620.3063983178132</x:v>
      </x:c>
      <x:c r="M1560" s="12" t="n">
        <x:v>1</x:v>
      </x:c>
      <x:c r="N1560" s="14" t="n">
        <x:v>0.4699828970013457</x:v>
      </x:c>
      <x:c r="O1560" s="14" t="n">
        <x:v>0.5300171029986542</x:v>
      </x:c>
      <x:c r="P1560" s="14" t="n">
        <x:v>0.12356814660325868</x:v>
      </x:c>
      <x:c r="Q1560" s="14" t="n">
        <x:v>0.3885771270179126</x:v>
      </x:c>
      <x:c r="R1560" s="14" t="n">
        <x:v>0.34680849466804636</x:v>
      </x:c>
      <x:c r="S1560" s="14" t="n">
        <x:v>0.3737244326254443</x:v>
      </x:c>
      <x:c r="T1560" t="str">
        <x:v>직장밀집·2030소비</x:v>
      </x:c>
      <x:c r="U1560" s="16" t="n">
        <x:v>26.665539686488188</x:v>
      </x:c>
      <x:c r="V1560" t="str">
        <x:v>화초</x:v>
      </x:c>
      <x:c r="W1560" t="str">
        <x:v>화초</x:v>
      </x:c>
      <x:c r="X1560" s="16" t="n">
        <x:v>26.665539686488188</x:v>
      </x:c>
    </x:row>
    <x:row r="1561">
      <x:c r="A1561" t="str">
        <x:v>3130192</x:v>
      </x:c>
      <x:c r="B1561" t="str">
        <x:v>동진시장</x:v>
      </x:c>
      <x:c r="C1561" t="str">
        <x:v>전통시장</x:v>
      </x:c>
      <x:c r="D1561" t="str">
        <x:v>마포구</x:v>
      </x:c>
      <x:c r="E1561" t="str">
        <x:v>연남동</x:v>
      </x:c>
      <x:c r="F1561" s="12" t="n">
        <x:v>4091</x:v>
      </x:c>
      <x:c r="G1561" s="12" t="n">
        <x:v>4336971</x:v>
      </x:c>
      <x:c r="H1561" s="12" t="n">
        <x:v>358</x:v>
      </x:c>
      <x:c r="I1561" s="12" t="n">
        <x:v>12114.444134078212</x:v>
      </x:c>
      <x:c r="J1561" s="12" t="n">
        <x:v>1060.1249083353703</x:v>
      </x:c>
      <x:c r="K1561" s="12" t="n">
        <x:v>36</x:v>
      </x:c>
      <x:c r="L1561" s="12" t="n">
        <x:v>87.99804448790027</x:v>
      </x:c>
      <x:c r="M1561" s="12" t="n">
        <x:v>1</x:v>
      </x:c>
      <x:c r="N1561" s="14" t="n">
        <x:v>0.39752398621065255</x:v>
      </x:c>
      <x:c r="O1561" s="14" t="n">
        <x:v>0.6024760137893475</x:v>
      </x:c>
      <x:c r="P1561" s="14" t="n">
        <x:v>0.04951843118157811</x:v>
      </x:c>
      <x:c r="Q1561" s="14" t="n">
        <x:v>0.30192569883450915</x:v>
      </x:c>
      <x:c r="R1561" s="14" t="n">
        <x:v>0.8593495321965492</x:v>
      </x:c>
      <x:c r="S1561" s="14" t="n">
        <x:v>0.6516158397185501</x:v>
      </x:c>
      <x:c r="T1561" t="str">
        <x:v>2030소비·여성소비</x:v>
      </x:c>
      <x:c r="U1561" s="16" t="n">
        <x:v>17.20004049883504</x:v>
      </x:c>
      <x:c r="V1561" t="str">
        <x:v>커피-음료</x:v>
      </x:c>
      <x:c r="W1561" t="str">
        <x:v>커피-음료</x:v>
      </x:c>
      <x:c r="X1561" s="16" t="n">
        <x:v>17.20004049883504</x:v>
      </x:c>
    </x:row>
    <x:row r="1562">
      <x:c r="A1562" t="str">
        <x:v>3110026</x:v>
      </x:c>
      <x:c r="B1562" t="str">
        <x:v>종로5가역 4번</x:v>
      </x:c>
      <x:c r="C1562" t="str">
        <x:v>골목상권</x:v>
      </x:c>
      <x:c r="D1562" t="str">
        <x:v>종로구</x:v>
      </x:c>
      <x:c r="E1562" t="str">
        <x:v>종로5·6가동</x:v>
      </x:c>
      <x:c r="F1562" s="12" t="n">
        <x:v>16485</x:v>
      </x:c>
      <x:c r="G1562" s="12" t="n">
        <x:v>3369516</x:v>
      </x:c>
      <x:c r="H1562" s="12" t="n">
        <x:v>180</x:v>
      </x:c>
      <x:c r="I1562" s="12" t="n">
        <x:v>18719.533333333333</x:v>
      </x:c>
      <x:c r="J1562" s="12" t="n">
        <x:v>204.39890809827116</x:v>
      </x:c>
      <x:c r="K1562" s="12" t="n">
        <x:v>454</x:v>
      </x:c>
      <x:c r="L1562" s="12" t="n">
        <x:v>275.40188049742187</x:v>
      </x:c>
      <x:c r="M1562" s="12" t="n">
        <x:v>1</x:v>
      </x:c>
      <x:c r="N1562" s="14" t="n">
        <x:v>1</x:v>
      </x:c>
      <x:c r="O1562" s="14" t="n">
        <x:v>0</x:v>
      </x:c>
      <x:c r="P1562" s="14" t="n">
        <x:v>0.005350026532000442</x:v>
      </x:c>
      <x:c r="Q1562" s="14" t="n">
        <x:v>0.5799272061625468</x:v>
      </x:c>
      <x:c r="R1562" s="14" t="n">
        <x:v>0</x:v>
      </x:c>
      <x:c r="S1562" s="14" t="n">
        <x:v>0.2381769369844215</x:v>
      </x:c>
      <x:c r="T1562" t="str">
        <x:v>평일집중·직장밀집</x:v>
      </x:c>
      <x:c r="U1562" s="16" t="n">
        <x:v>49.24441436273047</x:v>
      </x:c>
      <x:c r="V1562" t="str">
        <x:v>서적</x:v>
      </x:c>
      <x:c r="W1562" t="str">
        <x:v>서적</x:v>
      </x:c>
      <x:c r="X1562" s="16" t="n">
        <x:v>49.24441436273047</x:v>
      </x:c>
    </x:row>
    <x:row r="1563">
      <x:c r="A1563" t="str">
        <x:v>3110380</x:v>
      </x:c>
      <x:c r="B1563" t="str">
        <x:v>강북문화정보도서관</x:v>
      </x:c>
      <x:c r="C1563" t="str">
        <x:v>골목상권</x:v>
      </x:c>
      <x:c r="D1563" t="str">
        <x:v>강북구</x:v>
      </x:c>
      <x:c r="E1563" t="str">
        <x:v>번2동</x:v>
      </x:c>
      <x:c r="F1563" s="12" t="n">
        <x:v>40504</x:v>
      </x:c>
      <x:c r="G1563" s="12" t="n">
        <x:v>3106754</x:v>
      </x:c>
      <x:c r="H1563" s="12" t="n">
        <x:v>112</x:v>
      </x:c>
      <x:c r="I1563" s="12" t="n">
        <x:v>27738.875</x:v>
      </x:c>
      <x:c r="J1563" s="12" t="n">
        <x:v>76.70239976298637</x:v>
      </x:c>
      <x:c r="K1563" s="12" t="n">
        <x:v>3</x:v>
      </x:c>
      <x:c r="L1563" s="12" t="n">
        <x:v>0.7406675883863323</x:v>
      </x:c>
      <x:c r="M1563" s="12" t="n">
        <x:v>1</x:v>
      </x:c>
      <x:c r="N1563" s="14" t="n">
        <x:v>0.7514975437385774</x:v>
      </x:c>
      <x:c r="O1563" s="14" t="n">
        <x:v>0.2485024562614227</x:v>
      </x:c>
      <x:c r="P1563" s="14" t="n">
        <x:v>0.19760463815287596</x:v>
      </x:c>
      <x:c r="Q1563" s="14" t="n">
        <x:v>0.27844303089333755</x:v>
      </x:c>
      <x:c r="R1563" s="14" t="n">
        <x:v>0.029940252752551376</x:v>
      </x:c>
      <x:c r="S1563" s="14" t="n">
        <x:v>0.85029937999597</x:v>
      </x:c>
      <x:c r="T1563" t="str">
        <x:v>여성소비</x:v>
      </x:c>
      <x:c r="U1563" s="16" t="n">
        <x:v>50.17521829433147</x:v>
      </x:c>
      <x:c r="V1563" t="str">
        <x:v>미용실</x:v>
      </x:c>
      <x:c r="W1563" t="str">
        <x:v>미용실</x:v>
      </x:c>
      <x:c r="X1563" s="16" t="n">
        <x:v>50.17521829433147</x:v>
      </x:c>
    </x:row>
    <x:row r="1564">
      <x:c r="A1564" t="str">
        <x:v>3110103</x:v>
      </x:c>
      <x:c r="B1564" t="str">
        <x:v>옥수터널</x:v>
      </x:c>
      <x:c r="C1564" t="str">
        <x:v>골목상권</x:v>
      </x:c>
      <x:c r="D1564" t="str">
        <x:v>성동구</x:v>
      </x:c>
      <x:c r="E1564" t="str">
        <x:v>금호4가동</x:v>
      </x:c>
      <x:c r="F1564" s="12" t="n">
        <x:v>19057</x:v>
      </x:c>
      <x:c r="G1564" s="12" t="n">
        <x:v>3000000</x:v>
      </x:c>
      <x:c r="H1564" s="12" t="n">
        <x:v>14</x:v>
      </x:c>
      <x:c r="I1564" s="12" t="n">
        <x:v>214285.7142857143</x:v>
      </x:c>
      <x:c r="J1564" s="12" t="n">
        <x:v>157.42246943380385</x:v>
      </x:c>
      <x:c r="K1564" s="12" t="n">
        <x:v>167</x:v>
      </x:c>
      <x:c r="L1564" s="12" t="n">
        <x:v>87.63184131815082</x:v>
      </x:c>
      <x:c r="M1564" s="12" t="n">
        <x:v>1</x:v>
      </x:c>
      <x:c r="N1564" s="14" t="n">
        <x:v>1</x:v>
      </x:c>
      <x:c r="O1564" s="14" t="n">
        <x:v>0</x:v>
      </x:c>
      <x:c r="P1564" s="14" t="n">
        <x:v>0.40079366666666666</x:v>
      </x:c>
      <x:c r="Q1564" s="14" t="n">
        <x:v>0.4166666666666667</x:v>
      </x:c>
      <x:c r="R1564" s="14" t="n">
        <x:v>0.18253966666666666</x:v>
      </x:c>
      <x:c r="S1564" s="14" t="n">
        <x:v>0.3333333333333333</x:v>
      </x:c>
      <x:c r="T1564" t="str">
        <x:v>평일집중·야간활성</x:v>
      </x:c>
      <x:c r="U1564" s="16" t="n">
        <x:v>46.41468644532419</x:v>
      </x:c>
      <x:c r="V1564" t="str">
        <x:v>전자상거래업</x:v>
      </x:c>
      <x:c r="W1564" t="str">
        <x:v>전자상거래업</x:v>
      </x:c>
      <x:c r="X1564" s="16" t="n">
        <x:v>46.41468644532419</x:v>
      </x:c>
    </x:row>
    <x:row r="1565">
      <x:c r="A1565" t="str">
        <x:v>3110440</x:v>
      </x:c>
      <x:c r="B1565" t="str">
        <x:v>상계3동4동주민센터</x:v>
      </x:c>
      <x:c r="C1565" t="str">
        <x:v>골목상권</x:v>
      </x:c>
      <x:c r="D1565" t="str">
        <x:v>노원구</x:v>
      </x:c>
      <x:c r="E1565" t="str">
        <x:v>상계3·4동</x:v>
      </x:c>
      <x:c r="F1565" s="12" t="n">
        <x:v>54632</x:v>
      </x:c>
      <x:c r="G1565" s="12" t="n">
        <x:v>644332</x:v>
      </x:c>
      <x:c r="H1565" s="12" t="n">
        <x:v>26</x:v>
      </x:c>
      <x:c r="I1565" s="12" t="n">
        <x:v>24782</x:v>
      </x:c>
      <x:c r="J1565" s="12" t="n">
        <x:v>11.794040123004832</x:v>
      </x:c>
      <x:c r="K1565" s="12" t="n">
        <x:v>105</x:v>
      </x:c>
      <x:c r="L1565" s="12" t="n">
        <x:v>19.219505051984186</x:v>
      </x:c>
      <x:c r="M1565" s="12" t="n">
        <x:v>1</x:v>
      </x:c>
      <x:c r="N1565" s="14" t="n">
        <x:v>1</x:v>
      </x:c>
      <x:c r="O1565" s="14" t="n">
        <x:v>0</x:v>
      </x:c>
      <x:c r="P1565" s="14" t="n">
        <x:v>0</x:v>
      </x:c>
      <x:c r="Q1565" s="14" t="n">
        <x:v>0.8169763413892217</x:v>
      </x:c>
      <x:c r="R1565" s="14" t="n">
        <x:v>0</x:v>
      </x:c>
      <x:c r="S1565" s="14" t="n">
        <x:v>0.5490709758323349</x:v>
      </x:c>
      <x:c r="T1565" t="str">
        <x:v>평일집중·여성소비</x:v>
      </x:c>
      <x:c r="U1565" s="16" t="n">
        <x:v>39.78723980287498</x:v>
      </x:c>
      <x:c r="V1565" t="str">
        <x:v>슈퍼마켓</x:v>
      </x:c>
      <x:c r="W1565" t="str">
        <x:v>슈퍼마켓</x:v>
      </x:c>
      <x:c r="X1565" s="16" t="n">
        <x:v>39.78723980287498</x:v>
      </x:c>
    </x:row>
    <x:row r="1566">
      <x:c r="A1566" t="str">
        <x:v>3110628</x:v>
      </x:c>
      <x:c r="B1566" t="str">
        <x:v>신목동역</x:v>
      </x:c>
      <x:c r="C1566" t="str">
        <x:v>골목상권</x:v>
      </x:c>
      <x:c r="D1566" t="str">
        <x:v>양천구</x:v>
      </x:c>
      <x:c r="E1566" t="str">
        <x:v>목2동</x:v>
      </x:c>
      <x:c r="F1566" s="12" t="n">
        <x:v>95041</x:v>
      </x:c>
      <x:c r="G1566" s="12" t="n">
        <x:v>582933</x:v>
      </x:c>
      <x:c r="H1566" s="12" t="n">
        <x:v>65</x:v>
      </x:c>
      <x:c r="I1566" s="12" t="n">
        <x:v>8968.2</x:v>
      </x:c>
      <x:c r="J1566" s="12" t="n">
        <x:v>6.13348975705222</x:v>
      </x:c>
      <x:c r="K1566" s="12" t="n">
        <x:v>538</x:v>
      </x:c>
      <x:c r="L1566" s="12" t="n">
        <x:v>56.60714849380794</x:v>
      </x:c>
      <x:c r="M1566" s="12" t="n">
        <x:v>1</x:v>
      </x:c>
      <x:c r="N1566" s="14" t="n">
        <x:v>1</x:v>
      </x:c>
      <x:c r="O1566" s="14" t="n">
        <x:v>0</x:v>
      </x:c>
      <x:c r="P1566" s="14" t="n">
        <x:v>0</x:v>
      </x:c>
      <x:c r="Q1566" s="14" t="n">
        <x:v>0.3666664951203655</x:v>
      </x:c>
      <x:c r="R1566" s="14" t="n">
        <x:v>0.3666682105833775</x:v>
      </x:c>
      <x:c r="S1566" s="14" t="n">
        <x:v>0.3666664951203655</x:v>
      </x:c>
      <x:c r="T1566" t="str">
        <x:v>평일집중·2030소비</x:v>
      </x:c>
      <x:c r="U1566" s="16" t="n">
        <x:v>20.29601460661569</x:v>
      </x:c>
      <x:c r="V1566" t="str">
        <x:v>커피-음료</x:v>
      </x:c>
      <x:c r="W1566" t="str">
        <x:v>커피-음료</x:v>
      </x:c>
      <x:c r="X1566" s="16" t="n">
        <x:v>20.29601460661569</x:v>
      </x:c>
    </x:row>
  </x:sheetData>
  <x:conditionalFormatting sqref="U2:U1566">
    <x:cfRule type="colorScale" priority="1">
      <x:colorScale>
        <x:cfvo type="min"/>
        <x:cfvo type="percentile" val="50"/>
        <x:cfvo type="max"/>
        <x:color rgb="FFFDECEC"/>
        <x:color rgb="FFFFF4D6"/>
        <x:color rgb="FFE6F4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f58d69f19ea4e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34" hidden="0" customWidth="1"/>
  </x:cols>
  <x:sheetData>
    <x:row r="1">
      <x:c r="A1" s="22" t="str">
        <x:v>상권코드</x:v>
      </x:c>
      <x:c r="B1" s="22" t="str">
        <x:v>상권명</x:v>
      </x:c>
      <x:c r="C1" s="22" t="str">
        <x:v>상권유형</x:v>
      </x:c>
      <x:c r="D1" s="22" t="str">
        <x:v>자치구</x:v>
      </x:c>
      <x:c r="E1" s="22" t="str">
        <x:v>행정동</x:v>
      </x:c>
      <x:c r="F1" s="22" t="str">
        <x:v>업종코드</x:v>
      </x:c>
      <x:c r="G1" s="22" t="str">
        <x:v>업종명</x:v>
      </x:c>
      <x:c r="H1" s="22" t="str">
        <x:v>Q4매출</x:v>
      </x:c>
      <x:c r="I1" s="22" t="str">
        <x:v>Q4건수</x:v>
      </x:c>
      <x:c r="J1" s="22" t="str">
        <x:v>객단가</x:v>
      </x:c>
      <x:c r="K1" s="22" t="str">
        <x:v>상권분기추세</x:v>
      </x:c>
      <x:c r="L1" s="22" t="str">
        <x:v>서울업종YoY</x:v>
      </x:c>
      <x:c r="M1" s="22" t="str">
        <x:v>서울4년CAGR</x:v>
      </x:c>
      <x:c r="N1" s="22" t="str">
        <x:v>행정동유사업종점포수</x:v>
      </x:c>
      <x:c r="O1" s="22" t="str">
        <x:v>행정동폐업점포수</x:v>
      </x:c>
      <x:c r="P1" s="22" t="str">
        <x:v>폐업압력</x:v>
      </x:c>
      <x:c r="Q1" s="22" t="str">
        <x:v>프랜차이즈비중</x:v>
      </x:c>
      <x:c r="R1" s="22" t="str">
        <x:v>점포수변화(21Q1→25Q4)</x:v>
      </x:c>
      <x:c r="S1" s="22" t="str">
        <x:v>직장인구</x:v>
      </x:c>
      <x:c r="T1" s="22" t="str">
        <x:v>직장인구/ha</x:v>
      </x:c>
      <x:c r="U1" s="22" t="str">
        <x:v>평일매출비중</x:v>
      </x:c>
      <x:c r="V1" s="22" t="str">
        <x:v>저녁매출비중</x:v>
      </x:c>
      <x:c r="W1" s="22" t="str">
        <x:v>2030매출비중</x:v>
      </x:c>
      <x:c r="X1" s="22" t="str">
        <x:v>여성매출비중</x:v>
      </x:c>
      <x:c r="Y1" s="22" t="str">
        <x:v>수요점수</x:v>
      </x:c>
      <x:c r="Z1" s="22" t="str">
        <x:v>모멘텀점수</x:v>
      </x:c>
      <x:c r="AA1" s="22" t="str">
        <x:v>서울추세점수</x:v>
      </x:c>
      <x:c r="AB1" s="22" t="str">
        <x:v>경쟁점수</x:v>
      </x:c>
      <x:c r="AC1" s="22" t="str">
        <x:v>안정성점수</x:v>
      </x:c>
      <x:c r="AD1" s="22" t="str">
        <x:v>직장수요점수</x:v>
      </x:c>
      <x:c r="AE1" s="22" t="str">
        <x:v>업종기회지수</x:v>
      </x:c>
      <x:c r="AF1" s="22" t="str">
        <x:v>등급</x:v>
      </x:c>
      <x:c r="AG1" s="22" t="str">
        <x:v>추천근거</x:v>
      </x:c>
    </x:row>
    <x:row r="2">
      <x:c r="A2" t="str">
        <x:v>3120153</x:v>
      </x:c>
      <x:c r="B2" t="str">
        <x:v>노량진역(노량진)</x:v>
      </x:c>
      <x:c r="C2" t="str">
        <x:v>발달상권</x:v>
      </x:c>
      <x:c r="D2" t="str">
        <x:v>동작구</x:v>
      </x:c>
      <x:c r="E2" t="str">
        <x:v>노량진1동</x:v>
      </x:c>
      <x:c r="F2" t="str">
        <x:v>CS300007</x:v>
      </x:c>
      <x:c r="G2" t="str">
        <x:v>육류판매</x:v>
      </x:c>
      <x:c r="H2" t="n">
        <x:v>11792957468</x:v>
      </x:c>
      <x:c r="I2" t="n">
        <x:v>77548</x:v>
      </x:c>
      <x:c r="J2" t="n">
        <x:v>152073.00598339093</x:v>
      </x:c>
      <x:c r="K2" s="14" t="n">
        <x:v>0.3453092472082946</x:v>
      </x:c>
      <x:c r="L2" s="14" t="n">
        <x:v>0.23518223683931017</x:v>
      </x:c>
      <x:c r="M2" s="14" t="n">
        <x:v>0.00863079289162072</x:v>
      </x:c>
      <x:c r="N2" t="n">
        <x:v>7</x:v>
      </x:c>
      <x:c r="O2" t="n">
        <x:v>0</x:v>
      </x:c>
      <x:c r="P2" s="14" t="n">
        <x:v>0</x:v>
      </x:c>
      <x:c r="Q2" s="14" t="n">
        <x:v>0</x:v>
      </x:c>
      <x:c r="R2" s="14" t="n">
        <x:v>-0.46153846153846156</x:v>
      </x:c>
      <x:c r="S2" t="n">
        <x:v>5349</x:v>
      </x:c>
      <x:c r="T2" t="n">
        <x:v>120.5202038636763</x:v>
      </x:c>
      <x:c r="U2" s="14" t="n">
        <x:v>0.8747011495623924</x:v>
      </x:c>
      <x:c r="V2" s="14" t="n">
        <x:v>0.05574448604464347</x:v>
      </x:c>
      <x:c r="W2" s="14" t="n">
        <x:v>0.3517998347113177</x:v>
      </x:c>
      <x:c r="X2" s="14" t="n">
        <x:v>0.1698264370438413</x:v>
      </x:c>
      <x:c r="Y2" s="16" t="n">
        <x:v>98.01980198019803</x:v>
      </x:c>
      <x:c r="Z2" s="16" t="n">
        <x:v>97.40259740259741</x:v>
      </x:c>
      <x:c r="AA2" s="16" t="n">
        <x:v>100</x:v>
      </x:c>
      <x:c r="AB2" s="16" t="n">
        <x:v>90.71782178217822</x:v>
      </x:c>
      <x:c r="AC2" s="16" t="n">
        <x:v>66.83168316831683</x:v>
      </x:c>
      <x:c r="AD2" s="16" t="n">
        <x:v>63.96341463414634</x:v>
      </x:c>
      <x:c r="AE2" s="16" t="n">
        <x:v>92.27646248945452</x:v>
      </x:c>
      <x:c r="AF2" t="str">
        <x:v>우선 검토</x:v>
      </x:c>
      <x:c r="AG2" t="str">
        <x:v>서울 업종추세·수요 강점 / 직장수요 상대적 약점</x:v>
      </x:c>
    </x:row>
    <x:row r="3">
      <x:c r="A3" t="str">
        <x:v>3120220</x:v>
      </x:c>
      <x:c r="B3" t="str">
        <x:v>대치역</x:v>
      </x:c>
      <x:c r="C3" t="str">
        <x:v>발달상권</x:v>
      </x:c>
      <x:c r="D3" t="str">
        <x:v>강남구</x:v>
      </x:c>
      <x:c r="E3" t="str">
        <x:v>대치1동</x:v>
      </x:c>
      <x:c r="F3" t="str">
        <x:v>CS200016</x:v>
      </x:c>
      <x:c r="G3" t="str">
        <x:v>당구장</x:v>
      </x:c>
      <x:c r="H3" t="n">
        <x:v>321595910</x:v>
      </x:c>
      <x:c r="I3" t="n">
        <x:v>2721</x:v>
      </x:c>
      <x:c r="J3" t="n">
        <x:v>118190.33811098861</x:v>
      </x:c>
      <x:c r="K3" s="14" t="n">
        <x:v>0.3736481603200823</x:v>
      </x:c>
      <x:c r="L3" s="14" t="n">
        <x:v>0.052763611334009974</x:v>
      </x:c>
      <x:c r="M3" s="14" t="n">
        <x:v>0.07602781601598463</x:v>
      </x:c>
      <x:c r="N3" t="n">
        <x:v>4</x:v>
      </x:c>
      <x:c r="O3" t="n">
        <x:v>0</x:v>
      </x:c>
      <x:c r="P3" s="14" t="n">
        <x:v>0</x:v>
      </x:c>
      <x:c r="Q3" s="14" t="n">
        <x:v>0</x:v>
      </x:c>
      <x:c r="R3" s="14" t="n">
        <x:v>0</x:v>
      </x:c>
      <x:c r="S3" t="n">
        <x:v>12518</x:v>
      </x:c>
      <x:c r="T3" t="n">
        <x:v>766.7852964417193</x:v>
      </x:c>
      <x:c r="U3" s="14" t="n">
        <x:v>0.9727248179244569</x:v>
      </x:c>
      <x:c r="V3" s="14" t="n">
        <x:v>0.07606445305849817</x:v>
      </x:c>
      <x:c r="W3" s="14" t="n">
        <x:v>0.0016203066761638853</x:v>
      </x:c>
      <x:c r="X3" s="14" t="n">
        <x:v>0.8704653893141863</x:v>
      </x:c>
      <x:c r="Y3" s="16" t="n">
        <x:v>95.57522123893806</x:v>
      </x:c>
      <x:c r="Z3" s="16" t="n">
        <x:v>98.45679012345678</x:v>
      </x:c>
      <x:c r="AA3" s="16" t="n">
        <x:v>80.32786885245902</x:v>
      </x:c>
      <x:c r="AB3" s="16" t="n">
        <x:v>96.90265486725664</x:v>
      </x:c>
      <x:c r="AC3" s="16" t="n">
        <x:v>69.32153392330383</x:v>
      </x:c>
      <x:c r="AD3" s="16" t="n">
        <x:v>94.51219512195122</x:v>
      </x:c>
      <x:c r="AE3" s="16" t="n">
        <x:v>91.38502716470495</x:v>
      </x:c>
      <x:c r="AF3" t="str">
        <x:v>우선 검토</x:v>
      </x:c>
      <x:c r="AG3" t="str">
        <x:v>상권 모멘텀·경쟁여건 강점 / 안정성 상대적 약점</x:v>
      </x:c>
    </x:row>
    <x:row r="4">
      <x:c r="A4" t="str">
        <x:v>3001492</x:v>
      </x:c>
      <x:c r="B4" t="str">
        <x:v>명동 남대문 북창동 다동 무교동 관광특구</x:v>
      </x:c>
      <x:c r="C4" t="str">
        <x:v>관광특구</x:v>
      </x:c>
      <x:c r="D4" t="str">
        <x:v>중구</x:v>
      </x:c>
      <x:c r="E4" t="str">
        <x:v>소공동</x:v>
      </x:c>
      <x:c r="F4" t="str">
        <x:v>CS200030</x:v>
      </x:c>
      <x:c r="G4" t="str">
        <x:v>피부관리실</x:v>
      </x:c>
      <x:c r="H4" t="n">
        <x:v>1489346083</x:v>
      </x:c>
      <x:c r="I4" t="n">
        <x:v>9917</x:v>
      </x:c>
      <x:c r="J4" t="n">
        <x:v>150181.111525663</x:v>
      </x:c>
      <x:c r="K4" s="14" t="n">
        <x:v>0.3067849023552589</x:v>
      </x:c>
      <x:c r="L4" s="14" t="n">
        <x:v>0.11857168683779085</x:v>
      </x:c>
      <x:c r="M4" s="14" t="n">
        <x:v>0.0314283578178467</x:v>
      </x:c>
      <x:c r="N4" t="n">
        <x:v>10</x:v>
      </x:c>
      <x:c r="O4" t="n">
        <x:v>0</x:v>
      </x:c>
      <x:c r="P4" s="14" t="n">
        <x:v>0</x:v>
      </x:c>
      <x:c r="Q4" s="14" t="n">
        <x:v>0</x:v>
      </x:c>
      <x:c r="R4" s="14" t="n">
        <x:v>0.25</x:v>
      </x:c>
      <x:c r="S4" t="n">
        <x:v>199667</x:v>
      </x:c>
      <x:c r="T4" t="n">
        <x:v>2029.9242185482574</x:v>
      </x:c>
      <x:c r="U4" s="14" t="n">
        <x:v>0.8002365370977378</x:v>
      </x:c>
      <x:c r="V4" s="14" t="n">
        <x:v>0.3599122555318125</x:v>
      </x:c>
      <x:c r="W4" s="14" t="n">
        <x:v>0.570981852845817</x:v>
      </x:c>
      <x:c r="X4" s="14" t="n">
        <x:v>0.7691532781236046</x:v>
      </x:c>
      <x:c r="Y4" s="16" t="n">
        <x:v>98.51116625310173</x:v>
      </x:c>
      <x:c r="Z4" s="16" t="n">
        <x:v>82.49336870026525</x:v>
      </x:c>
      <x:c r="AA4" s="16" t="n">
        <x:v>91.80327868852459</x:v>
      </x:c>
      <x:c r="AB4" s="16" t="n">
        <x:v>90.44665012406948</x:v>
      </x:c>
      <x:c r="AC4" s="16" t="n">
        <x:v>79.15632754342431</x:v>
      </x:c>
      <x:c r="AD4" s="16" t="n">
        <x:v>98.84146341463415</x:v>
      </x:c>
      <x:c r="AE4" s="16" t="n">
        <x:v>91.1727771756019</x:v>
      </x:c>
      <x:c r="AF4" t="str">
        <x:v>우선 검토</x:v>
      </x:c>
      <x:c r="AG4" t="str">
        <x:v>직장수요·수요 강점 / 안정성 상대적 약점</x:v>
      </x:c>
    </x:row>
    <x:row r="5">
      <x:c r="A5" t="str">
        <x:v>3120222</x:v>
      </x:c>
      <x:c r="B5" t="str">
        <x:v>삼성역</x:v>
      </x:c>
      <x:c r="C5" t="str">
        <x:v>발달상권</x:v>
      </x:c>
      <x:c r="D5" t="str">
        <x:v>강남구</x:v>
      </x:c>
      <x:c r="E5" t="str">
        <x:v>대치2동</x:v>
      </x:c>
      <x:c r="F5" t="str">
        <x:v>CS300035</x:v>
      </x:c>
      <x:c r="G5" t="str">
        <x:v>인테리어</x:v>
      </x:c>
      <x:c r="H5" t="n">
        <x:v>316499601</x:v>
      </x:c>
      <x:c r="I5" t="n">
        <x:v>344</x:v>
      </x:c>
      <x:c r="J5" t="n">
        <x:v>920056.9796511628</x:v>
      </x:c>
      <x:c r="K5" s="14" t="n">
        <x:v>1.6697997432804104</x:v>
      </x:c>
      <x:c r="L5" s="14" t="n">
        <x:v>0.20213561276420866</x:v>
      </x:c>
      <x:c r="M5" s="14" t="n">
        <x:v>0.044160820891303576</x:v>
      </x:c>
      <x:c r="N5" t="n">
        <x:v>8</x:v>
      </x:c>
      <x:c r="O5" t="n">
        <x:v>0</x:v>
      </x:c>
      <x:c r="P5" s="14" t="n">
        <x:v>0</x:v>
      </x:c>
      <x:c r="Q5" s="14" t="n">
        <x:v>0</x:v>
      </x:c>
      <x:c r="R5" s="14" t="n">
        <x:v>-0.11111111111111116</x:v>
      </x:c>
      <x:c r="S5" t="n">
        <x:v>109259</x:v>
      </x:c>
      <x:c r="T5" t="n">
        <x:v>3066.170507132293</x:v>
      </x:c>
      <x:c r="U5" s="14" t="n">
        <x:v>1</x:v>
      </x:c>
      <x:c r="V5" s="14" t="n">
        <x:v>0.11016567442686918</x:v>
      </x:c>
      <x:c r="W5" s="14" t="n">
        <x:v>0.8791105869356215</x:v>
      </x:c>
      <x:c r="X5" s="14" t="n">
        <x:v>0.10516379766304981</x:v>
      </x:c>
      <x:c r="Y5" s="16" t="n">
        <x:v>86.95652173913044</x:v>
      </x:c>
      <x:c r="Z5" s="16" t="n">
        <x:v>94.90445859872611</x:v>
      </x:c>
      <x:c r="AA5" s="16" t="n">
        <x:v>98.36065573770492</x:v>
      </x:c>
      <x:c r="AB5" s="16" t="n">
        <x:v>86.1413043478261</x:v>
      </x:c>
      <x:c r="AC5" s="16" t="n">
        <x:v>60.32608695652174</x:v>
      </x:c>
      <x:c r="AD5" s="16" t="n">
        <x:v>99.57317073170732</x:v>
      </x:c>
      <x:c r="AE5" s="16" t="n">
        <x:v>88.10223557350807</x:v>
      </x:c>
      <x:c r="AF5" t="str">
        <x:v>우선 검토</x:v>
      </x:c>
      <x:c r="AG5" t="str">
        <x:v>직장수요·서울 업종추세 강점 / 안정성 상대적 약점</x:v>
      </x:c>
    </x:row>
    <x:row r="6">
      <x:c r="A6" t="str">
        <x:v>3120151</x:v>
      </x:c>
      <x:c r="B6" t="str">
        <x:v>보라매공원</x:v>
      </x:c>
      <x:c r="C6" t="str">
        <x:v>발달상권</x:v>
      </x:c>
      <x:c r="D6" t="str">
        <x:v>동작구</x:v>
      </x:c>
      <x:c r="E6" t="str">
        <x:v>신대방2동</x:v>
      </x:c>
      <x:c r="F6" t="str">
        <x:v>CS300017</x:v>
      </x:c>
      <x:c r="G6" t="str">
        <x:v>시계및귀금속</x:v>
      </x:c>
      <x:c r="H6" t="n">
        <x:v>1368439119</x:v>
      </x:c>
      <x:c r="I6" t="n">
        <x:v>1140</x:v>
      </x:c>
      <x:c r="J6" t="n">
        <x:v>1200385.1921052632</x:v>
      </x:c>
      <x:c r="K6" s="14" t="n">
        <x:v>1.0605336833747847</x:v>
      </x:c>
      <x:c r="L6" s="14" t="n">
        <x:v>0.09182238369060247</x:v>
      </x:c>
      <x:c r="M6" s="14" t="n">
        <x:v>0.00817160170707898</x:v>
      </x:c>
      <x:c r="N6" t="n">
        <x:v>4</x:v>
      </x:c>
      <x:c r="O6" t="n">
        <x:v>0</x:v>
      </x:c>
      <x:c r="P6" s="14" t="n">
        <x:v>0</x:v>
      </x:c>
      <x:c r="Q6" s="14" t="n">
        <x:v>0</x:v>
      </x:c>
      <x:c r="R6" s="14" t="n">
        <x:v>-0.19999999999999996</x:v>
      </x:c>
      <x:c r="S6" t="n">
        <x:v>10160</x:v>
      </x:c>
      <x:c r="T6" t="n">
        <x:v>848.8666460576995</x:v>
      </x:c>
      <x:c r="U6" s="14" t="n">
        <x:v>0.7758113921617583</x:v>
      </x:c>
      <x:c r="V6" s="14" t="n">
        <x:v>0.4061463387616004</x:v>
      </x:c>
      <x:c r="W6" s="14" t="n">
        <x:v>0.003636501566570606</x:v>
      </x:c>
      <x:c r="X6" s="14" t="n">
        <x:v>0.7470036275687614</x:v>
      </x:c>
      <x:c r="Y6" s="16" t="n">
        <x:v>87.70949720670392</x:v>
      </x:c>
      <x:c r="Z6" s="16" t="n">
        <x:v>94.73684210526316</x:v>
      </x:c>
      <x:c r="AA6" s="16" t="n">
        <x:v>86.88524590163935</x:v>
      </x:c>
      <x:c r="AB6" s="16" t="n">
        <x:v>92.69662921348315</x:v>
      </x:c>
      <x:c r="AC6" s="16" t="n">
        <x:v>61.79775280898876</x:v>
      </x:c>
      <x:c r="AD6" s="16" t="n">
        <x:v>95.85365853658537</x:v>
      </x:c>
      <x:c r="AE6" s="16" t="n">
        <x:v>87.55543191839553</x:v>
      </x:c>
      <x:c r="AF6" t="str">
        <x:v>우선 검토</x:v>
      </x:c>
      <x:c r="AG6" t="str">
        <x:v>직장수요·상권 모멘텀 강점 / 안정성 상대적 약점</x:v>
      </x:c>
    </x:row>
    <x:row r="7">
      <x:c r="A7" t="str">
        <x:v>3120156</x:v>
      </x:c>
      <x:c r="B7" t="str">
        <x:v>총신대입구역(이수, 총신대)</x:v>
      </x:c>
      <x:c r="C7" t="str">
        <x:v>발달상권</x:v>
      </x:c>
      <x:c r="D7" t="str">
        <x:v>동작구</x:v>
      </x:c>
      <x:c r="E7" t="str">
        <x:v>사당2동</x:v>
      </x:c>
      <x:c r="F7" t="str">
        <x:v>CS200016</x:v>
      </x:c>
      <x:c r="G7" t="str">
        <x:v>당구장</x:v>
      </x:c>
      <x:c r="H7" t="n">
        <x:v>426075958</x:v>
      </x:c>
      <x:c r="I7" t="n">
        <x:v>9501</x:v>
      </x:c>
      <x:c r="J7" t="n">
        <x:v>44845.38027576045</x:v>
      </x:c>
      <x:c r="K7" s="14" t="n">
        <x:v>0.3398005872837151</x:v>
      </x:c>
      <x:c r="L7" s="14" t="n">
        <x:v>0.052763611334009974</x:v>
      </x:c>
      <x:c r="M7" s="14" t="n">
        <x:v>0.07602781601598463</x:v>
      </x:c>
      <x:c r="N7" t="n">
        <x:v>10</x:v>
      </x:c>
      <x:c r="O7" t="n">
        <x:v>0</x:v>
      </x:c>
      <x:c r="P7" s="14" t="n">
        <x:v>0</x:v>
      </x:c>
      <x:c r="Q7" s="14" t="n">
        <x:v>0</x:v>
      </x:c>
      <x:c r="R7" s="14" t="n">
        <x:v>0.11111111111111116</x:v>
      </x:c>
      <x:c r="S7" t="n">
        <x:v>7436</x:v>
      </x:c>
      <x:c r="T7" t="n">
        <x:v>301.0952969044197</x:v>
      </x:c>
      <x:c r="U7" s="14" t="n">
        <x:v>0.6726566979871696</x:v>
      </x:c>
      <x:c r="V7" s="14" t="n">
        <x:v>0.7528743360825818</x:v>
      </x:c>
      <x:c r="W7" s="14" t="n">
        <x:v>0.07580267647957738</x:v>
      </x:c>
      <x:c r="X7" s="14" t="n">
        <x:v>0.3066306102162188</x:v>
      </x:c>
      <x:c r="Y7" s="16" t="n">
        <x:v>97.93510324483776</x:v>
      </x:c>
      <x:c r="Z7" s="16" t="n">
        <x:v>97.8395061728395</x:v>
      </x:c>
      <x:c r="AA7" s="16" t="n">
        <x:v>80.32786885245902</x:v>
      </x:c>
      <x:c r="AB7" s="16" t="n">
        <x:v>68.87905604719764</x:v>
      </x:c>
      <x:c r="AC7" s="16" t="n">
        <x:v>69.32153392330383</x:v>
      </x:c>
      <x:c r="AD7" s="16" t="n">
        <x:v>83.90243902439025</x:v>
      </x:c>
      <x:c r="AE7" s="16" t="n">
        <x:v>87.35350144875952</x:v>
      </x:c>
      <x:c r="AF7" t="str">
        <x:v>우선 검토</x:v>
      </x:c>
      <x:c r="AG7" t="str">
        <x:v>수요·상권 모멘텀 강점 / 경쟁여건 상대적 약점</x:v>
      </x:c>
    </x:row>
    <x:row r="8">
      <x:c r="A8" t="str">
        <x:v>3130172</x:v>
      </x:c>
      <x:c r="B8" t="str">
        <x:v>모래내시장(서중시장)</x:v>
      </x:c>
      <x:c r="C8" t="str">
        <x:v>전통시장</x:v>
      </x:c>
      <x:c r="D8" t="str">
        <x:v>서대문구</x:v>
      </x:c>
      <x:c r="E8" t="str">
        <x:v>남가좌1동</x:v>
      </x:c>
      <x:c r="F8" t="str">
        <x:v>CS300035</x:v>
      </x:c>
      <x:c r="G8" t="str">
        <x:v>인테리어</x:v>
      </x:c>
      <x:c r="H8" t="n">
        <x:v>376050370</x:v>
      </x:c>
      <x:c r="I8" t="n">
        <x:v>6350</x:v>
      </x:c>
      <x:c r="J8" t="n">
        <x:v>59220.53070866142</x:v>
      </x:c>
      <x:c r="K8" s="14" t="n">
        <x:v>0.5425281904537782</x:v>
      </x:c>
      <x:c r="L8" s="14" t="n">
        <x:v>0.20213561276420866</x:v>
      </x:c>
      <x:c r="M8" s="14" t="n">
        <x:v>0.044160820891303576</x:v>
      </x:c>
      <x:c r="N8" t="n">
        <x:v>5</x:v>
      </x:c>
      <x:c r="O8" t="n">
        <x:v>0</x:v>
      </x:c>
      <x:c r="P8" s="14" t="n">
        <x:v>0</x:v>
      </x:c>
      <x:c r="Q8" s="14" t="n">
        <x:v>0</x:v>
      </x:c>
      <x:c r="R8" s="14" t="n">
        <x:v>-0.16666666666666663</x:v>
      </x:c>
      <x:c r="S8" t="n">
        <x:v>802</x:v>
      </x:c>
      <x:c r="T8" t="n">
        <x:v>322.8533472887565</x:v>
      </x:c>
      <x:c r="U8" s="14" t="n">
        <x:v>0.9094880720367328</x:v>
      </x:c>
      <x:c r="V8" s="14" t="n">
        <x:v>0.029214690042719545</x:v>
      </x:c>
      <x:c r="W8" s="14" t="n">
        <x:v>0</x:v>
      </x:c>
      <x:c r="X8" s="14" t="n">
        <x:v>0.30793624534926</x:v>
      </x:c>
      <x:c r="Y8" s="16" t="n">
        <x:v>89.1304347826087</x:v>
      </x:c>
      <x:c r="Z8" s="16" t="n">
        <x:v>80.89171974522293</x:v>
      </x:c>
      <x:c r="AA8" s="16" t="n">
        <x:v>98.36065573770492</x:v>
      </x:c>
      <x:c r="AB8" s="16" t="n">
        <x:v>96.19565217391305</x:v>
      </x:c>
      <x:c r="AC8" s="16" t="n">
        <x:v>60.32608695652174</x:v>
      </x:c>
      <x:c r="AD8" s="16" t="n">
        <x:v>84.8170731707317</x:v>
      </x:c>
      <x:c r="AE8" s="16" t="n">
        <x:v>86.83090466388907</x:v>
      </x:c>
      <x:c r="AF8" t="str">
        <x:v>우선 검토</x:v>
      </x:c>
      <x:c r="AG8" t="str">
        <x:v>서울 업종추세·경쟁여건 강점 / 안정성 상대적 약점</x:v>
      </x:c>
    </x:row>
    <x:row r="9">
      <x:c r="A9" t="str">
        <x:v>3120222</x:v>
      </x:c>
      <x:c r="B9" t="str">
        <x:v>삼성역</x:v>
      </x:c>
      <x:c r="C9" t="str">
        <x:v>발달상권</x:v>
      </x:c>
      <x:c r="D9" t="str">
        <x:v>강남구</x:v>
      </x:c>
      <x:c r="E9" t="str">
        <x:v>대치2동</x:v>
      </x:c>
      <x:c r="F9" t="str">
        <x:v>CS300015</x:v>
      </x:c>
      <x:c r="G9" t="str">
        <x:v>가방</x:v>
      </x:c>
      <x:c r="H9" t="n">
        <x:v>12850457626</x:v>
      </x:c>
      <x:c r="I9" t="n">
        <x:v>521254</x:v>
      </x:c>
      <x:c r="J9" t="n">
        <x:v>24652.966933587082</x:v>
      </x:c>
      <x:c r="K9" s="14" t="n">
        <x:v>0.11990152520503505</x:v>
      </x:c>
      <x:c r="L9" s="14" t="n">
        <x:v>0.08003853878387823</x:v>
      </x:c>
      <x:c r="M9" s="14" t="n">
        <x:v>0.032771077188109565</x:v>
      </x:c>
      <x:c r="N9" t="n">
        <x:v>7</x:v>
      </x:c>
      <x:c r="O9" t="n">
        <x:v>0</x:v>
      </x:c>
      <x:c r="P9" s="14" t="n">
        <x:v>0</x:v>
      </x:c>
      <x:c r="Q9" s="14" t="n">
        <x:v>0</x:v>
      </x:c>
      <x:c r="R9" s="14" t="n">
        <x:v>-0.30000000000000004</x:v>
      </x:c>
      <x:c r="S9" t="n">
        <x:v>109259</x:v>
      </x:c>
      <x:c r="T9" t="n">
        <x:v>3066.170507132293</x:v>
      </x:c>
      <x:c r="U9" s="14" t="n">
        <x:v>0.6305828283970873</x:v>
      </x:c>
      <x:c r="V9" s="14" t="n">
        <x:v>0.4179399752374235</x:v>
      </x:c>
      <x:c r="W9" s="14" t="n">
        <x:v>0.4145266786625798</x:v>
      </x:c>
      <x:c r="X9" s="14" t="n">
        <x:v>0.6626269880670785</x:v>
      </x:c>
      <x:c r="Y9" s="16" t="n">
        <x:v>96.72131147540983</x:v>
      </x:c>
      <x:c r="Z9" s="16" t="n">
        <x:v>79.62962962962963</x:v>
      </x:c>
      <x:c r="AA9" s="16" t="n">
        <x:v>83.60655737704919</x:v>
      </x:c>
      <x:c r="AB9" s="16" t="n">
        <x:v>81.14754098360656</x:v>
      </x:c>
      <x:c r="AC9" s="16" t="n">
        <x:v>70.49180327868852</x:v>
      </x:c>
      <x:c r="AD9" s="16" t="n">
        <x:v>99.57317073170732</x:v>
      </x:c>
      <x:c r="AE9" s="16" t="n">
        <x:v>86.51933856087194</x:v>
      </x:c>
      <x:c r="AF9" t="str">
        <x:v>우선 검토</x:v>
      </x:c>
      <x:c r="AG9" t="str">
        <x:v>직장수요·수요 강점 / 안정성 상대적 약점</x:v>
      </x:c>
    </x:row>
    <x:row r="10">
      <x:c r="A10" t="str">
        <x:v>3120007</x:v>
      </x:c>
      <x:c r="B10" t="str">
        <x:v>북촌(안국역)</x:v>
      </x:c>
      <x:c r="C10" t="str">
        <x:v>발달상권</x:v>
      </x:c>
      <x:c r="D10" t="str">
        <x:v>종로구</x:v>
      </x:c>
      <x:c r="E10" t="str">
        <x:v>가회동</x:v>
      </x:c>
      <x:c r="F10" t="str">
        <x:v>CS300011</x:v>
      </x:c>
      <x:c r="G10" t="str">
        <x:v>일반의류</x:v>
      </x:c>
      <x:c r="H10" t="n">
        <x:v>2386409398</x:v>
      </x:c>
      <x:c r="I10" t="n">
        <x:v>20002</x:v>
      </x:c>
      <x:c r="J10" t="n">
        <x:v>119308.5390460954</x:v>
      </x:c>
      <x:c r="K10" s="14" t="n">
        <x:v>0.25234143222319183</x:v>
      </x:c>
      <x:c r="L10" s="14" t="n">
        <x:v>0.06726691045630595</x:v>
      </x:c>
      <x:c r="M10" s="14" t="n">
        <x:v>0.00788849516466894</x:v>
      </x:c>
      <x:c r="N10" t="n">
        <x:v>27</x:v>
      </x:c>
      <x:c r="O10" t="n">
        <x:v>0</x:v>
      </x:c>
      <x:c r="P10" s="14" t="n">
        <x:v>0</x:v>
      </x:c>
      <x:c r="Q10" s="14" t="n">
        <x:v>0</x:v>
      </x:c>
      <x:c r="R10" s="14" t="n">
        <x:v>0.08000000000000007</x:v>
      </x:c>
      <x:c r="S10" t="n">
        <x:v>12202</x:v>
      </x:c>
      <x:c r="T10" t="n">
        <x:v>617.275831541672</x:v>
      </x:c>
      <x:c r="U10" s="14" t="n">
        <x:v>0.6840829521406369</x:v>
      </x:c>
      <x:c r="V10" s="14" t="n">
        <x:v>0.2835158160904963</x:v>
      </x:c>
      <x:c r="W10" s="14" t="n">
        <x:v>0.4483583436675688</x:v>
      </x:c>
      <x:c r="X10" s="14" t="n">
        <x:v>0.7294226667305473</x:v>
      </x:c>
      <x:c r="Y10" s="16" t="n">
        <x:v>89.98822143698469</x:v>
      </x:c>
      <x:c r="Z10" s="16" t="n">
        <x:v>80.98676293622142</x:v>
      </x:c>
      <x:c r="AA10" s="16" t="n">
        <x:v>81.9672131147541</x:v>
      </x:c>
      <x:c r="AB10" s="16" t="n">
        <x:v>85.924617196702</x:v>
      </x:c>
      <x:c r="AC10" s="16" t="n">
        <x:v>86.33686690223793</x:v>
      </x:c>
      <x:c r="AD10" s="16" t="n">
        <x:v>92.92682926829268</x:v>
      </x:c>
      <x:c r="AE10" s="16" t="n">
        <x:v>86.15703279054576</x:v>
      </x:c>
      <x:c r="AF10" t="str">
        <x:v>우선 검토</x:v>
      </x:c>
      <x:c r="AG10" t="str">
        <x:v>직장수요·수요 강점 / 상권 모멘텀 상대적 약점</x:v>
      </x:c>
    </x:row>
    <x:row r="11">
      <x:c r="A11" t="str">
        <x:v>3130185</x:v>
      </x:c>
      <x:c r="B11" t="str">
        <x:v>망원월드컵시장</x:v>
      </x:c>
      <x:c r="C11" t="str">
        <x:v>전통시장</x:v>
      </x:c>
      <x:c r="D11" t="str">
        <x:v>마포구</x:v>
      </x:c>
      <x:c r="E11" t="str">
        <x:v>망원2동</x:v>
      </x:c>
      <x:c r="F11" t="str">
        <x:v>CS300035</x:v>
      </x:c>
      <x:c r="G11" t="str">
        <x:v>인테리어</x:v>
      </x:c>
      <x:c r="H11" t="n">
        <x:v>642000000</x:v>
      </x:c>
      <x:c r="I11" t="n">
        <x:v>38015</x:v>
      </x:c>
      <x:c r="J11" t="n">
        <x:v>16888.07049848744</x:v>
      </x:c>
      <x:c r="K11" s="14" t="n">
        <x:v>3.396425286488003</x:v>
      </x:c>
      <x:c r="L11" s="14" t="n">
        <x:v>0.20213561276420866</x:v>
      </x:c>
      <x:c r="M11" s="14" t="n">
        <x:v>0.044160820891303576</x:v>
      </x:c>
      <x:c r="N11" t="n">
        <x:v>12</x:v>
      </x:c>
      <x:c r="O11" t="n">
        <x:v>0</x:v>
      </x:c>
      <x:c r="P11" s="14" t="n">
        <x:v>0</x:v>
      </x:c>
      <x:c r="Q11" s="14" t="n">
        <x:v>0</x:v>
      </x:c>
      <x:c r="R11" s="14" t="n">
        <x:v>0.09090909090909083</x:v>
      </x:c>
      <x:c r="S11" t="n">
        <x:v>474</x:v>
      </x:c>
      <x:c r="T11" t="n">
        <x:v>157.8684429641965</x:v>
      </x:c>
      <x:c r="U11" s="14" t="n">
        <x:v>0.4820883753894081</x:v>
      </x:c>
      <x:c r="V11" s="14" t="n">
        <x:v>0.3487071277258567</x:v>
      </x:c>
      <x:c r="W11" s="14" t="n">
        <x:v>0.5870088271028038</x:v>
      </x:c>
      <x:c r="X11" s="14" t="n">
        <x:v>0.8427716246105919</x:v>
      </x:c>
      <x:c r="Y11" s="16" t="n">
        <x:v>91.84782608695652</x:v>
      </x:c>
      <x:c r="Z11" s="16" t="n">
        <x:v>99.36305732484077</x:v>
      </x:c>
      <x:c r="AA11" s="16" t="n">
        <x:v>98.36065573770492</x:v>
      </x:c>
      <x:c r="AB11" s="16" t="n">
        <x:v>62.77173913043478</x:v>
      </x:c>
      <x:c r="AC11" s="16" t="n">
        <x:v>60.32608695652174</x:v>
      </x:c>
      <x:c r="AD11" s="16" t="n">
        <x:v>71.21951219512195</x:v>
      </x:c>
      <x:c r="AE11" s="16" t="n">
        <x:v>85.78279413103216</x:v>
      </x:c>
      <x:c r="AF11" t="str">
        <x:v>우선 검토</x:v>
      </x:c>
      <x:c r="AG11" t="str">
        <x:v>상권 모멘텀·서울 업종추세 강점 / 안정성 상대적 약점</x:v>
      </x:c>
    </x:row>
    <x:row r="12">
      <x:c r="A12" t="str">
        <x:v>3111011</x:v>
      </x:c>
      <x:c r="B12" t="str">
        <x:v>잠실나루역</x:v>
      </x:c>
      <x:c r="C12" t="str">
        <x:v>골목상권</x:v>
      </x:c>
      <x:c r="D12" t="str">
        <x:v>송파구</x:v>
      </x:c>
      <x:c r="E12" t="str">
        <x:v>잠실4동</x:v>
      </x:c>
      <x:c r="F12" t="str">
        <x:v>CS200028</x:v>
      </x:c>
      <x:c r="G12" t="str">
        <x:v>미용실</x:v>
      </x:c>
      <x:c r="H12" t="n">
        <x:v>552492131</x:v>
      </x:c>
      <x:c r="I12" t="n">
        <x:v>3331</x:v>
      </x:c>
      <x:c r="J12" t="n">
        <x:v>165863.7439207445</x:v>
      </x:c>
      <x:c r="K12" s="14" t="n">
        <x:v>0.08937987951593684</x:v>
      </x:c>
      <x:c r="L12" s="14" t="n">
        <x:v>0.02168887159425803</x:v>
      </x:c>
      <x:c r="M12" s="14" t="n">
        <x:v>-0.013481964371473865</x:v>
      </x:c>
      <x:c r="N12" t="n">
        <x:v>14</x:v>
      </x:c>
      <x:c r="O12" t="n">
        <x:v>0</x:v>
      </x:c>
      <x:c r="P12" s="14" t="n">
        <x:v>0</x:v>
      </x:c>
      <x:c r="Q12" s="14" t="n">
        <x:v>0.21428571428571427</x:v>
      </x:c>
      <x:c r="R12" s="14" t="n">
        <x:v>-0.2222222222222222</x:v>
      </x:c>
      <x:c r="S12" t="n">
        <x:v>4438</x:v>
      </x:c>
      <x:c r="T12" t="n">
        <x:v>1717.558729052982</x:v>
      </x:c>
      <x:c r="U12" s="14" t="n">
        <x:v>0.5864910933907944</x:v>
      </x:c>
      <x:c r="V12" s="14" t="n">
        <x:v>0.35706890819047704</x:v>
      </x:c>
      <x:c r="W12" s="14" t="n">
        <x:v>0.18402255216916383</x:v>
      </x:c>
      <x:c r="X12" s="14" t="n">
        <x:v>0.5849787406293394</x:v>
      </x:c>
      <x:c r="Y12" s="16" t="n">
        <x:v>94.00179051029544</x:v>
      </x:c>
      <x:c r="Z12" s="16" t="n">
        <x:v>83.72302158273381</x:v>
      </x:c>
      <x:c r="AA12" s="16" t="n">
        <x:v>57.377049180327866</x:v>
      </x:c>
      <x:c r="AB12" s="16" t="n">
        <x:v>98.56759176365264</x:v>
      </x:c>
      <x:c r="AC12" s="16" t="n">
        <x:v>75.60429722470904</x:v>
      </x:c>
      <x:c r="AD12" s="16" t="n">
        <x:v>98.29268292682927</x:v>
      </x:c>
      <x:c r="AE12" s="16" t="n">
        <x:v>85.51199100555961</x:v>
      </x:c>
      <x:c r="AF12" t="str">
        <x:v>우선 검토</x:v>
      </x:c>
      <x:c r="AG12" t="str">
        <x:v>경쟁여건·직장수요 강점 / 서울 업종추세 상대적 약점</x:v>
      </x:c>
    </x:row>
    <x:row r="13">
      <x:c r="A13" t="str">
        <x:v>3120244</x:v>
      </x:c>
      <x:c r="B13" t="str">
        <x:v>암사역</x:v>
      </x:c>
      <x:c r="C13" t="str">
        <x:v>발달상권</x:v>
      </x:c>
      <x:c r="D13" t="str">
        <x:v>강동구</x:v>
      </x:c>
      <x:c r="E13" t="str">
        <x:v>암사2동</x:v>
      </x:c>
      <x:c r="F13" t="str">
        <x:v>CS300009</x:v>
      </x:c>
      <x:c r="G13" t="str">
        <x:v>청과상</x:v>
      </x:c>
      <x:c r="H13" t="n">
        <x:v>1684871960</x:v>
      </x:c>
      <x:c r="I13" t="n">
        <x:v>115483</x:v>
      </x:c>
      <x:c r="J13" t="n">
        <x:v>14589.783431327554</x:v>
      </x:c>
      <x:c r="K13" s="14" t="n">
        <x:v>0.8304590785944685</x:v>
      </x:c>
      <x:c r="L13" s="14" t="n">
        <x:v>0.19728256051488424</x:v>
      </x:c>
      <x:c r="M13" s="14" t="n">
        <x:v>0.09797365727115581</x:v>
      </x:c>
      <x:c r="N13" t="n">
        <x:v>11</x:v>
      </x:c>
      <x:c r="O13" t="n">
        <x:v>0</x:v>
      </x:c>
      <x:c r="P13" s="14" t="n">
        <x:v>0</x:v>
      </x:c>
      <x:c r="Q13" s="14" t="n">
        <x:v>0</x:v>
      </x:c>
      <x:c r="R13" s="14" t="n">
        <x:v>-0.2142857142857143</x:v>
      </x:c>
      <x:c r="S13" t="n">
        <x:v>1399</x:v>
      </x:c>
      <x:c r="T13" t="n">
        <x:v>173.5624340921779</x:v>
      </x:c>
      <x:c r="U13" s="14" t="n">
        <x:v>0.8160384294127608</x:v>
      </x:c>
      <x:c r="V13" s="14" t="n">
        <x:v>0.061596799913507964</x:v>
      </x:c>
      <x:c r="W13" s="14" t="n">
        <x:v>0.03997746926716022</x:v>
      </x:c>
      <x:c r="X13" s="14" t="n">
        <x:v>0.582907173551633</x:v>
      </x:c>
      <x:c r="Y13" s="16" t="n">
        <x:v>81.31868131868131</x:v>
      </x:c>
      <x:c r="Z13" s="16" t="n">
        <x:v>98.09160305343511</x:v>
      </x:c>
      <x:c r="AA13" s="16" t="n">
        <x:v>95.08196721311475</x:v>
      </x:c>
      <x:c r="AB13" s="16" t="n">
        <x:v>82.05128205128204</x:v>
      </x:c>
      <x:c r="AC13" s="16" t="n">
        <x:v>69.5970695970696</x:v>
      </x:c>
      <x:c r="AD13" s="16" t="n">
        <x:v>73.23170731707317</x:v>
      </x:c>
      <x:c r="AE13" s="16" t="n">
        <x:v>85.27113878744561</x:v>
      </x:c>
      <x:c r="AF13" t="str">
        <x:v>우선 검토</x:v>
      </x:c>
      <x:c r="AG13" t="str">
        <x:v>상권 모멘텀·서울 업종추세 강점 / 안정성 상대적 약점</x:v>
      </x:c>
    </x:row>
    <x:row r="14">
      <x:c r="A14" t="str">
        <x:v>3001492</x:v>
      </x:c>
      <x:c r="B14" t="str">
        <x:v>명동 남대문 북창동 다동 무교동 관광특구</x:v>
      </x:c>
      <x:c r="C14" t="str">
        <x:v>관광특구</x:v>
      </x:c>
      <x:c r="D14" t="str">
        <x:v>중구</x:v>
      </x:c>
      <x:c r="E14" t="str">
        <x:v>소공동</x:v>
      </x:c>
      <x:c r="F14" t="str">
        <x:v>CS300029</x:v>
      </x:c>
      <x:c r="G14" t="str">
        <x:v>애완동물</x:v>
      </x:c>
      <x:c r="H14" t="n">
        <x:v>435375796</x:v>
      </x:c>
      <x:c r="I14" t="n">
        <x:v>12739</x:v>
      </x:c>
      <x:c r="J14" t="n">
        <x:v>34176.60695502002</x:v>
      </x:c>
      <x:c r="K14" s="14" t="n">
        <x:v>0.1115757035975764</x:v>
      </x:c>
      <x:c r="L14" s="14" t="n">
        <x:v>0.041190648357217086</x:v>
      </x:c>
      <x:c r="M14" s="14" t="n">
        <x:v>-0.09713695399403299</x:v>
      </x:c>
      <x:c r="N14" t="n">
        <x:v>2</x:v>
      </x:c>
      <x:c r="O14" t="n">
        <x:v>0</x:v>
      </x:c>
      <x:c r="P14" s="14" t="n">
        <x:v>0</x:v>
      </x:c>
      <x:c r="Q14" s="14" t="n">
        <x:v>0</x:v>
      </x:c>
      <x:c r="R14" s="14" t="n">
        <x:v>1</x:v>
      </x:c>
      <x:c r="S14" t="n">
        <x:v>199667</x:v>
      </x:c>
      <x:c r="T14" t="n">
        <x:v>2029.9242185482574</x:v>
      </x:c>
      <x:c r="U14" s="14" t="n">
        <x:v>0.9166105871443528</x:v>
      </x:c>
      <x:c r="V14" s="14" t="n">
        <x:v>0.019896420700428647</x:v>
      </x:c>
      <x:c r="W14" s="14" t="n">
        <x:v>0.0246423000510575</x:v>
      </x:c>
      <x:c r="X14" s="14" t="n">
        <x:v>0.6599958165795693</x:v>
      </x:c>
      <x:c r="Y14" s="16" t="n">
        <x:v>95.07042253521126</x:v>
      </x:c>
      <x:c r="Z14" s="16" t="n">
        <x:v>70</x:v>
      </x:c>
      <x:c r="AA14" s="16" t="n">
        <x:v>77.04918032786885</x:v>
      </x:c>
      <x:c r="AB14" s="16" t="n">
        <x:v>99.29577464788733</x:v>
      </x:c>
      <x:c r="AC14" s="16" t="n">
        <x:v>64.08450704225352</x:v>
      </x:c>
      <x:c r="AD14" s="16" t="n">
        <x:v>98.84146341463415</x:v>
      </x:c>
      <x:c r="AE14" s="16" t="n">
        <x:v>85.07691500864442</x:v>
      </x:c>
      <x:c r="AF14" t="str">
        <x:v>우선 검토</x:v>
      </x:c>
      <x:c r="AG14" t="str">
        <x:v>경쟁여건·직장수요 강점 / 안정성 상대적 약점</x:v>
      </x:c>
    </x:row>
    <x:row r="15">
      <x:c r="A15" t="str">
        <x:v>3111044</x:v>
      </x:c>
      <x:c r="B15" t="str">
        <x:v>남천초등학교</x:v>
      </x:c>
      <x:c r="C15" t="str">
        <x:v>골목상권</x:v>
      </x:c>
      <x:c r="D15" t="str">
        <x:v>송파구</x:v>
      </x:c>
      <x:c r="E15" t="str">
        <x:v>마천2동</x:v>
      </x:c>
      <x:c r="F15" t="str">
        <x:v>CS300035</x:v>
      </x:c>
      <x:c r="G15" t="str">
        <x:v>인테리어</x:v>
      </x:c>
      <x:c r="H15" t="n">
        <x:v>465733716</x:v>
      </x:c>
      <x:c r="I15" t="n">
        <x:v>586</x:v>
      </x:c>
      <x:c r="J15" t="n">
        <x:v>794767.4334470989</x:v>
      </x:c>
      <x:c r="K15" s="14" t="n">
        <x:v>1.1302718254048982</x:v>
      </x:c>
      <x:c r="L15" s="14" t="n">
        <x:v>0.20213561276420866</x:v>
      </x:c>
      <x:c r="M15" s="14" t="n">
        <x:v>0.044160820891303576</x:v>
      </x:c>
      <x:c r="N15" t="n">
        <x:v>8</x:v>
      </x:c>
      <x:c r="O15" t="n">
        <x:v>0</x:v>
      </x:c>
      <x:c r="P15" s="14" t="n">
        <x:v>0</x:v>
      </x:c>
      <x:c r="Q15" s="14" t="n">
        <x:v>0</x:v>
      </x:c>
      <x:c r="R15" s="14" t="n">
        <x:v>0.1428571428571428</x:v>
      </x:c>
      <x:c r="S15" t="n">
        <x:v>563</x:v>
      </x:c>
      <x:c r="T15" t="n">
        <x:v>43.34670434159975</x:v>
      </x:c>
      <x:c r="U15" s="14" t="n">
        <x:v>1</x:v>
      </x:c>
      <x:c r="V15" s="14" t="n">
        <x:v>0</x:v>
      </x:c>
      <x:c r="W15" s="14" t="n">
        <x:v>0.0016134949525535318</x:v>
      </x:c>
      <x:c r="X15" s="14" t="n">
        <x:v>0.9429514375119881</x:v>
      </x:c>
      <x:c r="Y15" s="16" t="n">
        <x:v>90.21739130434783</x:v>
      </x:c>
      <x:c r="Z15" s="16" t="n">
        <x:v>91.0828025477707</x:v>
      </x:c>
      <x:c r="AA15" s="16" t="n">
        <x:v>98.36065573770492</x:v>
      </x:c>
      <x:c r="AB15" s="16" t="n">
        <x:v>86.1413043478261</x:v>
      </x:c>
      <x:c r="AC15" s="16" t="n">
        <x:v>60.32608695652174</x:v>
      </x:c>
      <x:c r="AD15" s="16" t="n">
        <x:v>31.21951219512195</x:v>
      </x:c>
      <x:c r="AE15" s="16" t="n">
        <x:v>85.06152578431379</x:v>
      </x:c>
      <x:c r="AF15" t="str">
        <x:v>우선 검토</x:v>
      </x:c>
      <x:c r="AG15" t="str">
        <x:v>서울 업종추세·상권 모멘텀 강점 / 직장수요 상대적 약점</x:v>
      </x:c>
    </x:row>
    <x:row r="16">
      <x:c r="A16" t="str">
        <x:v>3110792</x:v>
      </x:c>
      <x:c r="B16" t="str">
        <x:v>영등포역 2번</x:v>
      </x:c>
      <x:c r="C16" t="str">
        <x:v>골목상권</x:v>
      </x:c>
      <x:c r="D16" t="str">
        <x:v>영등포구</x:v>
      </x:c>
      <x:c r="E16" t="str">
        <x:v>도림동</x:v>
      </x:c>
      <x:c r="F16" t="str">
        <x:v>CS300007</x:v>
      </x:c>
      <x:c r="G16" t="str">
        <x:v>육류판매</x:v>
      </x:c>
      <x:c r="H16" t="n">
        <x:v>1287969812</x:v>
      </x:c>
      <x:c r="I16" t="n">
        <x:v>54741</x:v>
      </x:c>
      <x:c r="J16" t="n">
        <x:v>23528.43046345518</x:v>
      </x:c>
      <x:c r="K16" s="14" t="n">
        <x:v>0.7000155778039174</x:v>
      </x:c>
      <x:c r="L16" s="14" t="n">
        <x:v>0.23518223683931017</x:v>
      </x:c>
      <x:c r="M16" s="14" t="n">
        <x:v>0.00863079289162072</x:v>
      </x:c>
      <x:c r="N16" t="n">
        <x:v>4</x:v>
      </x:c>
      <x:c r="O16" t="n">
        <x:v>0</x:v>
      </x:c>
      <x:c r="P16" s="14" t="n">
        <x:v>0</x:v>
      </x:c>
      <x:c r="Q16" s="14" t="n">
        <x:v>0</x:v>
      </x:c>
      <x:c r="R16" s="14" t="n">
        <x:v>-0.5</x:v>
      </x:c>
      <x:c r="S16" t="n">
        <x:v>534</x:v>
      </x:c>
      <x:c r="T16" t="n">
        <x:v>41.10379863757072</x:v>
      </x:c>
      <x:c r="U16" s="14" t="n">
        <x:v>0.6845454177461731</x:v>
      </x:c>
      <x:c r="V16" s="14" t="n">
        <x:v>0.3560983671564501</x:v>
      </x:c>
      <x:c r="W16" s="14" t="n">
        <x:v>0.16078317913246246</x:v>
      </x:c>
      <x:c r="X16" s="14" t="n">
        <x:v>0.6070436416408803</x:v>
      </x:c>
      <x:c r="Y16" s="16" t="n">
        <x:v>77.22772277227723</x:v>
      </x:c>
      <x:c r="Z16" s="16" t="n">
        <x:v>98.7012987012987</x:v>
      </x:c>
      <x:c r="AA16" s="16" t="n">
        <x:v>100</x:v>
      </x:c>
      <x:c r="AB16" s="16" t="n">
        <x:v>98.88613861386139</x:v>
      </x:c>
      <x:c r="AC16" s="16" t="n">
        <x:v>66.83168316831683</x:v>
      </x:c>
      <x:c r="AD16" s="16" t="n">
        <x:v>29.573170731707318</x:v>
      </x:c>
      <x:c r="AE16" s="16" t="n">
        <x:v>84.76471035605303</x:v>
      </x:c>
      <x:c r="AF16" t="str">
        <x:v>우선 검토</x:v>
      </x:c>
      <x:c r="AG16" t="str">
        <x:v>서울 업종추세·경쟁여건 강점 / 직장수요 상대적 약점</x:v>
      </x:c>
    </x:row>
    <x:row r="17">
      <x:c r="A17" t="str">
        <x:v>3001492</x:v>
      </x:c>
      <x:c r="B17" t="str">
        <x:v>명동 남대문 북창동 다동 무교동 관광특구</x:v>
      </x:c>
      <x:c r="C17" t="str">
        <x:v>관광특구</x:v>
      </x:c>
      <x:c r="D17" t="str">
        <x:v>중구</x:v>
      </x:c>
      <x:c r="E17" t="str">
        <x:v>소공동</x:v>
      </x:c>
      <x:c r="F17" t="str">
        <x:v>CS200024</x:v>
      </x:c>
      <x:c r="G17" t="str">
        <x:v>스포츠클럽</x:v>
      </x:c>
      <x:c r="H17" t="n">
        <x:v>372822486</x:v>
      </x:c>
      <x:c r="I17" t="n">
        <x:v>906</x:v>
      </x:c>
      <x:c r="J17" t="n">
        <x:v>411503.84768211923</x:v>
      </x:c>
      <x:c r="K17" s="14" t="n">
        <x:v>1.5184061349722011</x:v>
      </x:c>
      <x:c r="L17" s="14" t="n">
        <x:v>0.03927856170757105</x:v>
      </x:c>
      <x:c r="M17" s="14" t="n">
        <x:v>-0.042593628048716026</x:v>
      </x:c>
      <x:c r="N17" t="n">
        <x:v>7</x:v>
      </x:c>
      <x:c r="O17" t="n">
        <x:v>0</x:v>
      </x:c>
      <x:c r="P17" s="14" t="n">
        <x:v>0</x:v>
      </x:c>
      <x:c r="Q17" s="14" t="n">
        <x:v>0.14285714285714285</x:v>
      </x:c>
      <x:c r="R17" s="14" t="n">
        <x:v>0.16666666666666674</x:v>
      </x:c>
      <x:c r="S17" t="n">
        <x:v>199667</x:v>
      </x:c>
      <x:c r="T17" t="n">
        <x:v>2029.9242185482574</x:v>
      </x:c>
      <x:c r="U17" s="14" t="n">
        <x:v>0.9690553750558919</x:v>
      </x:c>
      <x:c r="V17" s="14" t="n">
        <x:v>0.39318532949217017</x:v>
      </x:c>
      <x:c r="W17" s="14" t="n">
        <x:v>0.4292177886502264</x:v>
      </x:c>
      <x:c r="X17" s="14" t="n">
        <x:v>0.3350914542209238</x:v>
      </x:c>
      <x:c r="Y17" s="16" t="n">
        <x:v>81.52173913043478</x:v>
      </x:c>
      <x:c r="Z17" s="16" t="n">
        <x:v>97.32142857142857</x:v>
      </x:c>
      <x:c r="AA17" s="16" t="n">
        <x:v>75.40983606557377</x:v>
      </x:c>
      <x:c r="AB17" s="16" t="n">
        <x:v>90.39855072463769</x:v>
      </x:c>
      <x:c r="AC17" s="16" t="n">
        <x:v>68.84057971014492</x:v>
      </x:c>
      <x:c r="AD17" s="16" t="n">
        <x:v>98.84146341463415</x:v>
      </x:c>
      <x:c r="AE17" s="16" t="n">
        <x:v>84.69428357021579</x:v>
      </x:c>
      <x:c r="AF17" t="str">
        <x:v>우선 검토</x:v>
      </x:c>
      <x:c r="AG17" t="str">
        <x:v>직장수요·상권 모멘텀 강점 / 안정성 상대적 약점</x:v>
      </x:c>
    </x:row>
    <x:row r="18">
      <x:c r="A18" t="str">
        <x:v>3120069</x:v>
      </x:c>
      <x:c r="B18" t="str">
        <x:v>상봉역</x:v>
      </x:c>
      <x:c r="C18" t="str">
        <x:v>발달상권</x:v>
      </x:c>
      <x:c r="D18" t="str">
        <x:v>중랑구</x:v>
      </x:c>
      <x:c r="E18" t="str">
        <x:v>상봉2동</x:v>
      </x:c>
      <x:c r="F18" t="str">
        <x:v>CS100005</x:v>
      </x:c>
      <x:c r="G18" t="str">
        <x:v>제과점</x:v>
      </x:c>
      <x:c r="H18" t="n">
        <x:v>1665536868</x:v>
      </x:c>
      <x:c r="I18" t="n">
        <x:v>155156</x:v>
      </x:c>
      <x:c r="J18" t="n">
        <x:v>10734.595297635928</x:v>
      </x:c>
      <x:c r="K18" s="14" t="n">
        <x:v>0.7301145118685886</x:v>
      </x:c>
      <x:c r="L18" s="14" t="n">
        <x:v>0.015772977300780644</x:v>
      </x:c>
      <x:c r="M18" s="14" t="n">
        <x:v>-0.01180050626373963</x:v>
      </x:c>
      <x:c r="N18" t="n">
        <x:v>9</x:v>
      </x:c>
      <x:c r="O18" t="n">
        <x:v>0</x:v>
      </x:c>
      <x:c r="P18" s="14" t="n">
        <x:v>0</x:v>
      </x:c>
      <x:c r="Q18" s="14" t="n">
        <x:v>0.4444444444444444</x:v>
      </x:c>
      <x:c r="R18" s="14" t="n">
        <x:v>0.2857142857142858</x:v>
      </x:c>
      <x:c r="S18" t="n">
        <x:v>2554</x:v>
      </x:c>
      <x:c r="T18" t="n">
        <x:v>124.08418679674291</x:v>
      </x:c>
      <x:c r="U18" s="14" t="n">
        <x:v>0.7018983004583961</x:v>
      </x:c>
      <x:c r="V18" s="14" t="n">
        <x:v>0.3867928770460577</x:v>
      </x:c>
      <x:c r="W18" s="14" t="n">
        <x:v>0.4301355483414012</x:v>
      </x:c>
      <x:c r="X18" s="14" t="n">
        <x:v>0.6476790449528494</x:v>
      </x:c>
      <x:c r="Y18" s="16" t="n">
        <x:v>94.87179487179488</x:v>
      </x:c>
      <x:c r="Z18" s="16" t="n">
        <x:v>98.51116625310173</x:v>
      </x:c>
      <x:c r="AA18" s="16" t="n">
        <x:v>52.459016393442624</x:v>
      </x:c>
      <x:c r="AB18" s="16" t="n">
        <x:v>88.81118881118881</x:v>
      </x:c>
      <x:c r="AC18" s="16" t="n">
        <x:v>73.54312354312354</x:v>
      </x:c>
      <x:c r="AD18" s="16" t="n">
        <x:v>64.8170731707317</x:v>
      </x:c>
      <x:c r="AE18" s="16" t="n">
        <x:v>84.6930582492922</x:v>
      </x:c>
      <x:c r="AF18" t="str">
        <x:v>우선 검토</x:v>
      </x:c>
      <x:c r="AG18" t="str">
        <x:v>상권 모멘텀·수요 강점 / 서울 업종추세 상대적 약점</x:v>
      </x:c>
    </x:row>
    <x:row r="19">
      <x:c r="A19" t="str">
        <x:v>3110180</x:v>
      </x:c>
      <x:c r="B19" t="str">
        <x:v>광진정보도서관</x:v>
      </x:c>
      <x:c r="C19" t="str">
        <x:v>골목상권</x:v>
      </x:c>
      <x:c r="D19" t="str">
        <x:v>광진구</x:v>
      </x:c>
      <x:c r="E19" t="str">
        <x:v>광장동</x:v>
      </x:c>
      <x:c r="F19" t="str">
        <x:v>CS300011</x:v>
      </x:c>
      <x:c r="G19" t="str">
        <x:v>일반의류</x:v>
      </x:c>
      <x:c r="H19" t="n">
        <x:v>6944924246</x:v>
      </x:c>
      <x:c r="I19" t="n">
        <x:v>88783</x:v>
      </x:c>
      <x:c r="J19" t="n">
        <x:v>78223.58160909184</x:v>
      </x:c>
      <x:c r="K19" s="14" t="n">
        <x:v>0.35073023603847386</x:v>
      </x:c>
      <x:c r="L19" s="14" t="n">
        <x:v>0.06726691045630595</x:v>
      </x:c>
      <x:c r="M19" s="14" t="n">
        <x:v>0.00788849516466894</x:v>
      </x:c>
      <x:c r="N19" t="n">
        <x:v>58</x:v>
      </x:c>
      <x:c r="O19" t="n">
        <x:v>0</x:v>
      </x:c>
      <x:c r="P19" s="14" t="n">
        <x:v>0</x:v>
      </x:c>
      <x:c r="Q19" s="14" t="n">
        <x:v>0</x:v>
      </x:c>
      <x:c r="R19" s="14" t="n">
        <x:v>-0.049180327868852514</x:v>
      </x:c>
      <x:c r="S19" t="n">
        <x:v>7034</x:v>
      </x:c>
      <x:c r="T19" t="n">
        <x:v>941.6458051647278</x:v>
      </x:c>
      <x:c r="U19" s="14" t="n">
        <x:v>0.6145557869055552</x:v>
      </x:c>
      <x:c r="V19" s="14" t="n">
        <x:v>0.3377936247974446</x:v>
      </x:c>
      <x:c r="W19" s="14" t="n">
        <x:v>0.17228260260565556</x:v>
      </x:c>
      <x:c r="X19" s="14" t="n">
        <x:v>0.6807897203087793</x:v>
      </x:c>
      <x:c r="Y19" s="16" t="n">
        <x:v>95.40636042402826</x:v>
      </x:c>
      <x:c r="Z19" s="16" t="n">
        <x:v>86.28158844765343</x:v>
      </x:c>
      <x:c r="AA19" s="16" t="n">
        <x:v>81.9672131147541</x:v>
      </x:c>
      <x:c r="AB19" s="16" t="n">
        <x:v>54.35806831566549</x:v>
      </x:c>
      <x:c r="AC19" s="16" t="n">
        <x:v>86.33686690223793</x:v>
      </x:c>
      <x:c r="AD19" s="16" t="n">
        <x:v>96.64634146341463</x:v>
      </x:c>
      <x:c r="AE19" s="16" t="n">
        <x:v>84.56333981589805</x:v>
      </x:c>
      <x:c r="AF19" t="str">
        <x:v>우선 검토</x:v>
      </x:c>
      <x:c r="AG19" t="str">
        <x:v>직장수요·수요 강점 / 경쟁여건 상대적 약점</x:v>
      </x:c>
    </x:row>
    <x:row r="20">
      <x:c r="A20" t="str">
        <x:v>3120038</x:v>
      </x:c>
      <x:c r="B20" t="str">
        <x:v>약수역</x:v>
      </x:c>
      <x:c r="C20" t="str">
        <x:v>발달상권</x:v>
      </x:c>
      <x:c r="D20" t="str">
        <x:v>중구</x:v>
      </x:c>
      <x:c r="E20" t="str">
        <x:v>다산동</x:v>
      </x:c>
      <x:c r="F20" t="str">
        <x:v>CS300020</x:v>
      </x:c>
      <x:c r="G20" t="str">
        <x:v>서적</x:v>
      </x:c>
      <x:c r="H20" t="n">
        <x:v>1590905084</x:v>
      </x:c>
      <x:c r="I20" t="n">
        <x:v>70598</x:v>
      </x:c>
      <x:c r="J20" t="n">
        <x:v>22534.704722513387</x:v>
      </x:c>
      <x:c r="K20" s="14" t="n">
        <x:v>-0.00643170390066139</x:v>
      </x:c>
      <x:c r="L20" s="14" t="n">
        <x:v>0.20039418624921757</x:v>
      </x:c>
      <x:c r="M20" s="14" t="n">
        <x:v>-0.01061516125540185</x:v>
      </x:c>
      <x:c r="N20" t="n">
        <x:v>5</x:v>
      </x:c>
      <x:c r="O20" t="n">
        <x:v>0</x:v>
      </x:c>
      <x:c r="P20" s="14" t="n">
        <x:v>0</x:v>
      </x:c>
      <x:c r="Q20" s="14" t="n">
        <x:v>0</x:v>
      </x:c>
      <x:c r="R20" s="14" t="n">
        <x:v>-0.16666666666666663</x:v>
      </x:c>
      <x:c r="S20" t="n">
        <x:v>8665</x:v>
      </x:c>
      <x:c r="T20" t="n">
        <x:v>633.2351630041583</x:v>
      </x:c>
      <x:c r="U20" s="14" t="n">
        <x:v>0.9168482065143743</x:v>
      </x:c>
      <x:c r="V20" s="14" t="n">
        <x:v>0.3047722732652981</x:v>
      </x:c>
      <x:c r="W20" s="14" t="n">
        <x:v>0.2510270468153209</x:v>
      </x:c>
      <x:c r="X20" s="14" t="n">
        <x:v>0.3738251973553942</x:v>
      </x:c>
      <x:c r="Y20" s="16" t="n">
        <x:v>95.30201342281879</x:v>
      </x:c>
      <x:c r="Z20" s="16" t="n">
        <x:v>57.857142857142854</x:v>
      </x:c>
      <x:c r="AA20" s="16" t="n">
        <x:v>96.72131147540983</x:v>
      </x:c>
      <x:c r="AB20" s="16" t="n">
        <x:v>95.63758389261744</x:v>
      </x:c>
      <x:c r="AC20" s="16" t="n">
        <x:v>59.395973154362416</x:v>
      </x:c>
      <x:c r="AD20" s="16" t="n">
        <x:v>93.23170731707317</x:v>
      </x:c>
      <x:c r="AE20" s="16" t="n">
        <x:v>84.38215025590912</x:v>
      </x:c>
      <x:c r="AF20" t="str">
        <x:v>우선 검토</x:v>
      </x:c>
      <x:c r="AG20" t="str">
        <x:v>서울 업종추세·경쟁여건 강점 / 상권 모멘텀 상대적 약점</x:v>
      </x:c>
    </x:row>
    <x:row r="21">
      <x:c r="A21" t="str">
        <x:v>3110877</x:v>
      </x:c>
      <x:c r="B21" t="str">
        <x:v>신림역 8번</x:v>
      </x:c>
      <x:c r="C21" t="str">
        <x:v>골목상권</x:v>
      </x:c>
      <x:c r="D21" t="str">
        <x:v>관악구</x:v>
      </x:c>
      <x:c r="E21" t="str">
        <x:v>신림동</x:v>
      </x:c>
      <x:c r="F21" t="str">
        <x:v>CS200003</x:v>
      </x:c>
      <x:c r="G21" t="str">
        <x:v>예술학원</x:v>
      </x:c>
      <x:c r="H21" t="n">
        <x:v>251855130</x:v>
      </x:c>
      <x:c r="I21" t="n">
        <x:v>138</x:v>
      </x:c>
      <x:c r="J21" t="n">
        <x:v>1825037.1739130435</x:v>
      </x:c>
      <x:c r="K21" s="14" t="n">
        <x:v>0.3546624266945959</x:v>
      </x:c>
      <x:c r="L21" s="14" t="n">
        <x:v>0.09364146198394163</x:v>
      </x:c>
      <x:c r="M21" s="14" t="n">
        <x:v>0.053788091189524545</x:v>
      </x:c>
      <x:c r="N21" t="n">
        <x:v>8</x:v>
      </x:c>
      <x:c r="O21" t="n">
        <x:v>0</x:v>
      </x:c>
      <x:c r="P21" s="14" t="n">
        <x:v>0</x:v>
      </x:c>
      <x:c r="Q21" s="14" t="n">
        <x:v>0</x:v>
      </x:c>
      <x:c r="R21" s="14" t="n">
        <x:v>-0.11111111111111116</x:v>
      </x:c>
      <x:c r="S21" t="n">
        <x:v>557</x:v>
      </x:c>
      <x:c r="T21" t="n">
        <x:v>53.56902421666121</x:v>
      </x:c>
      <x:c r="U21" s="14" t="n">
        <x:v>0.9711500972801308</x:v>
      </x:c>
      <x:c r="V21" s="14" t="n">
        <x:v>0.028849902719869158</x:v>
      </x:c>
      <x:c r="W21" s="14" t="n">
        <x:v>0.15087719277348052</x:v>
      </x:c>
      <x:c r="X21" s="14" t="n">
        <x:v>0.775438594401472</x:v>
      </x:c>
      <x:c r="Y21" s="16" t="n">
        <x:v>82.47011952191235</x:v>
      </x:c>
      <x:c r="Z21" s="16" t="n">
        <x:v>92.02453987730061</x:v>
      </x:c>
      <x:c r="AA21" s="16" t="n">
        <x:v>88.52459016393442</x:v>
      </x:c>
      <x:c r="AB21" s="16" t="n">
        <x:v>97.01195219123505</x:v>
      </x:c>
      <x:c r="AC21" s="16" t="n">
        <x:v>73.20717131474103</x:v>
      </x:c>
      <x:c r="AD21" s="16" t="n">
        <x:v>38.23170731707317</x:v>
      </x:c>
      <x:c r="AE21" s="16" t="n">
        <x:v>84.33223365873262</x:v>
      </x:c>
      <x:c r="AF21" t="str">
        <x:v>우선 검토</x:v>
      </x:c>
      <x:c r="AG21" t="str">
        <x:v>경쟁여건·상권 모멘텀 강점 / 직장수요 상대적 약점</x:v>
      </x:c>
    </x:row>
    <x:row r="22">
      <x:c r="A22" t="str">
        <x:v>3001495</x:v>
      </x:c>
      <x:c r="B22" t="str">
        <x:v>잠실 관광특구</x:v>
      </x:c>
      <x:c r="C22" t="str">
        <x:v>관광특구</x:v>
      </x:c>
      <x:c r="D22" t="str">
        <x:v>송파구</x:v>
      </x:c>
      <x:c r="E22" t="str">
        <x:v>방이2동</x:v>
      </x:c>
      <x:c r="F22" t="str">
        <x:v>CS300017</x:v>
      </x:c>
      <x:c r="G22" t="str">
        <x:v>시계및귀금속</x:v>
      </x:c>
      <x:c r="H22" t="n">
        <x:v>17965628219</x:v>
      </x:c>
      <x:c r="I22" t="n">
        <x:v>15446</x:v>
      </x:c>
      <x:c r="J22" t="n">
        <x:v>1163124.9656221676</x:v>
      </x:c>
      <x:c r="K22" s="14" t="n">
        <x:v>0.294988156677517</x:v>
      </x:c>
      <x:c r="L22" s="14" t="n">
        <x:v>0.09182238369060247</x:v>
      </x:c>
      <x:c r="M22" s="14" t="n">
        <x:v>0.00817160170707898</x:v>
      </x:c>
      <x:c r="N22" t="n">
        <x:v>8</x:v>
      </x:c>
      <x:c r="O22" t="n">
        <x:v>0</x:v>
      </x:c>
      <x:c r="P22" s="14" t="n">
        <x:v>0</x:v>
      </x:c>
      <x:c r="Q22" s="14" t="n">
        <x:v>0</x:v>
      </x:c>
      <x:c r="R22" s="14" t="n">
        <x:v>0.33333333333333326</x:v>
      </x:c>
      <x:c r="S22" t="n">
        <x:v>137602</x:v>
      </x:c>
      <x:c r="T22" t="n">
        <x:v>558.7367535430136</x:v>
      </x:c>
      <x:c r="U22" s="14" t="n">
        <x:v>0.7898363511159109</x:v>
      </x:c>
      <x:c r="V22" s="14" t="n">
        <x:v>0.30331589068713993</x:v>
      </x:c>
      <x:c r="W22" s="14" t="n">
        <x:v>0.20173423649984304</x:v>
      </x:c>
      <x:c r="X22" s="14" t="n">
        <x:v>0.5243868108122515</x:v>
      </x:c>
      <x:c r="Y22" s="16" t="n">
        <x:v>98.32402234636872</x:v>
      </x:c>
      <x:c r="Z22" s="16" t="n">
        <x:v>82.45614035087719</x:v>
      </x:c>
      <x:c r="AA22" s="16" t="n">
        <x:v>86.88524590163935</x:v>
      </x:c>
      <x:c r="AB22" s="16" t="n">
        <x:v>63.764044943820224</x:v>
      </x:c>
      <x:c r="AC22" s="16" t="n">
        <x:v>61.79775280898876</x:v>
      </x:c>
      <x:c r="AD22" s="16" t="n">
        <x:v>91.34146341463415</x:v>
      </x:c>
      <x:c r="AE22" s="16" t="n">
        <x:v>84.24887796985401</x:v>
      </x:c>
      <x:c r="AF22" t="str">
        <x:v>우선 검토</x:v>
      </x:c>
      <x:c r="AG22" t="str">
        <x:v>수요·직장수요 강점 / 안정성 상대적 약점</x:v>
      </x:c>
    </x:row>
    <x:row r="23">
      <x:c r="A23" t="str">
        <x:v>3130070</x:v>
      </x:c>
      <x:c r="B23" t="str">
        <x:v>뚝섬역상점가</x:v>
      </x:c>
      <x:c r="C23" t="str">
        <x:v>전통시장</x:v>
      </x:c>
      <x:c r="D23" t="str">
        <x:v>성동구</x:v>
      </x:c>
      <x:c r="E23" t="str">
        <x:v>성수1가2동</x:v>
      </x:c>
      <x:c r="F23" t="str">
        <x:v>CS300007</x:v>
      </x:c>
      <x:c r="G23" t="str">
        <x:v>육류판매</x:v>
      </x:c>
      <x:c r="H23" t="n">
        <x:v>1454539593</x:v>
      </x:c>
      <x:c r="I23" t="n">
        <x:v>21381</x:v>
      </x:c>
      <x:c r="J23" t="n">
        <x:v>68029.53991861934</x:v>
      </x:c>
      <x:c r="K23" s="14" t="n">
        <x:v>0.12175545064167137</x:v>
      </x:c>
      <x:c r="L23" s="14" t="n">
        <x:v>0.23518223683931017</x:v>
      </x:c>
      <x:c r="M23" s="14" t="n">
        <x:v>0.00863079289162072</x:v>
      </x:c>
      <x:c r="N23" t="n">
        <x:v>9</x:v>
      </x:c>
      <x:c r="O23" t="n">
        <x:v>0</x:v>
      </x:c>
      <x:c r="P23" s="14" t="n">
        <x:v>0</x:v>
      </x:c>
      <x:c r="Q23" s="14" t="n">
        <x:v>0</x:v>
      </x:c>
      <x:c r="R23" s="14" t="n">
        <x:v>-0.3571428571428571</x:v>
      </x:c>
      <x:c r="S23" t="n">
        <x:v>1725</x:v>
      </x:c>
      <x:c r="T23" t="n">
        <x:v>307.12530712530713</x:v>
      </x:c>
      <x:c r="U23" s="14" t="n">
        <x:v>0.6830759497930009</x:v>
      </x:c>
      <x:c r="V23" s="14" t="n">
        <x:v>0.21387090079712942</x:v>
      </x:c>
      <x:c r="W23" s="14" t="n">
        <x:v>0.04881838510393852</x:v>
      </x:c>
      <x:c r="X23" s="14" t="n">
        <x:v>0.7625662796241257</x:v>
      </x:c>
      <x:c r="Y23" s="16" t="n">
        <x:v>80.44554455445545</x:v>
      </x:c>
      <x:c r="Z23" s="16" t="n">
        <x:v>87.27272727272727</x:v>
      </x:c>
      <x:c r="AA23" s="16" t="n">
        <x:v>100</x:v>
      </x:c>
      <x:c r="AB23" s="16" t="n">
        <x:v>83.41584158415841</x:v>
      </x:c>
      <x:c r="AC23" s="16" t="n">
        <x:v>66.83168316831683</x:v>
      </x:c>
      <x:c r="AD23" s="16" t="n">
        <x:v>84.08536585365853</x:v>
      </x:c>
      <x:c r="AE23" s="16" t="n">
        <x:v>84.01029889574322</x:v>
      </x:c>
      <x:c r="AF23" t="str">
        <x:v>우선 검토</x:v>
      </x:c>
      <x:c r="AG23" t="str">
        <x:v>서울 업종추세·상권 모멘텀 강점 / 안정성 상대적 약점</x:v>
      </x:c>
    </x:row>
    <x:row r="24">
      <x:c r="A24" t="str">
        <x:v>3120038</x:v>
      </x:c>
      <x:c r="B24" t="str">
        <x:v>약수역</x:v>
      </x:c>
      <x:c r="C24" t="str">
        <x:v>발달상권</x:v>
      </x:c>
      <x:c r="D24" t="str">
        <x:v>중구</x:v>
      </x:c>
      <x:c r="E24" t="str">
        <x:v>다산동</x:v>
      </x:c>
      <x:c r="F24" t="str">
        <x:v>CS200030</x:v>
      </x:c>
      <x:c r="G24" t="str">
        <x:v>피부관리실</x:v>
      </x:c>
      <x:c r="H24" t="n">
        <x:v>77618145</x:v>
      </x:c>
      <x:c r="I24" t="n">
        <x:v>204</x:v>
      </x:c>
      <x:c r="J24" t="n">
        <x:v>380481.10294117645</x:v>
      </x:c>
      <x:c r="K24" s="14" t="n">
        <x:v>0.4243422906708534</x:v>
      </x:c>
      <x:c r="L24" s="14" t="n">
        <x:v>0.11857168683779085</x:v>
      </x:c>
      <x:c r="M24" s="14" t="n">
        <x:v>0.0314283578178467</x:v>
      </x:c>
      <x:c r="N24" t="n">
        <x:v>4</x:v>
      </x:c>
      <x:c r="O24" t="n">
        <x:v>0</x:v>
      </x:c>
      <x:c r="P24" s="14" t="n">
        <x:v>0</x:v>
      </x:c>
      <x:c r="Q24" s="14" t="n">
        <x:v>0</x:v>
      </x:c>
      <x:c r="R24" s="14" t="n">
        <x:v>0</x:v>
      </x:c>
      <x:c r="S24" t="n">
        <x:v>8665</x:v>
      </x:c>
      <x:c r="T24" t="n">
        <x:v>633.2351630041583</x:v>
      </x:c>
      <x:c r="U24" s="14" t="n">
        <x:v>0.7451154752538856</x:v>
      </x:c>
      <x:c r="V24" s="14" t="n">
        <x:v>0.3663146935552247</x:v>
      </x:c>
      <x:c r="W24" s="14" t="n">
        <x:v>0.527450005407885</x:v>
      </x:c>
      <x:c r="X24" s="14" t="n">
        <x:v>0.8461521336280324</x:v>
      </x:c>
      <x:c r="Y24" s="16" t="n">
        <x:v>71.96029776674938</x:v>
      </x:c>
      <x:c r="Z24" s="16" t="n">
        <x:v>87.53315649867373</x:v>
      </x:c>
      <x:c r="AA24" s="16" t="n">
        <x:v>91.80327868852459</x:v>
      </x:c>
      <x:c r="AB24" s="16" t="n">
        <x:v>99.62779156327544</x:v>
      </x:c>
      <x:c r="AC24" s="16" t="n">
        <x:v>79.15632754342431</x:v>
      </x:c>
      <x:c r="AD24" s="16" t="n">
        <x:v>93.23170731707317</x:v>
      </x:c>
      <x:c r="AE24" s="16" t="n">
        <x:v>83.9846141760631</x:v>
      </x:c>
      <x:c r="AF24" t="str">
        <x:v>우선 검토</x:v>
      </x:c>
      <x:c r="AG24" t="str">
        <x:v>경쟁여건·직장수요 강점 / 수요 상대적 약점</x:v>
      </x:c>
    </x:row>
    <x:row r="25">
      <x:c r="A25" t="str">
        <x:v>3130042</x:v>
      </x:c>
      <x:c r="B25" t="str">
        <x:v>약수시장</x:v>
      </x:c>
      <x:c r="C25" t="str">
        <x:v>전통시장</x:v>
      </x:c>
      <x:c r="D25" t="str">
        <x:v>중구</x:v>
      </x:c>
      <x:c r="E25" t="str">
        <x:v>약수동</x:v>
      </x:c>
      <x:c r="F25" t="str">
        <x:v>CS300007</x:v>
      </x:c>
      <x:c r="G25" t="str">
        <x:v>육류판매</x:v>
      </x:c>
      <x:c r="H25" t="n">
        <x:v>1433154213</x:v>
      </x:c>
      <x:c r="I25" t="n">
        <x:v>36343</x:v>
      </x:c>
      <x:c r="J25" t="n">
        <x:v>39434.11972044135</x:v>
      </x:c>
      <x:c r="K25" s="14" t="n">
        <x:v>0.21858358628627883</x:v>
      </x:c>
      <x:c r="L25" s="14" t="n">
        <x:v>0.23518223683931017</x:v>
      </x:c>
      <x:c r="M25" s="14" t="n">
        <x:v>0.00863079289162072</x:v>
      </x:c>
      <x:c r="N25" t="n">
        <x:v>12</x:v>
      </x:c>
      <x:c r="O25" t="n">
        <x:v>0</x:v>
      </x:c>
      <x:c r="P25" s="14" t="n">
        <x:v>0</x:v>
      </x:c>
      <x:c r="Q25" s="14" t="n">
        <x:v>0</x:v>
      </x:c>
      <x:c r="R25" s="14" t="n">
        <x:v>0.19999999999999996</x:v>
      </x:c>
      <x:c r="S25" t="n">
        <x:v>3917</x:v>
      </x:c>
      <x:c r="T25" t="n">
        <x:v>1390.3382671352006</x:v>
      </x:c>
      <x:c r="U25" s="14" t="n">
        <x:v>0.6778705740022131</x:v>
      </x:c>
      <x:c r="V25" s="14" t="n">
        <x:v>0.27300481933551696</x:v>
      </x:c>
      <x:c r="W25" s="14" t="n">
        <x:v>0.16901594176173979</x:v>
      </x:c>
      <x:c r="X25" s="14" t="n">
        <x:v>0.6205787276292227</x:v>
      </x:c>
      <x:c r="Y25" s="16" t="n">
        <x:v>79.70297029702971</x:v>
      </x:c>
      <x:c r="Z25" s="16" t="n">
        <x:v>95.06493506493507</x:v>
      </x:c>
      <x:c r="AA25" s="16" t="n">
        <x:v>100</x:v>
      </x:c>
      <x:c r="AB25" s="16" t="n">
        <x:v>67.82178217821783</x:v>
      </x:c>
      <x:c r="AC25" s="16" t="n">
        <x:v>66.83168316831683</x:v>
      </x:c>
      <x:c r="AD25" s="16" t="n">
        <x:v>97.86585365853658</x:v>
      </x:c>
      <x:c r="AE25" s="16" t="n">
        <x:v>83.6587549434386</x:v>
      </x:c>
      <x:c r="AF25" t="str">
        <x:v>우선 검토</x:v>
      </x:c>
      <x:c r="AG25" t="str">
        <x:v>서울 업종추세·직장수요 강점 / 안정성 상대적 약점</x:v>
      </x:c>
    </x:row>
    <x:row r="26">
      <x:c r="A26" t="str">
        <x:v>3001492</x:v>
      </x:c>
      <x:c r="B26" t="str">
        <x:v>명동 남대문 북창동 다동 무교동 관광특구</x:v>
      </x:c>
      <x:c r="C26" t="str">
        <x:v>관광특구</x:v>
      </x:c>
      <x:c r="D26" t="str">
        <x:v>중구</x:v>
      </x:c>
      <x:c r="E26" t="str">
        <x:v>소공동</x:v>
      </x:c>
      <x:c r="F26" t="str">
        <x:v>CS200016</x:v>
      </x:c>
      <x:c r="G26" t="str">
        <x:v>당구장</x:v>
      </x:c>
      <x:c r="H26" t="n">
        <x:v>326201922</x:v>
      </x:c>
      <x:c r="I26" t="n">
        <x:v>13544</x:v>
      </x:c>
      <x:c r="J26" t="n">
        <x:v>24084.607353809806</x:v>
      </x:c>
      <x:c r="K26" s="14" t="n">
        <x:v>0.03318318091242767</x:v>
      </x:c>
      <x:c r="L26" s="14" t="n">
        <x:v>0.052763611334009974</x:v>
      </x:c>
      <x:c r="M26" s="14" t="n">
        <x:v>0.07602781601598463</x:v>
      </x:c>
      <x:c r="N26" t="n">
        <x:v>7</x:v>
      </x:c>
      <x:c r="O26" t="n">
        <x:v>0</x:v>
      </x:c>
      <x:c r="P26" s="14" t="n">
        <x:v>0</x:v>
      </x:c>
      <x:c r="Q26" s="14" t="n">
        <x:v>0</x:v>
      </x:c>
      <x:c r="R26" s="14" t="n">
        <x:v>-0.125</x:v>
      </x:c>
      <x:c r="S26" t="n">
        <x:v>199667</x:v>
      </x:c>
      <x:c r="T26" t="n">
        <x:v>2029.9242185482574</x:v>
      </x:c>
      <x:c r="U26" s="14" t="n">
        <x:v>0.7291151215227971</x:v>
      </x:c>
      <x:c r="V26" s="14" t="n">
        <x:v>0.5387032575485561</x:v>
      </x:c>
      <x:c r="W26" s="14" t="n">
        <x:v>0.2639277827431072</x:v>
      </x:c>
      <x:c r="X26" s="14" t="n">
        <x:v>0.14733208408257017</x:v>
      </x:c>
      <x:c r="Y26" s="16" t="n">
        <x:v>96.46017699115045</x:v>
      </x:c>
      <x:c r="Z26" s="16" t="n">
        <x:v>65.74074074074075</x:v>
      </x:c>
      <x:c r="AA26" s="16" t="n">
        <x:v>80.32786885245902</x:v>
      </x:c>
      <x:c r="AB26" s="16" t="n">
        <x:v>85.25073746312684</x:v>
      </x:c>
      <x:c r="AC26" s="16" t="n">
        <x:v>69.32153392330383</x:v>
      </x:c>
      <x:c r="AD26" s="16" t="n">
        <x:v>98.84146341463415</x:v>
      </x:c>
      <x:c r="AE26" s="16" t="n">
        <x:v>83.62022760545076</x:v>
      </x:c>
      <x:c r="AF26" t="str">
        <x:v>우선 검토</x:v>
      </x:c>
      <x:c r="AG26" t="str">
        <x:v>직장수요·수요 강점 / 상권 모멘텀 상대적 약점</x:v>
      </x:c>
    </x:row>
    <x:row r="27">
      <x:c r="A27" t="str">
        <x:v>3001495</x:v>
      </x:c>
      <x:c r="B27" t="str">
        <x:v>잠실 관광특구</x:v>
      </x:c>
      <x:c r="C27" t="str">
        <x:v>관광특구</x:v>
      </x:c>
      <x:c r="D27" t="str">
        <x:v>송파구</x:v>
      </x:c>
      <x:c r="E27" t="str">
        <x:v>방이2동</x:v>
      </x:c>
      <x:c r="F27" t="str">
        <x:v>CS300032</x:v>
      </x:c>
      <x:c r="G27" t="str">
        <x:v>가전제품</x:v>
      </x:c>
      <x:c r="H27" t="n">
        <x:v>9205257850</x:v>
      </x:c>
      <x:c r="I27" t="n">
        <x:v>24681</x:v>
      </x:c>
      <x:c r="J27" t="n">
        <x:v>372969.40358980594</x:v>
      </x:c>
      <x:c r="K27" s="14" t="n">
        <x:v>0.03408993159545992</x:v>
      </x:c>
      <x:c r="L27" s="14" t="n">
        <x:v>0.08324168862116821</x:v>
      </x:c>
      <x:c r="M27" s="14" t="n">
        <x:v>-0.006486947916917396</x:v>
      </x:c>
      <x:c r="N27" t="n">
        <x:v>2</x:v>
      </x:c>
      <x:c r="O27" t="n">
        <x:v>0</x:v>
      </x:c>
      <x:c r="P27" s="14" t="n">
        <x:v>0</x:v>
      </x:c>
      <x:c r="Q27" s="14" t="n">
        <x:v>0</x:v>
      </x:c>
      <x:c r="R27" s="14" t="n">
        <x:v>0</x:v>
      </x:c>
      <x:c r="S27" t="n">
        <x:v>137602</x:v>
      </x:c>
      <x:c r="T27" t="n">
        <x:v>558.7367535430136</x:v>
      </x:c>
      <x:c r="U27" s="14" t="n">
        <x:v>0.5911967495837175</x:v>
      </x:c>
      <x:c r="V27" s="14" t="n">
        <x:v>0.4132963672495062</x:v>
      </x:c>
      <x:c r="W27" s="14" t="n">
        <x:v>0.38184510659850773</x:v>
      </x:c>
      <x:c r="X27" s="14" t="n">
        <x:v>0.4000864309303405</x:v>
      </x:c>
      <x:c r="Y27" s="16" t="n">
        <x:v>94.54545454545455</x:v>
      </x:c>
      <x:c r="Z27" s="16" t="n">
        <x:v>61.224489795918366</x:v>
      </x:c>
      <x:c r="AA27" s="16" t="n">
        <x:v>85.24590163934427</x:v>
      </x:c>
      <x:c r="AB27" s="16" t="n">
        <x:v>99.0909090909091</x:v>
      </x:c>
      <x:c r="AC27" s="16" t="n">
        <x:v>59.09090909090909</x:v>
      </x:c>
      <x:c r="AD27" s="16" t="n">
        <x:v>91.34146341463415</x:v>
      </x:c>
      <x:c r="AE27" s="16" t="n">
        <x:v>83.46249273945337</x:v>
      </x:c>
      <x:c r="AF27" t="str">
        <x:v>우선 검토</x:v>
      </x:c>
      <x:c r="AG27" t="str">
        <x:v>경쟁여건·수요 강점 / 안정성 상대적 약점</x:v>
      </x:c>
    </x:row>
    <x:row r="28">
      <x:c r="A28" t="str">
        <x:v>3120072</x:v>
      </x:c>
      <x:c r="B28" t="str">
        <x:v>성신여대</x:v>
      </x:c>
      <x:c r="C28" t="str">
        <x:v>발달상권</x:v>
      </x:c>
      <x:c r="D28" t="str">
        <x:v>성북구</x:v>
      </x:c>
      <x:c r="E28" t="str">
        <x:v>동선동</x:v>
      </x:c>
      <x:c r="F28" t="str">
        <x:v>CS200024</x:v>
      </x:c>
      <x:c r="G28" t="str">
        <x:v>스포츠클럽</x:v>
      </x:c>
      <x:c r="H28" t="n">
        <x:v>2561135147</x:v>
      </x:c>
      <x:c r="I28" t="n">
        <x:v>5719</x:v>
      </x:c>
      <x:c r="J28" t="n">
        <x:v>447829.19164189545</x:v>
      </x:c>
      <x:c r="K28" s="14" t="n">
        <x:v>0.8004279516350219</x:v>
      </x:c>
      <x:c r="L28" s="14" t="n">
        <x:v>0.03927856170757105</x:v>
      </x:c>
      <x:c r="M28" s="14" t="n">
        <x:v>-0.042593628048716026</x:v>
      </x:c>
      <x:c r="N28" t="n">
        <x:v>16</x:v>
      </x:c>
      <x:c r="O28" t="n">
        <x:v>0</x:v>
      </x:c>
      <x:c r="P28" s="14" t="n">
        <x:v>0</x:v>
      </x:c>
      <x:c r="Q28" s="14" t="n">
        <x:v>0</x:v>
      </x:c>
      <x:c r="R28" s="14" t="n">
        <x:v>0.23076923076923084</x:v>
      </x:c>
      <x:c r="S28" t="n">
        <x:v>1439</x:v>
      </x:c>
      <x:c r="T28" t="n">
        <x:v>72.93979299088633</x:v>
      </x:c>
      <x:c r="U28" s="14" t="n">
        <x:v>0.8958530824457114</x:v>
      </x:c>
      <x:c r="V28" s="14" t="n">
        <x:v>0.44273852370821415</x:v>
      </x:c>
      <x:c r="W28" s="14" t="n">
        <x:v>0.3878837788640913</x:v>
      </x:c>
      <x:c r="X28" s="14" t="n">
        <x:v>0.4701362442393595</x:v>
      </x:c>
      <x:c r="Y28" s="16" t="n">
        <x:v>99.27536231884058</x:v>
      </x:c>
      <x:c r="Z28" s="16" t="n">
        <x:v>93.75</x:v>
      </x:c>
      <x:c r="AA28" s="16" t="n">
        <x:v>75.40983606557377</x:v>
      </x:c>
      <x:c r="AB28" s="16" t="n">
        <x:v>61.95652173913044</x:v>
      </x:c>
      <x:c r="AC28" s="16" t="n">
        <x:v>68.84057971014492</x:v>
      </x:c>
      <x:c r="AD28" s="16" t="n">
        <x:v>48.71951219512195</x:v>
      </x:c>
      <x:c r="AE28" s="16" t="n">
        <x:v>83.42136406307043</x:v>
      </x:c>
      <x:c r="AF28" t="str">
        <x:v>우선 검토</x:v>
      </x:c>
      <x:c r="AG28" t="str">
        <x:v>수요·상권 모멘텀 강점 / 직장수요 상대적 약점</x:v>
      </x:c>
    </x:row>
    <x:row r="29">
      <x:c r="A29" t="str">
        <x:v>3120156</x:v>
      </x:c>
      <x:c r="B29" t="str">
        <x:v>총신대입구역(이수, 총신대)</x:v>
      </x:c>
      <x:c r="C29" t="str">
        <x:v>발달상권</x:v>
      </x:c>
      <x:c r="D29" t="str">
        <x:v>동작구</x:v>
      </x:c>
      <x:c r="E29" t="str">
        <x:v>사당2동</x:v>
      </x:c>
      <x:c r="F29" t="str">
        <x:v>CS300011</x:v>
      </x:c>
      <x:c r="G29" t="str">
        <x:v>일반의류</x:v>
      </x:c>
      <x:c r="H29" t="n">
        <x:v>4486492599</x:v>
      </x:c>
      <x:c r="I29" t="n">
        <x:v>37269</x:v>
      </x:c>
      <x:c r="J29" t="n">
        <x:v>120381.351766884</x:v>
      </x:c>
      <x:c r="K29" s="14" t="n">
        <x:v>0.6719694384625297</x:v>
      </x:c>
      <x:c r="L29" s="14" t="n">
        <x:v>0.06726691045630595</x:v>
      </x:c>
      <x:c r="M29" s="14" t="n">
        <x:v>0.00788849516466894</x:v>
      </x:c>
      <x:c r="N29" t="n">
        <x:v>75</x:v>
      </x:c>
      <x:c r="O29" t="n">
        <x:v>0</x:v>
      </x:c>
      <x:c r="P29" s="14" t="n">
        <x:v>0</x:v>
      </x:c>
      <x:c r="Q29" s="14" t="n">
        <x:v>0.02666666666666667</x:v>
      </x:c>
      <x:c r="R29" s="14" t="n">
        <x:v>-0.2857142857142857</x:v>
      </x:c>
      <x:c r="S29" t="n">
        <x:v>7436</x:v>
      </x:c>
      <x:c r="T29" t="n">
        <x:v>301.0952969044197</x:v>
      </x:c>
      <x:c r="U29" s="14" t="n">
        <x:v>0.7423036718576786</x:v>
      </x:c>
      <x:c r="V29" s="14" t="n">
        <x:v>0.26414771914794816</x:v>
      </x:c>
      <x:c r="W29" s="14" t="n">
        <x:v>0.044262359430674726</x:v>
      </x:c>
      <x:c r="X29" s="14" t="n">
        <x:v>0.7836385745478859</x:v>
      </x:c>
      <x:c r="Y29" s="16" t="n">
        <x:v>93.52179034157832</x:v>
      </x:c>
      <x:c r="Z29" s="16" t="n">
        <x:v>94.82551143200963</x:v>
      </x:c>
      <x:c r="AA29" s="16" t="n">
        <x:v>81.9672131147541</x:v>
      </x:c>
      <x:c r="AB29" s="16" t="n">
        <x:v>43.227326266195526</x:v>
      </x:c>
      <x:c r="AC29" s="16" t="n">
        <x:v>86.33686690223793</x:v>
      </x:c>
      <x:c r="AD29" s="16" t="n">
        <x:v>83.90243902439025</x:v>
      </x:c>
      <x:c r="AE29" s="16" t="n">
        <x:v>83.30571845454008</x:v>
      </x:c>
      <x:c r="AF29" t="str">
        <x:v>우선 검토</x:v>
      </x:c>
      <x:c r="AG29" t="str">
        <x:v>상권 모멘텀·수요 강점 / 경쟁여건 상대적 약점</x:v>
      </x:c>
    </x:row>
    <x:row r="30">
      <x:c r="A30" t="str">
        <x:v>3120036</x:v>
      </x:c>
      <x:c r="B30" t="str">
        <x:v>장충동족발거리(남소영길)</x:v>
      </x:c>
      <x:c r="C30" t="str">
        <x:v>발달상권</x:v>
      </x:c>
      <x:c r="D30" t="str">
        <x:v>중구</x:v>
      </x:c>
      <x:c r="E30" t="str">
        <x:v>장충동</x:v>
      </x:c>
      <x:c r="F30" t="str">
        <x:v>CS100010</x:v>
      </x:c>
      <x:c r="G30" t="str">
        <x:v>커피-음료</x:v>
      </x:c>
      <x:c r="H30" t="n">
        <x:v>1705667584</x:v>
      </x:c>
      <x:c r="I30" t="n">
        <x:v>54239</x:v>
      </x:c>
      <x:c r="J30" t="n">
        <x:v>31447.253526060584</x:v>
      </x:c>
      <x:c r="K30" s="14" t="n">
        <x:v>1.0502995860981055</x:v>
      </x:c>
      <x:c r="L30" s="14" t="n">
        <x:v>-0.00844757257331652</x:v>
      </x:c>
      <x:c r="M30" s="14" t="n">
        <x:v>0.016227780215539944</x:v>
      </x:c>
      <x:c r="N30" t="n">
        <x:v>31</x:v>
      </x:c>
      <x:c r="O30" t="n">
        <x:v>0</x:v>
      </x:c>
      <x:c r="P30" s="14" t="n">
        <x:v>0</x:v>
      </x:c>
      <x:c r="Q30" s="14" t="n">
        <x:v>0.25806451612903225</x:v>
      </x:c>
      <x:c r="R30" s="14" t="n">
        <x:v>-0.03125</x:v>
      </x:c>
      <x:c r="S30" t="n">
        <x:v>1466</x:v>
      </x:c>
      <x:c r="T30" t="n">
        <x:v>166.20938300718805</x:v>
      </x:c>
      <x:c r="U30" s="14" t="n">
        <x:v>0.9583690329428223</x:v>
      </x:c>
      <x:c r="V30" s="14" t="n">
        <x:v>0.8158601641103828</x:v>
      </x:c>
      <x:c r="W30" s="14" t="n">
        <x:v>0.09427506244968305</x:v>
      </x:c>
      <x:c r="X30" s="14" t="n">
        <x:v>0.10888673721784232</x:v>
      </x:c>
      <x:c r="Y30" s="16" t="n">
        <x:v>91.10486891385767</x:v>
      </x:c>
      <x:c r="Z30" s="16" t="n">
        <x:v>99.43074003795067</x:v>
      </x:c>
      <x:c r="AA30" s="16" t="n">
        <x:v>37.704918032786885</x:v>
      </x:c>
      <x:c r="AB30" s="16" t="n">
        <x:v>85.0187265917603</x:v>
      </x:c>
      <x:c r="AC30" s="16" t="n">
        <x:v>93.25842696629213</x:v>
      </x:c>
      <x:c r="AD30" s="16" t="n">
        <x:v>72.5609756097561</x:v>
      </x:c>
      <x:c r="AE30" s="16" t="n">
        <x:v>83.13529029823941</x:v>
      </x:c>
      <x:c r="AF30" t="str">
        <x:v>우선 검토</x:v>
      </x:c>
      <x:c r="AG30" t="str">
        <x:v>상권 모멘텀·안정성 강점 / 서울 업종추세 상대적 약점</x:v>
      </x:c>
    </x:row>
    <x:row r="31">
      <x:c r="A31" t="str">
        <x:v>3120244</x:v>
      </x:c>
      <x:c r="B31" t="str">
        <x:v>암사역</x:v>
      </x:c>
      <x:c r="C31" t="str">
        <x:v>발달상권</x:v>
      </x:c>
      <x:c r="D31" t="str">
        <x:v>강동구</x:v>
      </x:c>
      <x:c r="E31" t="str">
        <x:v>암사2동</x:v>
      </x:c>
      <x:c r="F31" t="str">
        <x:v>CS200006</x:v>
      </x:c>
      <x:c r="G31" t="str">
        <x:v>일반의원</x:v>
      </x:c>
      <x:c r="H31" t="n">
        <x:v>10595712785</x:v>
      </x:c>
      <x:c r="I31" t="n">
        <x:v>279518</x:v>
      </x:c>
      <x:c r="J31" t="n">
        <x:v>37907.085715410096</x:v>
      </x:c>
      <x:c r="K31" s="14" t="n">
        <x:v>0.13405184122919045</x:v>
      </x:c>
      <x:c r="L31" s="14" t="n">
        <x:v>0.09973642051122278</x:v>
      </x:c>
      <x:c r="M31" s="14" t="n">
        <x:v>0.06942273842247415</x:v>
      </x:c>
      <x:c r="N31" t="n">
        <x:v>22</x:v>
      </x:c>
      <x:c r="O31" t="n">
        <x:v>0</x:v>
      </x:c>
      <x:c r="P31" s="14" t="n">
        <x:v>0</x:v>
      </x:c>
      <x:c r="Q31" s="14" t="n">
        <x:v>0</x:v>
      </x:c>
      <x:c r="R31" s="14" t="n">
        <x:v>0.1578947368421053</x:v>
      </x:c>
      <x:c r="S31" t="n">
        <x:v>1399</x:v>
      </x:c>
      <x:c r="T31" t="n">
        <x:v>173.5624340921779</x:v>
      </x:c>
      <x:c r="U31" s="14" t="n">
        <x:v>0.8466488315632462</x:v>
      </x:c>
      <x:c r="V31" s="14" t="n">
        <x:v>0.1939953919768315</x:v>
      </x:c>
      <x:c r="W31" s="14" t="n">
        <x:v>0.23956367698013248</x:v>
      </x:c>
      <x:c r="X31" s="14" t="n">
        <x:v>0.5311187554051844</x:v>
      </x:c>
      <x:c r="Y31" s="16" t="n">
        <x:v>93.81044487427467</x:v>
      </x:c>
      <x:c r="Z31" s="16" t="n">
        <x:v>88.75968992248062</x:v>
      </x:c>
      <x:c r="AA31" s="16" t="n">
        <x:v>90.1639344262295</x:v>
      </x:c>
      <x:c r="AB31" s="16" t="n">
        <x:v>59.689922480620154</x:v>
      </x:c>
      <x:c r="AC31" s="16" t="n">
        <x:v>62.5</x:v>
      </x:c>
      <x:c r="AD31" s="16" t="n">
        <x:v>73.23170731707317</x:v>
      </x:c>
      <x:c r="AE31" s="16" t="n">
        <x:v>82.97525759237335</x:v>
      </x:c>
      <x:c r="AF31" t="str">
        <x:v>우선 검토</x:v>
      </x:c>
      <x:c r="AG31" t="str">
        <x:v>수요·서울 업종추세 강점 / 경쟁여건 상대적 약점</x:v>
      </x:c>
    </x:row>
    <x:row r="32">
      <x:c r="A32" t="str">
        <x:v>3110389</x:v>
      </x:c>
      <x:c r="B32" t="str">
        <x:v>한일병원</x:v>
      </x:c>
      <x:c r="C32" t="str">
        <x:v>골목상권</x:v>
      </x:c>
      <x:c r="D32" t="str">
        <x:v>도봉구</x:v>
      </x:c>
      <x:c r="E32" t="str">
        <x:v>쌍문3동</x:v>
      </x:c>
      <x:c r="F32" t="str">
        <x:v>CS300035</x:v>
      </x:c>
      <x:c r="G32" t="str">
        <x:v>인테리어</x:v>
      </x:c>
      <x:c r="H32" t="n">
        <x:v>5158192832</x:v>
      </x:c>
      <x:c r="I32" t="n">
        <x:v>56198</x:v>
      </x:c>
      <x:c r="J32" t="n">
        <x:v>91786.05701270507</x:v>
      </x:c>
      <x:c r="K32" s="14" t="n">
        <x:v>0.29018861315053424</x:v>
      </x:c>
      <x:c r="L32" s="14" t="n">
        <x:v>0.20213561276420866</x:v>
      </x:c>
      <x:c r="M32" s="14" t="n">
        <x:v>0.044160820891303576</x:v>
      </x:c>
      <x:c r="N32" t="n">
        <x:v>11</x:v>
      </x:c>
      <x:c r="O32" t="n">
        <x:v>0</x:v>
      </x:c>
      <x:c r="P32" s="14" t="n">
        <x:v>0</x:v>
      </x:c>
      <x:c r="Q32" s="14" t="n">
        <x:v>0</x:v>
      </x:c>
      <x:c r="R32" s="14" t="n">
        <x:v>0.10000000000000009</x:v>
      </x:c>
      <x:c r="S32" t="n">
        <x:v>257</x:v>
      </x:c>
      <x:c r="T32" t="n">
        <x:v>48.59141614671961</x:v>
      </x:c>
      <x:c r="U32" s="14" t="n">
        <x:v>0.8341701875328418</x:v>
      </x:c>
      <x:c r="V32" s="14" t="n">
        <x:v>0.12818930050422744</x:v>
      </x:c>
      <x:c r="W32" s="14" t="n">
        <x:v>0.04980213930862211</x:v>
      </x:c>
      <x:c r="X32" s="14" t="n">
        <x:v>0.32985197324239934</x:v>
      </x:c>
      <x:c r="Y32" s="16" t="n">
        <x:v>99.45652173913044</x:v>
      </x:c>
      <x:c r="Z32" s="16" t="n">
        <x:v>75.79617834394904</x:v>
      </x:c>
      <x:c r="AA32" s="16" t="n">
        <x:v>98.36065573770492</x:v>
      </x:c>
      <x:c r="AB32" s="16" t="n">
        <x:v>69.29347826086956</x:v>
      </x:c>
      <x:c r="AC32" s="16" t="n">
        <x:v>60.32608695652174</x:v>
      </x:c>
      <x:c r="AD32" s="16" t="n">
        <x:v>34.69512195121951</x:v>
      </x:c>
      <x:c r="AE32" s="16" t="n">
        <x:v>82.88450317048478</x:v>
      </x:c>
      <x:c r="AF32" t="str">
        <x:v>우선 검토</x:v>
      </x:c>
      <x:c r="AG32" t="str">
        <x:v>수요·서울 업종추세 강점 / 직장수요 상대적 약점</x:v>
      </x:c>
    </x:row>
    <x:row r="33">
      <x:c r="A33" t="str">
        <x:v>3110302</x:v>
      </x:c>
      <x:c r="B33" t="str">
        <x:v>보문역 8번</x:v>
      </x:c>
      <x:c r="C33" t="str">
        <x:v>골목상권</x:v>
      </x:c>
      <x:c r="D33" t="str">
        <x:v>성북구</x:v>
      </x:c>
      <x:c r="E33" t="str">
        <x:v>보문동</x:v>
      </x:c>
      <x:c r="F33" t="str">
        <x:v>CS200003</x:v>
      </x:c>
      <x:c r="G33" t="str">
        <x:v>예술학원</x:v>
      </x:c>
      <x:c r="H33" t="n">
        <x:v>346397308</x:v>
      </x:c>
      <x:c r="I33" t="n">
        <x:v>1151</x:v>
      </x:c>
      <x:c r="J33" t="n">
        <x:v>300953.3518679409</x:v>
      </x:c>
      <x:c r="K33" s="14" t="n">
        <x:v>1.3404312327047774</x:v>
      </x:c>
      <x:c r="L33" s="14" t="n">
        <x:v>0.09364146198394163</x:v>
      </x:c>
      <x:c r="M33" s="14" t="n">
        <x:v>0.053788091189524545</x:v>
      </x:c>
      <x:c r="N33" t="n">
        <x:v>8</x:v>
      </x:c>
      <x:c r="O33" t="n">
        <x:v>1</x:v>
      </x:c>
      <x:c r="P33" s="14" t="n">
        <x:v>0.07692307692307693</x:v>
      </x:c>
      <x:c r="Q33" s="14" t="n">
        <x:v>0</x:v>
      </x:c>
      <x:c r="R33" s="14" t="n">
        <x:v>0.6000000000000001</x:v>
      </x:c>
      <x:c r="S33" t="n">
        <x:v>1606</x:v>
      </x:c>
      <x:c r="T33" t="n">
        <x:v>237.81318486051057</x:v>
      </x:c>
      <x:c r="U33" s="14" t="n">
        <x:v>1</x:v>
      </x:c>
      <x:c r="V33" s="14" t="n">
        <x:v>0.5723839891965904</x:v>
      </x:c>
      <x:c r="W33" s="14" t="n">
        <x:v>0.5577757116980828</x:v>
      </x:c>
      <x:c r="X33" s="14" t="n">
        <x:v>0.3182322912278521</x:v>
      </x:c>
      <x:c r="Y33" s="16" t="n">
        <x:v>87.25099601593625</x:v>
      </x:c>
      <x:c r="Z33" s="16" t="n">
        <x:v>99.18200408997956</x:v>
      </x:c>
      <x:c r="AA33" s="16" t="n">
        <x:v>88.52459016393442</x:v>
      </x:c>
      <x:c r="AB33" s="16" t="n">
        <x:v>97.01195219123505</x:v>
      </x:c>
      <x:c r="AC33" s="16" t="n">
        <x:v>5.378486055776889</x:v>
      </x:c>
      <x:c r="AD33" s="16" t="n">
        <x:v>79.63414634146342</x:v>
      </x:c>
      <x:c r="AE33" s="16" t="n">
        <x:v>82.7242866994999</x:v>
      </x:c>
      <x:c r="AF33" t="str">
        <x:v>우선 검토</x:v>
      </x:c>
      <x:c r="AG33" t="str">
        <x:v>상권 모멘텀·경쟁여건 강점 / 안정성 상대적 약점</x:v>
      </x:c>
    </x:row>
    <x:row r="34">
      <x:c r="A34" t="str">
        <x:v>3120178</x:v>
      </x:c>
      <x:c r="B34" t="str">
        <x:v>신사역</x:v>
      </x:c>
      <x:c r="C34" t="str">
        <x:v>발달상권</x:v>
      </x:c>
      <x:c r="D34" t="str">
        <x:v>서초구</x:v>
      </x:c>
      <x:c r="E34" t="str">
        <x:v>잠원동</x:v>
      </x:c>
      <x:c r="F34" t="str">
        <x:v>CS200016</x:v>
      </x:c>
      <x:c r="G34" t="str">
        <x:v>당구장</x:v>
      </x:c>
      <x:c r="H34" t="n">
        <x:v>108142765</x:v>
      </x:c>
      <x:c r="I34" t="n">
        <x:v>1160</x:v>
      </x:c>
      <x:c r="J34" t="n">
        <x:v>93226.52155172414</x:v>
      </x:c>
      <x:c r="K34" s="14" t="n">
        <x:v>0.16962954063715663</x:v>
      </x:c>
      <x:c r="L34" s="14" t="n">
        <x:v>0.052763611334009974</x:v>
      </x:c>
      <x:c r="M34" s="14" t="n">
        <x:v>0.07602781601598463</x:v>
      </x:c>
      <x:c r="N34" t="n">
        <x:v>7</x:v>
      </x:c>
      <x:c r="O34" t="n">
        <x:v>0</x:v>
      </x:c>
      <x:c r="P34" s="14" t="n">
        <x:v>0</x:v>
      </x:c>
      <x:c r="Q34" s="14" t="n">
        <x:v>0.14285714285714285</x:v>
      </x:c>
      <x:c r="R34" s="14" t="n">
        <x:v>-0.2222222222222222</x:v>
      </x:c>
      <x:c r="S34" t="n">
        <x:v>19438</x:v>
      </x:c>
      <x:c r="T34" t="n">
        <x:v>550.5486226371273</x:v>
      </x:c>
      <x:c r="U34" s="14" t="n">
        <x:v>0.6693901066798135</x:v>
      </x:c>
      <x:c r="V34" s="14" t="n">
        <x:v>0.653067757237389</x:v>
      </x:c>
      <x:c r="W34" s="14" t="n">
        <x:v>0.5964492307922772</x:v>
      </x:c>
      <x:c r="X34" s="14" t="n">
        <x:v>0.23133505047702452</x:v>
      </x:c>
      <x:c r="Y34" s="16" t="n">
        <x:v>81.41592920353982</x:v>
      </x:c>
      <x:c r="Z34" s="16" t="n">
        <x:v>88.58024691358025</x:v>
      </x:c>
      <x:c r="AA34" s="16" t="n">
        <x:v>80.32786885245902</x:v>
      </x:c>
      <x:c r="AB34" s="16" t="n">
        <x:v>85.25073746312684</x:v>
      </x:c>
      <x:c r="AC34" s="16" t="n">
        <x:v>69.32153392330383</x:v>
      </x:c>
      <x:c r="AD34" s="16" t="n">
        <x:v>91.03658536585365</x:v>
      </x:c>
      <x:c r="AE34" s="16" t="n">
        <x:v>82.53239821191592</x:v>
      </x:c>
      <x:c r="AF34" t="str">
        <x:v>우선 검토</x:v>
      </x:c>
      <x:c r="AG34" t="str">
        <x:v>직장수요·상권 모멘텀 강점 / 안정성 상대적 약점</x:v>
      </x:c>
    </x:row>
    <x:row r="35">
      <x:c r="A35" t="str">
        <x:v>3130167</x:v>
      </x:c>
      <x:c r="B35" t="str">
        <x:v>연신내상점가(연빛거리)</x:v>
      </x:c>
      <x:c r="C35" t="str">
        <x:v>전통시장</x:v>
      </x:c>
      <x:c r="D35" t="str">
        <x:v>은평구</x:v>
      </x:c>
      <x:c r="E35" t="str">
        <x:v>갈현1동</x:v>
      </x:c>
      <x:c r="F35" t="str">
        <x:v>CS100003</x:v>
      </x:c>
      <x:c r="G35" t="str">
        <x:v>일식음식점</x:v>
      </x:c>
      <x:c r="H35" t="n">
        <x:v>1960400163</x:v>
      </x:c>
      <x:c r="I35" t="n">
        <x:v>40805</x:v>
      </x:c>
      <x:c r="J35" t="n">
        <x:v>48043.13596372993</x:v>
      </x:c>
      <x:c r="K35" s="14" t="n">
        <x:v>0.26835026806145157</x:v>
      </x:c>
      <x:c r="L35" s="14" t="n">
        <x:v>0.048235937606500245</x:v>
      </x:c>
      <x:c r="M35" s="14" t="n">
        <x:v>-0.004288267098710441</x:v>
      </x:c>
      <x:c r="N35" t="n">
        <x:v>19</x:v>
      </x:c>
      <x:c r="O35" t="n">
        <x:v>0</x:v>
      </x:c>
      <x:c r="P35" s="14" t="n">
        <x:v>0</x:v>
      </x:c>
      <x:c r="Q35" s="14" t="n">
        <x:v>0.10526315789473684</x:v>
      </x:c>
      <x:c r="R35" s="14" t="n">
        <x:v>-0.09523809523809523</x:v>
      </x:c>
      <x:c r="S35" t="n">
        <x:v>1492</x:v>
      </x:c>
      <x:c r="T35" t="n">
        <x:v>148.96761052757697</x:v>
      </x:c>
      <x:c r="U35" s="14" t="n">
        <x:v>0.6640525845538812</x:v>
      </x:c>
      <x:c r="V35" s="14" t="n">
        <x:v>0.6393588006450294</x:v>
      </x:c>
      <x:c r="W35" s="14" t="n">
        <x:v>0.5831743674467343</x:v>
      </x:c>
      <x:c r="X35" s="14" t="n">
        <x:v>0.3760188046872755</x:v>
      </x:c>
      <x:c r="Y35" s="16" t="n">
        <x:v>88.98809523809524</x:v>
      </x:c>
      <x:c r="Z35" s="16" t="n">
        <x:v>90.12345679012346</x:v>
      </x:c>
      <x:c r="AA35" s="16" t="n">
        <x:v>78.68852459016394</x:v>
      </x:c>
      <x:c r="AB35" s="16" t="n">
        <x:v>65.92261904761905</x:v>
      </x:c>
      <x:c r="AC35" s="16" t="n">
        <x:v>81.10119047619048</x:v>
      </x:c>
      <x:c r="AD35" s="16" t="n">
        <x:v>70</x:v>
      </x:c>
      <x:c r="AE35" s="16" t="n">
        <x:v>82.47231528464452</x:v>
      </x:c>
      <x:c r="AF35" t="str">
        <x:v>우선 검토</x:v>
      </x:c>
      <x:c r="AG35" t="str">
        <x:v>상권 모멘텀·수요 강점 / 경쟁여건 상대적 약점</x:v>
      </x:c>
    </x:row>
    <x:row r="36">
      <x:c r="A36" t="str">
        <x:v>3130195</x:v>
      </x:c>
      <x:c r="B36" t="str">
        <x:v>도화동 상점가</x:v>
      </x:c>
      <x:c r="C36" t="str">
        <x:v>전통시장</x:v>
      </x:c>
      <x:c r="D36" t="str">
        <x:v>마포구</x:v>
      </x:c>
      <x:c r="E36" t="str">
        <x:v>도화동</x:v>
      </x:c>
      <x:c r="F36" t="str">
        <x:v>CS100003</x:v>
      </x:c>
      <x:c r="G36" t="str">
        <x:v>일식음식점</x:v>
      </x:c>
      <x:c r="H36" t="n">
        <x:v>1995107523</x:v>
      </x:c>
      <x:c r="I36" t="n">
        <x:v>49920</x:v>
      </x:c>
      <x:c r="J36" t="n">
        <x:v>39966.096213942306</x:v>
      </x:c>
      <x:c r="K36" s="14" t="n">
        <x:v>0.30345270463413265</x:v>
      </x:c>
      <x:c r="L36" s="14" t="n">
        <x:v>0.048235937606500245</x:v>
      </x:c>
      <x:c r="M36" s="14" t="n">
        <x:v>-0.004288267098710441</x:v>
      </x:c>
      <x:c r="N36" t="n">
        <x:v>22</x:v>
      </x:c>
      <x:c r="O36" t="n">
        <x:v>0</x:v>
      </x:c>
      <x:c r="P36" s="14" t="n">
        <x:v>0</x:v>
      </x:c>
      <x:c r="Q36" s="14" t="n">
        <x:v>0.22727272727272727</x:v>
      </x:c>
      <x:c r="R36" s="14" t="n">
        <x:v>0.1578947368421053</x:v>
      </x:c>
      <x:c r="S36" t="n">
        <x:v>2623</x:v>
      </x:c>
      <x:c r="T36" t="n">
        <x:v>257.4597565763644</x:v>
      </x:c>
      <x:c r="U36" s="14" t="n">
        <x:v>0.7511703498298121</x:v>
      </x:c>
      <x:c r="V36" s="14" t="n">
        <x:v>0.5941958527715901</x:v>
      </x:c>
      <x:c r="W36" s="14" t="n">
        <x:v>0.4052675841671918</x:v>
      </x:c>
      <x:c r="X36" s="14" t="n">
        <x:v>0.3204368609861635</x:v>
      </x:c>
      <x:c r="Y36" s="16" t="n">
        <x:v>89.88095238095238</x:v>
      </x:c>
      <x:c r="Z36" s="16" t="n">
        <x:v>91.04938271604938</x:v>
      </x:c>
      <x:c r="AA36" s="16" t="n">
        <x:v>78.68852459016394</x:v>
      </x:c>
      <x:c r="AB36" s="16" t="n">
        <x:v>58.779761904761905</x:v>
      </x:c>
      <x:c r="AC36" s="16" t="n">
        <x:v>81.10119047619048</x:v>
      </x:c>
      <x:c r="AD36" s="16" t="n">
        <x:v>81.09756097560975</x:v>
      </x:c>
      <x:c r="AE36" s="16" t="n">
        <x:v>82.45344994718161</x:v>
      </x:c>
      <x:c r="AF36" t="str">
        <x:v>우선 검토</x:v>
      </x:c>
      <x:c r="AG36" t="str">
        <x:v>상권 모멘텀·수요 강점 / 경쟁여건 상대적 약점</x:v>
      </x:c>
    </x:row>
    <x:row r="37">
      <x:c r="A37" t="str">
        <x:v>3120038</x:v>
      </x:c>
      <x:c r="B37" t="str">
        <x:v>약수역</x:v>
      </x:c>
      <x:c r="C37" t="str">
        <x:v>발달상권</x:v>
      </x:c>
      <x:c r="D37" t="str">
        <x:v>중구</x:v>
      </x:c>
      <x:c r="E37" t="str">
        <x:v>다산동</x:v>
      </x:c>
      <x:c r="F37" t="str">
        <x:v>CS200029</x:v>
      </x:c>
      <x:c r="G37" t="str">
        <x:v>네일숍</x:v>
      </x:c>
      <x:c r="H37" t="n">
        <x:v>190673992</x:v>
      </x:c>
      <x:c r="I37" t="n">
        <x:v>193</x:v>
      </x:c>
      <x:c r="J37" t="n">
        <x:v>987948.1450777202</x:v>
      </x:c>
      <x:c r="K37" s="14" t="n">
        <x:v>0.9320190939269897</x:v>
      </x:c>
      <x:c r="L37" s="14" t="n">
        <x:v>-0.03823077167694788</x:v>
      </x:c>
      <x:c r="M37" s="14" t="n">
        <x:v>-0.06057133576425</x:v>
      </x:c>
      <x:c r="N37" t="n">
        <x:v>1</x:v>
      </x:c>
      <x:c r="O37" t="n">
        <x:v>0</x:v>
      </x:c>
      <x:c r="P37" s="14" t="n">
        <x:v>0</x:v>
      </x:c>
      <x:c r="Q37" s="14" t="n">
        <x:v>0</x:v>
      </x:c>
      <x:c r="R37" s="14" t="n">
        <x:v>-0.5</x:v>
      </x:c>
      <x:c r="S37" t="n">
        <x:v>8665</x:v>
      </x:c>
      <x:c r="T37" t="n">
        <x:v>633.2351630041583</x:v>
      </x:c>
      <x:c r="U37" s="14" t="n">
        <x:v>0.9569786685957674</x:v>
      </x:c>
      <x:c r="V37" s="14" t="n">
        <x:v>0.2932654181803673</x:v>
      </x:c>
      <x:c r="W37" s="14" t="n">
        <x:v>0.9914256843167158</x:v>
      </x:c>
      <x:c r="X37" s="14" t="n">
        <x:v>0.9987219179844936</x:v>
      </x:c>
      <x:c r="Y37" s="16" t="n">
        <x:v>92.65306122448979</x:v>
      </x:c>
      <x:c r="Z37" s="16" t="n">
        <x:v>98.7551867219917</x:v>
      </x:c>
      <x:c r="AA37" s="16" t="n">
        <x:v>26.229508196721312</x:v>
      </x:c>
      <x:c r="AB37" s="16" t="n">
        <x:v>100</x:v>
      </x:c>
      <x:c r="AC37" s="16" t="n">
        <x:v>66.73469387755102</x:v>
      </x:c>
      <x:c r="AD37" s="16" t="n">
        <x:v>93.23170731707317</x:v>
      </x:c>
      <x:c r="AE37" s="16" t="n">
        <x:v>82.44908975608672</x:v>
      </x:c>
      <x:c r="AF37" t="str">
        <x:v>우선 검토</x:v>
      </x:c>
      <x:c r="AG37" t="str">
        <x:v>경쟁여건·상권 모멘텀 강점 / 서울 업종추세 상대적 약점</x:v>
      </x:c>
    </x:row>
    <x:row r="38">
      <x:c r="A38" t="str">
        <x:v>3001492</x:v>
      </x:c>
      <x:c r="B38" t="str">
        <x:v>명동 남대문 북창동 다동 무교동 관광특구</x:v>
      </x:c>
      <x:c r="C38" t="str">
        <x:v>관광특구</x:v>
      </x:c>
      <x:c r="D38" t="str">
        <x:v>중구</x:v>
      </x:c>
      <x:c r="E38" t="str">
        <x:v>소공동</x:v>
      </x:c>
      <x:c r="F38" t="str">
        <x:v>CS300004</x:v>
      </x:c>
      <x:c r="G38" t="str">
        <x:v>핸드폰</x:v>
      </x:c>
      <x:c r="H38" t="n">
        <x:v>2228378788</x:v>
      </x:c>
      <x:c r="I38" t="n">
        <x:v>158889</x:v>
      </x:c>
      <x:c r="J38" t="n">
        <x:v>14024.751795278466</x:v>
      </x:c>
      <x:c r="K38" s="14" t="n">
        <x:v>1.2147159059702446</x:v>
      </x:c>
      <x:c r="L38" s="14" t="n">
        <x:v>0.021417847123978317</x:v>
      </x:c>
      <x:c r="M38" s="14" t="n">
        <x:v>-0.06496332404204874</x:v>
      </x:c>
      <x:c r="N38" t="n">
        <x:v>11</x:v>
      </x:c>
      <x:c r="O38" t="n">
        <x:v>0</x:v>
      </x:c>
      <x:c r="P38" s="14" t="n">
        <x:v>0</x:v>
      </x:c>
      <x:c r="Q38" s="14" t="n">
        <x:v>0</x:v>
      </x:c>
      <x:c r="R38" s="14" t="n">
        <x:v>-0.08333333333333337</x:v>
      </x:c>
      <x:c r="S38" t="n">
        <x:v>199667</x:v>
      </x:c>
      <x:c r="T38" t="n">
        <x:v>2029.9242185482574</x:v>
      </x:c>
      <x:c r="U38" s="14" t="n">
        <x:v>0.982883295602435</x:v>
      </x:c>
      <x:c r="V38" s="14" t="n">
        <x:v>0.8809350760163491</x:v>
      </x:c>
      <x:c r="W38" s="14" t="n">
        <x:v>0.569936163833202</x:v>
      </x:c>
      <x:c r="X38" s="14" t="n">
        <x:v>0.3522600278853489</x:v>
      </x:c>
      <x:c r="Y38" s="16" t="n">
        <x:v>94.82758620689656</x:v>
      </x:c>
      <x:c r="Z38" s="16" t="n">
        <x:v>90.85365853658537</x:v>
      </x:c>
      <x:c r="AA38" s="16" t="n">
        <x:v>55.73770491803279</x:v>
      </x:c>
      <x:c r="AB38" s="16" t="n">
        <x:v>78.16091954022988</x:v>
      </x:c>
      <x:c r="AC38" s="16" t="n">
        <x:v>60.3448275862069</x:v>
      </x:c>
      <x:c r="AD38" s="16" t="n">
        <x:v>98.84146341463415</x:v>
      </x:c>
      <x:c r="AE38" s="16" t="n">
        <x:v>82.42173647782266</x:v>
      </x:c>
      <x:c r="AF38" t="str">
        <x:v>우선 검토</x:v>
      </x:c>
      <x:c r="AG38" t="str">
        <x:v>직장수요·수요 강점 / 서울 업종추세 상대적 약점</x:v>
      </x:c>
    </x:row>
    <x:row r="39">
      <x:c r="A39" t="str">
        <x:v>3130153</x:v>
      </x:c>
      <x:c r="B39" t="str">
        <x:v>창동역상점가</x:v>
      </x:c>
      <x:c r="C39" t="str">
        <x:v>전통시장</x:v>
      </x:c>
      <x:c r="D39" t="str">
        <x:v>도봉구</x:v>
      </x:c>
      <x:c r="E39" t="str">
        <x:v>창4동</x:v>
      </x:c>
      <x:c r="F39" t="str">
        <x:v>CS200030</x:v>
      </x:c>
      <x:c r="G39" t="str">
        <x:v>피부관리실</x:v>
      </x:c>
      <x:c r="H39" t="n">
        <x:v>217752166</x:v>
      </x:c>
      <x:c r="I39" t="n">
        <x:v>2048</x:v>
      </x:c>
      <x:c r="J39" t="n">
        <x:v>106324.2998046875</x:v>
      </x:c>
      <x:c r="K39" s="14" t="n">
        <x:v>0.31777696359214214</x:v>
      </x:c>
      <x:c r="L39" s="14" t="n">
        <x:v>0.11857168683779085</x:v>
      </x:c>
      <x:c r="M39" s="14" t="n">
        <x:v>0.0314283578178467</x:v>
      </x:c>
      <x:c r="N39" t="n">
        <x:v>21</x:v>
      </x:c>
      <x:c r="O39" t="n">
        <x:v>0</x:v>
      </x:c>
      <x:c r="P39" s="14" t="n">
        <x:v>0</x:v>
      </x:c>
      <x:c r="Q39" s="14" t="n">
        <x:v>0</x:v>
      </x:c>
      <x:c r="R39" s="14" t="n">
        <x:v>1.625</x:v>
      </x:c>
      <x:c r="S39" t="n">
        <x:v>694</x:v>
      </x:c>
      <x:c r="T39" t="n">
        <x:v>206.37563934816225</x:v>
      </x:c>
      <x:c r="U39" s="14" t="n">
        <x:v>0.5744288991366451</x:v>
      </x:c>
      <x:c r="V39" s="14" t="n">
        <x:v>0.3561583355271883</x:v>
      </x:c>
      <x:c r="W39" s="14" t="n">
        <x:v>0.22338738527174973</x:v>
      </x:c>
      <x:c r="X39" s="14" t="n">
        <x:v>0.0683376623679601</x:v>
      </x:c>
      <x:c r="Y39" s="16" t="n">
        <x:v>85.35980148883375</x:v>
      </x:c>
      <x:c r="Z39" s="16" t="n">
        <x:v>83.55437665782493</x:v>
      </x:c>
      <x:c r="AA39" s="16" t="n">
        <x:v>91.80327868852459</x:v>
      </x:c>
      <x:c r="AB39" s="16" t="n">
        <x:v>68.61042183622828</x:v>
      </x:c>
      <x:c r="AC39" s="16" t="n">
        <x:v>79.15632754342431</x:v>
      </x:c>
      <x:c r="AD39" s="16" t="n">
        <x:v>76.95121951219512</x:v>
      </x:c>
      <x:c r="AE39" s="16" t="n">
        <x:v>82.4120546613219</x:v>
      </x:c>
      <x:c r="AF39" t="str">
        <x:v>우선 검토</x:v>
      </x:c>
      <x:c r="AG39" t="str">
        <x:v>서울 업종추세·수요 강점 / 경쟁여건 상대적 약점</x:v>
      </x:c>
    </x:row>
    <x:row r="40">
      <x:c r="A40" t="str">
        <x:v>3120125</x:v>
      </x:c>
      <x:c r="B40" t="str">
        <x:v>구로역</x:v>
      </x:c>
      <x:c r="C40" t="str">
        <x:v>발달상권</x:v>
      </x:c>
      <x:c r="D40" t="str">
        <x:v>구로구</x:v>
      </x:c>
      <x:c r="E40" t="str">
        <x:v>구로2동</x:v>
      </x:c>
      <x:c r="F40" t="str">
        <x:v>CS200024</x:v>
      </x:c>
      <x:c r="G40" t="str">
        <x:v>스포츠클럽</x:v>
      </x:c>
      <x:c r="H40" t="n">
        <x:v>369249246</x:v>
      </x:c>
      <x:c r="I40" t="n">
        <x:v>1010</x:v>
      </x:c>
      <x:c r="J40" t="n">
        <x:v>365593.3128712871</x:v>
      </x:c>
      <x:c r="K40" s="14" t="n">
        <x:v>0.9993695990107705</x:v>
      </x:c>
      <x:c r="L40" s="14" t="n">
        <x:v>0.03927856170757105</x:v>
      </x:c>
      <x:c r="M40" s="14" t="n">
        <x:v>-0.042593628048716026</x:v>
      </x:c>
      <x:c r="N40" t="n">
        <x:v>8</x:v>
      </x:c>
      <x:c r="O40" t="n">
        <x:v>0</x:v>
      </x:c>
      <x:c r="P40" s="14" t="n">
        <x:v>0</x:v>
      </x:c>
      <x:c r="Q40" s="14" t="n">
        <x:v>0</x:v>
      </x:c>
      <x:c r="R40" s="14" t="n">
        <x:v>0.6000000000000001</x:v>
      </x:c>
      <x:c r="S40" t="n">
        <x:v>12431</x:v>
      </x:c>
      <x:c r="T40" t="n">
        <x:v>189.05917547629804</x:v>
      </x:c>
      <x:c r="U40" s="14" t="n">
        <x:v>0.8475909277821518</x:v>
      </x:c>
      <x:c r="V40" s="14" t="n">
        <x:v>0.5272757550871208</x:v>
      </x:c>
      <x:c r="W40" s="14" t="n">
        <x:v>0.5616840122132571</x:v>
      </x:c>
      <x:c r="X40" s="14" t="n">
        <x:v>0.33136303005477225</x:v>
      </x:c>
      <x:c r="Y40" s="16" t="n">
        <x:v>81.15942028985508</x:v>
      </x:c>
      <x:c r="Z40" s="16" t="n">
        <x:v>95.08928571428571</x:v>
      </x:c>
      <x:c r="AA40" s="16" t="n">
        <x:v>75.40983606557377</x:v>
      </x:c>
      <x:c r="AB40" s="16" t="n">
        <x:v>86.95652173913044</x:v>
      </x:c>
      <x:c r="AC40" s="16" t="n">
        <x:v>68.84057971014492</x:v>
      </x:c>
      <x:c r="AD40" s="16" t="n">
        <x:v>74.63414634146342</x:v>
      </x:c>
      <x:c r="AE40" s="16" t="n">
        <x:v>82.3943732030997</x:v>
      </x:c>
      <x:c r="AF40" t="str">
        <x:v>우선 검토</x:v>
      </x:c>
      <x:c r="AG40" t="str">
        <x:v>상권 모멘텀·경쟁여건 강점 / 안정성 상대적 약점</x:v>
      </x:c>
    </x:row>
    <x:row r="41">
      <x:c r="A41" t="str">
        <x:v>3120179</x:v>
      </x:c>
      <x:c r="B41" t="str">
        <x:v>양재역</x:v>
      </x:c>
      <x:c r="C41" t="str">
        <x:v>발달상권</x:v>
      </x:c>
      <x:c r="D41" t="str">
        <x:v>서초구</x:v>
      </x:c>
      <x:c r="E41" t="str">
        <x:v>도곡1동</x:v>
      </x:c>
      <x:c r="F41" t="str">
        <x:v>CS200037</x:v>
      </x:c>
      <x:c r="G41" t="str">
        <x:v>노래방</x:v>
      </x:c>
      <x:c r="H41" t="n">
        <x:v>956557379</x:v>
      </x:c>
      <x:c r="I41" t="n">
        <x:v>10333</x:v>
      </x:c>
      <x:c r="J41" t="n">
        <x:v>92573.05516306977</x:v>
      </x:c>
      <x:c r="K41" s="14" t="n">
        <x:v>0.15758732082684634</x:v>
      </x:c>
      <x:c r="L41" s="14" t="n">
        <x:v>-0.038104861974415316</x:v>
      </x:c>
      <x:c r="M41" s="14" t="n">
        <x:v>0.05972019768270753</x:v>
      </x:c>
      <x:c r="N41" t="n">
        <x:v>2</x:v>
      </x:c>
      <x:c r="O41" t="n">
        <x:v>0</x:v>
      </x:c>
      <x:c r="P41" s="14" t="n">
        <x:v>0</x:v>
      </x:c>
      <x:c r="Q41" s="14" t="n">
        <x:v>0</x:v>
      </x:c>
      <x:c r="R41" s="14" t="n">
        <x:v>-0.6</x:v>
      </x:c>
      <x:c r="S41" t="n">
        <x:v>27837</x:v>
      </x:c>
      <x:c r="T41" t="n">
        <x:v>798.9839411030267</x:v>
      </x:c>
      <x:c r="U41" s="14" t="n">
        <x:v>0.7441485264001084</x:v>
      </x:c>
      <x:c r="V41" s="14" t="n">
        <x:v>0.537458203017009</x:v>
      </x:c>
      <x:c r="W41" s="14" t="n">
        <x:v>0.11523971318400127</x:v>
      </x:c>
      <x:c r="X41" s="14" t="n">
        <x:v>0.08012891090770626</x:v>
      </x:c>
      <x:c r="Y41" s="16" t="n">
        <x:v>96.81274900398407</x:v>
      </x:c>
      <x:c r="Z41" s="16" t="n">
        <x:v>86.8</x:v>
      </x:c>
      <x:c r="AA41" s="16" t="n">
        <x:v>27.868852459016395</x:v>
      </x:c>
      <x:c r="AB41" s="16" t="n">
        <x:v>99.30278884462152</x:v>
      </x:c>
      <x:c r="AC41" s="16" t="n">
        <x:v>72.11155378486056</x:v>
      </x:c>
      <x:c r="AD41" s="16" t="n">
        <x:v>95</x:v>
      </x:c>
      <x:c r="AE41" s="16" t="n">
        <x:v>82.28136372542616</x:v>
      </x:c>
      <x:c r="AF41" t="str">
        <x:v>우선 검토</x:v>
      </x:c>
      <x:c r="AG41" t="str">
        <x:v>경쟁여건·수요 강점 / 서울 업종추세 상대적 약점</x:v>
      </x:c>
    </x:row>
    <x:row r="42">
      <x:c r="A42" t="str">
        <x:v>3110791</x:v>
      </x:c>
      <x:c r="B42" t="str">
        <x:v>신풍역 3번</x:v>
      </x:c>
      <x:c r="C42" t="str">
        <x:v>골목상권</x:v>
      </x:c>
      <x:c r="D42" t="str">
        <x:v>영등포구</x:v>
      </x:c>
      <x:c r="E42" t="str">
        <x:v>신길5동</x:v>
      </x:c>
      <x:c r="F42" t="str">
        <x:v>CS200003</x:v>
      </x:c>
      <x:c r="G42" t="str">
        <x:v>예술학원</x:v>
      </x:c>
      <x:c r="H42" t="n">
        <x:v>1072456300</x:v>
      </x:c>
      <x:c r="I42" t="n">
        <x:v>3525</x:v>
      </x:c>
      <x:c r="J42" t="n">
        <x:v>304242.9219858156</x:v>
      </x:c>
      <x:c r="K42" s="14" t="n">
        <x:v>0.05821284317041231</x:v>
      </x:c>
      <x:c r="L42" s="14" t="n">
        <x:v>0.09364146198394163</x:v>
      </x:c>
      <x:c r="M42" s="14" t="n">
        <x:v>0.053788091189524545</x:v>
      </x:c>
      <x:c r="N42" t="n">
        <x:v>8</x:v>
      </x:c>
      <x:c r="O42" t="n">
        <x:v>0</x:v>
      </x:c>
      <x:c r="P42" s="14" t="n">
        <x:v>0</x:v>
      </x:c>
      <x:c r="Q42" s="14" t="n">
        <x:v>0.125</x:v>
      </x:c>
      <x:c r="R42" s="14" t="n">
        <x:v>0.1428571428571428</x:v>
      </x:c>
      <x:c r="S42" t="n">
        <x:v>117</x:v>
      </x:c>
      <x:c r="T42" t="n">
        <x:v>53.924505692031154</x:v>
      </x:c>
      <x:c r="U42" s="14" t="n">
        <x:v>0.6801073927208037</x:v>
      </x:c>
      <x:c r="V42" s="14" t="n">
        <x:v>0.2974993890193941</x:v>
      </x:c>
      <x:c r="W42" s="14" t="n">
        <x:v>0.24508900176165685</x:v>
      </x:c>
      <x:c r="X42" s="14" t="n">
        <x:v>0.5149746735601255</x:v>
      </x:c>
      <x:c r="Y42" s="16" t="n">
        <x:v>96.21513944223108</x:v>
      </x:c>
      <x:c r="Z42" s="16" t="n">
        <x:v>57.668711656441715</x:v>
      </x:c>
      <x:c r="AA42" s="16" t="n">
        <x:v>88.52459016393442</x:v>
      </x:c>
      <x:c r="AB42" s="16" t="n">
        <x:v>97.01195219123505</x:v>
      </x:c>
      <x:c r="AC42" s="16" t="n">
        <x:v>73.20717131474103</x:v>
      </x:c>
      <x:c r="AD42" s="16" t="n">
        <x:v>38.41463414634146</x:v>
      </x:c>
      <x:c r="AE42" s="16" t="n">
        <x:v>82.28097132813582</x:v>
      </x:c>
      <x:c r="AF42" t="str">
        <x:v>우선 검토</x:v>
      </x:c>
      <x:c r="AG42" t="str">
        <x:v>경쟁여건·수요 강점 / 직장수요 상대적 약점</x:v>
      </x:c>
    </x:row>
    <x:row r="43">
      <x:c r="A43" t="str">
        <x:v>3111085</x:v>
      </x:c>
      <x:c r="B43" t="str">
        <x:v>묘곡초등학교(고덕아이파크아파트)</x:v>
      </x:c>
      <x:c r="C43" t="str">
        <x:v>골목상권</x:v>
      </x:c>
      <x:c r="D43" t="str">
        <x:v>강동구</x:v>
      </x:c>
      <x:c r="E43" t="str">
        <x:v>고덕1동</x:v>
      </x:c>
      <x:c r="F43" t="str">
        <x:v>CS200003</x:v>
      </x:c>
      <x:c r="G43" t="str">
        <x:v>예술학원</x:v>
      </x:c>
      <x:c r="H43" t="n">
        <x:v>1101373636</x:v>
      </x:c>
      <x:c r="I43" t="n">
        <x:v>4182</x:v>
      </x:c>
      <x:c r="J43" t="n">
        <x:v>263360.50597800093</x:v>
      </x:c>
      <x:c r="K43" s="14" t="n">
        <x:v>0.4337574400897828</x:v>
      </x:c>
      <x:c r="L43" s="14" t="n">
        <x:v>0.09364146198394163</x:v>
      </x:c>
      <x:c r="M43" s="14" t="n">
        <x:v>0.053788091189524545</x:v>
      </x:c>
      <x:c r="N43" t="n">
        <x:v>31</x:v>
      </x:c>
      <x:c r="O43" t="n">
        <x:v>0</x:v>
      </x:c>
      <x:c r="P43" s="14" t="n">
        <x:v>0</x:v>
      </x:c>
      <x:c r="Q43" s="14" t="n">
        <x:v>0.12903225806451613</x:v>
      </x:c>
      <x:c r="R43" s="14" t="n">
        <x:v>0.24</x:v>
      </x:c>
      <x:c r="S43" t="n">
        <x:v>845</x:v>
      </x:c>
      <x:c r="T43" t="n">
        <x:v>58.39184034496103</x:v>
      </x:c>
      <x:c r="U43" s="14" t="n">
        <x:v>0.9421362479390236</x:v>
      </x:c>
      <x:c r="V43" s="14" t="n">
        <x:v>0.34027196107679486</x:v>
      </x:c>
      <x:c r="W43" s="14" t="n">
        <x:v>0.13638704894512294</x:v>
      </x:c>
      <x:c r="X43" s="14" t="n">
        <x:v>0.6837136720784917</x:v>
      </x:c>
      <x:c r="Y43" s="16" t="n">
        <x:v>96.41434262948208</x:v>
      </x:c>
      <x:c r="Z43" s="16" t="n">
        <x:v>93.86503067484662</x:v>
      </x:c>
      <x:c r="AA43" s="16" t="n">
        <x:v>88.52459016393442</x:v>
      </x:c>
      <x:c r="AB43" s="16" t="n">
        <x:v>46.613545816733065</x:v>
      </x:c>
      <x:c r="AC43" s="16" t="n">
        <x:v>73.20717131474103</x:v>
      </x:c>
      <x:c r="AD43" s="16" t="n">
        <x:v>41.76829268292683</x:v>
      </x:c>
      <x:c r="AE43" s="16" t="n">
        <x:v>82.19787821800861</x:v>
      </x:c>
      <x:c r="AF43" t="str">
        <x:v>우선 검토</x:v>
      </x:c>
      <x:c r="AG43" t="str">
        <x:v>수요·상권 모멘텀 강점 / 직장수요 상대적 약점</x:v>
      </x:c>
    </x:row>
    <x:row r="44">
      <x:c r="A44" t="str">
        <x:v>3110430</x:v>
      </x:c>
      <x:c r="B44" t="str">
        <x:v>중계초등학교</x:v>
      </x:c>
      <x:c r="C44" t="str">
        <x:v>골목상권</x:v>
      </x:c>
      <x:c r="D44" t="str">
        <x:v>노원구</x:v>
      </x:c>
      <x:c r="E44" t="str">
        <x:v>중계4동</x:v>
      </x:c>
      <x:c r="F44" t="str">
        <x:v>CS200003</x:v>
      </x:c>
      <x:c r="G44" t="str">
        <x:v>예술학원</x:v>
      </x:c>
      <x:c r="H44" t="n">
        <x:v>315640087</x:v>
      </x:c>
      <x:c r="I44" t="n">
        <x:v>906</x:v>
      </x:c>
      <x:c r="J44" t="n">
        <x:v>348388.6169977925</x:v>
      </x:c>
      <x:c r="K44" s="14" t="n">
        <x:v>0.28334848543076485</x:v>
      </x:c>
      <x:c r="L44" s="14" t="n">
        <x:v>0.09364146198394163</x:v>
      </x:c>
      <x:c r="M44" s="14" t="n">
        <x:v>0.053788091189524545</x:v>
      </x:c>
      <x:c r="N44" t="n">
        <x:v>23</x:v>
      </x:c>
      <x:c r="O44" t="n">
        <x:v>0</x:v>
      </x:c>
      <x:c r="P44" s="14" t="n">
        <x:v>0</x:v>
      </x:c>
      <x:c r="Q44" s="14" t="n">
        <x:v>0.043478260869565216</x:v>
      </x:c>
      <x:c r="R44" s="14" t="n">
        <x:v>0.5333333333333334</x:v>
      </x:c>
      <x:c r="S44" t="n">
        <x:v>214</x:v>
      </x:c>
      <x:c r="T44" t="n">
        <x:v>191.32767098793028</x:v>
      </x:c>
      <x:c r="U44" s="14" t="n">
        <x:v>0.9225016339575397</x:v>
      </x:c>
      <x:c r="V44" s="14" t="n">
        <x:v>0.17939436824448726</x:v>
      </x:c>
      <x:c r="W44" s="14" t="n">
        <x:v>0.11226100378054958</x:v>
      </x:c>
      <x:c r="X44" s="14" t="n">
        <x:v>0.45551817060549726</x:v>
      </x:c>
      <x:c r="Y44" s="16" t="n">
        <x:v>85.45816733067728</x:v>
      </x:c>
      <x:c r="Z44" s="16" t="n">
        <x:v>88.75255623721881</x:v>
      </x:c>
      <x:c r="AA44" s="16" t="n">
        <x:v>88.52459016393442</x:v>
      </x:c>
      <x:c r="AB44" s="16" t="n">
        <x:v>67.03187250996015</x:v>
      </x:c>
      <x:c r="AC44" s="16" t="n">
        <x:v>73.20717131474103</x:v>
      </x:c>
      <x:c r="AD44" s="16" t="n">
        <x:v>75.1219512195122</x:v>
      </x:c>
      <x:c r="AE44" s="16" t="n">
        <x:v>82.0711539067147</x:v>
      </x:c>
      <x:c r="AF44" t="str">
        <x:v>우선 검토</x:v>
      </x:c>
      <x:c r="AG44" t="str">
        <x:v>상권 모멘텀·서울 업종추세 강점 / 경쟁여건 상대적 약점</x:v>
      </x:c>
    </x:row>
    <x:row r="45">
      <x:c r="A45" t="str">
        <x:v>3001492</x:v>
      </x:c>
      <x:c r="B45" t="str">
        <x:v>명동 남대문 북창동 다동 무교동 관광특구</x:v>
      </x:c>
      <x:c r="C45" t="str">
        <x:v>관광특구</x:v>
      </x:c>
      <x:c r="D45" t="str">
        <x:v>중구</x:v>
      </x:c>
      <x:c r="E45" t="str">
        <x:v>소공동</x:v>
      </x:c>
      <x:c r="F45" t="str">
        <x:v>CS200006</x:v>
      </x:c>
      <x:c r="G45" t="str">
        <x:v>일반의원</x:v>
      </x:c>
      <x:c r="H45" t="n">
        <x:v>12038487576</x:v>
      </x:c>
      <x:c r="I45" t="n">
        <x:v>214382</x:v>
      </x:c>
      <x:c r="J45" t="n">
        <x:v>56154.37665475646</x:v>
      </x:c>
      <x:c r="K45" s="14" t="n">
        <x:v>0.09980728132592431</x:v>
      </x:c>
      <x:c r="L45" s="14" t="n">
        <x:v>0.09973642051122278</x:v>
      </x:c>
      <x:c r="M45" s="14" t="n">
        <x:v>0.06942273842247415</x:v>
      </x:c>
      <x:c r="N45" t="n">
        <x:v>26</x:v>
      </x:c>
      <x:c r="O45" t="n">
        <x:v>0</x:v>
      </x:c>
      <x:c r="P45" s="14" t="n">
        <x:v>0</x:v>
      </x:c>
      <x:c r="Q45" s="14" t="n">
        <x:v>0</x:v>
      </x:c>
      <x:c r="R45" s="14" t="n">
        <x:v>0.4444444444444444</x:v>
      </x:c>
      <x:c r="S45" t="n">
        <x:v>199667</x:v>
      </x:c>
      <x:c r="T45" t="n">
        <x:v>2029.9242185482574</x:v>
      </x:c>
      <x:c r="U45" s="14" t="n">
        <x:v>0.8960596837351423</x:v>
      </x:c>
      <x:c r="V45" s="14" t="n">
        <x:v>0.2516189028627528</x:v>
      </x:c>
      <x:c r="W45" s="14" t="n">
        <x:v>0.3824996650891589</x:v>
      </x:c>
      <x:c r="X45" s="14" t="n">
        <x:v>0.6594345880147295</x:v>
      </x:c>
      <x:c r="Y45" s="16" t="n">
        <x:v>94.39071566731141</x:v>
      </x:c>
      <x:c r="Z45" s="16" t="n">
        <x:v>81.5891472868217</x:v>
      </x:c>
      <x:c r="AA45" s="16" t="n">
        <x:v>90.1639344262295</x:v>
      </x:c>
      <x:c r="AB45" s="16" t="n">
        <x:v>53.10077519379845</x:v>
      </x:c>
      <x:c r="AC45" s="16" t="n">
        <x:v>62.5</x:v>
      </x:c>
      <x:c r="AD45" s="16" t="n">
        <x:v>98.84146341463415</x:v>
      </x:c>
      <x:c r="AE45" s="16" t="n">
        <x:v>82.03635955465923</x:v>
      </x:c>
      <x:c r="AF45" t="str">
        <x:v>우선 검토</x:v>
      </x:c>
      <x:c r="AG45" t="str">
        <x:v>직장수요·수요 강점 / 경쟁여건 상대적 약점</x:v>
      </x:c>
    </x:row>
    <x:row r="46">
      <x:c r="A46" t="str">
        <x:v>3110449</x:v>
      </x:c>
      <x:c r="B46" t="str">
        <x:v>증산역 3번</x:v>
      </x:c>
      <x:c r="C46" t="str">
        <x:v>골목상권</x:v>
      </x:c>
      <x:c r="D46" t="str">
        <x:v>은평구</x:v>
      </x:c>
      <x:c r="E46" t="str">
        <x:v>증산동</x:v>
      </x:c>
      <x:c r="F46" t="str">
        <x:v>CS300001</x:v>
      </x:c>
      <x:c r="G46" t="str">
        <x:v>슈퍼마켓</x:v>
      </x:c>
      <x:c r="H46" t="n">
        <x:v>3366238557</x:v>
      </x:c>
      <x:c r="I46" t="n">
        <x:v>14088</x:v>
      </x:c>
      <x:c r="J46" t="n">
        <x:v>238943.6795144804</x:v>
      </x:c>
      <x:c r="K46" s="14" t="n">
        <x:v>0.5206974675151026</x:v>
      </x:c>
      <x:c r="L46" s="14" t="n">
        <x:v>-0.02979620222776047</x:v>
      </x:c>
      <x:c r="M46" s="14" t="n">
        <x:v>-0.03099912402160654</x:v>
      </x:c>
      <x:c r="N46" t="n">
        <x:v>15</x:v>
      </x:c>
      <x:c r="O46" t="n">
        <x:v>0</x:v>
      </x:c>
      <x:c r="P46" s="14" t="n">
        <x:v>0</x:v>
      </x:c>
      <x:c r="Q46" s="14" t="n">
        <x:v>0.4</x:v>
      </x:c>
      <x:c r="R46" s="14" t="n">
        <x:v>-0.2857142857142857</x:v>
      </x:c>
      <x:c r="S46" t="n">
        <x:v>809</x:v>
      </x:c>
      <x:c r="T46" t="n">
        <x:v>52.48918100008434</x:v>
      </x:c>
      <x:c r="U46" s="14" t="n">
        <x:v>0.9934580174200055</x:v>
      </x:c>
      <x:c r="V46" s="14" t="n">
        <x:v>0.13653878660626367</x:v>
      </x:c>
      <x:c r="W46" s="14" t="n">
        <x:v>0.06468107809746058</x:v>
      </x:c>
      <x:c r="X46" s="14" t="n">
        <x:v>0.6808979144492641</x:v>
      </x:c>
      <x:c r="Y46" s="16" t="n">
        <x:v>95.26493799323562</x:v>
      </x:c>
      <x:c r="Z46" s="16" t="n">
        <x:v>98.48484848484848</x:v>
      </x:c>
      <x:c r="AA46" s="16" t="n">
        <x:v>31.147540983606557</x:v>
      </x:c>
      <x:c r="AB46" s="16" t="n">
        <x:v>95.49041713641488</x:v>
      </x:c>
      <x:c r="AC46" s="16" t="n">
        <x:v>78.80496054114994</x:v>
      </x:c>
      <x:c r="AD46" s="16" t="n">
        <x:v>37.5</x:v>
      </x:c>
      <x:c r="AE46" s="16" t="n">
        <x:v>81.79088776672037</x:v>
      </x:c>
      <x:c r="AF46" t="str">
        <x:v>우선 검토</x:v>
      </x:c>
      <x:c r="AG46" t="str">
        <x:v>상권 모멘텀·경쟁여건 강점 / 서울 업종추세 상대적 약점</x:v>
      </x:c>
    </x:row>
    <x:row r="47">
      <x:c r="A47" t="str">
        <x:v>3120160</x:v>
      </x:c>
      <x:c r="B47" t="str">
        <x:v>사당역(사당)</x:v>
      </x:c>
      <x:c r="C47" t="str">
        <x:v>발달상권</x:v>
      </x:c>
      <x:c r="D47" t="str">
        <x:v>서초구</x:v>
      </x:c>
      <x:c r="E47" t="str">
        <x:v>방배2동</x:v>
      </x:c>
      <x:c r="F47" t="str">
        <x:v>CS100003</x:v>
      </x:c>
      <x:c r="G47" t="str">
        <x:v>일식음식점</x:v>
      </x:c>
      <x:c r="H47" t="n">
        <x:v>3329391109</x:v>
      </x:c>
      <x:c r="I47" t="n">
        <x:v>36952</x:v>
      </x:c>
      <x:c r="J47" t="n">
        <x:v>90100.43053150033</x:v>
      </x:c>
      <x:c r="K47" s="14" t="n">
        <x:v>0.17144225413269076</x:v>
      </x:c>
      <x:c r="L47" s="14" t="n">
        <x:v>0.048235937606500245</x:v>
      </x:c>
      <x:c r="M47" s="14" t="n">
        <x:v>-0.004288267098710441</x:v>
      </x:c>
      <x:c r="N47" t="n">
        <x:v>27</x:v>
      </x:c>
      <x:c r="O47" t="n">
        <x:v>0</x:v>
      </x:c>
      <x:c r="P47" s="14" t="n">
        <x:v>0</x:v>
      </x:c>
      <x:c r="Q47" s="14" t="n">
        <x:v>0.2222222222222222</x:v>
      </x:c>
      <x:c r="R47" s="14" t="n">
        <x:v>-0.06896551724137934</x:v>
      </x:c>
      <x:c r="S47" t="n">
        <x:v>12897</x:v>
      </x:c>
      <x:c r="T47" t="n">
        <x:v>507.2426717848476</x:v>
      </x:c>
      <x:c r="U47" s="14" t="n">
        <x:v>0.6681842418532151</x:v>
      </x:c>
      <x:c r="V47" s="14" t="n">
        <x:v>0.758023687627983</x:v>
      </x:c>
      <x:c r="W47" s="14" t="n">
        <x:v>0.5121385581257645</x:v>
      </x:c>
      <x:c r="X47" s="14" t="n">
        <x:v>0.263598171637936</x:v>
      </x:c>
      <x:c r="Y47" s="16" t="n">
        <x:v>94.3452380952381</x:v>
      </x:c>
      <x:c r="Z47" s="16" t="n">
        <x:v>86.41975308641975</x:v>
      </x:c>
      <x:c r="AA47" s="16" t="n">
        <x:v>78.68852459016394</x:v>
      </x:c>
      <x:c r="AB47" s="16" t="n">
        <x:v>47.023809523809526</x:v>
      </x:c>
      <x:c r="AC47" s="16" t="n">
        <x:v>81.10119047619048</x:v>
      </x:c>
      <x:c r="AD47" s="16" t="n">
        <x:v>90.1829268292683</x:v>
      </x:c>
      <x:c r="AE47" s="16" t="n">
        <x:v>81.78089945679578</x:v>
      </x:c>
      <x:c r="AF47" t="str">
        <x:v>우선 검토</x:v>
      </x:c>
      <x:c r="AG47" t="str">
        <x:v>수요·직장수요 강점 / 경쟁여건 상대적 약점</x:v>
      </x:c>
    </x:row>
    <x:row r="48">
      <x:c r="A48" t="str">
        <x:v>3110189</x:v>
      </x:c>
      <x:c r="B48" t="str">
        <x:v>제기동역 1번</x:v>
      </x:c>
      <x:c r="C48" t="str">
        <x:v>골목상권</x:v>
      </x:c>
      <x:c r="D48" t="str">
        <x:v>동대문구</x:v>
      </x:c>
      <x:c r="E48" t="str">
        <x:v>제기동</x:v>
      </x:c>
      <x:c r="F48" t="str">
        <x:v>CS300020</x:v>
      </x:c>
      <x:c r="G48" t="str">
        <x:v>서적</x:v>
      </x:c>
      <x:c r="H48" t="n">
        <x:v>1881530760</x:v>
      </x:c>
      <x:c r="I48" t="n">
        <x:v>9841</x:v>
      </x:c>
      <x:c r="J48" t="n">
        <x:v>191193.04542221318</x:v>
      </x:c>
      <x:c r="K48" s="14" t="n">
        <x:v>0.006915710180338097</x:v>
      </x:c>
      <x:c r="L48" s="14" t="n">
        <x:v>0.20039418624921757</x:v>
      </x:c>
      <x:c r="M48" s="14" t="n">
        <x:v>-0.01061516125540185</x:v>
      </x:c>
      <x:c r="N48" t="n">
        <x:v>7</x:v>
      </x:c>
      <x:c r="O48" t="n">
        <x:v>0</x:v>
      </x:c>
      <x:c r="P48" s="14" t="n">
        <x:v>0</x:v>
      </x:c>
      <x:c r="Q48" s="14" t="n">
        <x:v>0</x:v>
      </x:c>
      <x:c r="R48" s="14" t="n">
        <x:v>0.16666666666666674</x:v>
      </x:c>
      <x:c r="S48" t="n">
        <x:v>669</x:v>
      </x:c>
      <x:c r="T48" t="n">
        <x:v>75.59407450931648</x:v>
      </x:c>
      <x:c r="U48" s="14" t="n">
        <x:v>0.919281206967884</x:v>
      </x:c>
      <x:c r="V48" s="14" t="n">
        <x:v>0.002583682979490593</x:v>
      </x:c>
      <x:c r="W48" s="14" t="n">
        <x:v>0.0038457580146072125</x:v>
      </x:c>
      <x:c r="X48" s="14" t="n">
        <x:v>0.17771120680482524</x:v>
      </x:c>
      <x:c r="Y48" s="16" t="n">
        <x:v>95.97315436241611</x:v>
      </x:c>
      <x:c r="Z48" s="16" t="n">
        <x:v>61.42857142857143</x:v>
      </x:c>
      <x:c r="AA48" s="16" t="n">
        <x:v>96.72131147540983</x:v>
      </x:c>
      <x:c r="AB48" s="16" t="n">
        <x:v>86.24161073825503</x:v>
      </x:c>
      <x:c r="AC48" s="16" t="n">
        <x:v>59.395973154362416</x:v>
      </x:c>
      <x:c r="AD48" s="16" t="n">
        <x:v>50.0609756097561</x:v>
      </x:c>
      <x:c r="AE48" s="16" t="n">
        <x:v>81.76340274053369</x:v>
      </x:c>
      <x:c r="AF48" t="str">
        <x:v>우선 검토</x:v>
      </x:c>
      <x:c r="AG48" t="str">
        <x:v>서울 업종추세·수요 강점 / 직장수요 상대적 약점</x:v>
      </x:c>
    </x:row>
    <x:row r="49">
      <x:c r="A49" t="str">
        <x:v>3001492</x:v>
      </x:c>
      <x:c r="B49" t="str">
        <x:v>명동 남대문 북창동 다동 무교동 관광특구</x:v>
      </x:c>
      <x:c r="C49" t="str">
        <x:v>관광특구</x:v>
      </x:c>
      <x:c r="D49" t="str">
        <x:v>중구</x:v>
      </x:c>
      <x:c r="E49" t="str">
        <x:v>소공동</x:v>
      </x:c>
      <x:c r="F49" t="str">
        <x:v>CS300009</x:v>
      </x:c>
      <x:c r="G49" t="str">
        <x:v>청과상</x:v>
      </x:c>
      <x:c r="H49" t="n">
        <x:v>12167881722</x:v>
      </x:c>
      <x:c r="I49" t="n">
        <x:v>652358</x:v>
      </x:c>
      <x:c r="J49" t="n">
        <x:v>18652.153759132256</x:v>
      </x:c>
      <x:c r="K49" s="14" t="n">
        <x:v>0.0008994410750888804</x:v>
      </x:c>
      <x:c r="L49" s="14" t="n">
        <x:v>0.19728256051488424</x:v>
      </x:c>
      <x:c r="M49" s="14" t="n">
        <x:v>0.09797365727115581</x:v>
      </x:c>
      <x:c r="N49" t="n">
        <x:v>8</x:v>
      </x:c>
      <x:c r="O49" t="n">
        <x:v>0</x:v>
      </x:c>
      <x:c r="P49" s="14" t="n">
        <x:v>0</x:v>
      </x:c>
      <x:c r="Q49" s="14" t="n">
        <x:v>0</x:v>
      </x:c>
      <x:c r="R49" s="14" t="n">
        <x:v>0.33333333333333326</x:v>
      </x:c>
      <x:c r="S49" t="n">
        <x:v>199667</x:v>
      </x:c>
      <x:c r="T49" t="n">
        <x:v>2029.9242185482574</x:v>
      </x:c>
      <x:c r="U49" s="14" t="n">
        <x:v>0.7949636975440679</x:v>
      </x:c>
      <x:c r="V49" s="14" t="n">
        <x:v>0.15519810367532105</x:v>
      </x:c>
      <x:c r="W49" s="14" t="n">
        <x:v>0.04909477529847409</x:v>
      </x:c>
      <x:c r="X49" s="14" t="n">
        <x:v>0.5875083550553271</x:v>
      </x:c>
      <x:c r="Y49" s="16" t="n">
        <x:v>95.05494505494505</x:v>
      </x:c>
      <x:c r="Z49" s="16" t="n">
        <x:v>42.74809160305343</x:v>
      </x:c>
      <x:c r="AA49" s="16" t="n">
        <x:v>95.08196721311475</x:v>
      </x:c>
      <x:c r="AB49" s="16" t="n">
        <x:v>91.57509157509158</x:v>
      </x:c>
      <x:c r="AC49" s="16" t="n">
        <x:v>69.5970695970696</x:v>
      </x:c>
      <x:c r="AD49" s="16" t="n">
        <x:v>98.84146341463415</x:v>
      </x:c>
      <x:c r="AE49" s="16" t="n">
        <x:v>81.71918803851106</x:v>
      </x:c>
      <x:c r="AF49" t="str">
        <x:v>우선 검토</x:v>
      </x:c>
      <x:c r="AG49" t="str">
        <x:v>직장수요·서울 업종추세 강점 / 상권 모멘텀 상대적 약점</x:v>
      </x:c>
    </x:row>
    <x:row r="50">
      <x:c r="A50" t="str">
        <x:v>3120056</x:v>
      </x:c>
      <x:c r="B50" t="str">
        <x:v>구의역</x:v>
      </x:c>
      <x:c r="C50" t="str">
        <x:v>발달상권</x:v>
      </x:c>
      <x:c r="D50" t="str">
        <x:v>광진구</x:v>
      </x:c>
      <x:c r="E50" t="str">
        <x:v>구의1동</x:v>
      </x:c>
      <x:c r="F50" t="str">
        <x:v>CS200006</x:v>
      </x:c>
      <x:c r="G50" t="str">
        <x:v>일반의원</x:v>
      </x:c>
      <x:c r="H50" t="n">
        <x:v>7766423101</x:v>
      </x:c>
      <x:c r="I50" t="n">
        <x:v>165964</x:v>
      </x:c>
      <x:c r="J50" t="n">
        <x:v>46795.82982454026</x:v>
      </x:c>
      <x:c r="K50" s="14" t="n">
        <x:v>0.08870418613688069</x:v>
      </x:c>
      <x:c r="L50" s="14" t="n">
        <x:v>0.09973642051122278</x:v>
      </x:c>
      <x:c r="M50" s="14" t="n">
        <x:v>0.06942273842247415</x:v>
      </x:c>
      <x:c r="N50" t="n">
        <x:v>19</x:v>
      </x:c>
      <x:c r="O50" t="n">
        <x:v>0</x:v>
      </x:c>
      <x:c r="P50" s="14" t="n">
        <x:v>0</x:v>
      </x:c>
      <x:c r="Q50" s="14" t="n">
        <x:v>0</x:v>
      </x:c>
      <x:c r="R50" s="14" t="n">
        <x:v>0.05555555555555558</x:v>
      </x:c>
      <x:c r="S50" t="n">
        <x:v>7498</x:v>
      </x:c>
      <x:c r="T50" t="n">
        <x:v>472.3625688258344</x:v>
      </x:c>
      <x:c r="U50" s="14" t="n">
        <x:v>0.8342174357157779</x:v>
      </x:c>
      <x:c r="V50" s="14" t="n">
        <x:v>0.24044741623200422</x:v>
      </x:c>
      <x:c r="W50" s="14" t="n">
        <x:v>0.27610092652870005</x:v>
      </x:c>
      <x:c r="X50" s="14" t="n">
        <x:v>0.534205356319796</x:v>
      </x:c>
      <x:c r="Y50" s="16" t="n">
        <x:v>89.74854932301741</x:v>
      </x:c>
      <x:c r="Z50" s="16" t="n">
        <x:v>78.48837209302326</x:v>
      </x:c>
      <x:c r="AA50" s="16" t="n">
        <x:v>90.1639344262295</x:v>
      </x:c>
      <x:c r="AB50" s="16" t="n">
        <x:v>68.7984496124031</x:v>
      </x:c>
      <x:c r="AC50" s="16" t="n">
        <x:v>62.5</x:v>
      </x:c>
      <x:c r="AD50" s="16" t="n">
        <x:v>89.39024390243902</x:v>
      </x:c>
      <x:c r="AE50" s="16" t="n">
        <x:v>81.67353648257759</x:v>
      </x:c>
      <x:c r="AF50" t="str">
        <x:v>우선 검토</x:v>
      </x:c>
      <x:c r="AG50" t="str">
        <x:v>서울 업종추세·수요 강점 / 안정성 상대적 약점</x:v>
      </x:c>
    </x:row>
    <x:row r="51">
      <x:c r="A51" t="str">
        <x:v>3120136</x:v>
      </x:c>
      <x:c r="B51" t="str">
        <x:v>영등포구청역</x:v>
      </x:c>
      <x:c r="C51" t="str">
        <x:v>발달상권</x:v>
      </x:c>
      <x:c r="D51" t="str">
        <x:v>영등포구</x:v>
      </x:c>
      <x:c r="E51" t="str">
        <x:v>당산1동</x:v>
      </x:c>
      <x:c r="F51" t="str">
        <x:v>CS200016</x:v>
      </x:c>
      <x:c r="G51" t="str">
        <x:v>당구장</x:v>
      </x:c>
      <x:c r="H51" t="n">
        <x:v>171555862</x:v>
      </x:c>
      <x:c r="I51" t="n">
        <x:v>5733</x:v>
      </x:c>
      <x:c r="J51" t="n">
        <x:v>29924.273853130995</x:v>
      </x:c>
      <x:c r="K51" s="14" t="n">
        <x:v>0.25527057697566313</x:v>
      </x:c>
      <x:c r="L51" s="14" t="n">
        <x:v>0.052763611334009974</x:v>
      </x:c>
      <x:c r="M51" s="14" t="n">
        <x:v>0.07602781601598463</x:v>
      </x:c>
      <x:c r="N51" t="n">
        <x:v>13</x:v>
      </x:c>
      <x:c r="O51" t="n">
        <x:v>0</x:v>
      </x:c>
      <x:c r="P51" s="14" t="n">
        <x:v>0</x:v>
      </x:c>
      <x:c r="Q51" s="14" t="n">
        <x:v>0</x:v>
      </x:c>
      <x:c r="R51" s="14" t="n">
        <x:v>0</x:v>
      </x:c>
      <x:c r="S51" t="n">
        <x:v>8473</x:v>
      </x:c>
      <x:c r="T51" t="n">
        <x:v>406.12373041398445</x:v>
      </x:c>
      <x:c r="U51" s="14" t="n">
        <x:v>0.7935902534184462</x:v>
      </x:c>
      <x:c r="V51" s="14" t="n">
        <x:v>0.7604973708214062</x:v>
      </x:c>
      <x:c r="W51" s="14" t="n">
        <x:v>0.15974225934640462</x:v>
      </x:c>
      <x:c r="X51" s="14" t="n">
        <x:v>0.1894600372209957</x:v>
      </x:c>
      <x:c r="Y51" s="16" t="n">
        <x:v>90.56047197640117</x:v>
      </x:c>
      <x:c r="Z51" s="16" t="n">
        <x:v>94.75308641975309</x:v>
      </x:c>
      <x:c r="AA51" s="16" t="n">
        <x:v>80.32786885245902</x:v>
      </x:c>
      <x:c r="AB51" s="16" t="n">
        <x:v>51.03244837758112</x:v>
      </x:c>
      <x:c r="AC51" s="16" t="n">
        <x:v>69.32153392330383</x:v>
      </x:c>
      <x:c r="AD51" s="16" t="n">
        <x:v>87.6219512195122</x:v>
      </x:c>
      <x:c r="AE51" s="16" t="n">
        <x:v>81.66408101350302</x:v>
      </x:c>
      <x:c r="AF51" t="str">
        <x:v>우선 검토</x:v>
      </x:c>
      <x:c r="AG51" t="str">
        <x:v>상권 모멘텀·수요 강점 / 경쟁여건 상대적 약점</x:v>
      </x:c>
    </x:row>
    <x:row r="52">
      <x:c r="A52" t="str">
        <x:v>3120179</x:v>
      </x:c>
      <x:c r="B52" t="str">
        <x:v>양재역</x:v>
      </x:c>
      <x:c r="C52" t="str">
        <x:v>발달상권</x:v>
      </x:c>
      <x:c r="D52" t="str">
        <x:v>서초구</x:v>
      </x:c>
      <x:c r="E52" t="str">
        <x:v>도곡1동</x:v>
      </x:c>
      <x:c r="F52" t="str">
        <x:v>CS100003</x:v>
      </x:c>
      <x:c r="G52" t="str">
        <x:v>일식음식점</x:v>
      </x:c>
      <x:c r="H52" t="n">
        <x:v>1632644524</x:v>
      </x:c>
      <x:c r="I52" t="n">
        <x:v>19106</x:v>
      </x:c>
      <x:c r="J52" t="n">
        <x:v>85451.92735266409</x:v>
      </x:c>
      <x:c r="K52" s="14" t="n">
        <x:v>0.08141880944664459</x:v>
      </x:c>
      <x:c r="L52" s="14" t="n">
        <x:v>0.048235937606500245</x:v>
      </x:c>
      <x:c r="M52" s="14" t="n">
        <x:v>-0.004288267098710441</x:v>
      </x:c>
      <x:c r="N52" t="n">
        <x:v>8</x:v>
      </x:c>
      <x:c r="O52" t="n">
        <x:v>0</x:v>
      </x:c>
      <x:c r="P52" s="14" t="n">
        <x:v>0</x:v>
      </x:c>
      <x:c r="Q52" s="14" t="n">
        <x:v>0.125</x:v>
      </x:c>
      <x:c r="R52" s="14" t="n">
        <x:v>0</x:v>
      </x:c>
      <x:c r="S52" t="n">
        <x:v>27837</x:v>
      </x:c>
      <x:c r="T52" t="n">
        <x:v>798.9839411030267</x:v>
      </x:c>
      <x:c r="U52" s="14" t="n">
        <x:v>0.8712432180368492</x:v>
      </x:c>
      <x:c r="V52" s="14" t="n">
        <x:v>0.6791282246079429</x:v>
      </x:c>
      <x:c r="W52" s="14" t="n">
        <x:v>0.17717486001870178</x:v>
      </x:c>
      <x:c r="X52" s="14" t="n">
        <x:v>0.15652178612274573</x:v>
      </x:c>
      <x:c r="Y52" s="16" t="n">
        <x:v>85.11904761904762</x:v>
      </x:c>
      <x:c r="Z52" s="16" t="n">
        <x:v>68.51851851851852</x:v>
      </x:c>
      <x:c r="AA52" s="16" t="n">
        <x:v>78.68852459016394</x:v>
      </x:c>
      <x:c r="AB52" s="16" t="n">
        <x:v>90.0297619047619</x:v>
      </x:c>
      <x:c r="AC52" s="16" t="n">
        <x:v>81.10119047619048</x:v>
      </x:c>
      <x:c r="AD52" s="16" t="n">
        <x:v>95</x:v>
      </x:c>
      <x:c r="AE52" s="16" t="n">
        <x:v>81.6632323922283</x:v>
      </x:c>
      <x:c r="AF52" t="str">
        <x:v>우선 검토</x:v>
      </x:c>
      <x:c r="AG52" t="str">
        <x:v>직장수요·경쟁여건 강점 / 상권 모멘텀 상대적 약점</x:v>
      </x:c>
    </x:row>
    <x:row r="53">
      <x:c r="A53" t="str">
        <x:v>3120038</x:v>
      </x:c>
      <x:c r="B53" t="str">
        <x:v>약수역</x:v>
      </x:c>
      <x:c r="C53" t="str">
        <x:v>발달상권</x:v>
      </x:c>
      <x:c r="D53" t="str">
        <x:v>중구</x:v>
      </x:c>
      <x:c r="E53" t="str">
        <x:v>다산동</x:v>
      </x:c>
      <x:c r="F53" t="str">
        <x:v>CS200025</x:v>
      </x:c>
      <x:c r="G53" t="str">
        <x:v>자동차수리</x:v>
      </x:c>
      <x:c r="H53" t="n">
        <x:v>1093110211</x:v>
      </x:c>
      <x:c r="I53" t="n">
        <x:v>4241</x:v>
      </x:c>
      <x:c r="J53" t="n">
        <x:v>257748.2223532186</x:v>
      </x:c>
      <x:c r="K53" s="14" t="n">
        <x:v>0.21843919222368502</x:v>
      </x:c>
      <x:c r="L53" s="14" t="n">
        <x:v>0.02213950283587751</x:v>
      </x:c>
      <x:c r="M53" s="14" t="n">
        <x:v>0.024356161917000962</x:v>
      </x:c>
      <x:c r="N53" t="n">
        <x:v>7</x:v>
      </x:c>
      <x:c r="O53" t="n">
        <x:v>0</x:v>
      </x:c>
      <x:c r="P53" s="14" t="n">
        <x:v>0</x:v>
      </x:c>
      <x:c r="Q53" s="14" t="n">
        <x:v>0.2857142857142857</x:v>
      </x:c>
      <x:c r="R53" s="14" t="n">
        <x:v>-0.125</x:v>
      </x:c>
      <x:c r="S53" t="n">
        <x:v>8665</x:v>
      </x:c>
      <x:c r="T53" t="n">
        <x:v>633.2351630041583</x:v>
      </x:c>
      <x:c r="U53" s="14" t="n">
        <x:v>0.9267975990025767</x:v>
      </x:c>
      <x:c r="V53" s="14" t="n">
        <x:v>0.39091237159799985</x:v>
      </x:c>
      <x:c r="W53" s="14" t="n">
        <x:v>0.22319403985514505</x:v>
      </x:c>
      <x:c r="X53" s="14" t="n">
        <x:v>0.24774494582047227</x:v>
      </x:c>
      <x:c r="Y53" s="16" t="n">
        <x:v>89.54423592493298</x:v>
      </x:c>
      <x:c r="Z53" s="16" t="n">
        <x:v>87.1584699453552</x:v>
      </x:c>
      <x:c r="AA53" s="16" t="n">
        <x:v>59.01639344262295</x:v>
      </x:c>
      <x:c r="AB53" s="16" t="n">
        <x:v>90.59139784946237</x:v>
      </x:c>
      <x:c r="AC53" s="16" t="n">
        <x:v>56.98924731182796</x:v>
      </x:c>
      <x:c r="AD53" s="16" t="n">
        <x:v>93.23170731707317</x:v>
      </x:c>
      <x:c r="AE53" s="16" t="n">
        <x:v>81.57385535364683</x:v>
      </x:c>
      <x:c r="AF53" t="str">
        <x:v>우선 검토</x:v>
      </x:c>
      <x:c r="AG53" t="str">
        <x:v>직장수요·경쟁여건 강점 / 안정성 상대적 약점</x:v>
      </x:c>
    </x:row>
    <x:row r="54">
      <x:c r="A54" t="str">
        <x:v>3120112</x:v>
      </x:c>
      <x:c r="B54" t="str">
        <x:v>등촌역</x:v>
      </x:c>
      <x:c r="C54" t="str">
        <x:v>발달상권</x:v>
      </x:c>
      <x:c r="D54" t="str">
        <x:v>양천구</x:v>
      </x:c>
      <x:c r="E54" t="str">
        <x:v>목3동</x:v>
      </x:c>
      <x:c r="F54" t="str">
        <x:v>CS200001</x:v>
      </x:c>
      <x:c r="G54" t="str">
        <x:v>일반교습학원</x:v>
      </x:c>
      <x:c r="H54" t="n">
        <x:v>1115816074</x:v>
      </x:c>
      <x:c r="I54" t="n">
        <x:v>12305</x:v>
      </x:c>
      <x:c r="J54" t="n">
        <x:v>90679.89223892726</x:v>
      </x:c>
      <x:c r="K54" s="14" t="n">
        <x:v>0.5870483675549838</x:v>
      </x:c>
      <x:c r="L54" s="14" t="n">
        <x:v>0.026465986538897424</x:v>
      </x:c>
      <x:c r="M54" s="14" t="n">
        <x:v>0.05930632525283164</x:v>
      </x:c>
      <x:c r="N54" t="n">
        <x:v>45</x:v>
      </x:c>
      <x:c r="O54" t="n">
        <x:v>0</x:v>
      </x:c>
      <x:c r="P54" s="14" t="n">
        <x:v>0</x:v>
      </x:c>
      <x:c r="Q54" s="14" t="n">
        <x:v>0.044444444444444446</x:v>
      </x:c>
      <x:c r="R54" s="14" t="n">
        <x:v>0.18421052631578938</x:v>
      </x:c>
      <x:c r="S54" t="n">
        <x:v>3539</x:v>
      </x:c>
      <x:c r="T54" t="n">
        <x:v>192.57453488815005</x:v>
      </x:c>
      <x:c r="U54" s="14" t="n">
        <x:v>0.9494155154104725</x:v>
      </x:c>
      <x:c r="V54" s="14" t="n">
        <x:v>0.13641582295398982</x:v>
      </x:c>
      <x:c r="W54" s="14" t="n">
        <x:v>0.13991467020217885</x:v>
      </x:c>
      <x:c r="X54" s="14" t="n">
        <x:v>0.3424398804636686</x:v>
      </x:c>
      <x:c r="Y54" s="16" t="n">
        <x:v>85.24844720496894</x:v>
      </x:c>
      <x:c r="Z54" s="16" t="n">
        <x:v>97.72727272727273</x:v>
      </x:c>
      <x:c r="AA54" s="16" t="n">
        <x:v>70.49180327868852</x:v>
      </x:c>
      <x:c r="AB54" s="16" t="n">
        <x:v>62.732919254658384</x:v>
      </x:c>
      <x:c r="AC54" s="16" t="n">
        <x:v>83.92857142857143</x:v>
      </x:c>
      <x:c r="AD54" s="16" t="n">
        <x:v>75.36585365853658</x:v>
      </x:c>
      <x:c r="AE54" s="16" t="n">
        <x:v>81.52726927297968</x:v>
      </x:c>
      <x:c r="AF54" t="str">
        <x:v>우선 검토</x:v>
      </x:c>
      <x:c r="AG54" t="str">
        <x:v>상권 모멘텀·수요 강점 / 경쟁여건 상대적 약점</x:v>
      </x:c>
    </x:row>
    <x:row r="55">
      <x:c r="A55" t="str">
        <x:v>3111046</x:v>
      </x:c>
      <x:c r="B55" t="str">
        <x:v>마천역(마천초등학교)</x:v>
      </x:c>
      <x:c r="C55" t="str">
        <x:v>골목상권</x:v>
      </x:c>
      <x:c r="D55" t="str">
        <x:v>송파구</x:v>
      </x:c>
      <x:c r="E55" t="str">
        <x:v>마천1동</x:v>
      </x:c>
      <x:c r="F55" t="str">
        <x:v>CS200030</x:v>
      </x:c>
      <x:c r="G55" t="str">
        <x:v>피부관리실</x:v>
      </x:c>
      <x:c r="H55" t="n">
        <x:v>164221346</x:v>
      </x:c>
      <x:c r="I55" t="n">
        <x:v>154</x:v>
      </x:c>
      <x:c r="J55" t="n">
        <x:v>1066372.3766233767</x:v>
      </x:c>
      <x:c r="K55" s="14" t="n">
        <x:v>0.23343547379240004</x:v>
      </x:c>
      <x:c r="L55" s="14" t="n">
        <x:v>0.11857168683779085</x:v>
      </x:c>
      <x:c r="M55" s="14" t="n">
        <x:v>0.0314283578178467</x:v>
      </x:c>
      <x:c r="N55" t="n">
        <x:v>6</x:v>
      </x:c>
      <x:c r="O55" t="n">
        <x:v>0</x:v>
      </x:c>
      <x:c r="P55" s="14" t="n">
        <x:v>0</x:v>
      </x:c>
      <x:c r="Q55" s="14" t="n">
        <x:v>0</x:v>
      </x:c>
      <x:c r="R55" s="14" t="n">
        <x:v>0</x:v>
      </x:c>
      <x:c r="S55" t="n">
        <x:v>782</x:v>
      </x:c>
      <x:c r="T55" t="n">
        <x:v>37.264712890159636</x:v>
      </x:c>
      <x:c r="U55" s="14" t="n">
        <x:v>0.9978058638004343</x:v>
      </x:c>
      <x:c r="V55" s="14" t="n">
        <x:v>0.5669621475395775</x:v>
      </x:c>
      <x:c r="W55" s="14" t="n">
        <x:v>0</x:v>
      </x:c>
      <x:c r="X55" s="14" t="n">
        <x:v>0.9978058638004343</x:v>
      </x:c>
      <x:c r="Y55" s="16" t="n">
        <x:v>81.88585607940446</x:v>
      </x:c>
      <x:c r="Z55" s="16" t="n">
        <x:v>75.86206896551724</x:v>
      </x:c>
      <x:c r="AA55" s="16" t="n">
        <x:v>91.80327868852459</x:v>
      </x:c>
      <x:c r="AB55" s="16" t="n">
        <x:v>97.39454094292805</x:v>
      </x:c>
      <x:c r="AC55" s="16" t="n">
        <x:v>79.15632754342431</x:v>
      </x:c>
      <x:c r="AD55" s="16" t="n">
        <x:v>27.01219512195122</x:v>
      </x:c>
      <x:c r="AE55" s="16" t="n">
        <x:v>81.47837887605289</x:v>
      </x:c>
      <x:c r="AF55" t="str">
        <x:v>우선 검토</x:v>
      </x:c>
      <x:c r="AG55" t="str">
        <x:v>경쟁여건·서울 업종추세 강점 / 직장수요 상대적 약점</x:v>
      </x:c>
    </x:row>
    <x:row r="56">
      <x:c r="A56" t="str">
        <x:v>3120184</x:v>
      </x:c>
      <x:c r="B56" t="str">
        <x:v>포이사거리(삼호물산)</x:v>
      </x:c>
      <x:c r="C56" t="str">
        <x:v>발달상권</x:v>
      </x:c>
      <x:c r="D56" t="str">
        <x:v>서초구</x:v>
      </x:c>
      <x:c r="E56" t="str">
        <x:v>양재2동</x:v>
      </x:c>
      <x:c r="F56" t="str">
        <x:v>CS200006</x:v>
      </x:c>
      <x:c r="G56" t="str">
        <x:v>일반의원</x:v>
      </x:c>
      <x:c r="H56" t="n">
        <x:v>3106501972</x:v>
      </x:c>
      <x:c r="I56" t="n">
        <x:v>55868</x:v>
      </x:c>
      <x:c r="J56" t="n">
        <x:v>55604.31681821436</x:v>
      </x:c>
      <x:c r="K56" s="14" t="n">
        <x:v>0.5061966972769161</x:v>
      </x:c>
      <x:c r="L56" s="14" t="n">
        <x:v>0.09973642051122278</x:v>
      </x:c>
      <x:c r="M56" s="14" t="n">
        <x:v>0.06942273842247415</x:v>
      </x:c>
      <x:c r="N56" t="n">
        <x:v>16</x:v>
      </x:c>
      <x:c r="O56" t="n">
        <x:v>0</x:v>
      </x:c>
      <x:c r="P56" s="14" t="n">
        <x:v>0</x:v>
      </x:c>
      <x:c r="Q56" s="14" t="n">
        <x:v>0</x:v>
      </x:c>
      <x:c r="R56" s="14" t="n">
        <x:v>0.06666666666666665</x:v>
      </x:c>
      <x:c r="S56" t="n">
        <x:v>15262</x:v>
      </x:c>
      <x:c r="T56" t="n">
        <x:v>433.64237432127953</x:v>
      </x:c>
      <x:c r="U56" s="14" t="n">
        <x:v>0.8693337417266574</x:v>
      </x:c>
      <x:c r="V56" s="14" t="n">
        <x:v>0.12904662498633687</x:v>
      </x:c>
      <x:c r="W56" s="14" t="n">
        <x:v>0.3987681347591303</x:v>
      </x:c>
      <x:c r="X56" s="14" t="n">
        <x:v>0.5679400865997584</x:v>
      </x:c>
      <x:c r="Y56" s="16" t="n">
        <x:v>73.88781431334623</x:v>
      </x:c>
      <x:c r="Z56" s="16" t="n">
        <x:v>99.03100775193798</x:v>
      </x:c>
      <x:c r="AA56" s="16" t="n">
        <x:v>90.1639344262295</x:v>
      </x:c>
      <x:c r="AB56" s="16" t="n">
        <x:v>76.93798449612403</x:v>
      </x:c>
      <x:c r="AC56" s="16" t="n">
        <x:v>62.5</x:v>
      </x:c>
      <x:c r="AD56" s="16" t="n">
        <x:v>88.35365853658537</x:v>
      </x:c>
      <x:c r="AE56" s="16" t="n">
        <x:v>81.39990732524107</x:v>
      </x:c>
      <x:c r="AF56" t="str">
        <x:v>우선 검토</x:v>
      </x:c>
      <x:c r="AG56" t="str">
        <x:v>상권 모멘텀·서울 업종추세 강점 / 안정성 상대적 약점</x:v>
      </x:c>
    </x:row>
    <x:row r="57">
      <x:c r="A57" t="str">
        <x:v>3110129</x:v>
      </x:c>
      <x:c r="B57" t="str">
        <x:v>성원어린이공원</x:v>
      </x:c>
      <x:c r="C57" t="str">
        <x:v>골목상권</x:v>
      </x:c>
      <x:c r="D57" t="str">
        <x:v>성동구</x:v>
      </x:c>
      <x:c r="E57" t="str">
        <x:v>성수1가2동</x:v>
      </x:c>
      <x:c r="F57" t="str">
        <x:v>CS200003</x:v>
      </x:c>
      <x:c r="G57" t="str">
        <x:v>예술학원</x:v>
      </x:c>
      <x:c r="H57" t="n">
        <x:v>486479871</x:v>
      </x:c>
      <x:c r="I57" t="n">
        <x:v>448</x:v>
      </x:c>
      <x:c r="J57" t="n">
        <x:v>1085892.5691964286</x:v>
      </x:c>
      <x:c r="K57" s="14" t="n">
        <x:v>0.2251639300270627</x:v>
      </x:c>
      <x:c r="L57" s="14" t="n">
        <x:v>0.09364146198394163</x:v>
      </x:c>
      <x:c r="M57" s="14" t="n">
        <x:v>0.053788091189524545</x:v>
      </x:c>
      <x:c r="N57" t="n">
        <x:v>29</x:v>
      </x:c>
      <x:c r="O57" t="n">
        <x:v>0</x:v>
      </x:c>
      <x:c r="P57" s="14" t="n">
        <x:v>0</x:v>
      </x:c>
      <x:c r="Q57" s="14" t="n">
        <x:v>0.034482758620689655</x:v>
      </x:c>
      <x:c r="R57" s="14" t="n">
        <x:v>0.3181818181818181</x:v>
      </x:c>
      <x:c r="S57" t="n">
        <x:v>1422</x:v>
      </x:c>
      <x:c r="T57" t="n">
        <x:v>201.15145771151316</x:v>
      </x:c>
      <x:c r="U57" s="14" t="n">
        <x:v>1</x:v>
      </x:c>
      <x:c r="V57" s="14" t="n">
        <x:v>0.15239557568456927</x:v>
      </x:c>
      <x:c r="W57" s="14" t="n">
        <x:v>0.5168393637400878</x:v>
      </x:c>
      <x:c r="X57" s="14" t="n">
        <x:v>0.35857782695391316</x:v>
      </x:c>
      <x:c r="Y57" s="16" t="n">
        <x:v>91.43426294820718</x:v>
      </x:c>
      <x:c r="Z57" s="16" t="n">
        <x:v>85.68507157464212</x:v>
      </x:c>
      <x:c r="AA57" s="16" t="n">
        <x:v>88.52459016393442</x:v>
      </x:c>
      <x:c r="AB57" s="16" t="n">
        <x:v>51.59362549800797</x:v>
      </x:c>
      <x:c r="AC57" s="16" t="n">
        <x:v>73.20717131474103</x:v>
      </x:c>
      <x:c r="AD57" s="16" t="n">
        <x:v>76.15853658536585</x:v>
      </x:c>
      <x:c r="AE57" s="16" t="n">
        <x:v>81.2853826568347</x:v>
      </x:c>
      <x:c r="AF57" t="str">
        <x:v>우선 검토</x:v>
      </x:c>
      <x:c r="AG57" t="str">
        <x:v>수요·서울 업종추세 강점 / 경쟁여건 상대적 약점</x:v>
      </x:c>
    </x:row>
    <x:row r="58">
      <x:c r="A58" t="str">
        <x:v>3120224</x:v>
      </x:c>
      <x:c r="B58" t="str">
        <x:v>수서역</x:v>
      </x:c>
      <x:c r="C58" t="str">
        <x:v>발달상권</x:v>
      </x:c>
      <x:c r="D58" t="str">
        <x:v>강남구</x:v>
      </x:c>
      <x:c r="E58" t="str">
        <x:v>수서동</x:v>
      </x:c>
      <x:c r="F58" t="str">
        <x:v>CS300018</x:v>
      </x:c>
      <x:c r="G58" t="str">
        <x:v>의약품</x:v>
      </x:c>
      <x:c r="H58" t="n">
        <x:v>11718364388</x:v>
      </x:c>
      <x:c r="I58" t="n">
        <x:v>284357</x:v>
      </x:c>
      <x:c r="J58" t="n">
        <x:v>41210.04367045651</x:v>
      </x:c>
      <x:c r="K58" s="14" t="n">
        <x:v>0.29878235298804867</x:v>
      </x:c>
      <x:c r="L58" s="14" t="n">
        <x:v>0.027829225601598617</x:v>
      </x:c>
      <x:c r="M58" s="14" t="n">
        <x:v>0.02632929521123617</x:v>
      </x:c>
      <x:c r="N58" t="n">
        <x:v>30</x:v>
      </x:c>
      <x:c r="O58" t="n">
        <x:v>0</x:v>
      </x:c>
      <x:c r="P58" s="14" t="n">
        <x:v>0</x:v>
      </x:c>
      <x:c r="Q58" s="14" t="n">
        <x:v>0.03333333333333333</x:v>
      </x:c>
      <x:c r="R58" s="14" t="n">
        <x:v>0.25</x:v>
      </x:c>
      <x:c r="S58" t="n">
        <x:v>19403</x:v>
      </x:c>
      <x:c r="T58" t="n">
        <x:v>3224.0001329279035</x:v>
      </x:c>
      <x:c r="U58" s="14" t="n">
        <x:v>0.9387550364336733</x:v>
      </x:c>
      <x:c r="V58" s="14" t="n">
        <x:v>0.08772953161046557</x:v>
      </x:c>
      <x:c r="W58" s="14" t="n">
        <x:v>0.17906876049603176</x:v>
      </x:c>
      <x:c r="X58" s="14" t="n">
        <x:v>0.2759457062379242</x:v>
      </x:c>
      <x:c r="Y58" s="16" t="n">
        <x:v>96.73539518900344</x:v>
      </x:c>
      <x:c r="Z58" s="16" t="n">
        <x:v>98.95104895104895</x:v>
      </x:c>
      <x:c r="AA58" s="16" t="n">
        <x:v>72.1311475409836</x:v>
      </x:c>
      <x:c r="AB58" s="16" t="n">
        <x:v>34.5360824742268</x:v>
      </x:c>
      <x:c r="AC58" s="16" t="n">
        <x:v>66.32302405498282</x:v>
      </x:c>
      <x:c r="AD58" s="16" t="n">
        <x:v>99.63414634146342</x:v>
      </x:c>
      <x:c r="AE58" s="16" t="n">
        <x:v>81.26169233121401</x:v>
      </x:c>
      <x:c r="AF58" t="str">
        <x:v>우선 검토</x:v>
      </x:c>
      <x:c r="AG58" t="str">
        <x:v>직장수요·상권 모멘텀 강점 / 경쟁여건 상대적 약점</x:v>
      </x:c>
    </x:row>
    <x:row r="59">
      <x:c r="A59" t="str">
        <x:v>3110810</x:v>
      </x:c>
      <x:c r="B59" t="str">
        <x:v>영신초등학교</x:v>
      </x:c>
      <x:c r="C59" t="str">
        <x:v>골목상권</x:v>
      </x:c>
      <x:c r="D59" t="str">
        <x:v>영등포구</x:v>
      </x:c>
      <x:c r="E59" t="str">
        <x:v>신길1동</x:v>
      </x:c>
      <x:c r="F59" t="str">
        <x:v>CS300007</x:v>
      </x:c>
      <x:c r="G59" t="str">
        <x:v>육류판매</x:v>
      </x:c>
      <x:c r="H59" t="n">
        <x:v>2842205756</x:v>
      </x:c>
      <x:c r="I59" t="n">
        <x:v>63088</x:v>
      </x:c>
      <x:c r="J59" t="n">
        <x:v>45051.4480725336</x:v>
      </x:c>
      <x:c r="K59" s="14" t="n">
        <x:v>0.06812408998829578</x:v>
      </x:c>
      <x:c r="L59" s="14" t="n">
        <x:v>0.23518223683931017</x:v>
      </x:c>
      <x:c r="M59" s="14" t="n">
        <x:v>0.00863079289162072</x:v>
      </x:c>
      <x:c r="N59" t="n">
        <x:v>10</x:v>
      </x:c>
      <x:c r="O59" t="n">
        <x:v>0</x:v>
      </x:c>
      <x:c r="P59" s="14" t="n">
        <x:v>0</x:v>
      </x:c>
      <x:c r="Q59" s="14" t="n">
        <x:v>0</x:v>
      </x:c>
      <x:c r="R59" s="14" t="n">
        <x:v>-0.16666666666666663</x:v>
      </x:c>
      <x:c r="S59" t="n">
        <x:v>513</x:v>
      </x:c>
      <x:c r="T59" t="n">
        <x:v>43.610582154515775</x:v>
      </x:c>
      <x:c r="U59" s="14" t="n">
        <x:v>0.7715172546431224</x:v>
      </x:c>
      <x:c r="V59" s="14" t="n">
        <x:v>0.19750738728712924</x:v>
      </x:c>
      <x:c r="W59" s="14" t="n">
        <x:v>0.06369636702684942</x:v>
      </x:c>
      <x:c r="X59" s="14" t="n">
        <x:v>0.5322124085516067</x:v>
      </x:c>
      <x:c r="Y59" s="16" t="n">
        <x:v>89.35643564356435</x:v>
      </x:c>
      <x:c r="Z59" s="16" t="n">
        <x:v>73.50649350649351</x:v>
      </x:c>
      <x:c r="AA59" s="16" t="n">
        <x:v>100</x:v>
      </x:c>
      <x:c r="AB59" s="16" t="n">
        <x:v>79.45544554455445</x:v>
      </x:c>
      <x:c r="AC59" s="16" t="n">
        <x:v>66.83168316831683</x:v>
      </x:c>
      <x:c r="AD59" s="16" t="n">
        <x:v>31.463414634146343</x:v>
      </x:c>
      <x:c r="AE59" s="16" t="n">
        <x:v>81.1507070567684</x:v>
      </x:c>
      <x:c r="AF59" t="str">
        <x:v>우선 검토</x:v>
      </x:c>
      <x:c r="AG59" t="str">
        <x:v>서울 업종추세·수요 강점 / 직장수요 상대적 약점</x:v>
      </x:c>
    </x:row>
    <x:row r="60">
      <x:c r="A60" t="str">
        <x:v>3120179</x:v>
      </x:c>
      <x:c r="B60" t="str">
        <x:v>양재역</x:v>
      </x:c>
      <x:c r="C60" t="str">
        <x:v>발달상권</x:v>
      </x:c>
      <x:c r="D60" t="str">
        <x:v>서초구</x:v>
      </x:c>
      <x:c r="E60" t="str">
        <x:v>도곡1동</x:v>
      </x:c>
      <x:c r="F60" t="str">
        <x:v>CS200003</x:v>
      </x:c>
      <x:c r="G60" t="str">
        <x:v>예술학원</x:v>
      </x:c>
      <x:c r="H60" t="n">
        <x:v>889047517</x:v>
      </x:c>
      <x:c r="I60" t="n">
        <x:v>3437</x:v>
      </x:c>
      <x:c r="J60" t="n">
        <x:v>258669.62961885365</x:v>
      </x:c>
      <x:c r="K60" s="14" t="n">
        <x:v>0.7207327029916994</x:v>
      </x:c>
      <x:c r="L60" s="14" t="n">
        <x:v>0.09364146198394163</x:v>
      </x:c>
      <x:c r="M60" s="14" t="n">
        <x:v>0.053788091189524545</x:v>
      </x:c>
      <x:c r="N60" t="n">
        <x:v>46</x:v>
      </x:c>
      <x:c r="O60" t="n">
        <x:v>0</x:v>
      </x:c>
      <x:c r="P60" s="14" t="n">
        <x:v>0</x:v>
      </x:c>
      <x:c r="Q60" s="14" t="n">
        <x:v>0.021739130434782608</x:v>
      </x:c>
      <x:c r="R60" s="14" t="n">
        <x:v>0.21052631578947367</x:v>
      </x:c>
      <x:c r="S60" t="n">
        <x:v>27837</x:v>
      </x:c>
      <x:c r="T60" t="n">
        <x:v>798.9839411030267</x:v>
      </x:c>
      <x:c r="U60" s="14" t="n">
        <x:v>0.816647089291629</x:v>
      </x:c>
      <x:c r="V60" s="14" t="n">
        <x:v>0.5243698847201212</x:v>
      </x:c>
      <x:c r="W60" s="14" t="n">
        <x:v>0.49704253659143843</x:v>
      </x:c>
      <x:c r="X60" s="14" t="n">
        <x:v>0.5418063441934117</x:v>
      </x:c>
      <x:c r="Y60" s="16" t="n">
        <x:v>95.41832669322709</x:v>
      </x:c>
      <x:c r="Z60" s="16" t="n">
        <x:v>97.54601226993866</x:v>
      </x:c>
      <x:c r="AA60" s="16" t="n">
        <x:v>88.52459016393442</x:v>
      </x:c>
      <x:c r="AB60" s="16" t="n">
        <x:v>19.123505976095615</x:v>
      </x:c>
      <x:c r="AC60" s="16" t="n">
        <x:v>73.20717131474103</x:v>
      </x:c>
      <x:c r="AD60" s="16" t="n">
        <x:v>95</x:v>
      </x:c>
      <x:c r="AE60" s="16" t="n">
        <x:v>81.12354834909581</x:v>
      </x:c>
      <x:c r="AF60" t="str">
        <x:v>우선 검토</x:v>
      </x:c>
      <x:c r="AG60" t="str">
        <x:v>상권 모멘텀·수요 강점 / 경쟁여건 상대적 약점</x:v>
      </x:c>
    </x:row>
    <x:row r="61">
      <x:c r="A61" t="str">
        <x:v>3120160</x:v>
      </x:c>
      <x:c r="B61" t="str">
        <x:v>사당역(사당)</x:v>
      </x:c>
      <x:c r="C61" t="str">
        <x:v>발달상권</x:v>
      </x:c>
      <x:c r="D61" t="str">
        <x:v>서초구</x:v>
      </x:c>
      <x:c r="E61" t="str">
        <x:v>방배2동</x:v>
      </x:c>
      <x:c r="F61" t="str">
        <x:v>CS200006</x:v>
      </x:c>
      <x:c r="G61" t="str">
        <x:v>일반의원</x:v>
      </x:c>
      <x:c r="H61" t="n">
        <x:v>4020928721</x:v>
      </x:c>
      <x:c r="I61" t="n">
        <x:v>77665</x:v>
      </x:c>
      <x:c r="J61" t="n">
        <x:v>51772.725436168155</x:v>
      </x:c>
      <x:c r="K61" s="14" t="n">
        <x:v>0.12127097716339708</x:v>
      </x:c>
      <x:c r="L61" s="14" t="n">
        <x:v>0.09973642051122278</x:v>
      </x:c>
      <x:c r="M61" s="14" t="n">
        <x:v>0.06942273842247415</x:v>
      </x:c>
      <x:c r="N61" t="n">
        <x:v>16</x:v>
      </x:c>
      <x:c r="O61" t="n">
        <x:v>0</x:v>
      </x:c>
      <x:c r="P61" s="14" t="n">
        <x:v>0</x:v>
      </x:c>
      <x:c r="Q61" s="14" t="n">
        <x:v>0</x:v>
      </x:c>
      <x:c r="R61" s="14" t="n">
        <x:v>1</x:v>
      </x:c>
      <x:c r="S61" t="n">
        <x:v>12897</x:v>
      </x:c>
      <x:c r="T61" t="n">
        <x:v>507.2426717848476</x:v>
      </x:c>
      <x:c r="U61" s="14" t="n">
        <x:v>0.8376897917658959</x:v>
      </x:c>
      <x:c r="V61" s="14" t="n">
        <x:v>0.17337585925338764</x:v>
      </x:c>
      <x:c r="W61" s="14" t="n">
        <x:v>0.3824010751470369</x:v>
      </x:c>
      <x:c r="X61" s="14" t="n">
        <x:v>0.5975067534652774</x:v>
      </x:c>
      <x:c r="Y61" s="16" t="n">
        <x:v>80.07736943907156</x:v>
      </x:c>
      <x:c r="Z61" s="16" t="n">
        <x:v>86.24031007751938</x:v>
      </x:c>
      <x:c r="AA61" s="16" t="n">
        <x:v>90.1639344262295</x:v>
      </x:c>
      <x:c r="AB61" s="16" t="n">
        <x:v>76.93798449612403</x:v>
      </x:c>
      <x:c r="AC61" s="16" t="n">
        <x:v>62.5</x:v>
      </x:c>
      <x:c r="AD61" s="16" t="n">
        <x:v>90.1829268292683</x:v>
      </x:c>
      <x:c r="AE61" s="16" t="n">
        <x:v>81.09957549899538</x:v>
      </x:c>
      <x:c r="AF61" t="str">
        <x:v>우선 검토</x:v>
      </x:c>
      <x:c r="AG61" t="str">
        <x:v>직장수요·서울 업종추세 강점 / 안정성 상대적 약점</x:v>
      </x:c>
    </x:row>
    <x:row r="62">
      <x:c r="A62" t="str">
        <x:v>3120227</x:v>
      </x:c>
      <x:c r="B62" t="str">
        <x:v>잠실역</x:v>
      </x:c>
      <x:c r="C62" t="str">
        <x:v>발달상권</x:v>
      </x:c>
      <x:c r="D62" t="str">
        <x:v>송파구</x:v>
      </x:c>
      <x:c r="E62" t="str">
        <x:v>잠실6동</x:v>
      </x:c>
      <x:c r="F62" t="str">
        <x:v>CS200028</x:v>
      </x:c>
      <x:c r="G62" t="str">
        <x:v>미용실</x:v>
      </x:c>
      <x:c r="H62" t="n">
        <x:v>4258223886</x:v>
      </x:c>
      <x:c r="I62" t="n">
        <x:v>36834</x:v>
      </x:c>
      <x:c r="J62" t="n">
        <x:v>115605.79589509692</x:v>
      </x:c>
      <x:c r="K62" s="14" t="n">
        <x:v>0.07190985042498954</x:v>
      </x:c>
      <x:c r="L62" s="14" t="n">
        <x:v>0.02168887159425803</x:v>
      </x:c>
      <x:c r="M62" s="14" t="n">
        <x:v>-0.013481964371473865</x:v>
      </x:c>
      <x:c r="N62" t="n">
        <x:v>48</x:v>
      </x:c>
      <x:c r="O62" t="n">
        <x:v>0</x:v>
      </x:c>
      <x:c r="P62" s="14" t="n">
        <x:v>0</x:v>
      </x:c>
      <x:c r="Q62" s="14" t="n">
        <x:v>0.125</x:v>
      </x:c>
      <x:c r="R62" s="14" t="n">
        <x:v>0.11627906976744184</x:v>
      </x:c>
      <x:c r="S62" t="n">
        <x:v>110575</x:v>
      </x:c>
      <x:c r="T62" t="n">
        <x:v>2098.727003209539</x:v>
      </x:c>
      <x:c r="U62" s="14" t="n">
        <x:v>0.5885751494279228</x:v>
      </x:c>
      <x:c r="V62" s="14" t="n">
        <x:v>0.2923640732214896</x:v>
      </x:c>
      <x:c r="W62" s="14" t="n">
        <x:v>0.2404551663820149</x:v>
      </x:c>
      <x:c r="X62" s="14" t="n">
        <x:v>0.6052777282269934</x:v>
      </x:c>
      <x:c r="Y62" s="16" t="n">
        <x:v>99.55237242614145</x:v>
      </x:c>
      <x:c r="Z62" s="16" t="n">
        <x:v>77.15827338129496</x:v>
      </x:c>
      <x:c r="AA62" s="16" t="n">
        <x:v>57.377049180327866</x:v>
      </x:c>
      <x:c r="AB62" s="16" t="n">
        <x:v>64.54789615040286</x:v>
      </x:c>
      <x:c r="AC62" s="16" t="n">
        <x:v>75.60429722470904</x:v>
      </x:c>
      <x:c r="AD62" s="16" t="n">
        <x:v>98.90243902439025</x:v>
      </x:c>
      <x:c r="AE62" s="16" t="n">
        <x:v>81.06927849870851</x:v>
      </x:c>
      <x:c r="AF62" t="str">
        <x:v>우선 검토</x:v>
      </x:c>
      <x:c r="AG62" t="str">
        <x:v>수요·직장수요 강점 / 서울 업종추세 상대적 약점</x:v>
      </x:c>
    </x:row>
    <x:row r="63">
      <x:c r="A63" t="str">
        <x:v>3120069</x:v>
      </x:c>
      <x:c r="B63" t="str">
        <x:v>상봉역</x:v>
      </x:c>
      <x:c r="C63" t="str">
        <x:v>발달상권</x:v>
      </x:c>
      <x:c r="D63" t="str">
        <x:v>중랑구</x:v>
      </x:c>
      <x:c r="E63" t="str">
        <x:v>상봉2동</x:v>
      </x:c>
      <x:c r="F63" t="str">
        <x:v>CS100006</x:v>
      </x:c>
      <x:c r="G63" t="str">
        <x:v>패스트푸드점</x:v>
      </x:c>
      <x:c r="H63" t="n">
        <x:v>5289046992</x:v>
      </x:c>
      <x:c r="I63" t="n">
        <x:v>560644</x:v>
      </x:c>
      <x:c r="J63" t="n">
        <x:v>9433.877811944834</x:v>
      </x:c>
      <x:c r="K63" s="14" t="n">
        <x:v>3.34017035883931</x:v>
      </x:c>
      <x:c r="L63" s="14" t="n">
        <x:v>0.0037102725933797487</x:v>
      </x:c>
      <x:c r="M63" s="14" t="n">
        <x:v>0.011474434125836375</x:v>
      </x:c>
      <x:c r="N63" t="n">
        <x:v>18</x:v>
      </x:c>
      <x:c r="O63" t="n">
        <x:v>0</x:v>
      </x:c>
      <x:c r="P63" s="14" t="n">
        <x:v>0</x:v>
      </x:c>
      <x:c r="Q63" s="14" t="n">
        <x:v>0.6666666666666666</x:v>
      </x:c>
      <x:c r="R63" s="14" t="n">
        <x:v>0.3846153846153846</x:v>
      </x:c>
      <x:c r="S63" t="n">
        <x:v>2554</x:v>
      </x:c>
      <x:c r="T63" t="n">
        <x:v>124.08418679674291</x:v>
      </x:c>
      <x:c r="U63" s="14" t="n">
        <x:v>0.6781813333149527</x:v>
      </x:c>
      <x:c r="V63" s="14" t="n">
        <x:v>0.373481139038441</x:v>
      </x:c>
      <x:c r="W63" s="14" t="n">
        <x:v>0.44963890594980743</x:v>
      </x:c>
      <x:c r="X63" s="14" t="n">
        <x:v>0.5949583898119392</x:v>
      </x:c>
      <x:c r="Y63" s="16" t="n">
        <x:v>99.50124688279301</x:v>
      </x:c>
      <x:c r="Z63" s="16" t="n">
        <x:v>100</x:v>
      </x:c>
      <x:c r="AA63" s="16" t="n">
        <x:v>44.26229508196721</x:v>
      </x:c>
      <x:c r="AB63" s="16" t="n">
        <x:v>56.733167082294266</x:v>
      </x:c>
      <x:c r="AC63" s="16" t="n">
        <x:v>78.30423940149626</x:v>
      </x:c>
      <x:c r="AD63" s="16" t="n">
        <x:v>64.8170731707317</x:v>
      </x:c>
      <x:c r="AE63" s="16" t="n">
        <x:v>81.04603333230298</x:v>
      </x:c>
      <x:c r="AF63" t="str">
        <x:v>우선 검토</x:v>
      </x:c>
      <x:c r="AG63" t="str">
        <x:v>상권 모멘텀·수요 강점 / 서울 업종추세 상대적 약점</x:v>
      </x:c>
    </x:row>
    <x:row r="64">
      <x:c r="A64" t="str">
        <x:v>3110460</x:v>
      </x:c>
      <x:c r="B64" t="str">
        <x:v>구산역 4번</x:v>
      </x:c>
      <x:c r="C64" t="str">
        <x:v>골목상권</x:v>
      </x:c>
      <x:c r="D64" t="str">
        <x:v>은평구</x:v>
      </x:c>
      <x:c r="E64" t="str">
        <x:v>갈현2동</x:v>
      </x:c>
      <x:c r="F64" t="str">
        <x:v>CS300010</x:v>
      </x:c>
      <x:c r="G64" t="str">
        <x:v>반찬가게</x:v>
      </x:c>
      <x:c r="H64" t="n">
        <x:v>4682121224</x:v>
      </x:c>
      <x:c r="I64" t="n">
        <x:v>363830</x:v>
      </x:c>
      <x:c r="J64" t="n">
        <x:v>12868.980633812494</x:v>
      </x:c>
      <x:c r="K64" s="14" t="n">
        <x:v>6.4060249285748805</x:v>
      </x:c>
      <x:c r="L64" s="14" t="n">
        <x:v>0.02346021551670452</x:v>
      </x:c>
      <x:c r="M64" s="14" t="n">
        <x:v>0.024589273784872745</x:v>
      </x:c>
      <x:c r="N64" t="n">
        <x:v>22</x:v>
      </x:c>
      <x:c r="O64" t="n">
        <x:v>0</x:v>
      </x:c>
      <x:c r="P64" s="14" t="n">
        <x:v>0</x:v>
      </x:c>
      <x:c r="Q64" s="14" t="n">
        <x:v>0.045454545454545456</x:v>
      </x:c>
      <x:c r="R64" s="14" t="n">
        <x:v>0.04761904761904767</x:v>
      </x:c>
      <x:c r="S64" t="n">
        <x:v>887</x:v>
      </x:c>
      <x:c r="T64" t="n">
        <x:v>59.48947700232056</x:v>
      </x:c>
      <x:c r="U64" s="14" t="n">
        <x:v>0.7061794515382671</x:v>
      </x:c>
      <x:c r="V64" s="14" t="n">
        <x:v>0.41033271867289867</x:v>
      </x:c>
      <x:c r="W64" s="14" t="n">
        <x:v>0.10075334649216677</x:v>
      </x:c>
      <x:c r="X64" s="14" t="n">
        <x:v>0.6875516358907499</x:v>
      </x:c>
      <x:c r="Y64" s="16" t="n">
        <x:v>92.4812030075188</x:v>
      </x:c>
      <x:c r="Z64" s="16" t="n">
        <x:v>100</x:v>
      </x:c>
      <x:c r="AA64" s="16" t="n">
        <x:v>63.9344262295082</x:v>
      </x:c>
      <x:c r="AB64" s="16" t="n">
        <x:v>63.53383458646616</x:v>
      </x:c>
      <x:c r="AC64" s="16" t="n">
        <x:v>73.93483709273183</x:v>
      </x:c>
      <x:c r="AD64" s="16" t="n">
        <x:v>42.74390243902439</x:v>
      </x:c>
      <x:c r="AE64" s="16" t="n">
        <x:v>81.01933900625214</x:v>
      </x:c>
      <x:c r="AF64" t="str">
        <x:v>우선 검토</x:v>
      </x:c>
      <x:c r="AG64" t="str">
        <x:v>상권 모멘텀·수요 강점 / 직장수요 상대적 약점</x:v>
      </x:c>
    </x:row>
    <x:row r="65">
      <x:c r="A65" t="str">
        <x:v>3120018</x:v>
      </x:c>
      <x:c r="B65" t="str">
        <x:v>중림동</x:v>
      </x:c>
      <x:c r="C65" t="str">
        <x:v>발달상권</x:v>
      </x:c>
      <x:c r="D65" t="str">
        <x:v>중구</x:v>
      </x:c>
      <x:c r="E65" t="str">
        <x:v>중림동</x:v>
      </x:c>
      <x:c r="F65" t="str">
        <x:v>CS300028</x:v>
      </x:c>
      <x:c r="G65" t="str">
        <x:v>화초</x:v>
      </x:c>
      <x:c r="H65" t="n">
        <x:v>726202225</x:v>
      </x:c>
      <x:c r="I65" t="n">
        <x:v>16154</x:v>
      </x:c>
      <x:c r="J65" t="n">
        <x:v>44954.947690974375</x:v>
      </x:c>
      <x:c r="K65" s="14" t="n">
        <x:v>0.0015841584094984373</x:v>
      </x:c>
      <x:c r="L65" s="14" t="n">
        <x:v>0.028008199294863756</x:v>
      </x:c>
      <x:c r="M65" s="14" t="n">
        <x:v>-0.0030123365554672876</x:v>
      </x:c>
      <x:c r="N65" t="n">
        <x:v>10</x:v>
      </x:c>
      <x:c r="O65" t="n">
        <x:v>0</x:v>
      </x:c>
      <x:c r="P65" s="14" t="n">
        <x:v>0</x:v>
      </x:c>
      <x:c r="Q65" s="14" t="n">
        <x:v>0</x:v>
      </x:c>
      <x:c r="R65" s="14" t="n">
        <x:v>-0.09090909090909094</x:v>
      </x:c>
      <x:c r="S65" t="n">
        <x:v>4265</x:v>
      </x:c>
      <x:c r="T65" t="n">
        <x:v>294.7823863204385</x:v>
      </x:c>
      <x:c r="U65" s="14" t="n">
        <x:v>0.9312471329869583</x:v>
      </x:c>
      <x:c r="V65" s="14" t="n">
        <x:v>0.22480680777313786</x:v>
      </x:c>
      <x:c r="W65" s="14" t="n">
        <x:v>0.07616155403544791</x:v>
      </x:c>
      <x:c r="X65" s="14" t="n">
        <x:v>0.13325578835840113</x:v>
      </x:c>
      <x:c r="Y65" s="16" t="n">
        <x:v>95.97315436241611</x:v>
      </x:c>
      <x:c r="Z65" s="16" t="n">
        <x:v>68.15068493150685</x:v>
      </x:c>
      <x:c r="AA65" s="16" t="n">
        <x:v>73.77049180327869</x:v>
      </x:c>
      <x:c r="AB65" s="16" t="n">
        <x:v>79.19463087248322</x:v>
      </x:c>
      <x:c r="AC65" s="16" t="n">
        <x:v>66.7785234899329</x:v>
      </x:c>
      <x:c r="AD65" s="16" t="n">
        <x:v>83.47560975609755</x:v>
      </x:c>
      <x:c r="AE65" s="16" t="n">
        <x:v>81.01714225130945</x:v>
      </x:c>
      <x:c r="AF65" t="str">
        <x:v>우선 검토</x:v>
      </x:c>
      <x:c r="AG65" t="str">
        <x:v>수요·직장수요 강점 / 안정성 상대적 약점</x:v>
      </x:c>
    </x:row>
    <x:row r="66">
      <x:c r="A66" t="str">
        <x:v>3001492</x:v>
      </x:c>
      <x:c r="B66" t="str">
        <x:v>명동 남대문 북창동 다동 무교동 관광특구</x:v>
      </x:c>
      <x:c r="C66" t="str">
        <x:v>관광특구</x:v>
      </x:c>
      <x:c r="D66" t="str">
        <x:v>중구</x:v>
      </x:c>
      <x:c r="E66" t="str">
        <x:v>소공동</x:v>
      </x:c>
      <x:c r="F66" t="str">
        <x:v>CS300028</x:v>
      </x:c>
      <x:c r="G66" t="str">
        <x:v>화초</x:v>
      </x:c>
      <x:c r="H66" t="n">
        <x:v>3964346700</x:v>
      </x:c>
      <x:c r="I66" t="n">
        <x:v>57768</x:v>
      </x:c>
      <x:c r="J66" t="n">
        <x:v>68625.30639800582</x:v>
      </x:c>
      <x:c r="K66" s="14" t="n">
        <x:v>0.07280764042654275</x:v>
      </x:c>
      <x:c r="L66" s="14" t="n">
        <x:v>0.028008199294863756</x:v>
      </x:c>
      <x:c r="M66" s="14" t="n">
        <x:v>-0.0030123365554672876</x:v>
      </x:c>
      <x:c r="N66" t="n">
        <x:v>21</x:v>
      </x:c>
      <x:c r="O66" t="n">
        <x:v>0</x:v>
      </x:c>
      <x:c r="P66" s="14" t="n">
        <x:v>0</x:v>
      </x:c>
      <x:c r="Q66" s="14" t="n">
        <x:v>0.047619047619047616</x:v>
      </x:c>
      <x:c r="R66" s="14" t="n">
        <x:v>-0.08695652173913049</x:v>
      </x:c>
      <x:c r="S66" t="n">
        <x:v>199667</x:v>
      </x:c>
      <x:c r="T66" t="n">
        <x:v>2029.9242185482574</x:v>
      </x:c>
      <x:c r="U66" s="14" t="n">
        <x:v>0.9576144319062709</x:v>
      </x:c>
      <x:c r="V66" s="14" t="n">
        <x:v>0.08835251669587829</x:v>
      </x:c>
      <x:c r="W66" s="14" t="n">
        <x:v>0.14557237665414077</x:v>
      </x:c>
      <x:c r="X66" s="14" t="n">
        <x:v>0.3714738698308097</x:v>
      </x:c>
      <x:c r="Y66" s="16" t="n">
        <x:v>99.66442953020135</x:v>
      </x:c>
      <x:c r="Z66" s="16" t="n">
        <x:v>81.84931506849315</x:v>
      </x:c>
      <x:c r="AA66" s="16" t="n">
        <x:v>73.77049180327869</x:v>
      </x:c>
      <x:c r="AB66" s="16" t="n">
        <x:v>46.644295302013425</x:v>
      </x:c>
      <x:c r="AC66" s="16" t="n">
        <x:v>66.7785234899329</x:v>
      </x:c>
      <x:c r="AD66" s="16" t="n">
        <x:v>98.84146341463415</x:v>
      </x:c>
      <x:c r="AE66" s="16" t="n">
        <x:v>80.9345569347879</x:v>
      </x:c>
      <x:c r="AF66" t="str">
        <x:v>우선 검토</x:v>
      </x:c>
      <x:c r="AG66" t="str">
        <x:v>수요·직장수요 강점 / 경쟁여건 상대적 약점</x:v>
      </x:c>
    </x:row>
    <x:row r="67">
      <x:c r="A67" t="str">
        <x:v>3120173</x:v>
      </x:c>
      <x:c r="B67" t="str">
        <x:v>교대역(법원.검찰청)</x:v>
      </x:c>
      <x:c r="C67" t="str">
        <x:v>발달상권</x:v>
      </x:c>
      <x:c r="D67" t="str">
        <x:v>서초구</x:v>
      </x:c>
      <x:c r="E67" t="str">
        <x:v>서초1동</x:v>
      </x:c>
      <x:c r="F67" t="str">
        <x:v>CS300020</x:v>
      </x:c>
      <x:c r="G67" t="str">
        <x:v>서적</x:v>
      </x:c>
      <x:c r="H67" t="n">
        <x:v>657020023</x:v>
      </x:c>
      <x:c r="I67" t="n">
        <x:v>2654</x:v>
      </x:c>
      <x:c r="J67" t="n">
        <x:v>247558.4110776187</x:v>
      </x:c>
      <x:c r="K67" s="14" t="n">
        <x:v>0.3930392637949056</x:v>
      </x:c>
      <x:c r="L67" s="14" t="n">
        <x:v>0.20039418624921757</x:v>
      </x:c>
      <x:c r="M67" s="14" t="n">
        <x:v>-0.01061516125540185</x:v>
      </x:c>
      <x:c r="N67" t="n">
        <x:v>17</x:v>
      </x:c>
      <x:c r="O67" t="n">
        <x:v>0</x:v>
      </x:c>
      <x:c r="P67" s="14" t="n">
        <x:v>0</x:v>
      </x:c>
      <x:c r="Q67" s="14" t="n">
        <x:v>0</x:v>
      </x:c>
      <x:c r="R67" s="14" t="n">
        <x:v>-0.15000000000000002</x:v>
      </x:c>
      <x:c r="S67" t="n">
        <x:v>33675</x:v>
      </x:c>
      <x:c r="T67" t="n">
        <x:v>849.2400341965697</x:v>
      </x:c>
      <x:c r="U67" s="14" t="n">
        <x:v>0.9923786371423874</x:v>
      </x:c>
      <x:c r="V67" s="14" t="n">
        <x:v>0.38490508226109266</x:v>
      </x:c>
      <x:c r="W67" s="14" t="n">
        <x:v>0.009989190238118511</x:v>
      </x:c>
      <x:c r="X67" s="14" t="n">
        <x:v>0.7543522840246834</x:v>
      </x:c>
      <x:c r="Y67" s="16" t="n">
        <x:v>86.57718120805369</x:v>
      </x:c>
      <x:c r="Z67" s="16" t="n">
        <x:v>95.71428571428571</x:v>
      </x:c>
      <x:c r="AA67" s="16" t="n">
        <x:v>96.72131147540983</x:v>
      </x:c>
      <x:c r="AB67" s="16" t="n">
        <x:v>41.61073825503356</x:v>
      </x:c>
      <x:c r="AC67" s="16" t="n">
        <x:v>59.395973154362416</x:v>
      </x:c>
      <x:c r="AD67" s="16" t="n">
        <x:v>95.91463414634147</x:v>
      </x:c>
      <x:c r="AE67" s="16" t="n">
        <x:v>80.93000704799576</x:v>
      </x:c>
      <x:c r="AF67" t="str">
        <x:v>우선 검토</x:v>
      </x:c>
      <x:c r="AG67" t="str">
        <x:v>서울 업종추세·직장수요 강점 / 경쟁여건 상대적 약점</x:v>
      </x:c>
    </x:row>
    <x:row r="68">
      <x:c r="A68" t="str">
        <x:v>3120167</x:v>
      </x:c>
      <x:c r="B68" t="str">
        <x:v>고속터미널(고속터미널역)</x:v>
      </x:c>
      <x:c r="C68" t="str">
        <x:v>발달상권</x:v>
      </x:c>
      <x:c r="D68" t="str">
        <x:v>서초구</x:v>
      </x:c>
      <x:c r="E68" t="str">
        <x:v>반포4동</x:v>
      </x:c>
      <x:c r="F68" t="str">
        <x:v>CS200028</x:v>
      </x:c>
      <x:c r="G68" t="str">
        <x:v>미용실</x:v>
      </x:c>
      <x:c r="H68" t="n">
        <x:v>853323056</x:v>
      </x:c>
      <x:c r="I68" t="n">
        <x:v>8579</x:v>
      </x:c>
      <x:c r="J68" t="n">
        <x:v>99466.49446322415</x:v>
      </x:c>
      <x:c r="K68" s="14" t="n">
        <x:v>0.08718762361782995</x:v>
      </x:c>
      <x:c r="L68" s="14" t="n">
        <x:v>0.02168887159425803</x:v>
      </x:c>
      <x:c r="M68" s="14" t="n">
        <x:v>-0.013481964371473865</x:v>
      </x:c>
      <x:c r="N68" t="n">
        <x:v>48</x:v>
      </x:c>
      <x:c r="O68" t="n">
        <x:v>0</x:v>
      </x:c>
      <x:c r="P68" s="14" t="n">
        <x:v>0</x:v>
      </x:c>
      <x:c r="Q68" s="14" t="n">
        <x:v>0.1875</x:v>
      </x:c>
      <x:c r="R68" s="14" t="n">
        <x:v>0.23076923076923084</x:v>
      </x:c>
      <x:c r="S68" t="n">
        <x:v>26897</x:v>
      </x:c>
      <x:c r="T68" t="n">
        <x:v>838.3959602886398</x:v>
      </x:c>
      <x:c r="U68" s="14" t="n">
        <x:v>0.6015523047111949</x:v>
      </x:c>
      <x:c r="V68" s="14" t="n">
        <x:v>0.2743979918901898</x:v>
      </x:c>
      <x:c r="W68" s="14" t="n">
        <x:v>0.12990320397483787</x:v>
      </x:c>
      <x:c r="X68" s="14" t="n">
        <x:v>0.5134117142617086</x:v>
      </x:c>
      <x:c r="Y68" s="16" t="n">
        <x:v>96.15040286481647</x:v>
      </x:c>
      <x:c r="Z68" s="16" t="n">
        <x:v>83.00359712230215</x:v>
      </x:c>
      <x:c r="AA68" s="16" t="n">
        <x:v>57.377049180327866</x:v>
      </x:c>
      <x:c r="AB68" s="16" t="n">
        <x:v>64.54789615040286</x:v>
      </x:c>
      <x:c r="AC68" s="16" t="n">
        <x:v>75.60429722470904</x:v>
      </x:c>
      <x:c r="AD68" s="16" t="n">
        <x:v>95.42682926829268</x:v>
      </x:c>
      <x:c r="AE68" s="16" t="n">
        <x:v>80.87387341264133</x:v>
      </x:c>
      <x:c r="AF68" t="str">
        <x:v>우선 검토</x:v>
      </x:c>
      <x:c r="AG68" t="str">
        <x:v>수요·직장수요 강점 / 서울 업종추세 상대적 약점</x:v>
      </x:c>
    </x:row>
    <x:row r="69">
      <x:c r="A69" t="str">
        <x:v>3110376</x:v>
      </x:c>
      <x:c r="B69" t="str">
        <x:v>수송초등학교</x:v>
      </x:c>
      <x:c r="C69" t="str">
        <x:v>골목상권</x:v>
      </x:c>
      <x:c r="D69" t="str">
        <x:v>강북구</x:v>
      </x:c>
      <x:c r="E69" t="str">
        <x:v>번1동</x:v>
      </x:c>
      <x:c r="F69" t="str">
        <x:v>CS300009</x:v>
      </x:c>
      <x:c r="G69" t="str">
        <x:v>청과상</x:v>
      </x:c>
      <x:c r="H69" t="n">
        <x:v>3355398611</x:v>
      </x:c>
      <x:c r="I69" t="n">
        <x:v>9493</x:v>
      </x:c>
      <x:c r="J69" t="n">
        <x:v>353460.29821974086</x:v>
      </x:c>
      <x:c r="K69" s="14" t="n">
        <x:v>0.13842716579402103</x:v>
      </x:c>
      <x:c r="L69" s="14" t="n">
        <x:v>0.19728256051488424</x:v>
      </x:c>
      <x:c r="M69" s="14" t="n">
        <x:v>0.09797365727115581</x:v>
      </x:c>
      <x:c r="N69" t="n">
        <x:v>12</x:v>
      </x:c>
      <x:c r="O69" t="n">
        <x:v>0</x:v>
      </x:c>
      <x:c r="P69" s="14" t="n">
        <x:v>0</x:v>
      </x:c>
      <x:c r="Q69" s="14" t="n">
        <x:v>0</x:v>
      </x:c>
      <x:c r="R69" s="14" t="n">
        <x:v>0</x:v>
      </x:c>
      <x:c r="S69" t="n">
        <x:v>238</x:v>
      </x:c>
      <x:c r="T69" t="n">
        <x:v>11.391484147648951</x:v>
      </x:c>
      <x:c r="U69" s="14" t="n">
        <x:v>0.8904279915373667</x:v>
      </x:c>
      <x:c r="V69" s="14" t="n">
        <x:v>0.26003839279767765</x:v>
      </x:c>
      <x:c r="W69" s="14" t="n">
        <x:v>0.21341736586896382</x:v>
      </x:c>
      <x:c r="X69" s="14" t="n">
        <x:v>0.019665434319392106</x:v>
      </x:c>
      <x:c r="Y69" s="16" t="n">
        <x:v>90.10989010989012</x:v>
      </x:c>
      <x:c r="Z69" s="16" t="n">
        <x:v>81.29770992366412</x:v>
      </x:c>
      <x:c r="AA69" s="16" t="n">
        <x:v>95.08196721311475</x:v>
      </x:c>
      <x:c r="AB69" s="16" t="n">
        <x:v>76.55677655677655</x:v>
      </x:c>
      <x:c r="AC69" s="16" t="n">
        <x:v>69.5970695970696</x:v>
      </x:c>
      <x:c r="AD69" s="16" t="n">
        <x:v>5.548780487804878</x:v>
      </x:c>
      <x:c r="AE69" s="16" t="n">
        <x:v>80.78096107277527</x:v>
      </x:c>
      <x:c r="AF69" t="str">
        <x:v>우선 검토</x:v>
      </x:c>
      <x:c r="AG69" t="str">
        <x:v>서울 업종추세·수요 강점 / 직장수요 상대적 약점</x:v>
      </x:c>
    </x:row>
    <x:row r="70">
      <x:c r="A70" t="str">
        <x:v>3130261</x:v>
      </x:c>
      <x:c r="B70" t="str">
        <x:v>성대전통시장(성대시장)</x:v>
      </x:c>
      <x:c r="C70" t="str">
        <x:v>전통시장</x:v>
      </x:c>
      <x:c r="D70" t="str">
        <x:v>동작구</x:v>
      </x:c>
      <x:c r="E70" t="str">
        <x:v>상도3동</x:v>
      </x:c>
      <x:c r="F70" t="str">
        <x:v>CS300007</x:v>
      </x:c>
      <x:c r="G70" t="str">
        <x:v>육류판매</x:v>
      </x:c>
      <x:c r="H70" t="n">
        <x:v>5323213289</x:v>
      </x:c>
      <x:c r="I70" t="n">
        <x:v>141863</x:v>
      </x:c>
      <x:c r="J70" t="n">
        <x:v>37523.61989384124</x:v>
      </x:c>
      <x:c r="K70" s="14" t="n">
        <x:v>0.04453334092632577</x:v>
      </x:c>
      <x:c r="L70" s="14" t="n">
        <x:v>0.23518223683931017</x:v>
      </x:c>
      <x:c r="M70" s="14" t="n">
        <x:v>0.00863079289162072</x:v>
      </x:c>
      <x:c r="N70" t="n">
        <x:v>11</x:v>
      </x:c>
      <x:c r="O70" t="n">
        <x:v>0</x:v>
      </x:c>
      <x:c r="P70" s="14" t="n">
        <x:v>0</x:v>
      </x:c>
      <x:c r="Q70" s="14" t="n">
        <x:v>0</x:v>
      </x:c>
      <x:c r="R70" s="14" t="n">
        <x:v>-0.15384615384615385</x:v>
      </x:c>
      <x:c r="S70" t="n">
        <x:v>389</x:v>
      </x:c>
      <x:c r="T70" t="n">
        <x:v>73.26904241693664</x:v>
      </x:c>
      <x:c r="U70" s="14" t="n">
        <x:v>0.6955587856400844</x:v>
      </x:c>
      <x:c r="V70" s="14" t="n">
        <x:v>0.2419341268292359</x:v>
      </x:c>
      <x:c r="W70" s="14" t="n">
        <x:v>0.1098621096412731</x:v>
      </x:c>
      <x:c r="X70" s="14" t="n">
        <x:v>0.6327752808553676</x:v>
      </x:c>
      <x:c r="Y70" s="16" t="n">
        <x:v>94.3069306930693</x:v>
      </x:c>
      <x:c r="Z70" s="16" t="n">
        <x:v>61.81818181818182</x:v>
      </x:c>
      <x:c r="AA70" s="16" t="n">
        <x:v>100</x:v>
      </x:c>
      <x:c r="AB70" s="16" t="n">
        <x:v>75</x:v>
      </x:c>
      <x:c r="AC70" s="16" t="n">
        <x:v>66.83168316831683</x:v>
      </x:c>
      <x:c r="AD70" s="16" t="n">
        <x:v>48.96341463414634</x:v>
      </x:c>
      <x:c r="AE70" s="16" t="n">
        <x:v>80.75240115474962</x:v>
      </x:c>
      <x:c r="AF70" t="str">
        <x:v>우선 검토</x:v>
      </x:c>
      <x:c r="AG70" t="str">
        <x:v>서울 업종추세·수요 강점 / 직장수요 상대적 약점</x:v>
      </x:c>
    </x:row>
    <x:row r="71">
      <x:c r="A71" t="str">
        <x:v>3130310</x:v>
      </x:c>
      <x:c r="B71" t="str">
        <x:v>강남개포시장</x:v>
      </x:c>
      <x:c r="C71" t="str">
        <x:v>전통시장</x:v>
      </x:c>
      <x:c r="D71" t="str">
        <x:v>강남구</x:v>
      </x:c>
      <x:c r="E71" t="str">
        <x:v>개포2동</x:v>
      </x:c>
      <x:c r="F71" t="str">
        <x:v>CS100008</x:v>
      </x:c>
      <x:c r="G71" t="str">
        <x:v>분식전문점</x:v>
      </x:c>
      <x:c r="H71" t="n">
        <x:v>2248906560</x:v>
      </x:c>
      <x:c r="I71" t="n">
        <x:v>254357</x:v>
      </x:c>
      <x:c r="J71" t="n">
        <x:v>8841.535951438333</x:v>
      </x:c>
      <x:c r="K71" s="14" t="n">
        <x:v>0.1596995737244271</x:v>
      </x:c>
      <x:c r="L71" s="14" t="n">
        <x:v>-0.021494731595524064</x:v>
      </x:c>
      <x:c r="M71" s="14" t="n">
        <x:v>0.009923521656473921</x:v>
      </x:c>
      <x:c r="N71" t="n">
        <x:v>23</x:v>
      </x:c>
      <x:c r="O71" t="n">
        <x:v>0</x:v>
      </x:c>
      <x:c r="P71" s="14" t="n">
        <x:v>0</x:v>
      </x:c>
      <x:c r="Q71" s="14" t="n">
        <x:v>0.2608695652173913</x:v>
      </x:c>
      <x:c r="R71" s="14" t="n">
        <x:v>0.9166666666666667</x:v>
      </x:c>
      <x:c r="S71" t="n">
        <x:v>5643</x:v>
      </x:c>
      <x:c r="T71" t="n">
        <x:v>2224.806812805551</x:v>
      </x:c>
      <x:c r="U71" s="14" t="n">
        <x:v>0.6489274681114363</x:v>
      </x:c>
      <x:c r="V71" s="14" t="n">
        <x:v>0.380332541695285</x:v>
      </x:c>
      <x:c r="W71" s="14" t="n">
        <x:v>0.16710280839769528</x:v>
      </x:c>
      <x:c r="X71" s="14" t="n">
        <x:v>0.4527316132689835</x:v>
      </x:c>
      <x:c r="Y71" s="16" t="n">
        <x:v>97.83163265306122</x:v>
      </x:c>
      <x:c r="Z71" s="16" t="n">
        <x:v>87.98955613577023</x:v>
      </x:c>
      <x:c r="AA71" s="16" t="n">
        <x:v>34.42622950819672</x:v>
      </x:c>
      <x:c r="AB71" s="16" t="n">
        <x:v>69.83418367346938</x:v>
      </x:c>
      <x:c r="AC71" s="16" t="n">
        <x:v>82.71683673469389</x:v>
      </x:c>
      <x:c r="AD71" s="16" t="n">
        <x:v>99.14634146341463</x:v>
      </x:c>
      <x:c r="AE71" s="16" t="n">
        <x:v>80.7070453796155</x:v>
      </x:c>
      <x:c r="AF71" t="str">
        <x:v>우선 검토</x:v>
      </x:c>
      <x:c r="AG71" t="str">
        <x:v>직장수요·수요 강점 / 서울 업종추세 상대적 약점</x:v>
      </x:c>
    </x:row>
    <x:row r="72">
      <x:c r="A72" t="str">
        <x:v>3120153</x:v>
      </x:c>
      <x:c r="B72" t="str">
        <x:v>노량진역(노량진)</x:v>
      </x:c>
      <x:c r="C72" t="str">
        <x:v>발달상권</x:v>
      </x:c>
      <x:c r="D72" t="str">
        <x:v>동작구</x:v>
      </x:c>
      <x:c r="E72" t="str">
        <x:v>노량진1동</x:v>
      </x:c>
      <x:c r="F72" t="str">
        <x:v>CS200003</x:v>
      </x:c>
      <x:c r="G72" t="str">
        <x:v>예술학원</x:v>
      </x:c>
      <x:c r="H72" t="n">
        <x:v>1377467377</x:v>
      </x:c>
      <x:c r="I72" t="n">
        <x:v>1230</x:v>
      </x:c>
      <x:c r="J72" t="n">
        <x:v>1119892.1764227643</x:v>
      </x:c>
      <x:c r="K72" s="14" t="n">
        <x:v>0.94749683431266</x:v>
      </x:c>
      <x:c r="L72" s="14" t="n">
        <x:v>0.09364146198394163</x:v>
      </x:c>
      <x:c r="M72" s="14" t="n">
        <x:v>0.053788091189524545</x:v>
      </x:c>
      <x:c r="N72" t="n">
        <x:v>29</x:v>
      </x:c>
      <x:c r="O72" t="n">
        <x:v>1</x:v>
      </x:c>
      <x:c r="P72" s="14" t="n">
        <x:v>0.029411764705882353</x:v>
      </x:c>
      <x:c r="Q72" s="14" t="n">
        <x:v>0.034482758620689655</x:v>
      </x:c>
      <x:c r="R72" s="14" t="n">
        <x:v>0.20833333333333326</x:v>
      </x:c>
      <x:c r="S72" t="n">
        <x:v>5349</x:v>
      </x:c>
      <x:c r="T72" t="n">
        <x:v>120.5202038636763</x:v>
      </x:c>
      <x:c r="U72" s="14" t="n">
        <x:v>0.5189847606822852</x:v>
      </x:c>
      <x:c r="V72" s="14" t="n">
        <x:v>0.19047932704688658</x:v>
      </x:c>
      <x:c r="W72" s="14" t="n">
        <x:v>0.28413557630120195</x:v>
      </x:c>
      <x:c r="X72" s="14" t="n">
        <x:v>0.6423076696937267</x:v>
      </x:c>
      <x:c r="Y72" s="16" t="n">
        <x:v>97.41035856573706</x:v>
      </x:c>
      <x:c r="Z72" s="16" t="n">
        <x:v>98.77300613496932</x:v>
      </x:c>
      <x:c r="AA72" s="16" t="n">
        <x:v>88.52459016393442</x:v>
      </x:c>
      <x:c r="AB72" s="16" t="n">
        <x:v>51.59362549800797</x:v>
      </x:c>
      <x:c r="AC72" s="16" t="n">
        <x:v>25.996015936254977</x:v>
      </x:c>
      <x:c r="AD72" s="16" t="n">
        <x:v>63.96341463414634</x:v>
      </x:c>
      <x:c r="AE72" s="16" t="n">
        <x:v>80.66373139962602</x:v>
      </x:c>
      <x:c r="AF72" t="str">
        <x:v>우선 검토</x:v>
      </x:c>
      <x:c r="AG72" t="str">
        <x:v>상권 모멘텀·수요 강점 / 안정성 상대적 약점</x:v>
      </x:c>
    </x:row>
    <x:row r="73">
      <x:c r="A73" t="str">
        <x:v>3120151</x:v>
      </x:c>
      <x:c r="B73" t="str">
        <x:v>보라매공원</x:v>
      </x:c>
      <x:c r="C73" t="str">
        <x:v>발달상권</x:v>
      </x:c>
      <x:c r="D73" t="str">
        <x:v>동작구</x:v>
      </x:c>
      <x:c r="E73" t="str">
        <x:v>신대방2동</x:v>
      </x:c>
      <x:c r="F73" t="str">
        <x:v>CS300018</x:v>
      </x:c>
      <x:c r="G73" t="str">
        <x:v>의약품</x:v>
      </x:c>
      <x:c r="H73" t="n">
        <x:v>6187036858</x:v>
      </x:c>
      <x:c r="I73" t="n">
        <x:v>297884</x:v>
      </x:c>
      <x:c r="J73" t="n">
        <x:v>20769.95359938768</x:v>
      </x:c>
      <x:c r="K73" s="14" t="n">
        <x:v>0.054717032096923024</x:v>
      </x:c>
      <x:c r="L73" s="14" t="n">
        <x:v>0.027829225601598617</x:v>
      </x:c>
      <x:c r="M73" s="14" t="n">
        <x:v>0.02632929521123617</x:v>
      </x:c>
      <x:c r="N73" t="n">
        <x:v>20</x:v>
      </x:c>
      <x:c r="O73" t="n">
        <x:v>0</x:v>
      </x:c>
      <x:c r="P73" s="14" t="n">
        <x:v>0</x:v>
      </x:c>
      <x:c r="Q73" s="14" t="n">
        <x:v>0.15</x:v>
      </x:c>
      <x:c r="R73" s="14" t="n">
        <x:v>-0.04761904761904767</x:v>
      </x:c>
      <x:c r="S73" t="n">
        <x:v>10160</x:v>
      </x:c>
      <x:c r="T73" t="n">
        <x:v>848.8666460576995</x:v>
      </x:c>
      <x:c r="U73" s="14" t="n">
        <x:v>0.925397084162643</x:v>
      </x:c>
      <x:c r="V73" s="14" t="n">
        <x:v>0.11475571995048878</x:v>
      </x:c>
      <x:c r="W73" s="14" t="n">
        <x:v>0.17477146101074673</x:v>
      </x:c>
      <x:c r="X73" s="14" t="n">
        <x:v>0.48162705999512245</x:v>
      </x:c>
      <x:c r="Y73" s="16" t="n">
        <x:v>91.40893470790378</x:v>
      </x:c>
      <x:c r="Z73" s="16" t="n">
        <x:v>86.53846153846153</x:v>
      </x:c>
      <x:c r="AA73" s="16" t="n">
        <x:v>72.1311475409836</x:v>
      </x:c>
      <x:c r="AB73" s="16" t="n">
        <x:v>60.738831615120276</x:v>
      </x:c>
      <x:c r="AC73" s="16" t="n">
        <x:v>66.32302405498282</x:v>
      </x:c>
      <x:c r="AD73" s="16" t="n">
        <x:v>95.85365853658537</x:v>
      </x:c>
      <x:c r="AE73" s="16" t="n">
        <x:v>80.65630166120177</x:v>
      </x:c>
      <x:c r="AF73" t="str">
        <x:v>우선 검토</x:v>
      </x:c>
      <x:c r="AG73" t="str">
        <x:v>직장수요·수요 강점 / 경쟁여건 상대적 약점</x:v>
      </x:c>
    </x:row>
    <x:row r="74">
      <x:c r="A74" t="str">
        <x:v>3120220</x:v>
      </x:c>
      <x:c r="B74" t="str">
        <x:v>대치역</x:v>
      </x:c>
      <x:c r="C74" t="str">
        <x:v>발달상권</x:v>
      </x:c>
      <x:c r="D74" t="str">
        <x:v>강남구</x:v>
      </x:c>
      <x:c r="E74" t="str">
        <x:v>대치1동</x:v>
      </x:c>
      <x:c r="F74" t="str">
        <x:v>CS300016</x:v>
      </x:c>
      <x:c r="G74" t="str">
        <x:v>안경</x:v>
      </x:c>
      <x:c r="H74" t="n">
        <x:v>766260212</x:v>
      </x:c>
      <x:c r="I74" t="n">
        <x:v>8429</x:v>
      </x:c>
      <x:c r="J74" t="n">
        <x:v>90907.60612172262</x:v>
      </x:c>
      <x:c r="K74" s="14" t="n">
        <x:v>0.10074207828753945</x:v>
      </x:c>
      <x:c r="L74" s="14" t="n">
        <x:v>0.02313988190963734</x:v>
      </x:c>
      <x:c r="M74" s="14" t="n">
        <x:v>0.009707725123368816</x:v>
      </x:c>
      <x:c r="N74" t="n">
        <x:v>5</x:v>
      </x:c>
      <x:c r="O74" t="n">
        <x:v>0</x:v>
      </x:c>
      <x:c r="P74" s="14" t="n">
        <x:v>0</x:v>
      </x:c>
      <x:c r="Q74" s="14" t="n">
        <x:v>0.4</x:v>
      </x:c>
      <x:c r="R74" s="14" t="n">
        <x:v>0.25</x:v>
      </x:c>
      <x:c r="S74" t="n">
        <x:v>12518</x:v>
      </x:c>
      <x:c r="T74" t="n">
        <x:v>766.7852964417193</x:v>
      </x:c>
      <x:c r="U74" s="14" t="n">
        <x:v>0.5856336385112999</x:v>
      </x:c>
      <x:c r="V74" s="14" t="n">
        <x:v>0.36700088898782596</x:v>
      </x:c>
      <x:c r="W74" s="14" t="n">
        <x:v>0.2246670625774316</x:v>
      </x:c>
      <x:c r="X74" s="14" t="n">
        <x:v>0.5689533779420612</x:v>
      </x:c>
      <x:c r="Y74" s="16" t="n">
        <x:v>84.05797101449275</x:v>
      </x:c>
      <x:c r="Z74" s="16" t="n">
        <x:v>92.1951219512195</x:v>
      </x:c>
      <x:c r="AA74" s="16" t="n">
        <x:v>62.295081967213115</x:v>
      </x:c>
      <x:c r="AB74" s="16" t="n">
        <x:v>86.6504854368932</x:v>
      </x:c>
      <x:c r="AC74" s="16" t="n">
        <x:v>57.28155339805825</x:v>
      </x:c>
      <x:c r="AD74" s="16" t="n">
        <x:v>94.51219512195122</x:v>
      </x:c>
      <x:c r="AE74" s="16" t="n">
        <x:v>80.6549144518357</x:v>
      </x:c>
      <x:c r="AF74" t="str">
        <x:v>우선 검토</x:v>
      </x:c>
      <x:c r="AG74" t="str">
        <x:v>직장수요·상권 모멘텀 강점 / 안정성 상대적 약점</x:v>
      </x:c>
    </x:row>
    <x:row r="75">
      <x:c r="A75" t="str">
        <x:v>3120080</x:v>
      </x:c>
      <x:c r="B75" t="str">
        <x:v>마들역</x:v>
      </x:c>
      <x:c r="C75" t="str">
        <x:v>발달상권</x:v>
      </x:c>
      <x:c r="D75" t="str">
        <x:v>노원구</x:v>
      </x:c>
      <x:c r="E75" t="str">
        <x:v>상계9동</x:v>
      </x:c>
      <x:c r="F75" t="str">
        <x:v>CS100006</x:v>
      </x:c>
      <x:c r="G75" t="str">
        <x:v>패스트푸드점</x:v>
      </x:c>
      <x:c r="H75" t="n">
        <x:v>461997801</x:v>
      </x:c>
      <x:c r="I75" t="n">
        <x:v>26681</x:v>
      </x:c>
      <x:c r="J75" t="n">
        <x:v>17315.61039691166</x:v>
      </x:c>
      <x:c r="K75" s="14" t="n">
        <x:v>0.7673896975402978</x:v>
      </x:c>
      <x:c r="L75" s="14" t="n">
        <x:v>0.0037102725933797487</x:v>
      </x:c>
      <x:c r="M75" s="14" t="n">
        <x:v>0.011474434125836375</x:v>
      </x:c>
      <x:c r="N75" t="n">
        <x:v>5</x:v>
      </x:c>
      <x:c r="O75" t="n">
        <x:v>0</x:v>
      </x:c>
      <x:c r="P75" s="14" t="n">
        <x:v>0</x:v>
      </x:c>
      <x:c r="Q75" s="14" t="n">
        <x:v>0.8</x:v>
      </x:c>
      <x:c r="R75" s="14" t="n">
        <x:v>0</x:v>
      </x:c>
      <x:c r="S75" t="n">
        <x:v>1635</x:v>
      </x:c>
      <x:c r="T75" t="n">
        <x:v>419.4889162561576</x:v>
      </x:c>
      <x:c r="U75" s="14" t="n">
        <x:v>0.7123093752560956</x:v>
      </x:c>
      <x:c r="V75" s="14" t="n">
        <x:v>0.6136006759910964</x:v>
      </x:c>
      <x:c r="W75" s="14" t="n">
        <x:v>0.3628726276123552</x:v>
      </x:c>
      <x:c r="X75" s="14" t="n">
        <x:v>0.4440927046750164</x:v>
      </x:c>
      <x:c r="Y75" s="16" t="n">
        <x:v>79.05236907730674</x:v>
      </x:c>
      <x:c r="Z75" s="16" t="n">
        <x:v>98.43342036553524</x:v>
      </x:c>
      <x:c r="AA75" s="16" t="n">
        <x:v>44.26229508196721</x:v>
      </x:c>
      <x:c r="AB75" s="16" t="n">
        <x:v>96.00997506234414</x:v>
      </x:c>
      <x:c r="AC75" s="16" t="n">
        <x:v>78.30423940149626</x:v>
      </x:c>
      <x:c r="AD75" s="16" t="n">
        <x:v>87.98780487804878</x:v>
      </x:c>
      <x:c r="AE75" s="16" t="n">
        <x:v>80.62566795586318</x:v>
      </x:c>
      <x:c r="AF75" t="str">
        <x:v>우선 검토</x:v>
      </x:c>
      <x:c r="AG75" t="str">
        <x:v>상권 모멘텀·경쟁여건 강점 / 서울 업종추세 상대적 약점</x:v>
      </x:c>
    </x:row>
    <x:row r="76">
      <x:c r="A76" t="str">
        <x:v>3120170</x:v>
      </x:c>
      <x:c r="B76" t="str">
        <x:v>삼호가든사거리</x:v>
      </x:c>
      <x:c r="C76" t="str">
        <x:v>발달상권</x:v>
      </x:c>
      <x:c r="D76" t="str">
        <x:v>서초구</x:v>
      </x:c>
      <x:c r="E76" t="str">
        <x:v>반포4동</x:v>
      </x:c>
      <x:c r="F76" t="str">
        <x:v>CS200030</x:v>
      </x:c>
      <x:c r="G76" t="str">
        <x:v>피부관리실</x:v>
      </x:c>
      <x:c r="H76" t="n">
        <x:v>104843833</x:v>
      </x:c>
      <x:c r="I76" t="n">
        <x:v>339</x:v>
      </x:c>
      <x:c r="J76" t="n">
        <x:v>309273.8436578171</x:v>
      </x:c>
      <x:c r="K76" s="14" t="n">
        <x:v>0.5178308077028577</x:v>
      </x:c>
      <x:c r="L76" s="14" t="n">
        <x:v>0.11857168683779085</x:v>
      </x:c>
      <x:c r="M76" s="14" t="n">
        <x:v>0.0314283578178467</x:v>
      </x:c>
      <x:c r="N76" t="n">
        <x:v>26</x:v>
      </x:c>
      <x:c r="O76" t="n">
        <x:v>0</x:v>
      </x:c>
      <x:c r="P76" s="14" t="n">
        <x:v>0</x:v>
      </x:c>
      <x:c r="Q76" s="14" t="n">
        <x:v>0.07692307692307693</x:v>
      </x:c>
      <x:c r="R76" s="14" t="n">
        <x:v>0.625</x:v>
      </x:c>
      <x:c r="S76" t="n">
        <x:v>13848</x:v>
      </x:c>
      <x:c r="T76" t="n">
        <x:v>1373.0194927521864</x:v>
      </x:c>
      <x:c r="U76" s="14" t="n">
        <x:v>0.8644118056996256</x:v>
      </x:c>
      <x:c r="V76" s="14" t="n">
        <x:v>0.6404687436408396</x:v>
      </x:c>
      <x:c r="W76" s="14" t="n">
        <x:v>0.042608514703959745</x:v>
      </x:c>
      <x:c r="X76" s="14" t="n">
        <x:v>0.6963035012273922</x:v>
      </x:c>
      <x:c r="Y76" s="16" t="n">
        <x:v>77.1712158808933</x:v>
      </x:c>
      <x:c r="Z76" s="16" t="n">
        <x:v>90.18567639257294</x:v>
      </x:c>
      <x:c r="AA76" s="16" t="n">
        <x:v>91.80327868852459</x:v>
      </x:c>
      <x:c r="AB76" s="16" t="n">
        <x:v>59.42928039702233</x:v>
      </x:c>
      <x:c r="AC76" s="16" t="n">
        <x:v>79.15632754342431</x:v>
      </x:c>
      <x:c r="AD76" s="16" t="n">
        <x:v>97.7439024390244</x:v>
      </x:c>
      <x:c r="AE76" s="16" t="n">
        <x:v>80.53477257595293</x:v>
      </x:c>
      <x:c r="AF76" t="str">
        <x:v>우선 검토</x:v>
      </x:c>
      <x:c r="AG76" t="str">
        <x:v>직장수요·서울 업종추세 강점 / 경쟁여건 상대적 약점</x:v>
      </x:c>
    </x:row>
    <x:row r="77">
      <x:c r="A77" t="str">
        <x:v>3120106</x:v>
      </x:c>
      <x:c r="B77" t="str">
        <x:v>마포역</x:v>
      </x:c>
      <x:c r="C77" t="str">
        <x:v>발달상권</x:v>
      </x:c>
      <x:c r="D77" t="str">
        <x:v>마포구</x:v>
      </x:c>
      <x:c r="E77" t="str">
        <x:v>용강동</x:v>
      </x:c>
      <x:c r="F77" t="str">
        <x:v>CS300028</x:v>
      </x:c>
      <x:c r="G77" t="str">
        <x:v>화초</x:v>
      </x:c>
      <x:c r="H77" t="n">
        <x:v>477453344</x:v>
      </x:c>
      <x:c r="I77" t="n">
        <x:v>14331</x:v>
      </x:c>
      <x:c r="J77" t="n">
        <x:v>33316.121973344496</x:v>
      </x:c>
      <x:c r="K77" s="14" t="n">
        <x:v>0.019350140051502374</x:v>
      </x:c>
      <x:c r="L77" s="14" t="n">
        <x:v>0.028008199294863756</x:v>
      </x:c>
      <x:c r="M77" s="14" t="n">
        <x:v>-0.0030123365554672876</x:v>
      </x:c>
      <x:c r="N77" t="n">
        <x:v>13</x:v>
      </x:c>
      <x:c r="O77" t="n">
        <x:v>0</x:v>
      </x:c>
      <x:c r="P77" s="14" t="n">
        <x:v>0</x:v>
      </x:c>
      <x:c r="Q77" s="14" t="n">
        <x:v>0</x:v>
      </x:c>
      <x:c r="R77" s="14" t="n">
        <x:v>0.4444444444444444</x:v>
      </x:c>
      <x:c r="S77" t="n">
        <x:v>14017</x:v>
      </x:c>
      <x:c r="T77" t="n">
        <x:v>1025.2040607354963</x:v>
      </x:c>
      <x:c r="U77" s="14" t="n">
        <x:v>0.8876162526154597</x:v>
      </x:c>
      <x:c r="V77" s="14" t="n">
        <x:v>0.3631829542699778</x:v>
      </x:c>
      <x:c r="W77" s="14" t="n">
        <x:v>0.39162214978643023</x:v>
      </x:c>
      <x:c r="X77" s="14" t="n">
        <x:v>0.4285205697501618</x:v>
      </x:c>
      <x:c r="Y77" s="16" t="n">
        <x:v>94.29530201342281</x:v>
      </x:c>
      <x:c r="Z77" s="16" t="n">
        <x:v>72.6027397260274</x:v>
      </x:c>
      <x:c r="AA77" s="16" t="n">
        <x:v>73.77049180327869</x:v>
      </x:c>
      <x:c r="AB77" s="16" t="n">
        <x:v>69.12751677852349</x:v>
      </x:c>
      <x:c r="AC77" s="16" t="n">
        <x:v>66.7785234899329</x:v>
      </x:c>
      <x:c r="AD77" s="16" t="n">
        <x:v>97.07317073170732</x:v>
      </x:c>
      <x:c r="AE77" s="16" t="n">
        <x:v>80.49011582275244</x:v>
      </x:c>
      <x:c r="AF77" t="str">
        <x:v>우선 검토</x:v>
      </x:c>
      <x:c r="AG77" t="str">
        <x:v>직장수요·수요 강점 / 안정성 상대적 약점</x:v>
      </x:c>
    </x:row>
    <x:row r="78">
      <x:c r="A78" t="str">
        <x:v>3110578</x:v>
      </x:c>
      <x:c r="B78" t="str">
        <x:v>대흥역 2번</x:v>
      </x:c>
      <x:c r="C78" t="str">
        <x:v>골목상권</x:v>
      </x:c>
      <x:c r="D78" t="str">
        <x:v>마포구</x:v>
      </x:c>
      <x:c r="E78" t="str">
        <x:v>염리동</x:v>
      </x:c>
      <x:c r="F78" t="str">
        <x:v>CS300028</x:v>
      </x:c>
      <x:c r="G78" t="str">
        <x:v>화초</x:v>
      </x:c>
      <x:c r="H78" t="n">
        <x:v>161826395</x:v>
      </x:c>
      <x:c r="I78" t="n">
        <x:v>7242</x:v>
      </x:c>
      <x:c r="J78" t="n">
        <x:v>22345.539215686276</x:v>
      </x:c>
      <x:c r="K78" s="14" t="n">
        <x:v>0.22639724024998764</x:v>
      </x:c>
      <x:c r="L78" s="14" t="n">
        <x:v>0.028008199294863756</x:v>
      </x:c>
      <x:c r="M78" s="14" t="n">
        <x:v>-0.0030123365554672876</x:v>
      </x:c>
      <x:c r="N78" t="n">
        <x:v>9</x:v>
      </x:c>
      <x:c r="O78" t="n">
        <x:v>0</x:v>
      </x:c>
      <x:c r="P78" s="14" t="n">
        <x:v>0</x:v>
      </x:c>
      <x:c r="Q78" s="14" t="n">
        <x:v>0</x:v>
      </x:c>
      <x:c r="R78" s="14" t="n">
        <x:v>0.125</x:v>
      </x:c>
      <x:c r="S78" t="n">
        <x:v>1260</x:v>
      </x:c>
      <x:c r="T78" t="n">
        <x:v>112.5502456453774</x:v>
      </x:c>
      <x:c r="U78" s="14" t="n">
        <x:v>0.7803153682067749</x:v>
      </x:c>
      <x:c r="V78" s="14" t="n">
        <x:v>0.3908453191458662</x:v>
      </x:c>
      <x:c r="W78" s="14" t="n">
        <x:v>0.39634605961530567</x:v>
      </x:c>
      <x:c r="X78" s="14" t="n">
        <x:v>0.4269441273779843</x:v>
      </x:c>
      <x:c r="Y78" s="16" t="n">
        <x:v>81.20805369127517</x:v>
      </x:c>
      <x:c r="Z78" s="16" t="n">
        <x:v>93.15068493150685</x:v>
      </x:c>
      <x:c r="AA78" s="16" t="n">
        <x:v>73.77049180327869</x:v>
      </x:c>
      <x:c r="AB78" s="16" t="n">
        <x:v>83.89261744966443</x:v>
      </x:c>
      <x:c r="AC78" s="16" t="n">
        <x:v>66.7785234899329</x:v>
      </x:c>
      <x:c r="AD78" s="16" t="n">
        <x:v>61.951219512195124</x:v>
      </x:c>
      <x:c r="AE78" s="16" t="n">
        <x:v>80.47783549079217</x:v>
      </x:c>
      <x:c r="AF78" t="str">
        <x:v>우선 검토</x:v>
      </x:c>
      <x:c r="AG78" t="str">
        <x:v>상권 모멘텀·경쟁여건 강점 / 직장수요 상대적 약점</x:v>
      </x:c>
    </x:row>
    <x:row r="79">
      <x:c r="A79" t="str">
        <x:v>3110219</x:v>
      </x:c>
      <x:c r="B79" t="str">
        <x:v>삼육보건대학교</x:v>
      </x:c>
      <x:c r="C79" t="str">
        <x:v>골목상권</x:v>
      </x:c>
      <x:c r="D79" t="str">
        <x:v>동대문구</x:v>
      </x:c>
      <x:c r="E79" t="str">
        <x:v>휘경2동</x:v>
      </x:c>
      <x:c r="F79" t="str">
        <x:v>CS300018</x:v>
      </x:c>
      <x:c r="G79" t="str">
        <x:v>의약품</x:v>
      </x:c>
      <x:c r="H79" t="n">
        <x:v>6528022012</x:v>
      </x:c>
      <x:c r="I79" t="n">
        <x:v>170354</x:v>
      </x:c>
      <x:c r="J79" t="n">
        <x:v>38320.33302417319</x:v>
      </x:c>
      <x:c r="K79" s="14" t="n">
        <x:v>0.031676420358111024</x:v>
      </x:c>
      <x:c r="L79" s="14" t="n">
        <x:v>0.027829225601598617</x:v>
      </x:c>
      <x:c r="M79" s="14" t="n">
        <x:v>0.02632929521123617</x:v>
      </x:c>
      <x:c r="N79" t="n">
        <x:v>7</x:v>
      </x:c>
      <x:c r="O79" t="n">
        <x:v>0</x:v>
      </x:c>
      <x:c r="P79" s="14" t="n">
        <x:v>0</x:v>
      </x:c>
      <x:c r="Q79" s="14" t="n">
        <x:v>0.14285714285714285</x:v>
      </x:c>
      <x:c r="R79" s="14" t="n">
        <x:v>0.16666666666666674</x:v>
      </x:c>
      <x:c r="S79" t="n">
        <x:v>761</x:v>
      </x:c>
      <x:c r="T79" t="n">
        <x:v>42.40853743486863</x:v>
      </x:c>
      <x:c r="U79" s="14" t="n">
        <x:v>0.7001648245974083</x:v>
      </x:c>
      <x:c r="V79" s="14" t="n">
        <x:v>0.04135209340651347</x:v>
      </x:c>
      <x:c r="W79" s="14" t="n">
        <x:v>0.06935468250072438</x:v>
      </x:c>
      <x:c r="X79" s="14" t="n">
        <x:v>0.4663195460131975</x:v>
      </x:c>
      <x:c r="Y79" s="16" t="n">
        <x:v>91.92439862542955</x:v>
      </x:c>
      <x:c r="Z79" s="16" t="n">
        <x:v>73.25174825174825</x:v>
      </x:c>
      <x:c r="AA79" s="16" t="n">
        <x:v>72.1311475409836</x:v>
      </x:c>
      <x:c r="AB79" s="16" t="n">
        <x:v>97.5085910652921</x:v>
      </x:c>
      <x:c r="AC79" s="16" t="n">
        <x:v>66.32302405498282</x:v>
      </x:c>
      <x:c r="AD79" s="16" t="n">
        <x:v>30.609756097560975</x:v>
      </x:c>
      <x:c r="AE79" s="16" t="n">
        <x:v>80.43264017056768</x:v>
      </x:c>
      <x:c r="AF79" t="str">
        <x:v>우선 검토</x:v>
      </x:c>
      <x:c r="AG79" t="str">
        <x:v>경쟁여건·수요 강점 / 직장수요 상대적 약점</x:v>
      </x:c>
    </x:row>
    <x:row r="80">
      <x:c r="A80" t="str">
        <x:v>3130248</x:v>
      </x:c>
      <x:c r="B80" t="str">
        <x:v>영등포역지하도상점가</x:v>
      </x:c>
      <x:c r="C80" t="str">
        <x:v>전통시장</x:v>
      </x:c>
      <x:c r="D80" t="str">
        <x:v>영등포구</x:v>
      </x:c>
      <x:c r="E80" t="str">
        <x:v>영등포본동</x:v>
      </x:c>
      <x:c r="F80" t="str">
        <x:v>CS200028</x:v>
      </x:c>
      <x:c r="G80" t="str">
        <x:v>미용실</x:v>
      </x:c>
      <x:c r="H80" t="n">
        <x:v>469697800</x:v>
      </x:c>
      <x:c r="I80" t="n">
        <x:v>9275</x:v>
      </x:c>
      <x:c r="J80" t="n">
        <x:v>50641.27223719677</x:v>
      </x:c>
      <x:c r="K80" s="14" t="n">
        <x:v>0.08836769267404465</x:v>
      </x:c>
      <x:c r="L80" s="14" t="n">
        <x:v>0.02168887159425803</x:v>
      </x:c>
      <x:c r="M80" s="14" t="n">
        <x:v>-0.013481964371473865</x:v>
      </x:c>
      <x:c r="N80" t="n">
        <x:v>36</x:v>
      </x:c>
      <x:c r="O80" t="n">
        <x:v>0</x:v>
      </x:c>
      <x:c r="P80" s="14" t="n">
        <x:v>0</x:v>
      </x:c>
      <x:c r="Q80" s="14" t="n">
        <x:v>0.1388888888888889</x:v>
      </x:c>
      <x:c r="R80" s="14" t="n">
        <x:v>0.09090909090909083</x:v>
      </x:c>
      <x:c r="S80" t="n">
        <x:v>1605</x:v>
      </x:c>
      <x:c r="T80" t="n">
        <x:v>103.59784671391503</x:v>
      </x:c>
      <x:c r="U80" s="14" t="n">
        <x:v>0.6247021340104212</x:v>
      </x:c>
      <x:c r="V80" s="14" t="n">
        <x:v>0.42574774887172134</x:v>
      </x:c>
      <x:c r="W80" s="14" t="n">
        <x:v>0.4026653733528239</x:v>
      </x:c>
      <x:c r="X80" s="14" t="n">
        <x:v>0.5266231926144853</x:v>
      </x:c>
      <x:c r="Y80" s="16" t="n">
        <x:v>92.39033124440465</x:v>
      </x:c>
      <x:c r="Z80" s="16" t="n">
        <x:v>83.5431654676259</x:v>
      </x:c>
      <x:c r="AA80" s="16" t="n">
        <x:v>57.377049180327866</x:v>
      </x:c>
      <x:c r="AB80" s="16" t="n">
        <x:v>81.33393017009848</x:v>
      </x:c>
      <x:c r="AC80" s="16" t="n">
        <x:v>75.60429722470904</x:v>
      </x:c>
      <x:c r="AD80" s="16" t="n">
        <x:v>60.0609756097561</x:v>
      </x:c>
      <x:c r="AE80" s="16" t="n">
        <x:v>80.41537443458945</x:v>
      </x:c>
      <x:c r="AF80" t="str">
        <x:v>우선 검토</x:v>
      </x:c>
      <x:c r="AG80" t="str">
        <x:v>수요·상권 모멘텀 강점 / 서울 업종추세 상대적 약점</x:v>
      </x:c>
    </x:row>
    <x:row r="81">
      <x:c r="A81" t="str">
        <x:v>3111073</x:v>
      </x:c>
      <x:c r="B81" t="str">
        <x:v>둔촌동역 1번(한산중학교)</x:v>
      </x:c>
      <x:c r="C81" t="str">
        <x:v>골목상권</x:v>
      </x:c>
      <x:c r="D81" t="str">
        <x:v>강동구</x:v>
      </x:c>
      <x:c r="E81" t="str">
        <x:v>둔촌2동</x:v>
      </x:c>
      <x:c r="F81" t="str">
        <x:v>CS300011</x:v>
      </x:c>
      <x:c r="G81" t="str">
        <x:v>일반의류</x:v>
      </x:c>
      <x:c r="H81" t="n">
        <x:v>1129632466</x:v>
      </x:c>
      <x:c r="I81" t="n">
        <x:v>3945</x:v>
      </x:c>
      <x:c r="J81" t="n">
        <x:v>286345.3652724968</x:v>
      </x:c>
      <x:c r="K81" s="14" t="n">
        <x:v>0.29778122448535593</x:v>
      </x:c>
      <x:c r="L81" s="14" t="n">
        <x:v>0.06726691045630595</x:v>
      </x:c>
      <x:c r="M81" s="14" t="n">
        <x:v>0.00788849516466894</x:v>
      </x:c>
      <x:c r="N81" t="n">
        <x:v>42</x:v>
      </x:c>
      <x:c r="O81" t="n">
        <x:v>0</x:v>
      </x:c>
      <x:c r="P81" s="14" t="n">
        <x:v>0</x:v>
      </x:c>
      <x:c r="Q81" s="14" t="n">
        <x:v>0</x:v>
      </x:c>
      <x:c r="R81" s="14" t="n">
        <x:v>-0.1063829787234043</x:v>
      </x:c>
      <x:c r="S81" t="n">
        <x:v>1392</x:v>
      </x:c>
      <x:c r="T81" t="n">
        <x:v>77.38750458654391</x:v>
      </x:c>
      <x:c r="U81" s="14" t="n">
        <x:v>0.8484276637282838</x:v>
      </x:c>
      <x:c r="V81" s="14" t="n">
        <x:v>0.12316561818788944</x:v>
      </x:c>
      <x:c r="W81" s="14" t="n">
        <x:v>0.17238414604843696</x:v>
      </x:c>
      <x:c r="X81" s="14" t="n">
        <x:v>0.8302420798164276</x:v>
      </x:c>
      <x:c r="Y81" s="16" t="n">
        <x:v>84.68786808009423</x:v>
      </x:c>
      <x:c r="Z81" s="16" t="n">
        <x:v>83.63417569193743</x:v>
      </x:c>
      <x:c r="AA81" s="16" t="n">
        <x:v>81.9672131147541</x:v>
      </x:c>
      <x:c r="AB81" s="16" t="n">
        <x:v>70.37691401648999</x:v>
      </x:c>
      <x:c r="AC81" s="16" t="n">
        <x:v>86.33686690223793</x:v>
      </x:c>
      <x:c r="AD81" s="16" t="n">
        <x:v>50.97560975609756</x:v>
      </x:c>
      <x:c r="AE81" s="16" t="n">
        <x:v>80.40167521413576</x:v>
      </x:c>
      <x:c r="AF81" t="str">
        <x:v>우선 검토</x:v>
      </x:c>
      <x:c r="AG81" t="str">
        <x:v>안정성·수요 강점 / 직장수요 상대적 약점</x:v>
      </x:c>
    </x:row>
    <x:row r="82">
      <x:c r="A82" t="str">
        <x:v>3111027</x:v>
      </x:c>
      <x:c r="B82" t="str">
        <x:v>문정초등학교</x:v>
      </x:c>
      <x:c r="C82" t="str">
        <x:v>골목상권</x:v>
      </x:c>
      <x:c r="D82" t="str">
        <x:v>송파구</x:v>
      </x:c>
      <x:c r="E82" t="str">
        <x:v>문정1동</x:v>
      </x:c>
      <x:c r="F82" t="str">
        <x:v>CS200003</x:v>
      </x:c>
      <x:c r="G82" t="str">
        <x:v>예술학원</x:v>
      </x:c>
      <x:c r="H82" t="n">
        <x:v>169938256</x:v>
      </x:c>
      <x:c r="I82" t="n">
        <x:v>1053</x:v>
      </x:c>
      <x:c r="J82" t="n">
        <x:v>161384.85849952517</x:v>
      </x:c>
      <x:c r="K82" s="14" t="n">
        <x:v>0.35711527026066925</x:v>
      </x:c>
      <x:c r="L82" s="14" t="n">
        <x:v>0.09364146198394163</x:v>
      </x:c>
      <x:c r="M82" s="14" t="n">
        <x:v>0.053788091189524545</x:v>
      </x:c>
      <x:c r="N82" t="n">
        <x:v>20</x:v>
      </x:c>
      <x:c r="O82" t="n">
        <x:v>0</x:v>
      </x:c>
      <x:c r="P82" s="14" t="n">
        <x:v>0</x:v>
      </x:c>
      <x:c r="Q82" s="14" t="n">
        <x:v>0</x:v>
      </x:c>
      <x:c r="R82" s="14" t="n">
        <x:v>0.05263157894736836</x:v>
      </x:c>
      <x:c r="S82" t="n">
        <x:v>5720</x:v>
      </x:c>
      <x:c r="T82" t="n">
        <x:v>457.8600645166454</x:v>
      </x:c>
      <x:c r="U82" s="14" t="n">
        <x:v>0.9105508650153501</x:v>
      </x:c>
      <x:c r="V82" s="14" t="n">
        <x:v>0.22896516603065528</x:v>
      </x:c>
      <x:c r="W82" s="14" t="n">
        <x:v>0.10759266589154592</x:v>
      </x:c>
      <x:c r="X82" s="14" t="n">
        <x:v>0.4660805981202961</x:v>
      </x:c>
      <x:c r="Y82" s="16" t="n">
        <x:v>72.90836653386454</x:v>
      </x:c>
      <x:c r="Z82" s="16" t="n">
        <x:v>92.22903885480572</x:v>
      </x:c>
      <x:c r="AA82" s="16" t="n">
        <x:v>88.52459016393442</x:v>
      </x:c>
      <x:c r="AB82" s="16" t="n">
        <x:v>75.59760956175299</x:v>
      </x:c>
      <x:c r="AC82" s="16" t="n">
        <x:v>73.20717131474103</x:v>
      </x:c>
      <x:c r="AD82" s="16" t="n">
        <x:v>88.96341463414635</x:v>
      </x:c>
      <x:c r="AE82" s="16" t="n">
        <x:v>80.35095387984826</x:v>
      </x:c>
      <x:c r="AF82" t="str">
        <x:v>우선 검토</x:v>
      </x:c>
      <x:c r="AG82" t="str">
        <x:v>상권 모멘텀·직장수요 강점 / 수요 상대적 약점</x:v>
      </x:c>
    </x:row>
    <x:row r="83">
      <x:c r="A83" t="str">
        <x:v>3120227</x:v>
      </x:c>
      <x:c r="B83" t="str">
        <x:v>잠실역</x:v>
      </x:c>
      <x:c r="C83" t="str">
        <x:v>발달상권</x:v>
      </x:c>
      <x:c r="D83" t="str">
        <x:v>송파구</x:v>
      </x:c>
      <x:c r="E83" t="str">
        <x:v>잠실6동</x:v>
      </x:c>
      <x:c r="F83" t="str">
        <x:v>CS100001</x:v>
      </x:c>
      <x:c r="G83" t="str">
        <x:v>한식음식점</x:v>
      </x:c>
      <x:c r="H83" t="n">
        <x:v>12461417101</x:v>
      </x:c>
      <x:c r="I83" t="n">
        <x:v>444504</x:v>
      </x:c>
      <x:c r="J83" t="n">
        <x:v>28034.43186338031</x:v>
      </x:c>
      <x:c r="K83" s="14" t="n">
        <x:v>0.1670332112740882</x:v>
      </x:c>
      <x:c r="L83" s="14" t="n">
        <x:v>-0.0018259958518723751</x:v>
      </x:c>
      <x:c r="M83" s="14" t="n">
        <x:v>0.06341040875687098</x:v>
      </x:c>
      <x:c r="N83" t="n">
        <x:v>149</x:v>
      </x:c>
      <x:c r="O83" t="n">
        <x:v>1</x:v>
      </x:c>
      <x:c r="P83" s="14" t="n">
        <x:v>0.006493506493506494</x:v>
      </x:c>
      <x:c r="Q83" s="14" t="n">
        <x:v>0.12080536912751678</x:v>
      </x:c>
      <x:c r="R83" s="14" t="n">
        <x:v>-0.08588957055214719</x:v>
      </x:c>
      <x:c r="S83" t="n">
        <x:v>110575</x:v>
      </x:c>
      <x:c r="T83" t="n">
        <x:v>2098.727003209539</x:v>
      </x:c>
      <x:c r="U83" s="14" t="n">
        <x:v>0.805810613079807</x:v>
      </x:c>
      <x:c r="V83" s="14" t="n">
        <x:v>0.3801600359416458</x:v>
      </x:c>
      <x:c r="W83" s="14" t="n">
        <x:v>0.31088039511085136</x:v>
      </x:c>
      <x:c r="X83" s="14" t="n">
        <x:v>0.35188830174443897</x:v>
      </x:c>
      <x:c r="Y83" s="16" t="n">
        <x:v>95.51601423487544</x:v>
      </x:c>
      <x:c r="Z83" s="16" t="n">
        <x:v>95.35382416011437</x:v>
      </x:c>
      <x:c r="AA83" s="16" t="n">
        <x:v>40.98360655737705</x:v>
      </x:c>
      <x:c r="AB83" s="16" t="n">
        <x:v>47.65124555160142</x:v>
      </x:c>
      <x:c r="AC83" s="16" t="n">
        <x:v>96.01423487544484</x:v>
      </x:c>
      <x:c r="AD83" s="16" t="n">
        <x:v>98.90243902439025</x:v>
      </x:c>
      <x:c r="AE83" s="16" t="n">
        <x:v>80.34314306934004</x:v>
      </x:c>
      <x:c r="AF83" t="str">
        <x:v>우선 검토</x:v>
      </x:c>
      <x:c r="AG83" t="str">
        <x:v>직장수요·안정성 강점 / 서울 업종추세 상대적 약점</x:v>
      </x:c>
    </x:row>
    <x:row r="84">
      <x:c r="A84" t="str">
        <x:v>3120156</x:v>
      </x:c>
      <x:c r="B84" t="str">
        <x:v>총신대입구역(이수, 총신대)</x:v>
      </x:c>
      <x:c r="C84" t="str">
        <x:v>발달상권</x:v>
      </x:c>
      <x:c r="D84" t="str">
        <x:v>동작구</x:v>
      </x:c>
      <x:c r="E84" t="str">
        <x:v>사당2동</x:v>
      </x:c>
      <x:c r="F84" t="str">
        <x:v>CS300018</x:v>
      </x:c>
      <x:c r="G84" t="str">
        <x:v>의약품</x:v>
      </x:c>
      <x:c r="H84" t="n">
        <x:v>7673876466</x:v>
      </x:c>
      <x:c r="I84" t="n">
        <x:v>449567</x:v>
      </x:c>
      <x:c r="J84" t="n">
        <x:v>17069.48344963042</x:v>
      </x:c>
      <x:c r="K84" s="14" t="n">
        <x:v>0.08432549757975938</x:v>
      </x:c>
      <x:c r="L84" s="14" t="n">
        <x:v>0.027829225601598617</x:v>
      </x:c>
      <x:c r="M84" s="14" t="n">
        <x:v>0.02632929521123617</x:v>
      </x:c>
      <x:c r="N84" t="n">
        <x:v>24</x:v>
      </x:c>
      <x:c r="O84" t="n">
        <x:v>0</x:v>
      </x:c>
      <x:c r="P84" s="14" t="n">
        <x:v>0</x:v>
      </x:c>
      <x:c r="Q84" s="14" t="n">
        <x:v>0.041666666666666664</x:v>
      </x:c>
      <x:c r="R84" s="14" t="n">
        <x:v>0.41176470588235303</x:v>
      </x:c>
      <x:c r="S84" t="n">
        <x:v>7436</x:v>
      </x:c>
      <x:c r="T84" t="n">
        <x:v>301.0952969044197</x:v>
      </x:c>
      <x:c r="U84" s="14" t="n">
        <x:v>0.8148639884555577</x:v>
      </x:c>
      <x:c r="V84" s="14" t="n">
        <x:v>0.18289379314592683</x:v>
      </x:c>
      <x:c r="W84" s="14" t="n">
        <x:v>0.19275730050565035</x:v>
      </x:c>
      <x:c r="X84" s="14" t="n">
        <x:v>0.5070955779964988</x:v>
      </x:c>
      <x:c r="Y84" s="16" t="n">
        <x:v>94.67353951890034</x:v>
      </x:c>
      <x:c r="Z84" s="16" t="n">
        <x:v>92.13286713286713</x:v>
      </x:c>
      <x:c r="AA84" s="16" t="n">
        <x:v>72.1311475409836</x:v>
      </x:c>
      <x:c r="AB84" s="16" t="n">
        <x:v>47.508591065292094</x:v>
      </x:c>
      <x:c r="AC84" s="16" t="n">
        <x:v>66.32302405498282</x:v>
      </x:c>
      <x:c r="AD84" s="16" t="n">
        <x:v>83.90243902439025</x:v>
      </x:c>
      <x:c r="AE84" s="16" t="n">
        <x:v>80.3356974058477</x:v>
      </x:c>
      <x:c r="AF84" t="str">
        <x:v>우선 검토</x:v>
      </x:c>
      <x:c r="AG84" t="str">
        <x:v>수요·상권 모멘텀 강점 / 경쟁여건 상대적 약점</x:v>
      </x:c>
    </x:row>
    <x:row r="85">
      <x:c r="A85" t="str">
        <x:v>3110860</x:v>
      </x:c>
      <x:c r="B85" t="str">
        <x:v>호림박물관(성보고등학교)</x:v>
      </x:c>
      <x:c r="C85" t="str">
        <x:v>골목상권</x:v>
      </x:c>
      <x:c r="D85" t="str">
        <x:v>관악구</x:v>
      </x:c>
      <x:c r="E85" t="str">
        <x:v>미성동</x:v>
      </x:c>
      <x:c r="F85" t="str">
        <x:v>CS300035</x:v>
      </x:c>
      <x:c r="G85" t="str">
        <x:v>인테리어</x:v>
      </x:c>
      <x:c r="H85" t="n">
        <x:v>793774692</x:v>
      </x:c>
      <x:c r="I85" t="n">
        <x:v>9450</x:v>
      </x:c>
      <x:c r="J85" t="n">
        <x:v>83997.3219047619</x:v>
      </x:c>
      <x:c r="K85" s="14" t="n">
        <x:v>0.19616246126716352</x:v>
      </x:c>
      <x:c r="L85" s="14" t="n">
        <x:v>0.20213561276420866</x:v>
      </x:c>
      <x:c r="M85" s="14" t="n">
        <x:v>0.044160820891303576</x:v>
      </x:c>
      <x:c r="N85" t="n">
        <x:v>11</x:v>
      </x:c>
      <x:c r="O85" t="n">
        <x:v>0</x:v>
      </x:c>
      <x:c r="P85" s="14" t="n">
        <x:v>0</x:v>
      </x:c>
      <x:c r="Q85" s="14" t="n">
        <x:v>0</x:v>
      </x:c>
      <x:c r="R85" s="14" t="n">
        <x:v>-0.15384615384615385</x:v>
      </x:c>
      <x:c r="S85" t="n">
        <x:v>438</x:v>
      </x:c>
      <x:c r="T85" t="n">
        <x:v>63.424947145877375</x:v>
      </x:c>
      <x:c r="U85" s="14" t="n">
        <x:v>0.7333649206341791</x:v>
      </x:c>
      <x:c r="V85" s="14" t="n">
        <x:v>0.20822247253002618</x:v>
      </x:c>
      <x:c r="W85" s="14" t="n">
        <x:v>0.01935376014734418</x:v>
      </x:c>
      <x:c r="X85" s="14" t="n">
        <x:v>0.273707491797937</x:v>
      </x:c>
      <x:c r="Y85" s="16" t="n">
        <x:v>94.02173913043478</x:v>
      </x:c>
      <x:c r="Z85" s="16" t="n">
        <x:v>70.06369426751593</x:v>
      </x:c>
      <x:c r="AA85" s="16" t="n">
        <x:v>98.36065573770492</x:v>
      </x:c>
      <x:c r="AB85" s="16" t="n">
        <x:v>69.29347826086956</x:v>
      </x:c>
      <x:c r="AC85" s="16" t="n">
        <x:v>60.32608695652174</x:v>
      </x:c>
      <x:c r="AD85" s="16" t="n">
        <x:v>44.451219512195124</x:v>
      </x:c>
      <x:c r="AE85" s="16" t="n">
        <x:v>80.32363732020346</x:v>
      </x:c>
      <x:c r="AF85" t="str">
        <x:v>우선 검토</x:v>
      </x:c>
      <x:c r="AG85" t="str">
        <x:v>서울 업종추세·수요 강점 / 직장수요 상대적 약점</x:v>
      </x:c>
    </x:row>
    <x:row r="86">
      <x:c r="A86" t="str">
        <x:v>3120231</x:v>
      </x:c>
      <x:c r="B86" t="str">
        <x:v>가락시장</x:v>
      </x:c>
      <x:c r="C86" t="str">
        <x:v>발달상권</x:v>
      </x:c>
      <x:c r="D86" t="str">
        <x:v>송파구</x:v>
      </x:c>
      <x:c r="E86" t="str">
        <x:v>가락1동</x:v>
      </x:c>
      <x:c r="F86" t="str">
        <x:v>CS100001</x:v>
      </x:c>
      <x:c r="G86" t="str">
        <x:v>한식음식점</x:v>
      </x:c>
      <x:c r="H86" t="n">
        <x:v>18030308256</x:v>
      </x:c>
      <x:c r="I86" t="n">
        <x:v>280371</x:v>
      </x:c>
      <x:c r="J86" t="n">
        <x:v>64308.74896476454</x:v>
      </x:c>
      <x:c r="K86" s="14" t="n">
        <x:v>0.10752239748776793</x:v>
      </x:c>
      <x:c r="L86" s="14" t="n">
        <x:v>-0.0018259958518723751</x:v>
      </x:c>
      <x:c r="M86" s="14" t="n">
        <x:v>0.06341040875687098</x:v>
      </x:c>
      <x:c r="N86" t="n">
        <x:v>89</x:v>
      </x:c>
      <x:c r="O86" t="n">
        <x:v>2</x:v>
      </x:c>
      <x:c r="P86" s="14" t="n">
        <x:v>0.02127659574468085</x:v>
      </x:c>
      <x:c r="Q86" s="14" t="n">
        <x:v>0.033707865168539325</x:v>
      </x:c>
      <x:c r="R86" s="14" t="n">
        <x:v>0.1558441558441559</x:v>
      </x:c>
      <x:c r="S86" t="n">
        <x:v>5755</x:v>
      </x:c>
      <x:c r="T86" t="n">
        <x:v>93.43245345018207</x:v>
      </x:c>
      <x:c r="U86" s="14" t="n">
        <x:v>0.690905535231466</x:v>
      </x:c>
      <x:c r="V86" s="14" t="n">
        <x:v>0.6408638568425372</x:v>
      </x:c>
      <x:c r="W86" s="14" t="n">
        <x:v>0.28870948605483454</x:v>
      </x:c>
      <x:c r="X86" s="14" t="n">
        <x:v>0.23237830671063153</x:v>
      </x:c>
      <x:c r="Y86" s="16" t="n">
        <x:v>97.50889679715303</x:v>
      </x:c>
      <x:c r="Z86" s="16" t="n">
        <x:v>90.6361686919228</x:v>
      </x:c>
      <x:c r="AA86" s="16" t="n">
        <x:v>40.98360655737705</x:v>
      </x:c>
      <x:c r="AB86" s="16" t="n">
        <x:v>76.69039145907473</x:v>
      </x:c>
      <x:c r="AC86" s="16" t="n">
        <x:v>75.48042704626334</x:v>
      </x:c>
      <x:c r="AD86" s="16" t="n">
        <x:v>57.3780487804878</x:v>
      </x:c>
      <x:c r="AE86" s="16" t="n">
        <x:v>80.32339246350662</x:v>
      </x:c>
      <x:c r="AF86" t="str">
        <x:v>우선 검토</x:v>
      </x:c>
      <x:c r="AG86" t="str">
        <x:v>수요·상권 모멘텀 강점 / 서울 업종추세 상대적 약점</x:v>
      </x:c>
    </x:row>
    <x:row r="87">
      <x:c r="A87" t="str">
        <x:v>3120095</x:v>
      </x:c>
      <x:c r="B87" t="str">
        <x:v>홍제역</x:v>
      </x:c>
      <x:c r="C87" t="str">
        <x:v>발달상권</x:v>
      </x:c>
      <x:c r="D87" t="str">
        <x:v>서대문구</x:v>
      </x:c>
      <x:c r="E87" t="str">
        <x:v>홍제1동</x:v>
      </x:c>
      <x:c r="F87" t="str">
        <x:v>CS200030</x:v>
      </x:c>
      <x:c r="G87" t="str">
        <x:v>피부관리실</x:v>
      </x:c>
      <x:c r="H87" t="n">
        <x:v>58283568</x:v>
      </x:c>
      <x:c r="I87" t="n">
        <x:v>657</x:v>
      </x:c>
      <x:c r="J87" t="n">
        <x:v>88711.67123287672</x:v>
      </x:c>
      <x:c r="K87" s="14" t="n">
        <x:v>0.7760635101655884</x:v>
      </x:c>
      <x:c r="L87" s="14" t="n">
        <x:v>0.11857168683779085</x:v>
      </x:c>
      <x:c r="M87" s="14" t="n">
        <x:v>0.0314283578178467</x:v>
      </x:c>
      <x:c r="N87" t="n">
        <x:v>9</x:v>
      </x:c>
      <x:c r="O87" t="n">
        <x:v>0</x:v>
      </x:c>
      <x:c r="P87" s="14" t="n">
        <x:v>0</x:v>
      </x:c>
      <x:c r="Q87" s="14" t="n">
        <x:v>0</x:v>
      </x:c>
      <x:c r="R87" s="14" t="n">
        <x:v>0.125</x:v>
      </x:c>
      <x:c r="S87" t="n">
        <x:v>988</x:v>
      </x:c>
      <x:c r="T87" t="n">
        <x:v>98.1970699902598</x:v>
      </x:c>
      <x:c r="U87" s="14" t="n">
        <x:v>0.7433223374382296</x:v>
      </x:c>
      <x:c r="V87" s="14" t="n">
        <x:v>0.14790975048061575</x:v>
      </x:c>
      <x:c r="W87" s="14" t="n">
        <x:v>0.1994898973926922</x:v>
      </x:c>
      <x:c r="X87" s="14" t="n">
        <x:v>0.801652088286702</x:v>
      </x:c>
      <x:c r="Y87" s="16" t="n">
        <x:v>66.50124069478908</x:v>
      </x:c>
      <x:c r="Z87" s="16" t="n">
        <x:v>92.57294429708223</x:v>
      </x:c>
      <x:c r="AA87" s="16" t="n">
        <x:v>91.80327868852459</x:v>
      </x:c>
      <x:c r="AB87" s="16" t="n">
        <x:v>92.55583126550869</x:v>
      </x:c>
      <x:c r="AC87" s="16" t="n">
        <x:v>79.15632754342431</x:v>
      </x:c>
      <x:c r="AD87" s="16" t="n">
        <x:v>58.65853658536585</x:v>
      </x:c>
      <x:c r="AE87" s="16" t="n">
        <x:v>80.29244917930833</x:v>
      </x:c>
      <x:c r="AF87" t="str">
        <x:v>우선 검토</x:v>
      </x:c>
      <x:c r="AG87" t="str">
        <x:v>상권 모멘텀·경쟁여건 강점 / 직장수요 상대적 약점</x:v>
      </x:c>
    </x:row>
    <x:row r="88">
      <x:c r="A88" t="str">
        <x:v>3130168</x:v>
      </x:c>
      <x:c r="B88" t="str">
        <x:v>연서시장</x:v>
      </x:c>
      <x:c r="C88" t="str">
        <x:v>전통시장</x:v>
      </x:c>
      <x:c r="D88" t="str">
        <x:v>은평구</x:v>
      </x:c>
      <x:c r="E88" t="str">
        <x:v>불광2동</x:v>
      </x:c>
      <x:c r="F88" t="str">
        <x:v>CS200030</x:v>
      </x:c>
      <x:c r="G88" t="str">
        <x:v>피부관리실</x:v>
      </x:c>
      <x:c r="H88" t="n">
        <x:v>93869506</x:v>
      </x:c>
      <x:c r="I88" t="n">
        <x:v>281</x:v>
      </x:c>
      <x:c r="J88" t="n">
        <x:v>334055.1814946619</x:v>
      </x:c>
      <x:c r="K88" s="14" t="n">
        <x:v>0.2591578126748242</x:v>
      </x:c>
      <x:c r="L88" s="14" t="n">
        <x:v>0.11857168683779085</x:v>
      </x:c>
      <x:c r="M88" s="14" t="n">
        <x:v>0.0314283578178467</x:v>
      </x:c>
      <x:c r="N88" t="n">
        <x:v>14</x:v>
      </x:c>
      <x:c r="O88" t="n">
        <x:v>0</x:v>
      </x:c>
      <x:c r="P88" s="14" t="n">
        <x:v>0</x:v>
      </x:c>
      <x:c r="Q88" s="14" t="n">
        <x:v>0.07142857142857142</x:v>
      </x:c>
      <x:c r="R88" s="14" t="n">
        <x:v>0</x:v>
      </x:c>
      <x:c r="S88" t="n">
        <x:v>691</x:v>
      </x:c>
      <x:c r="T88" t="n">
        <x:v>319.05069720195775</x:v>
      </x:c>
      <x:c r="U88" s="14" t="n">
        <x:v>0.6698397347483644</x:v>
      </x:c>
      <x:c r="V88" s="14" t="n">
        <x:v>0.42718300871850756</x:v>
      </x:c>
      <x:c r="W88" s="14" t="n">
        <x:v>0.3359849576709182</x:v>
      </x:c>
      <x:c r="X88" s="14" t="n">
        <x:v>0.8440646422492092</x:v>
      </x:c>
      <x:c r="Y88" s="16" t="n">
        <x:v>74.93796526054591</x:v>
      </x:c>
      <x:c r="Z88" s="16" t="n">
        <x:v>78.24933687002653</x:v>
      </x:c>
      <x:c r="AA88" s="16" t="n">
        <x:v>91.80327868852459</x:v>
      </x:c>
      <x:c r="AB88" s="16" t="n">
        <x:v>83.12655086848635</x:v>
      </x:c>
      <x:c r="AC88" s="16" t="n">
        <x:v>79.15632754342431</x:v>
      </x:c>
      <x:c r="AD88" s="16" t="n">
        <x:v>84.63414634146342</x:v>
      </x:c>
      <x:c r="AE88" s="16" t="n">
        <x:v>80.2649697201636</x:v>
      </x:c>
      <x:c r="AF88" t="str">
        <x:v>우선 검토</x:v>
      </x:c>
      <x:c r="AG88" t="str">
        <x:v>서울 업종추세·직장수요 강점 / 수요 상대적 약점</x:v>
      </x:c>
    </x:row>
    <x:row r="89">
      <x:c r="A89" t="str">
        <x:v>3120080</x:v>
      </x:c>
      <x:c r="B89" t="str">
        <x:v>마들역</x:v>
      </x:c>
      <x:c r="C89" t="str">
        <x:v>발달상권</x:v>
      </x:c>
      <x:c r="D89" t="str">
        <x:v>노원구</x:v>
      </x:c>
      <x:c r="E89" t="str">
        <x:v>상계9동</x:v>
      </x:c>
      <x:c r="F89" t="str">
        <x:v>CS300018</x:v>
      </x:c>
      <x:c r="G89" t="str">
        <x:v>의약품</x:v>
      </x:c>
      <x:c r="H89" t="n">
        <x:v>4192317838</x:v>
      </x:c>
      <x:c r="I89" t="n">
        <x:v>347728</x:v>
      </x:c>
      <x:c r="J89" t="n">
        <x:v>12056.313664703446</x:v>
      </x:c>
      <x:c r="K89" s="14" t="n">
        <x:v>0.025397110115959576</x:v>
      </x:c>
      <x:c r="L89" s="14" t="n">
        <x:v>0.027829225601598617</x:v>
      </x:c>
      <x:c r="M89" s="14" t="n">
        <x:v>0.02632929521123617</x:v>
      </x:c>
      <x:c r="N89" t="n">
        <x:v>6</x:v>
      </x:c>
      <x:c r="O89" t="n">
        <x:v>0</x:v>
      </x:c>
      <x:c r="P89" s="14" t="n">
        <x:v>0</x:v>
      </x:c>
      <x:c r="Q89" s="14" t="n">
        <x:v>0</x:v>
      </x:c>
      <x:c r="R89" s="14" t="n">
        <x:v>-0.33333333333333337</x:v>
      </x:c>
      <x:c r="S89" t="n">
        <x:v>1635</x:v>
      </x:c>
      <x:c r="T89" t="n">
        <x:v>419.4889162561576</x:v>
      </x:c>
      <x:c r="U89" s="14" t="n">
        <x:v>0.8423829474448354</x:v>
      </x:c>
      <x:c r="V89" s="14" t="n">
        <x:v>0.18517320083974034</x:v>
      </x:c>
      <x:c r="W89" s="14" t="n">
        <x:v>0.1777144724683921</x:v>
      </x:c>
      <x:c r="X89" s="14" t="n">
        <x:v>0.5231807314605615</x:v>
      </x:c>
      <x:c r="Y89" s="16" t="n">
        <x:v>85.73883161512028</x:v>
      </x:c>
      <x:c r="Z89" s="16" t="n">
        <x:v>68.18181818181819</x:v>
      </x:c>
      <x:c r="AA89" s="16" t="n">
        <x:v>72.1311475409836</x:v>
      </x:c>
      <x:c r="AB89" s="16" t="n">
        <x:v>98.36769759450172</x:v>
      </x:c>
      <x:c r="AC89" s="16" t="n">
        <x:v>66.32302405498282</x:v>
      </x:c>
      <x:c r="AD89" s="16" t="n">
        <x:v>87.98780487804878</x:v>
      </x:c>
      <x:c r="AE89" s="16" t="n">
        <x:v>80.25147412137926</x:v>
      </x:c>
      <x:c r="AF89" t="str">
        <x:v>우선 검토</x:v>
      </x:c>
      <x:c r="AG89" t="str">
        <x:v>경쟁여건·직장수요 강점 / 안정성 상대적 약점</x:v>
      </x:c>
    </x:row>
    <x:row r="90">
      <x:c r="A90" t="str">
        <x:v>3120178</x:v>
      </x:c>
      <x:c r="B90" t="str">
        <x:v>신사역</x:v>
      </x:c>
      <x:c r="C90" t="str">
        <x:v>발달상권</x:v>
      </x:c>
      <x:c r="D90" t="str">
        <x:v>서초구</x:v>
      </x:c>
      <x:c r="E90" t="str">
        <x:v>잠원동</x:v>
      </x:c>
      <x:c r="F90" t="str">
        <x:v>CS300007</x:v>
      </x:c>
      <x:c r="G90" t="str">
        <x:v>육류판매</x:v>
      </x:c>
      <x:c r="H90" t="n">
        <x:v>983568435</x:v>
      </x:c>
      <x:c r="I90" t="n">
        <x:v>10338</x:v>
      </x:c>
      <x:c r="J90" t="n">
        <x:v>95141.07515960535</x:v>
      </x:c>
      <x:c r="K90" s="14" t="n">
        <x:v>0.09178692785998477</x:v>
      </x:c>
      <x:c r="L90" s="14" t="n">
        <x:v>0.23518223683931017</x:v>
      </x:c>
      <x:c r="M90" s="14" t="n">
        <x:v>0.00863079289162072</x:v>
      </x:c>
      <x:c r="N90" t="n">
        <x:v>7</x:v>
      </x:c>
      <x:c r="O90" t="n">
        <x:v>0</x:v>
      </x:c>
      <x:c r="P90" s="14" t="n">
        <x:v>0</x:v>
      </x:c>
      <x:c r="Q90" s="14" t="n">
        <x:v>0</x:v>
      </x:c>
      <x:c r="R90" s="14" t="n">
        <x:v>0.16666666666666674</x:v>
      </x:c>
      <x:c r="S90" t="n">
        <x:v>19438</x:v>
      </x:c>
      <x:c r="T90" t="n">
        <x:v>550.5486226371273</x:v>
      </x:c>
      <x:c r="U90" s="14" t="n">
        <x:v>0.8283793847044308</x:v>
      </x:c>
      <x:c r="V90" s="14" t="n">
        <x:v>0.5511086038461573</x:v>
      </x:c>
      <x:c r="W90" s="14" t="n">
        <x:v>0.3113622398831862</x:v>
      </x:c>
      <x:c r="X90" s="14" t="n">
        <x:v>0.15518071398865094</x:v>
      </x:c>
      <x:c r="Y90" s="16" t="n">
        <x:v>69.3069306930693</x:v>
      </x:c>
      <x:c r="Z90" s="16" t="n">
        <x:v>80.51948051948052</x:v>
      </x:c>
      <x:c r="AA90" s="16" t="n">
        <x:v>100</x:v>
      </x:c>
      <x:c r="AB90" s="16" t="n">
        <x:v>90.71782178217822</x:v>
      </x:c>
      <x:c r="AC90" s="16" t="n">
        <x:v>66.83168316831683</x:v>
      </x:c>
      <x:c r="AD90" s="16" t="n">
        <x:v>91.03658536585365</x:v>
      </x:c>
      <x:c r="AE90" s="16" t="n">
        <x:v>80.20399269892145</x:v>
      </x:c>
      <x:c r="AF90" t="str">
        <x:v>우선 검토</x:v>
      </x:c>
      <x:c r="AG90" t="str">
        <x:v>서울 업종추세·직장수요 강점 / 안정성 상대적 약점</x:v>
      </x:c>
    </x:row>
    <x:row r="91">
      <x:c r="A91" t="str">
        <x:v>3120248</x:v>
      </x:c>
      <x:c r="B91" t="str">
        <x:v>명일역</x:v>
      </x:c>
      <x:c r="C91" t="str">
        <x:v>발달상권</x:v>
      </x:c>
      <x:c r="D91" t="str">
        <x:v>강동구</x:v>
      </x:c>
      <x:c r="E91" t="str">
        <x:v>명일1동</x:v>
      </x:c>
      <x:c r="F91" t="str">
        <x:v>CS300020</x:v>
      </x:c>
      <x:c r="G91" t="str">
        <x:v>서적</x:v>
      </x:c>
      <x:c r="H91" t="n">
        <x:v>404146874</x:v>
      </x:c>
      <x:c r="I91" t="n">
        <x:v>4164</x:v>
      </x:c>
      <x:c r="J91" t="n">
        <x:v>97057.36647454371</x:v>
      </x:c>
      <x:c r="K91" s="14" t="n">
        <x:v>0.8199127493188874</x:v>
      </x:c>
      <x:c r="L91" s="14" t="n">
        <x:v>0.20039418624921757</x:v>
      </x:c>
      <x:c r="M91" s="14" t="n">
        <x:v>-0.01061516125540185</x:v>
      </x:c>
      <x:c r="N91" t="n">
        <x:v>12</x:v>
      </x:c>
      <x:c r="O91" t="n">
        <x:v>0</x:v>
      </x:c>
      <x:c r="P91" s="14" t="n">
        <x:v>0</x:v>
      </x:c>
      <x:c r="Q91" s="14" t="n">
        <x:v>0.08333333333333333</x:v>
      </x:c>
      <x:c r="R91" s="14" t="n">
        <x:v>-0.07692307692307687</x:v>
      </x:c>
      <x:c r="S91" t="n">
        <x:v>2489</x:v>
      </x:c>
      <x:c r="T91" t="n">
        <x:v>173.93552715253074</x:v>
      </x:c>
      <x:c r="U91" s="14" t="n">
        <x:v>0.9213857460147026</x:v>
      </x:c>
      <x:c r="V91" s="14" t="n">
        <x:v>0.3452604089670628</x:v>
      </x:c>
      <x:c r="W91" s="14" t="n">
        <x:v>0.29241403955533257</x:v>
      </x:c>
      <x:c r="X91" s="14" t="n">
        <x:v>0.6556864151323363</x:v>
      </x:c>
      <x:c r="Y91" s="16" t="n">
        <x:v>75.83892617449665</x:v>
      </x:c>
      <x:c r="Z91" s="16" t="n">
        <x:v>98.57142857142857</x:v>
      </x:c>
      <x:c r="AA91" s="16" t="n">
        <x:v>96.72131147540983</x:v>
      </x:c>
      <x:c r="AB91" s="16" t="n">
        <x:v>65.1006711409396</x:v>
      </x:c>
      <x:c r="AC91" s="16" t="n">
        <x:v>59.395973154362416</x:v>
      </x:c>
      <x:c r="AD91" s="16" t="n">
        <x:v>73.35365853658537</x:v>
      </x:c>
      <x:c r="AE91" s="16" t="n">
        <x:v>80.13848751007748</x:v>
      </x:c>
      <x:c r="AF91" t="str">
        <x:v>우선 검토</x:v>
      </x:c>
      <x:c r="AG91" t="str">
        <x:v>상권 모멘텀·서울 업종추세 강점 / 안정성 상대적 약점</x:v>
      </x:c>
    </x:row>
    <x:row r="92">
      <x:c r="A92" t="str">
        <x:v>3120184</x:v>
      </x:c>
      <x:c r="B92" t="str">
        <x:v>포이사거리(삼호물산)</x:v>
      </x:c>
      <x:c r="C92" t="str">
        <x:v>발달상권</x:v>
      </x:c>
      <x:c r="D92" t="str">
        <x:v>서초구</x:v>
      </x:c>
      <x:c r="E92" t="str">
        <x:v>양재2동</x:v>
      </x:c>
      <x:c r="F92" t="str">
        <x:v>CS200029</x:v>
      </x:c>
      <x:c r="G92" t="str">
        <x:v>네일숍</x:v>
      </x:c>
      <x:c r="H92" t="n">
        <x:v>261824387</x:v>
      </x:c>
      <x:c r="I92" t="n">
        <x:v>1726</x:v>
      </x:c>
      <x:c r="J92" t="n">
        <x:v>151694.31460023174</x:v>
      </x:c>
      <x:c r="K92" s="14" t="n">
        <x:v>0.34361534620417156</x:v>
      </x:c>
      <x:c r="L92" s="14" t="n">
        <x:v>-0.03823077167694788</x:v>
      </x:c>
      <x:c r="M92" s="14" t="n">
        <x:v>-0.06057133576425</x:v>
      </x:c>
      <x:c r="N92" t="n">
        <x:v>7</x:v>
      </x:c>
      <x:c r="O92" t="n">
        <x:v>0</x:v>
      </x:c>
      <x:c r="P92" s="14" t="n">
        <x:v>0</x:v>
      </x:c>
      <x:c r="Q92" s="14" t="n">
        <x:v>0</x:v>
      </x:c>
      <x:c r="R92" s="14" t="n">
        <x:v>-0.2222222222222222</x:v>
      </x:c>
      <x:c r="S92" t="n">
        <x:v>15262</x:v>
      </x:c>
      <x:c r="T92" t="n">
        <x:v>433.64237432127953</x:v>
      </x:c>
      <x:c r="U92" s="14" t="n">
        <x:v>0.7042622924196897</x:v>
      </x:c>
      <x:c r="V92" s="14" t="n">
        <x:v>0.4258622937213255</x:v>
      </x:c>
      <x:c r="W92" s="14" t="n">
        <x:v>0.10646557915936226</x:v>
      </x:c>
      <x:c r="X92" s="14" t="n">
        <x:v>0.7515803216604112</x:v>
      </x:c>
      <x:c r="Y92" s="16" t="n">
        <x:v>95.10204081632654</x:v>
      </x:c>
      <x:c r="Z92" s="16" t="n">
        <x:v>92.5311203319502</x:v>
      </x:c>
      <x:c r="AA92" s="16" t="n">
        <x:v>26.229508196721312</x:v>
      </x:c>
      <x:c r="AB92" s="16" t="n">
        <x:v>88.77551020408163</x:v>
      </x:c>
      <x:c r="AC92" s="16" t="n">
        <x:v>66.73469387755102</x:v>
      </x:c>
      <x:c r="AD92" s="16" t="n">
        <x:v>88.35365853658537</x:v>
      </x:c>
      <x:c r="AE92" s="16" t="n">
        <x:v>80.13384342680914</x:v>
      </x:c>
      <x:c r="AF92" t="str">
        <x:v>우선 검토</x:v>
      </x:c>
      <x:c r="AG92" t="str">
        <x:v>수요·상권 모멘텀 강점 / 서울 업종추세 상대적 약점</x:v>
      </x:c>
    </x:row>
    <x:row r="93">
      <x:c r="A93" t="str">
        <x:v>3120210</x:v>
      </x:c>
      <x:c r="B93" t="str">
        <x:v>선릉역</x:v>
      </x:c>
      <x:c r="C93" t="str">
        <x:v>발달상권</x:v>
      </x:c>
      <x:c r="D93" t="str">
        <x:v>강남구</x:v>
      </x:c>
      <x:c r="E93" t="str">
        <x:v>대치4동</x:v>
      </x:c>
      <x:c r="F93" t="str">
        <x:v>CS200016</x:v>
      </x:c>
      <x:c r="G93" t="str">
        <x:v>당구장</x:v>
      </x:c>
      <x:c r="H93" t="n">
        <x:v>386342687</x:v>
      </x:c>
      <x:c r="I93" t="n">
        <x:v>17075</x:v>
      </x:c>
      <x:c r="J93" t="n">
        <x:v>22626.218857979504</x:v>
      </x:c>
      <x:c r="K93" s="14" t="n">
        <x:v>0.37129599308293937</x:v>
      </x:c>
      <x:c r="L93" s="14" t="n">
        <x:v>0.052763611334009974</x:v>
      </x:c>
      <x:c r="M93" s="14" t="n">
        <x:v>0.07602781601598463</x:v>
      </x:c>
      <x:c r="N93" t="n">
        <x:v>22</x:v>
      </x:c>
      <x:c r="O93" t="n">
        <x:v>0</x:v>
      </x:c>
      <x:c r="P93" s="14" t="n">
        <x:v>0</x:v>
      </x:c>
      <x:c r="Q93" s="14" t="n">
        <x:v>0</x:v>
      </x:c>
      <x:c r="R93" s="14" t="n">
        <x:v>0.22222222222222232</x:v>
      </x:c>
      <x:c r="S93" t="n">
        <x:v>59959</x:v>
      </x:c>
      <x:c r="T93" t="n">
        <x:v>1663.5223092161116</x:v>
      </x:c>
      <x:c r="U93" s="14" t="n">
        <x:v>0.8190860074439561</x:v>
      </x:c>
      <x:c r="V93" s="14" t="n">
        <x:v>0.630945298571162</x:v>
      </x:c>
      <x:c r="W93" s="14" t="n">
        <x:v>0.1698823148683024</x:v>
      </x:c>
      <x:c r="X93" s="14" t="n">
        <x:v>0.36591400266365076</x:v>
      </x:c>
      <x:c r="Y93" s="16" t="n">
        <x:v>97.05014749262537</x:v>
      </x:c>
      <x:c r="Z93" s="16" t="n">
        <x:v>98.14814814814815</x:v>
      </x:c>
      <x:c r="AA93" s="16" t="n">
        <x:v>80.32786885245902</x:v>
      </x:c>
      <x:c r="AB93" s="16" t="n">
        <x:v>17.109144542772867</x:v>
      </x:c>
      <x:c r="AC93" s="16" t="n">
        <x:v>69.32153392330383</x:v>
      </x:c>
      <x:c r="AD93" s="16" t="n">
        <x:v>98.17073170731707</x:v>
      </x:c>
      <x:c r="AE93" s="16" t="n">
        <x:v>80.05342323902951</x:v>
      </x:c>
      <x:c r="AF93" t="str">
        <x:v>우선 검토</x:v>
      </x:c>
      <x:c r="AG93" t="str">
        <x:v>직장수요·상권 모멘텀 강점 / 경쟁여건 상대적 약점</x:v>
      </x:c>
    </x:row>
    <x:row r="94">
      <x:c r="A94" t="str">
        <x:v>3120062</x:v>
      </x:c>
      <x:c r="B94" t="str">
        <x:v>신설동역</x:v>
      </x:c>
      <x:c r="C94" t="str">
        <x:v>발달상권</x:v>
      </x:c>
      <x:c r="D94" t="str">
        <x:v>동대문구</x:v>
      </x:c>
      <x:c r="E94" t="str">
        <x:v>용신동</x:v>
      </x:c>
      <x:c r="F94" t="str">
        <x:v>CS300020</x:v>
      </x:c>
      <x:c r="G94" t="str">
        <x:v>서적</x:v>
      </x:c>
      <x:c r="H94" t="n">
        <x:v>1308511067</x:v>
      </x:c>
      <x:c r="I94" t="n">
        <x:v>9323</x:v>
      </x:c>
      <x:c r="J94" t="n">
        <x:v>140353.00514855733</x:v>
      </x:c>
      <x:c r="K94" s="14" t="n">
        <x:v>0.2060628702253544</x:v>
      </x:c>
      <x:c r="L94" s="14" t="n">
        <x:v>0.20039418624921757</x:v>
      </x:c>
      <x:c r="M94" s="14" t="n">
        <x:v>-0.01061516125540185</x:v>
      </x:c>
      <x:c r="N94" t="n">
        <x:v>19</x:v>
      </x:c>
      <x:c r="O94" t="n">
        <x:v>0</x:v>
      </x:c>
      <x:c r="P94" s="14" t="n">
        <x:v>0</x:v>
      </x:c>
      <x:c r="Q94" s="14" t="n">
        <x:v>0.05263157894736842</x:v>
      </x:c>
      <x:c r="R94" s="14" t="n">
        <x:v>-0.09523809523809523</x:v>
      </x:c>
      <x:c r="S94" t="n">
        <x:v>6339</x:v>
      </x:c>
      <x:c r="T94" t="n">
        <x:v>233.1371827877896</x:v>
      </x:c>
      <x:c r="U94" s="14" t="n">
        <x:v>0.9794846442823398</x:v>
      </x:c>
      <x:c r="V94" s="14" t="n">
        <x:v>0.013109404599326939</x:v>
      </x:c>
      <x:c r="W94" s="14" t="n">
        <x:v>0.010140654775218649</x:v>
      </x:c>
      <x:c r="X94" s="14" t="n">
        <x:v>0.9210299617588179</x:v>
      </x:c>
      <x:c r="Y94" s="16" t="n">
        <x:v>93.28859060402685</x:v>
      </x:c>
      <x:c r="Z94" s="16" t="n">
        <x:v>88.57142857142857</x:v>
      </x:c>
      <x:c r="AA94" s="16" t="n">
        <x:v>96.72131147540983</x:v>
      </x:c>
      <x:c r="AB94" s="16" t="n">
        <x:v>34.899328859060404</x:v>
      </x:c>
      <x:c r="AC94" s="16" t="n">
        <x:v>59.395973154362416</x:v>
      </x:c>
      <x:c r="AD94" s="16" t="n">
        <x:v>79.32926829268293</x:v>
      </x:c>
      <x:c r="AE94" s="16" t="n">
        <x:v>80.01444920593603</x:v>
      </x:c>
      <x:c r="AF94" t="str">
        <x:v>우선 검토</x:v>
      </x:c>
      <x:c r="AG94" t="str">
        <x:v>서울 업종추세·수요 강점 / 경쟁여건 상대적 약점</x:v>
      </x:c>
    </x:row>
    <x:row r="95">
      <x:c r="A95" t="str">
        <x:v>3130285</x:v>
      </x:c>
      <x:c r="B95" t="str">
        <x:v>서원동상점가</x:v>
      </x:c>
      <x:c r="C95" t="str">
        <x:v>전통시장</x:v>
      </x:c>
      <x:c r="D95" t="str">
        <x:v>관악구</x:v>
      </x:c>
      <x:c r="E95" t="str">
        <x:v>서원동</x:v>
      </x:c>
      <x:c r="F95" t="str">
        <x:v>CS200030</x:v>
      </x:c>
      <x:c r="G95" t="str">
        <x:v>피부관리실</x:v>
      </x:c>
      <x:c r="H95" t="n">
        <x:v>516634473</x:v>
      </x:c>
      <x:c r="I95" t="n">
        <x:v>6784</x:v>
      </x:c>
      <x:c r="J95" t="n">
        <x:v>76154.84566627358</x:v>
      </x:c>
      <x:c r="K95" s="14" t="n">
        <x:v>0.17223684333971256</x:v>
      </x:c>
      <x:c r="L95" s="14" t="n">
        <x:v>0.11857168683779085</x:v>
      </x:c>
      <x:c r="M95" s="14" t="n">
        <x:v>0.0314283578178467</x:v>
      </x:c>
      <x:c r="N95" t="n">
        <x:v>29</x:v>
      </x:c>
      <x:c r="O95" t="n">
        <x:v>0</x:v>
      </x:c>
      <x:c r="P95" s="14" t="n">
        <x:v>0</x:v>
      </x:c>
      <x:c r="Q95" s="14" t="n">
        <x:v>0.06896551724137931</x:v>
      </x:c>
      <x:c r="R95" s="14" t="n">
        <x:v>1.4166666666666665</x:v>
      </x:c>
      <x:c r="S95" t="n">
        <x:v>988</x:v>
      </x:c>
      <x:c r="T95" t="n">
        <x:v>164.59534201845867</x:v>
      </x:c>
      <x:c r="U95" s="14" t="n">
        <x:v>0.7845579344450753</x:v>
      </x:c>
      <x:c r="V95" s="14" t="n">
        <x:v>0.47684667763159505</x:v>
      </x:c>
      <x:c r="W95" s="14" t="n">
        <x:v>0.8232497234074428</x:v>
      </x:c>
      <x:c r="X95" s="14" t="n">
        <x:v>0.9328488422413113</x:v>
      </x:c>
      <x:c r="Y95" s="16" t="n">
        <x:v>94.04466501240695</x:v>
      </x:c>
      <x:c r="Z95" s="16" t="n">
        <x:v>69.49602122015915</x:v>
      </x:c>
      <x:c r="AA95" s="16" t="n">
        <x:v>91.80327868852459</x:v>
      </x:c>
      <x:c r="AB95" s="16" t="n">
        <x:v>52.48138957816377</x:v>
      </x:c>
      <x:c r="AC95" s="16" t="n">
        <x:v>79.15632754342431</x:v>
      </x:c>
      <x:c r="AD95" s="16" t="n">
        <x:v>72.3780487804878</x:v>
      </x:c>
      <x:c r="AE95" s="16" t="n">
        <x:v>79.99207243174433</x:v>
      </x:c>
      <x:c r="AF95" t="str">
        <x:v>검토</x:v>
      </x:c>
      <x:c r="AG95" t="str">
        <x:v>수요·서울 업종추세 강점 / 경쟁여건 상대적 약점</x:v>
      </x:c>
    </x:row>
    <x:row r="96">
      <x:c r="A96" t="str">
        <x:v>3120104</x:v>
      </x:c>
      <x:c r="B96" t="str">
        <x:v>연남동(홍대)</x:v>
      </x:c>
      <x:c r="C96" t="str">
        <x:v>발달상권</x:v>
      </x:c>
      <x:c r="D96" t="str">
        <x:v>마포구</x:v>
      </x:c>
      <x:c r="E96" t="str">
        <x:v>연남동</x:v>
      </x:c>
      <x:c r="F96" t="str">
        <x:v>CS200016</x:v>
      </x:c>
      <x:c r="G96" t="str">
        <x:v>당구장</x:v>
      </x:c>
      <x:c r="H96" t="n">
        <x:v>83967322</x:v>
      </x:c>
      <x:c r="I96" t="n">
        <x:v>3513</x:v>
      </x:c>
      <x:c r="J96" t="n">
        <x:v>23901.884998576716</x:v>
      </x:c>
      <x:c r="K96" s="14" t="n">
        <x:v>0.08692628640378453</x:v>
      </x:c>
      <x:c r="L96" s="14" t="n">
        <x:v>0.052763611334009974</x:v>
      </x:c>
      <x:c r="M96" s="14" t="n">
        <x:v>0.07602781601598463</x:v>
      </x:c>
      <x:c r="N96" t="n">
        <x:v>2</x:v>
      </x:c>
      <x:c r="O96" t="n">
        <x:v>0</x:v>
      </x:c>
      <x:c r="P96" s="14" t="n">
        <x:v>0</x:v>
      </x:c>
      <x:c r="Q96" s="14" t="n">
        <x:v>0</x:v>
      </x:c>
      <x:c r="R96" s="14" t="n">
        <x:v>0</x:v>
      </x:c>
      <x:c r="S96" t="n">
        <x:v>6380</x:v>
      </x:c>
      <x:c r="T96" t="n">
        <x:v>145.84623965874724</x:v>
      </x:c>
      <x:c r="U96" s="14" t="n">
        <x:v>0.6525338392952439</x:v>
      </x:c>
      <x:c r="V96" s="14" t="n">
        <x:v>0.8213371744784239</x:v>
      </x:c>
      <x:c r="W96" s="14" t="n">
        <x:v>0.6067776342801549</x:v>
      </x:c>
      <x:c r="X96" s="14" t="n">
        <x:v>0.3452603144828175</x:v>
      </x:c>
      <x:c r="Y96" s="16" t="n">
        <x:v>75.51622418879056</x:v>
      </x:c>
      <x:c r="Z96" s="16" t="n">
        <x:v>80.55555555555556</x:v>
      </x:c>
      <x:c r="AA96" s="16" t="n">
        <x:v>80.32786885245902</x:v>
      </x:c>
      <x:c r="AB96" s="16" t="n">
        <x:v>100</x:v>
      </x:c>
      <x:c r="AC96" s="16" t="n">
        <x:v>69.32153392330383</x:v>
      </x:c>
      <x:c r="AD96" s="16" t="n">
        <x:v>69.32926829268293</x:v>
      </x:c>
      <x:c r="AE96" s="16" t="n">
        <x:v>79.98958671202118</x:v>
      </x:c>
      <x:c r="AF96" t="str">
        <x:v>검토</x:v>
      </x:c>
      <x:c r="AG96" t="str">
        <x:v>경쟁여건·상권 모멘텀 강점 / 안정성 상대적 약점</x:v>
      </x:c>
    </x:row>
    <x:row r="97">
      <x:c r="A97" t="str">
        <x:v>3001494</x:v>
      </x:c>
      <x:c r="B97" t="str">
        <x:v>종로?청계 관광특구</x:v>
      </x:c>
      <x:c r="C97" t="str">
        <x:v>관광특구</x:v>
      </x:c>
      <x:c r="D97" t="str">
        <x:v>종로구</x:v>
      </x:c>
      <x:c r="E97" t="str">
        <x:v>종로1·2·3·4가동</x:v>
      </x:c>
      <x:c r="F97" t="str">
        <x:v>CS300024</x:v>
      </x:c>
      <x:c r="G97" t="str">
        <x:v>운동/경기용품</x:v>
      </x:c>
      <x:c r="H97" t="n">
        <x:v>12995706272</x:v>
      </x:c>
      <x:c r="I97" t="n">
        <x:v>83353</x:v>
      </x:c>
      <x:c r="J97" t="n">
        <x:v>155911.68010749464</x:v>
      </x:c>
      <x:c r="K97" s="14" t="n">
        <x:v>0.17007346462611128</x:v>
      </x:c>
      <x:c r="L97" s="14" t="n">
        <x:v>0.02391308801579517</x:v>
      </x:c>
      <x:c r="M97" s="14" t="n">
        <x:v>-0.0228667837393145</x:v>
      </x:c>
      <x:c r="N97" t="n">
        <x:v>12</x:v>
      </x:c>
      <x:c r="O97" t="n">
        <x:v>0</x:v>
      </x:c>
      <x:c r="P97" s="14" t="n">
        <x:v>0</x:v>
      </x:c>
      <x:c r="Q97" s="14" t="n">
        <x:v>0</x:v>
      </x:c>
      <x:c r="R97" s="14" t="n">
        <x:v>0.7142857142857142</x:v>
      </x:c>
      <x:c r="S97" t="n">
        <x:v>46516</x:v>
      </x:c>
      <x:c r="T97" t="n">
        <x:v>712.2045176512379</x:v>
      </x:c>
      <x:c r="U97" s="14" t="n">
        <x:v>0.6729568352004686</x:v>
      </x:c>
      <x:c r="V97" s="14" t="n">
        <x:v>0.17455185024360328</x:v>
      </x:c>
      <x:c r="W97" s="14" t="n">
        <x:v>0.1918367557576635</x:v>
      </x:c>
      <x:c r="X97" s="14" t="n">
        <x:v>0.2995904919295178</x:v>
      </x:c>
      <x:c r="Y97" s="16" t="n">
        <x:v>97.6923076923077</x:v>
      </x:c>
      <x:c r="Z97" s="16" t="n">
        <x:v>68.29268292682927</x:v>
      </x:c>
      <x:c r="AA97" s="16" t="n">
        <x:v>65.57377049180327</x:v>
      </x:c>
      <x:c r="AB97" s="16" t="n">
        <x:v>72.6923076923077</x:v>
      </x:c>
      <x:c r="AC97" s="16" t="n">
        <x:v>66.53846153846155</x:v>
      </x:c>
      <x:c r="AD97" s="16" t="n">
        <x:v>94.02439024390245</x:v>
      </x:c>
      <x:c r="AE97" s="16" t="n">
        <x:v>79.94582167133147</x:v>
      </x:c>
      <x:c r="AF97" t="str">
        <x:v>검토</x:v>
      </x:c>
      <x:c r="AG97" t="str">
        <x:v>수요·직장수요 강점 / 서울 업종추세 상대적 약점</x:v>
      </x:c>
    </x:row>
    <x:row r="98">
      <x:c r="A98" t="str">
        <x:v>3120111</x:v>
      </x:c>
      <x:c r="B98" t="str">
        <x:v>목동사거리</x:v>
      </x:c>
      <x:c r="C98" t="str">
        <x:v>발달상권</x:v>
      </x:c>
      <x:c r="D98" t="str">
        <x:v>강서구</x:v>
      </x:c>
      <x:c r="E98" t="str">
        <x:v>화곡4동</x:v>
      </x:c>
      <x:c r="F98" t="str">
        <x:v>CS300018</x:v>
      </x:c>
      <x:c r="G98" t="str">
        <x:v>의약품</x:v>
      </x:c>
      <x:c r="H98" t="n">
        <x:v>3555706504</x:v>
      </x:c>
      <x:c r="I98" t="n">
        <x:v>119020</x:v>
      </x:c>
      <x:c r="J98" t="n">
        <x:v>29874.865602419763</x:v>
      </x:c>
      <x:c r="K98" s="14" t="n">
        <x:v>0.19435941451579875</x:v>
      </x:c>
      <x:c r="L98" s="14" t="n">
        <x:v>0.027829225601598617</x:v>
      </x:c>
      <x:c r="M98" s="14" t="n">
        <x:v>0.02632929521123617</x:v>
      </x:c>
      <x:c r="N98" t="n">
        <x:v>15</x:v>
      </x:c>
      <x:c r="O98" t="n">
        <x:v>0</x:v>
      </x:c>
      <x:c r="P98" s="14" t="n">
        <x:v>0</x:v>
      </x:c>
      <x:c r="Q98" s="14" t="n">
        <x:v>0.06666666666666667</x:v>
      </x:c>
      <x:c r="R98" s="14" t="n">
        <x:v>-0.11764705882352944</x:v>
      </x:c>
      <x:c r="S98" t="n">
        <x:v>1559</x:v>
      </x:c>
      <x:c r="T98" t="n">
        <x:v>123.62321483795765</x:v>
      </x:c>
      <x:c r="U98" s="14" t="n">
        <x:v>0.7980024523418877</x:v>
      </x:c>
      <x:c r="V98" s="14" t="n">
        <x:v>0.18794129162467005</x:v>
      </x:c>
      <x:c r="W98" s="14" t="n">
        <x:v>0.3121749519402966</x:v>
      </x:c>
      <x:c r="X98" s="14" t="n">
        <x:v>0.5574765323769253</x:v>
      </x:c>
      <x:c r="Y98" s="16" t="n">
        <x:v>80.41237113402062</x:v>
      </x:c>
      <x:c r="Z98" s="16" t="n">
        <x:v>97.37762237762237</x:v>
      </x:c>
      <x:c r="AA98" s="16" t="n">
        <x:v>72.1311475409836</x:v>
      </x:c>
      <x:c r="AB98" s="16" t="n">
        <x:v>77.57731958762886</x:v>
      </x:c>
      <x:c r="AC98" s="16" t="n">
        <x:v>66.32302405498282</x:v>
      </x:c>
      <x:c r="AD98" s="16" t="n">
        <x:v>64.6951219512195</x:v>
      </x:c>
      <x:c r="AE98" s="16" t="n">
        <x:v>79.94318294478282</x:v>
      </x:c>
      <x:c r="AF98" t="str">
        <x:v>검토</x:v>
      </x:c>
      <x:c r="AG98" t="str">
        <x:v>상권 모멘텀·수요 강점 / 직장수요 상대적 약점</x:v>
      </x:c>
    </x:row>
    <x:row r="99">
      <x:c r="A99" t="str">
        <x:v>3120166</x:v>
      </x:c>
      <x:c r="B99" t="str">
        <x:v>방배역</x:v>
      </x:c>
      <x:c r="C99" t="str">
        <x:v>발달상권</x:v>
      </x:c>
      <x:c r="D99" t="str">
        <x:v>서초구</x:v>
      </x:c>
      <x:c r="E99" t="str">
        <x:v>방배1동</x:v>
      </x:c>
      <x:c r="F99" t="str">
        <x:v>CS200024</x:v>
      </x:c>
      <x:c r="G99" t="str">
        <x:v>스포츠클럽</x:v>
      </x:c>
      <x:c r="H99" t="n">
        <x:v>715287125</x:v>
      </x:c>
      <x:c r="I99" t="n">
        <x:v>1984</x:v>
      </x:c>
      <x:c r="J99" t="n">
        <x:v>360527.7847782258</x:v>
      </x:c>
      <x:c r="K99" s="14" t="n">
        <x:v>0.561766449284467</x:v>
      </x:c>
      <x:c r="L99" s="14" t="n">
        <x:v>0.03927856170757105</x:v>
      </x:c>
      <x:c r="M99" s="14" t="n">
        <x:v>-0.042593628048716026</x:v>
      </x:c>
      <x:c r="N99" t="n">
        <x:v>22</x:v>
      </x:c>
      <x:c r="O99" t="n">
        <x:v>0</x:v>
      </x:c>
      <x:c r="P99" s="14" t="n">
        <x:v>0</x:v>
      </x:c>
      <x:c r="Q99" s="14" t="n">
        <x:v>0.045454545454545456</x:v>
      </x:c>
      <x:c r="R99" s="14" t="n">
        <x:v>0.8333333333333333</x:v>
      </x:c>
      <x:c r="S99" t="n">
        <x:v>10702</x:v>
      </x:c>
      <x:c r="T99" t="n">
        <x:v>552.7407200813979</x:v>
      </x:c>
      <x:c r="U99" s="14" t="n">
        <x:v>0.8952907617343175</x:v>
      </x:c>
      <x:c r="V99" s="14" t="n">
        <x:v>0.43838896443159103</x:v>
      </x:c>
      <x:c r="W99" s="14" t="n">
        <x:v>0.30806218132333923</x:v>
      </x:c>
      <x:c r="X99" s="14" t="n">
        <x:v>0.40736789160017384</x:v>
      </x:c>
      <x:c r="Y99" s="16" t="n">
        <x:v>90.94202898550725</x:v>
      </x:c>
      <x:c r="Z99" s="16" t="n">
        <x:v>91.51785714285714</x:v>
      </x:c>
      <x:c r="AA99" s="16" t="n">
        <x:v>75.40983606557377</x:v>
      </x:c>
      <x:c r="AB99" s="16" t="n">
        <x:v>46.92028985507246</x:v>
      </x:c>
      <x:c r="AC99" s="16" t="n">
        <x:v>68.84057971014492</x:v>
      </x:c>
      <x:c r="AD99" s="16" t="n">
        <x:v>91.09756097560975</x:v>
      </x:c>
      <x:c r="AE99" s="16" t="n">
        <x:v>79.9217364813909</x:v>
      </x:c>
      <x:c r="AF99" t="str">
        <x:v>검토</x:v>
      </x:c>
      <x:c r="AG99" t="str">
        <x:v>상권 모멘텀·직장수요 강점 / 경쟁여건 상대적 약점</x:v>
      </x:c>
    </x:row>
    <x:row r="100">
      <x:c r="A100" t="str">
        <x:v>3120038</x:v>
      </x:c>
      <x:c r="B100" t="str">
        <x:v>약수역</x:v>
      </x:c>
      <x:c r="C100" t="str">
        <x:v>발달상권</x:v>
      </x:c>
      <x:c r="D100" t="str">
        <x:v>중구</x:v>
      </x:c>
      <x:c r="E100" t="str">
        <x:v>다산동</x:v>
      </x:c>
      <x:c r="F100" t="str">
        <x:v>CS200003</x:v>
      </x:c>
      <x:c r="G100" t="str">
        <x:v>예술학원</x:v>
      </x:c>
      <x:c r="H100" t="n">
        <x:v>143202303</x:v>
      </x:c>
      <x:c r="I100" t="n">
        <x:v>370</x:v>
      </x:c>
      <x:c r="J100" t="n">
        <x:v>387033.2513513513</x:v>
      </x:c>
      <x:c r="K100" s="14" t="n">
        <x:v>0.19503126350243694</x:v>
      </x:c>
      <x:c r="L100" s="14" t="n">
        <x:v>0.09364146198394163</x:v>
      </x:c>
      <x:c r="M100" s="14" t="n">
        <x:v>0.053788091189524545</x:v>
      </x:c>
      <x:c r="N100" t="n">
        <x:v>8</x:v>
      </x:c>
      <x:c r="O100" t="n">
        <x:v>0</x:v>
      </x:c>
      <x:c r="P100" s="14" t="n">
        <x:v>0</x:v>
      </x:c>
      <x:c r="Q100" s="14" t="n">
        <x:v>0.125</x:v>
      </x:c>
      <x:c r="R100" s="14" t="n">
        <x:v>0</x:v>
      </x:c>
      <x:c r="S100" t="n">
        <x:v>8665</x:v>
      </x:c>
      <x:c r="T100" t="n">
        <x:v>633.2351630041583</x:v>
      </x:c>
      <x:c r="U100" s="14" t="n">
        <x:v>0.7820792030139347</x:v>
      </x:c>
      <x:c r="V100" s="14" t="n">
        <x:v>0.24041702737141035</x:v>
      </x:c>
      <x:c r="W100" s="14" t="n">
        <x:v>0.014246230383599347</x:v>
      </x:c>
      <x:c r="X100" s="14" t="n">
        <x:v>0.5464322735088974</x:v>
      </x:c>
      <x:c r="Y100" s="16" t="n">
        <x:v>67.72908366533865</x:v>
      </x:c>
      <x:c r="Z100" s="16" t="n">
        <x:v>82.0040899795501</x:v>
      </x:c>
      <x:c r="AA100" s="16" t="n">
        <x:v>88.52459016393442</x:v>
      </x:c>
      <x:c r="AB100" s="16" t="n">
        <x:v>97.01195219123505</x:v>
      </x:c>
      <x:c r="AC100" s="16" t="n">
        <x:v>73.20717131474103</x:v>
      </x:c>
      <x:c r="AD100" s="16" t="n">
        <x:v>93.23170731707317</x:v>
      </x:c>
      <x:c r="AE100" s="16" t="n">
        <x:v>79.91878112938171</x:v>
      </x:c>
      <x:c r="AF100" t="str">
        <x:v>검토</x:v>
      </x:c>
      <x:c r="AG100" t="str">
        <x:v>경쟁여건·직장수요 강점 / 수요 상대적 약점</x:v>
      </x:c>
    </x:row>
    <x:row r="101">
      <x:c r="A101" t="str">
        <x:v>3120018</x:v>
      </x:c>
      <x:c r="B101" t="str">
        <x:v>중림동</x:v>
      </x:c>
      <x:c r="C101" t="str">
        <x:v>발달상권</x:v>
      </x:c>
      <x:c r="D101" t="str">
        <x:v>중구</x:v>
      </x:c>
      <x:c r="E101" t="str">
        <x:v>중림동</x:v>
      </x:c>
      <x:c r="F101" t="str">
        <x:v>CS300010</x:v>
      </x:c>
      <x:c r="G101" t="str">
        <x:v>반찬가게</x:v>
      </x:c>
      <x:c r="H101" t="n">
        <x:v>824845938</x:v>
      </x:c>
      <x:c r="I101" t="n">
        <x:v>3105</x:v>
      </x:c>
      <x:c r="J101" t="n">
        <x:v>265650.8657004831</x:v>
      </x:c>
      <x:c r="K101" s="14" t="n">
        <x:v>0.9959303457463304</x:v>
      </x:c>
      <x:c r="L101" s="14" t="n">
        <x:v>0.02346021551670452</x:v>
      </x:c>
      <x:c r="M101" s="14" t="n">
        <x:v>0.024589273784872745</x:v>
      </x:c>
      <x:c r="N101" t="n">
        <x:v>11</x:v>
      </x:c>
      <x:c r="O101" t="n">
        <x:v>0</x:v>
      </x:c>
      <x:c r="P101" s="14" t="n">
        <x:v>0</x:v>
      </x:c>
      <x:c r="Q101" s="14" t="n">
        <x:v>0</x:v>
      </x:c>
      <x:c r="R101" s="14" t="n">
        <x:v>0.22222222222222232</x:v>
      </x:c>
      <x:c r="S101" t="n">
        <x:v>4265</x:v>
      </x:c>
      <x:c r="T101" t="n">
        <x:v>294.7823863204385</x:v>
      </x:c>
      <x:c r="U101" s="14" t="n">
        <x:v>0.9799205194121959</x:v>
      </x:c>
      <x:c r="V101" s="14" t="n">
        <x:v>0</x:v>
      </x:c>
      <x:c r="W101" s="14" t="n">
        <x:v>0</x:v>
      </x:c>
      <x:c r="X101" s="14" t="n">
        <x:v>0.015268772530464957</x:v>
      </x:c>
      <x:c r="Y101" s="16" t="n">
        <x:v>72.68170426065163</x:v>
      </x:c>
      <x:c r="Z101" s="16" t="n">
        <x:v>96.94444444444444</x:v>
      </x:c>
      <x:c r="AA101" s="16" t="n">
        <x:v>63.9344262295082</x:v>
      </x:c>
      <x:c r="AB101" s="16" t="n">
        <x:v>92.73182957393483</x:v>
      </x:c>
      <x:c r="AC101" s="16" t="n">
        <x:v>73.93483709273183</x:v>
      </x:c>
      <x:c r="AD101" s="16" t="n">
        <x:v>83.47560975609755</x:v>
      </x:c>
      <x:c r="AE101" s="16" t="n">
        <x:v>79.89468794771147</x:v>
      </x:c>
      <x:c r="AF101" t="str">
        <x:v>검토</x:v>
      </x:c>
      <x:c r="AG101" t="str">
        <x:v>상권 모멘텀·경쟁여건 강점 / 서울 업종추세 상대적 약점</x:v>
      </x:c>
    </x:row>
    <x:row r="102">
      <x:c r="A102" t="str">
        <x:v>3120160</x:v>
      </x:c>
      <x:c r="B102" t="str">
        <x:v>사당역(사당)</x:v>
      </x:c>
      <x:c r="C102" t="str">
        <x:v>발달상권</x:v>
      </x:c>
      <x:c r="D102" t="str">
        <x:v>서초구</x:v>
      </x:c>
      <x:c r="E102" t="str">
        <x:v>방배2동</x:v>
      </x:c>
      <x:c r="F102" t="str">
        <x:v>CS300001</x:v>
      </x:c>
      <x:c r="G102" t="str">
        <x:v>슈퍼마켓</x:v>
      </x:c>
      <x:c r="H102" t="n">
        <x:v>2003903860</x:v>
      </x:c>
      <x:c r="I102" t="n">
        <x:v>136407</x:v>
      </x:c>
      <x:c r="J102" t="n">
        <x:v>14690.623355106409</x:v>
      </x:c>
      <x:c r="K102" s="14" t="n">
        <x:v>0.0686865620235213</x:v>
      </x:c>
      <x:c r="L102" s="14" t="n">
        <x:v>-0.02979620222776047</x:v>
      </x:c>
      <x:c r="M102" s="14" t="n">
        <x:v>-0.03099912402160654</x:v>
      </x:c>
      <x:c r="N102" t="n">
        <x:v>10</x:v>
      </x:c>
      <x:c r="O102" t="n">
        <x:v>0</x:v>
      </x:c>
      <x:c r="P102" s="14" t="n">
        <x:v>0</x:v>
      </x:c>
      <x:c r="Q102" s="14" t="n">
        <x:v>0.5</x:v>
      </x:c>
      <x:c r="R102" s="14" t="n">
        <x:v>-0.375</x:v>
      </x:c>
      <x:c r="S102" t="n">
        <x:v>12897</x:v>
      </x:c>
      <x:c r="T102" t="n">
        <x:v>507.2426717848476</x:v>
      </x:c>
      <x:c r="U102" s="14" t="n">
        <x:v>0.7434413659944744</x:v>
      </x:c>
      <x:c r="V102" s="14" t="n">
        <x:v>0.5200437794455868</x:v>
      </x:c>
      <x:c r="W102" s="14" t="n">
        <x:v>0.3649398105356212</x:v>
      </x:c>
      <x:c r="X102" s="14" t="n">
        <x:v>0.5344469055516465</x:v>
      </x:c>
      <x:c r="Y102" s="16" t="n">
        <x:v>88.83878241262683</x:v>
      </x:c>
      <x:c r="Z102" s="16" t="n">
        <x:v>84.03263403263404</x:v>
      </x:c>
      <x:c r="AA102" s="16" t="n">
        <x:v>31.147540983606557</x:v>
      </x:c>
      <x:c r="AB102" s="16" t="n">
        <x:v>99.32356257046223</x:v>
      </x:c>
      <x:c r="AC102" s="16" t="n">
        <x:v>78.80496054114994</x:v>
      </x:c>
      <x:c r="AD102" s="16" t="n">
        <x:v>90.1829268292683</x:v>
      </x:c>
      <x:c r="AE102" s="16" t="n">
        <x:v>79.86040857963494</x:v>
      </x:c>
      <x:c r="AF102" t="str">
        <x:v>검토</x:v>
      </x:c>
      <x:c r="AG102" t="str">
        <x:v>경쟁여건·직장수요 강점 / 서울 업종추세 상대적 약점</x:v>
      </x:c>
    </x:row>
    <x:row r="103">
      <x:c r="A103" t="str">
        <x:v>3120031</x:v>
      </x:c>
      <x:c r="B103" t="str">
        <x:v>을지로3가역</x:v>
      </x:c>
      <x:c r="C103" t="str">
        <x:v>발달상권</x:v>
      </x:c>
      <x:c r="D103" t="str">
        <x:v>중구</x:v>
      </x:c>
      <x:c r="E103" t="str">
        <x:v>을지로동</x:v>
      </x:c>
      <x:c r="F103" t="str">
        <x:v>CS300028</x:v>
      </x:c>
      <x:c r="G103" t="str">
        <x:v>화초</x:v>
      </x:c>
      <x:c r="H103" t="n">
        <x:v>845139085</x:v>
      </x:c>
      <x:c r="I103" t="n">
        <x:v>16337</x:v>
      </x:c>
      <x:c r="J103" t="n">
        <x:v>51731.59607026994</x:v>
      </x:c>
      <x:c r="K103" s="14" t="n">
        <x:v>0.0726564990471501</x:v>
      </x:c>
      <x:c r="L103" s="14" t="n">
        <x:v>0.028008199294863756</x:v>
      </x:c>
      <x:c r="M103" s="14" t="n">
        <x:v>-0.0030123365554672876</x:v>
      </x:c>
      <x:c r="N103" t="n">
        <x:v>20</x:v>
      </x:c>
      <x:c r="O103" t="n">
        <x:v>0</x:v>
      </x:c>
      <x:c r="P103" s="14" t="n">
        <x:v>0</x:v>
      </x:c>
      <x:c r="Q103" s="14" t="n">
        <x:v>0</x:v>
      </x:c>
      <x:c r="R103" s="14" t="n">
        <x:v>0.33333333333333326</x:v>
      </x:c>
      <x:c r="S103" t="n">
        <x:v>13468</x:v>
      </x:c>
      <x:c r="T103" t="n">
        <x:v>528.6253699357078</x:v>
      </x:c>
      <x:c r="U103" s="14" t="n">
        <x:v>0.9230240191766779</x:v>
      </x:c>
      <x:c r="V103" s="14" t="n">
        <x:v>0.3133231614770248</x:v>
      </x:c>
      <x:c r="W103" s="14" t="n">
        <x:v>0.21645791000187856</x:v>
      </x:c>
      <x:c r="X103" s="14" t="n">
        <x:v>0.2240777587513894</x:v>
      </x:c>
      <x:c r="Y103" s="16" t="n">
        <x:v>96.97986577181209</x:v>
      </x:c>
      <x:c r="Z103" s="16" t="n">
        <x:v>81.5068493150685</x:v>
      </x:c>
      <x:c r="AA103" s="16" t="n">
        <x:v>73.77049180327869</x:v>
      </x:c>
      <x:c r="AB103" s="16" t="n">
        <x:v>48.8255033557047</x:v>
      </x:c>
      <x:c r="AC103" s="16" t="n">
        <x:v>66.7785234899329</x:v>
      </x:c>
      <x:c r="AD103" s="16" t="n">
        <x:v>90.73170731707317</x:v>
      </x:c>
      <x:c r="AE103" s="16" t="n">
        <x:v>79.84815987184237</x:v>
      </x:c>
      <x:c r="AF103" t="str">
        <x:v>검토</x:v>
      </x:c>
      <x:c r="AG103" t="str">
        <x:v>수요·직장수요 강점 / 경쟁여건 상대적 약점</x:v>
      </x:c>
    </x:row>
    <x:row r="104">
      <x:c r="A104" t="str">
        <x:v>3120095</x:v>
      </x:c>
      <x:c r="B104" t="str">
        <x:v>홍제역</x:v>
      </x:c>
      <x:c r="C104" t="str">
        <x:v>발달상권</x:v>
      </x:c>
      <x:c r="D104" t="str">
        <x:v>서대문구</x:v>
      </x:c>
      <x:c r="E104" t="str">
        <x:v>홍제1동</x:v>
      </x:c>
      <x:c r="F104" t="str">
        <x:v>CS200019</x:v>
      </x:c>
      <x:c r="G104" t="str">
        <x:v>PC방</x:v>
      </x:c>
      <x:c r="H104" t="n">
        <x:v>1873279145</x:v>
      </x:c>
      <x:c r="I104" t="n">
        <x:v>371067</x:v>
      </x:c>
      <x:c r="J104" t="n">
        <x:v>5048.358234496735</x:v>
      </x:c>
      <x:c r="K104" s="14" t="n">
        <x:v>0.05159284593615143</x:v>
      </x:c>
      <x:c r="L104" s="14" t="n">
        <x:v>0.007617357603377117</x:v>
      </x:c>
      <x:c r="M104" s="14" t="n">
        <x:v>-0.035308538695497105</x:v>
      </x:c>
      <x:c r="N104" t="n">
        <x:v>1</x:v>
      </x:c>
      <x:c r="O104" t="n">
        <x:v>0</x:v>
      </x:c>
      <x:c r="P104" s="14" t="n">
        <x:v>0</x:v>
      </x:c>
      <x:c r="Q104" s="14" t="n">
        <x:v>0</x:v>
      </x:c>
      <x:c r="R104" s="14" t="n">
        <x:v>-0.5</x:v>
      </x:c>
      <x:c r="S104" t="n">
        <x:v>988</x:v>
      </x:c>
      <x:c r="T104" t="n">
        <x:v>98.1970699902598</x:v>
      </x:c>
      <x:c r="U104" s="14" t="n">
        <x:v>0.6328357464311599</x:v>
      </x:c>
      <x:c r="V104" s="14" t="n">
        <x:v>0.47782479690179863</x:v>
      </x:c>
      <x:c r="W104" s="14" t="n">
        <x:v>0.7490012125235078</x:v>
      </x:c>
      <x:c r="X104" s="14" t="n">
        <x:v>0.1299797815236981</x:v>
      </x:c>
      <x:c r="Y104" s="16" t="n">
        <x:v>98.07692307692308</x:v>
      </x:c>
      <x:c r="Z104" s="16" t="n">
        <x:v>71.57894736842105</x:v>
      </x:c>
      <x:c r="AA104" s="16" t="n">
        <x:v>50.81967213114754</x:v>
      </x:c>
      <x:c r="AB104" s="16" t="n">
        <x:v>98.5576923076923</x:v>
      </x:c>
      <x:c r="AC104" s="16" t="n">
        <x:v>58.65384615384615</x:v>
      </x:c>
      <x:c r="AD104" s="16" t="n">
        <x:v>58.65853658536585</x:v>
      </x:c>
      <x:c r="AE104" s="16" t="n">
        <x:v>79.84762866108616</x:v>
      </x:c>
      <x:c r="AF104" t="str">
        <x:v>검토</x:v>
      </x:c>
      <x:c r="AG104" t="str">
        <x:v>경쟁여건·수요 강점 / 서울 업종추세 상대적 약점</x:v>
      </x:c>
    </x:row>
    <x:row r="105">
      <x:c r="A105" t="str">
        <x:v>3120189</x:v>
      </x:c>
      <x:c r="B105" t="str">
        <x:v>강남역</x:v>
      </x:c>
      <x:c r="C105" t="str">
        <x:v>발달상권</x:v>
      </x:c>
      <x:c r="D105" t="str">
        <x:v>서초구</x:v>
      </x:c>
      <x:c r="E105" t="str">
        <x:v>서초2동</x:v>
      </x:c>
      <x:c r="F105" t="str">
        <x:v>CS200019</x:v>
      </x:c>
      <x:c r="G105" t="str">
        <x:v>PC방</x:v>
      </x:c>
      <x:c r="H105" t="n">
        <x:v>760233332</x:v>
      </x:c>
      <x:c r="I105" t="n">
        <x:v>103586</x:v>
      </x:c>
      <x:c r="J105" t="n">
        <x:v>7339.1513524993725</x:v>
      </x:c>
      <x:c r="K105" s="14" t="n">
        <x:v>0.1950132212461313</x:v>
      </x:c>
      <x:c r="L105" s="14" t="n">
        <x:v>0.007617357603377117</x:v>
      </x:c>
      <x:c r="M105" s="14" t="n">
        <x:v>-0.035308538695497105</x:v>
      </x:c>
      <x:c r="N105" t="n">
        <x:v>2</x:v>
      </x:c>
      <x:c r="O105" t="n">
        <x:v>0</x:v>
      </x:c>
      <x:c r="P105" s="14" t="n">
        <x:v>0</x:v>
      </x:c>
      <x:c r="Q105" s="14" t="n">
        <x:v>0</x:v>
      </x:c>
      <x:c r="R105" s="14" t="n">
        <x:v>0</x:v>
      </x:c>
      <x:c r="S105" t="n">
        <x:v>87191</x:v>
      </x:c>
      <x:c r="T105" t="n">
        <x:v>1411.89253611466</x:v>
      </x:c>
      <x:c r="U105" s="14" t="n">
        <x:v>0.6184463693049439</x:v>
      </x:c>
      <x:c r="V105" s="14" t="n">
        <x:v>0.5443816609714239</x:v>
      </x:c>
      <x:c r="W105" s="14" t="n">
        <x:v>0.7167099140030866</x:v>
      </x:c>
      <x:c r="X105" s="14" t="n">
        <x:v>0.3482934381519594</x:v>
      </x:c>
      <x:c r="Y105" s="16" t="n">
        <x:v>87.5</x:v>
      </x:c>
      <x:c r="Z105" s="16" t="n">
        <x:v>84.21052631578948</x:v>
      </x:c>
      <x:c r="AA105" s="16" t="n">
        <x:v>50.81967213114754</x:v>
      </x:c>
      <x:c r="AB105" s="16" t="n">
        <x:v>93.26923076923077</x:v>
      </x:c>
      <x:c r="AC105" s="16" t="n">
        <x:v>58.65384615384615</x:v>
      </x:c>
      <x:c r="AD105" s="16" t="n">
        <x:v>97.92682926829268</x:v>
      </x:c>
      <x:c r="AE105" s="16" t="n">
        <x:v>79.84216677701387</x:v>
      </x:c>
      <x:c r="AF105" t="str">
        <x:v>검토</x:v>
      </x:c>
      <x:c r="AG105" t="str">
        <x:v>직장수요·경쟁여건 강점 / 서울 업종추세 상대적 약점</x:v>
      </x:c>
    </x:row>
    <x:row r="106">
      <x:c r="A106" t="str">
        <x:v>3120215</x:v>
      </x:c>
      <x:c r="B106" t="str">
        <x:v>포스코사거리</x:v>
      </x:c>
      <x:c r="C106" t="str">
        <x:v>발달상권</x:v>
      </x:c>
      <x:c r="D106" t="str">
        <x:v>강남구</x:v>
      </x:c>
      <x:c r="E106" t="str">
        <x:v>삼성2동</x:v>
      </x:c>
      <x:c r="F106" t="str">
        <x:v>CS200037</x:v>
      </x:c>
      <x:c r="G106" t="str">
        <x:v>노래방</x:v>
      </x:c>
      <x:c r="H106" t="n">
        <x:v>1065762001</x:v>
      </x:c>
      <x:c r="I106" t="n">
        <x:v>4857</x:v>
      </x:c>
      <x:c r="J106" t="n">
        <x:v>219428.04220712374</x:v>
      </x:c>
      <x:c r="K106" s="14" t="n">
        <x:v>0.11153776467391974</x:v>
      </x:c>
      <x:c r="L106" s="14" t="n">
        <x:v>-0.038104861974415316</x:v>
      </x:c>
      <x:c r="M106" s="14" t="n">
        <x:v>0.05972019768270753</x:v>
      </x:c>
      <x:c r="N106" t="n">
        <x:v>6</x:v>
      </x:c>
      <x:c r="O106" t="n">
        <x:v>0</x:v>
      </x:c>
      <x:c r="P106" s="14" t="n">
        <x:v>0</x:v>
      </x:c>
      <x:c r="Q106" s="14" t="n">
        <x:v>0</x:v>
      </x:c>
      <x:c r="R106" s="14" t="n">
        <x:v>-0.33333333333333337</x:v>
      </x:c>
      <x:c r="S106" t="n">
        <x:v>94741</x:v>
      </x:c>
      <x:c r="T106" t="n">
        <x:v>2973.4233866664995</x:v>
      </x:c>
      <x:c r="U106" s="14" t="n">
        <x:v>0.8528702328917054</x:v>
      </x:c>
      <x:c r="V106" s="14" t="n">
        <x:v>0.551438432265892</x:v>
      </x:c>
      <x:c r="W106" s="14" t="n">
        <x:v>0.07574191041175993</x:v>
      </x:c>
      <x:c r="X106" s="14" t="n">
        <x:v>0.033727439115180086</x:v>
      </x:c>
      <x:c r="Y106" s="16" t="n">
        <x:v>97.60956175298804</x:v>
      </x:c>
      <x:c r="Z106" s="16" t="n">
        <x:v>77</x:v>
      </x:c>
      <x:c r="AA106" s="16" t="n">
        <x:v>27.868852459016395</x:v>
      </x:c>
      <x:c r="AB106" s="16" t="n">
        <x:v>92.72908366533865</x:v>
      </x:c>
      <x:c r="AC106" s="16" t="n">
        <x:v>72.11155378486056</x:v>
      </x:c>
      <x:c r="AD106" s="16" t="n">
        <x:v>99.45121951219512</x:v>
      </x:c>
      <x:c r="AE106" s="16" t="n">
        <x:v>79.83675338629487</x:v>
      </x:c>
      <x:c r="AF106" t="str">
        <x:v>검토</x:v>
      </x:c>
      <x:c r="AG106" t="str">
        <x:v>직장수요·수요 강점 / 서울 업종추세 상대적 약점</x:v>
      </x:c>
    </x:row>
    <x:row r="107">
      <x:c r="A107" t="str">
        <x:v>3120173</x:v>
      </x:c>
      <x:c r="B107" t="str">
        <x:v>교대역(법원.검찰청)</x:v>
      </x:c>
      <x:c r="C107" t="str">
        <x:v>발달상권</x:v>
      </x:c>
      <x:c r="D107" t="str">
        <x:v>서초구</x:v>
      </x:c>
      <x:c r="E107" t="str">
        <x:v>서초1동</x:v>
      </x:c>
      <x:c r="F107" t="str">
        <x:v>CS100003</x:v>
      </x:c>
      <x:c r="G107" t="str">
        <x:v>일식음식점</x:v>
      </x:c>
      <x:c r="H107" t="n">
        <x:v>3198423023</x:v>
      </x:c>
      <x:c r="I107" t="n">
        <x:v>49022</x:v>
      </x:c>
      <x:c r="J107" t="n">
        <x:v>65244.64573048835</x:v>
      </x:c>
      <x:c r="K107" s="14" t="n">
        <x:v>0.07190716160265165</x:v>
      </x:c>
      <x:c r="L107" s="14" t="n">
        <x:v>0.048235937606500245</x:v>
      </x:c>
      <x:c r="M107" s="14" t="n">
        <x:v>-0.004288267098710441</x:v>
      </x:c>
      <x:c r="N107" t="n">
        <x:v>20</x:v>
      </x:c>
      <x:c r="O107" t="n">
        <x:v>0</x:v>
      </x:c>
      <x:c r="P107" s="14" t="n">
        <x:v>0</x:v>
      </x:c>
      <x:c r="Q107" s="14" t="n">
        <x:v>0.1</x:v>
      </x:c>
      <x:c r="R107" s="14" t="n">
        <x:v>0</x:v>
      </x:c>
      <x:c r="S107" t="n">
        <x:v>33675</x:v>
      </x:c>
      <x:c r="T107" t="n">
        <x:v>849.2400341965697</x:v>
      </x:c>
      <x:c r="U107" s="14" t="n">
        <x:v>0.8279966727215495</x:v>
      </x:c>
      <x:c r="V107" s="14" t="n">
        <x:v>0.5564881065452486</x:v>
      </x:c>
      <x:c r="W107" s="14" t="n">
        <x:v>0.18601742537544258</x:v>
      </x:c>
      <x:c r="X107" s="14" t="n">
        <x:v>0.19962522136959993</x:v>
      </x:c>
      <x:c r="Y107" s="16" t="n">
        <x:v>93.1547619047619</x:v>
      </x:c>
      <x:c r="Z107" s="16" t="n">
        <x:v>64.50617283950618</x:v>
      </x:c>
      <x:c r="AA107" s="16" t="n">
        <x:v>78.68852459016394</x:v>
      </x:c>
      <x:c r="AB107" s="16" t="n">
        <x:v>64.13690476190476</x:v>
      </x:c>
      <x:c r="AC107" s="16" t="n">
        <x:v>81.10119047619048</x:v>
      </x:c>
      <x:c r="AD107" s="16" t="n">
        <x:v>95.91463414634147</x:v>
      </x:c>
      <x:c r="AE107" s="16" t="n">
        <x:v>79.83506639231433</x:v>
      </x:c>
      <x:c r="AF107" t="str">
        <x:v>검토</x:v>
      </x:c>
      <x:c r="AG107" t="str">
        <x:v>직장수요·수요 강점 / 경쟁여건 상대적 약점</x:v>
      </x:c>
    </x:row>
    <x:row r="108">
      <x:c r="A108" t="str">
        <x:v>3120247</x:v>
      </x:c>
      <x:c r="B108" t="str">
        <x:v>굽은다리역</x:v>
      </x:c>
      <x:c r="C108" t="str">
        <x:v>발달상권</x:v>
      </x:c>
      <x:c r="D108" t="str">
        <x:v>강동구</x:v>
      </x:c>
      <x:c r="E108" t="str">
        <x:v>천호1동</x:v>
      </x:c>
      <x:c r="F108" t="str">
        <x:v>CS300011</x:v>
      </x:c>
      <x:c r="G108" t="str">
        <x:v>일반의류</x:v>
      </x:c>
      <x:c r="H108" t="n">
        <x:v>1549636152</x:v>
      </x:c>
      <x:c r="I108" t="n">
        <x:v>28062</x:v>
      </x:c>
      <x:c r="J108" t="n">
        <x:v>55221.87128501176</x:v>
      </x:c>
      <x:c r="K108" s="14" t="n">
        <x:v>1.8266054685936326</x:v>
      </x:c>
      <x:c r="L108" s="14" t="n">
        <x:v>0.06726691045630595</x:v>
      </x:c>
      <x:c r="M108" s="14" t="n">
        <x:v>0.00788849516466894</x:v>
      </x:c>
      <x:c r="N108" t="n">
        <x:v>49</x:v>
      </x:c>
      <x:c r="O108" t="n">
        <x:v>1</x:v>
      </x:c>
      <x:c r="P108" s="14" t="n">
        <x:v>0.018518518518518517</x:v>
      </x:c>
      <x:c r="Q108" s="14" t="n">
        <x:v>0</x:v>
      </x:c>
      <x:c r="R108" s="14" t="n">
        <x:v>-0.039215686274509776</x:v>
      </x:c>
      <x:c r="S108" t="n">
        <x:v>1214</x:v>
      </x:c>
      <x:c r="T108" t="n">
        <x:v>128.39495727218886</x:v>
      </x:c>
      <x:c r="U108" s="14" t="n">
        <x:v>0.6326647372898926</x:v>
      </x:c>
      <x:c r="V108" s="14" t="n">
        <x:v>0.4712192762524038</x:v>
      </x:c>
      <x:c r="W108" s="14" t="n">
        <x:v>0.2527172881805612</x:v>
      </x:c>
      <x:c r="X108" s="14" t="n">
        <x:v>0.6385172065861819</x:v>
      </x:c>
      <x:c r="Y108" s="16" t="n">
        <x:v>86.92579505300354</x:v>
      </x:c>
      <x:c r="Z108" s="16" t="n">
        <x:v>98.676293622142</x:v>
      </x:c>
      <x:c r="AA108" s="16" t="n">
        <x:v>81.9672131147541</x:v>
      </x:c>
      <x:c r="AB108" s="16" t="n">
        <x:v>63.486454652532395</x:v>
      </x:c>
      <x:c r="AC108" s="16" t="n">
        <x:v>44.22850412249706</x:v>
      </x:c>
      <x:c r="AD108" s="16" t="n">
        <x:v>65.73170731707317</x:v>
      </x:c>
      <x:c r="AE108" s="16" t="n">
        <x:v>79.68677293617597</x:v>
      </x:c>
      <x:c r="AF108" t="str">
        <x:v>검토</x:v>
      </x:c>
      <x:c r="AG108" t="str">
        <x:v>상권 모멘텀·수요 강점 / 안정성 상대적 약점</x:v>
      </x:c>
    </x:row>
    <x:row r="109">
      <x:c r="A109" t="str">
        <x:v>3130072</x:v>
      </x:c>
      <x:c r="B109" t="str">
        <x:v>성동용답상가시장</x:v>
      </x:c>
      <x:c r="C109" t="str">
        <x:v>전통시장</x:v>
      </x:c>
      <x:c r="D109" t="str">
        <x:v>성동구</x:v>
      </x:c>
      <x:c r="E109" t="str">
        <x:v>용답동</x:v>
      </x:c>
      <x:c r="F109" t="str">
        <x:v>CS300035</x:v>
      </x:c>
      <x:c r="G109" t="str">
        <x:v>인테리어</x:v>
      </x:c>
      <x:c r="H109" t="n">
        <x:v>109522946</x:v>
      </x:c>
      <x:c r="I109" t="n">
        <x:v>1165</x:v>
      </x:c>
      <x:c r="J109" t="n">
        <x:v>94011.11244635194</x:v>
      </x:c>
      <x:c r="K109" s="14" t="n">
        <x:v>2.3307549946354063</x:v>
      </x:c>
      <x:c r="L109" s="14" t="n">
        <x:v>0.20213561276420866</x:v>
      </x:c>
      <x:c r="M109" s="14" t="n">
        <x:v>0.044160820891303576</x:v>
      </x:c>
      <x:c r="N109" t="n">
        <x:v>6</x:v>
      </x:c>
      <x:c r="O109" t="n">
        <x:v>0</x:v>
      </x:c>
      <x:c r="P109" s="14" t="n">
        <x:v>0</x:v>
      </x:c>
      <x:c r="Q109" s="14" t="n">
        <x:v>0</x:v>
      </x:c>
      <x:c r="R109" s="14" t="n">
        <x:v>0.19999999999999996</x:v>
      </x:c>
      <x:c r="S109" t="n">
        <x:v>453</x:v>
      </x:c>
      <x:c r="T109" t="n">
        <x:v>38.368695210265535</x:v>
      </x:c>
      <x:c r="U109" s="14" t="n">
        <x:v>0.9909441351221505</x:v>
      </x:c>
      <x:c r="V109" s="14" t="n">
        <x:v>0.022280472623517632</x:v>
      </x:c>
      <x:c r="W109" s="14" t="n">
        <x:v>0</x:v>
      </x:c>
      <x:c r="X109" s="14" t="n">
        <x:v>0.9182363666514229</x:v>
      </x:c>
      <x:c r="Y109" s="16" t="n">
        <x:v>69.02173913043478</x:v>
      </x:c>
      <x:c r="Z109" s="16" t="n">
        <x:v>98.08917197452229</x:v>
      </x:c>
      <x:c r="AA109" s="16" t="n">
        <x:v>98.36065573770492</x:v>
      </x:c>
      <x:c r="AB109" s="16" t="n">
        <x:v>91.57608695652173</x:v>
      </x:c>
      <x:c r="AC109" s="16" t="n">
        <x:v>60.32608695652174</x:v>
      </x:c>
      <x:c r="AD109" s="16" t="n">
        <x:v>27.5</x:v>
      </x:c>
      <x:c r="AE109" s="16" t="n">
        <x:v>79.6735631903428</x:v>
      </x:c>
      <x:c r="AF109" t="str">
        <x:v>검토</x:v>
      </x:c>
      <x:c r="AG109" t="str">
        <x:v>서울 업종추세·상권 모멘텀 강점 / 직장수요 상대적 약점</x:v>
      </x:c>
    </x:row>
    <x:row r="110">
      <x:c r="A110" t="str">
        <x:v>3110689</x:v>
      </x:c>
      <x:c r="B110" t="str">
        <x:v>오류동역 3번</x:v>
      </x:c>
      <x:c r="C110" t="str">
        <x:v>골목상권</x:v>
      </x:c>
      <x:c r="D110" t="str">
        <x:v>구로구</x:v>
      </x:c>
      <x:c r="E110" t="str">
        <x:v>오류1동</x:v>
      </x:c>
      <x:c r="F110" t="str">
        <x:v>CS300035</x:v>
      </x:c>
      <x:c r="G110" t="str">
        <x:v>인테리어</x:v>
      </x:c>
      <x:c r="H110" t="n">
        <x:v>159001139</x:v>
      </x:c>
      <x:c r="I110" t="n">
        <x:v>204</x:v>
      </x:c>
      <x:c r="J110" t="n">
        <x:v>779417.3480392157</x:v>
      </x:c>
      <x:c r="K110" s="14" t="n">
        <x:v>1.3001641514247146</x:v>
      </x:c>
      <x:c r="L110" s="14" t="n">
        <x:v>0.20213561276420866</x:v>
      </x:c>
      <x:c r="M110" s="14" t="n">
        <x:v>0.044160820891303576</x:v>
      </x:c>
      <x:c r="N110" t="n">
        <x:v>10</x:v>
      </x:c>
      <x:c r="O110" t="n">
        <x:v>0</x:v>
      </x:c>
      <x:c r="P110" s="14" t="n">
        <x:v>0</x:v>
      </x:c>
      <x:c r="Q110" s="14" t="n">
        <x:v>0</x:v>
      </x:c>
      <x:c r="R110" s="14" t="n">
        <x:v>0</x:v>
      </x:c>
      <x:c r="S110" t="n">
        <x:v>634</x:v>
      </x:c>
      <x:c r="T110" t="n">
        <x:v>54.753350835981756</x:v>
      </x:c>
      <x:c r="U110" s="14" t="n">
        <x:v>1</x:v>
      </x:c>
      <x:c r="V110" s="14" t="n">
        <x:v>0.05312767602249692</x:v>
      </x:c>
      <x:c r="W110" s="14" t="n">
        <x:v>0</x:v>
      </x:c>
      <x:c r="X110" s="14" t="n">
        <x:v>0</x:v>
      </x:c>
      <x:c r="Y110" s="16" t="n">
        <x:v>76.6304347826087</x:v>
      </x:c>
      <x:c r="Z110" s="16" t="n">
        <x:v>93.63057324840764</x:v>
      </x:c>
      <x:c r="AA110" s="16" t="n">
        <x:v>98.36065573770492</x:v>
      </x:c>
      <x:c r="AB110" s="16" t="n">
        <x:v>75.81521739130434</x:v>
      </x:c>
      <x:c r="AC110" s="16" t="n">
        <x:v>60.32608695652174</x:v>
      </x:c>
      <x:c r="AD110" s="16" t="n">
        <x:v>39.26829268292683</x:v>
      </x:c>
      <x:c r="AE110" s="16" t="n">
        <x:v>79.66917112274449</x:v>
      </x:c>
      <x:c r="AF110" t="str">
        <x:v>검토</x:v>
      </x:c>
      <x:c r="AG110" t="str">
        <x:v>서울 업종추세·상권 모멘텀 강점 / 직장수요 상대적 약점</x:v>
      </x:c>
    </x:row>
    <x:row r="111">
      <x:c r="A111" t="str">
        <x:v>3120017</x:v>
      </x:c>
      <x:c r="B111" t="str">
        <x:v>동묘앞역(동묘)</x:v>
      </x:c>
      <x:c r="C111" t="str">
        <x:v>발달상권</x:v>
      </x:c>
      <x:c r="D111" t="str">
        <x:v>종로구</x:v>
      </x:c>
      <x:c r="E111" t="str">
        <x:v>창신1동</x:v>
      </x:c>
      <x:c r="F111" t="str">
        <x:v>CS300018</x:v>
      </x:c>
      <x:c r="G111" t="str">
        <x:v>의약품</x:v>
      </x:c>
      <x:c r="H111" t="n">
        <x:v>3900846892</x:v>
      </x:c>
      <x:c r="I111" t="n">
        <x:v>255065</x:v>
      </x:c>
      <x:c r="J111" t="n">
        <x:v>15293.540438711701</x:v>
      </x:c>
      <x:c r="K111" s="14" t="n">
        <x:v>0.07517246827347179</x:v>
      </x:c>
      <x:c r="L111" s="14" t="n">
        <x:v>0.027829225601598617</x:v>
      </x:c>
      <x:c r="M111" s="14" t="n">
        <x:v>0.02632929521123617</x:v>
      </x:c>
      <x:c r="N111" t="n">
        <x:v>14</x:v>
      </x:c>
      <x:c r="O111" t="n">
        <x:v>0</x:v>
      </x:c>
      <x:c r="P111" s="14" t="n">
        <x:v>0</x:v>
      </x:c>
      <x:c r="Q111" s="14" t="n">
        <x:v>0</x:v>
      </x:c>
      <x:c r="R111" s="14" t="n">
        <x:v>0.07692307692307687</x:v>
      </x:c>
      <x:c r="S111" t="n">
        <x:v>705</x:v>
      </x:c>
      <x:c r="T111" t="n">
        <x:v>99.01963538301638</x:v>
      </x:c>
      <x:c r="U111" s="14" t="n">
        <x:v>0.8561270409892314</x:v>
      </x:c>
      <x:c r="V111" s="14" t="n">
        <x:v>0.13504811303421954</x:v>
      </x:c>
      <x:c r="W111" s="14" t="n">
        <x:v>0.1891218069883682</x:v>
      </x:c>
      <x:c r="X111" s="14" t="n">
        <x:v>0.4818895378475675</x:v>
      </x:c>
      <x:c r="Y111" s="16" t="n">
        <x:v>82.64604810996563</x:v>
      </x:c>
      <x:c r="Z111" s="16" t="n">
        <x:v>91.25874125874125</x:v>
      </x:c>
      <x:c r="AA111" s="16" t="n">
        <x:v>72.1311475409836</x:v>
      </x:c>
      <x:c r="AB111" s="16" t="n">
        <x:v>80.49828178694158</x:v>
      </x:c>
      <x:c r="AC111" s="16" t="n">
        <x:v>66.32302405498282</x:v>
      </x:c>
      <x:c r="AD111" s="16" t="n">
        <x:v>59.02439024390244</x:v>
      </x:c>
      <x:c r="AE111" s="16" t="n">
        <x:v>79.6558014071184</x:v>
      </x:c>
      <x:c r="AF111" t="str">
        <x:v>검토</x:v>
      </x:c>
      <x:c r="AG111" t="str">
        <x:v>상권 모멘텀·수요 강점 / 직장수요 상대적 약점</x:v>
      </x:c>
    </x:row>
    <x:row r="112">
      <x:c r="A112" t="str">
        <x:v>3120095</x:v>
      </x:c>
      <x:c r="B112" t="str">
        <x:v>홍제역</x:v>
      </x:c>
      <x:c r="C112" t="str">
        <x:v>발달상권</x:v>
      </x:c>
      <x:c r="D112" t="str">
        <x:v>서대문구</x:v>
      </x:c>
      <x:c r="E112" t="str">
        <x:v>홍제1동</x:v>
      </x:c>
      <x:c r="F112" t="str">
        <x:v>CS200006</x:v>
      </x:c>
      <x:c r="G112" t="str">
        <x:v>일반의원</x:v>
      </x:c>
      <x:c r="H112" t="n">
        <x:v>9125550603</x:v>
      </x:c>
      <x:c r="I112" t="n">
        <x:v>265981</x:v>
      </x:c>
      <x:c r="J112" t="n">
        <x:v>34309.03185941853</x:v>
      </x:c>
      <x:c r="K112" s="14" t="n">
        <x:v>0.10782077898519993</x:v>
      </x:c>
      <x:c r="L112" s="14" t="n">
        <x:v>0.09973642051122278</x:v>
      </x:c>
      <x:c r="M112" s="14" t="n">
        <x:v>0.06942273842247415</x:v>
      </x:c>
      <x:c r="N112" t="n">
        <x:v>26</x:v>
      </x:c>
      <x:c r="O112" t="n">
        <x:v>0</x:v>
      </x:c>
      <x:c r="P112" s="14" t="n">
        <x:v>0</x:v>
      </x:c>
      <x:c r="Q112" s="14" t="n">
        <x:v>0</x:v>
      </x:c>
      <x:c r="R112" s="14" t="n">
        <x:v>0.18181818181818188</x:v>
      </x:c>
      <x:c r="S112" t="n">
        <x:v>988</x:v>
      </x:c>
      <x:c r="T112" t="n">
        <x:v>98.1970699902598</x:v>
      </x:c>
      <x:c r="U112" s="14" t="n">
        <x:v>0.826477289547939</x:v>
      </x:c>
      <x:c r="V112" s="14" t="n">
        <x:v>0.13631134274693146</x:v>
      </x:c>
      <x:c r="W112" s="14" t="n">
        <x:v>0.19534972327192518</x:v>
      </x:c>
      <x:c r="X112" s="14" t="n">
        <x:v>0.5903399397324015</x:v>
      </x:c>
      <x:c r="Y112" s="16" t="n">
        <x:v>92.06963249516441</x:v>
      </x:c>
      <x:c r="Z112" s="16" t="n">
        <x:v>83.72093023255815</x:v>
      </x:c>
      <x:c r="AA112" s="16" t="n">
        <x:v>90.1639344262295</x:v>
      </x:c>
      <x:c r="AB112" s="16" t="n">
        <x:v>53.10077519379845</x:v>
      </x:c>
      <x:c r="AC112" s="16" t="n">
        <x:v>62.5</x:v>
      </x:c>
      <x:c r="AD112" s="16" t="n">
        <x:v>58.65853658536585</x:v>
      </x:c>
      <x:c r="AE112" s="16" t="n">
        <x:v>79.64119069209166</x:v>
      </x:c>
      <x:c r="AF112" t="str">
        <x:v>검토</x:v>
      </x:c>
      <x:c r="AG112" t="str">
        <x:v>수요·서울 업종추세 강점 / 경쟁여건 상대적 약점</x:v>
      </x:c>
    </x:row>
    <x:row r="113">
      <x:c r="A113" t="str">
        <x:v>3110064</x:v>
      </x:c>
      <x:c r="B113" t="str">
        <x:v>효창공원앞역 2번</x:v>
      </x:c>
      <x:c r="C113" t="str">
        <x:v>골목상권</x:v>
      </x:c>
      <x:c r="D113" t="str">
        <x:v>용산구</x:v>
      </x:c>
      <x:c r="E113" t="str">
        <x:v>효창동</x:v>
      </x:c>
      <x:c r="F113" t="str">
        <x:v>CS300022</x:v>
      </x:c>
      <x:c r="G113" t="str">
        <x:v>화장품</x:v>
      </x:c>
      <x:c r="H113" t="n">
        <x:v>6006931339</x:v>
      </x:c>
      <x:c r="I113" t="n">
        <x:v>6313</x:v>
      </x:c>
      <x:c r="J113" t="n">
        <x:v>951517.7156660858</x:v>
      </x:c>
      <x:c r="K113" s="14" t="n">
        <x:v>0.5466708964996303</x:v>
      </x:c>
      <x:c r="L113" s="14" t="n">
        <x:v>-0.09644319570020132</x:v>
      </x:c>
      <x:c r="M113" s="14" t="n">
        <x:v>-0.05507322171491158</x:v>
      </x:c>
      <x:c r="N113" t="n">
        <x:v>9</x:v>
      </x:c>
      <x:c r="O113" t="n">
        <x:v>0</x:v>
      </x:c>
      <x:c r="P113" s="14" t="n">
        <x:v>0</x:v>
      </x:c>
      <x:c r="Q113" s="14" t="n">
        <x:v>0.1111111111111111</x:v>
      </x:c>
      <x:c r="R113" s="14" t="n">
        <x:v>0</x:v>
      </x:c>
      <x:c r="S113" t="n">
        <x:v>818</x:v>
      </x:c>
      <x:c r="T113" t="n">
        <x:v>62.18167996959331</x:v>
      </x:c>
      <x:c r="U113" s="14" t="n">
        <x:v>0.9954450474866665</x:v>
      </x:c>
      <x:c r="V113" s="14" t="n">
        <x:v>0.10395325279412188</x:v>
      </x:c>
      <x:c r="W113" s="14" t="n">
        <x:v>0.03455074784233354</x:v>
      </x:c>
      <x:c r="X113" s="14" t="n">
        <x:v>0.7012237850385058</x:v>
      </x:c>
      <x:c r="Y113" s="16" t="n">
        <x:v>98.34710743801652</x:v>
      </x:c>
      <x:c r="Z113" s="16" t="n">
        <x:v>94.73684210526316</x:v>
      </x:c>
      <x:c r="AA113" s="16" t="n">
        <x:v>14.754098360655737</x:v>
      </x:c>
      <x:c r="AB113" s="16" t="n">
        <x:v>96.28099173553719</x:v>
      </x:c>
      <x:c r="AC113" s="16" t="n">
        <x:v>73.86363636363636</x:v>
      </x:c>
      <x:c r="AD113" s="16" t="n">
        <x:v>44.02439024390244</x:v>
      </x:c>
      <x:c r="AE113" s="16" t="n">
        <x:v>79.61170268734611</x:v>
      </x:c>
      <x:c r="AF113" t="str">
        <x:v>검토</x:v>
      </x:c>
      <x:c r="AG113" t="str">
        <x:v>수요·경쟁여건 강점 / 서울 업종추세 상대적 약점</x:v>
      </x:c>
    </x:row>
    <x:row r="114">
      <x:c r="A114" t="str">
        <x:v>3110048</x:v>
      </x:c>
      <x:c r="B114" t="str">
        <x:v>장충동주민센터</x:v>
      </x:c>
      <x:c r="C114" t="str">
        <x:v>골목상권</x:v>
      </x:c>
      <x:c r="D114" t="str">
        <x:v>중구</x:v>
      </x:c>
      <x:c r="E114" t="str">
        <x:v>장충동</x:v>
      </x:c>
      <x:c r="F114" t="str">
        <x:v>CS300011</x:v>
      </x:c>
      <x:c r="G114" t="str">
        <x:v>일반의류</x:v>
      </x:c>
      <x:c r="H114" t="n">
        <x:v>7293123128</x:v>
      </x:c>
      <x:c r="I114" t="n">
        <x:v>16663</x:v>
      </x:c>
      <x:c r="J114" t="n">
        <x:v>437683.6780891796</x:v>
      </x:c>
      <x:c r="K114" s="14" t="n">
        <x:v>0.6098800516601552</x:v>
      </x:c>
      <x:c r="L114" s="14" t="n">
        <x:v>0.06726691045630595</x:v>
      </x:c>
      <x:c r="M114" s="14" t="n">
        <x:v>0.00788849516466894</x:v>
      </x:c>
      <x:c r="N114" t="n">
        <x:v>72</x:v>
      </x:c>
      <x:c r="O114" t="n">
        <x:v>1</x:v>
      </x:c>
      <x:c r="P114" s="14" t="n">
        <x:v>0.012987012987012988</x:v>
      </x:c>
      <x:c r="Q114" s="14" t="n">
        <x:v>0.013888888888888888</x:v>
      </x:c>
      <x:c r="R114" s="14" t="n">
        <x:v>0.02857142857142847</x:v>
      </x:c>
      <x:c r="S114" t="n">
        <x:v>1079</x:v>
      </x:c>
      <x:c r="T114" t="n">
        <x:v>79.56875064525168</x:v>
      </x:c>
      <x:c r="U114" s="14" t="n">
        <x:v>0.9727508458979633</x:v>
      </x:c>
      <x:c r="V114" s="14" t="n">
        <x:v>0.1060671527716459</x:v>
      </x:c>
      <x:c r="W114" s="14" t="n">
        <x:v>0.08541304432506217</x:v>
      </x:c>
      <x:c r="X114" s="14" t="n">
        <x:v>0.3477055411644217</x:v>
      </x:c>
      <x:c r="Y114" s="16" t="n">
        <x:v>95.52414605418139</x:v>
      </x:c>
      <x:c r="Z114" s="16" t="n">
        <x:v>93.50180505415162</x:v>
      </x:c>
      <x:c r="AA114" s="16" t="n">
        <x:v>81.9672131147541</x:v>
      </x:c>
      <x:c r="AB114" s="16" t="n">
        <x:v>45.75971731448763</x:v>
      </x:c>
      <x:c r="AC114" s="16" t="n">
        <x:v>57.1849234393404</x:v>
      </x:c>
      <x:c r="AD114" s="16" t="n">
        <x:v>51.951219512195124</x:v>
      </x:c>
      <x:c r="AE114" s="16" t="n">
        <x:v>79.60890501372386</x:v>
      </x:c>
      <x:c r="AF114" t="str">
        <x:v>검토</x:v>
      </x:c>
      <x:c r="AG114" t="str">
        <x:v>수요·상권 모멘텀 강점 / 경쟁여건 상대적 약점</x:v>
      </x:c>
    </x:row>
    <x:row r="115">
      <x:c r="A115" t="str">
        <x:v>3120227</x:v>
      </x:c>
      <x:c r="B115" t="str">
        <x:v>잠실역</x:v>
      </x:c>
      <x:c r="C115" t="str">
        <x:v>발달상권</x:v>
      </x:c>
      <x:c r="D115" t="str">
        <x:v>송파구</x:v>
      </x:c>
      <x:c r="E115" t="str">
        <x:v>잠실6동</x:v>
      </x:c>
      <x:c r="F115" t="str">
        <x:v>CS300032</x:v>
      </x:c>
      <x:c r="G115" t="str">
        <x:v>가전제품</x:v>
      </x:c>
      <x:c r="H115" t="n">
        <x:v>9241842914</x:v>
      </x:c>
      <x:c r="I115" t="n">
        <x:v>24861</x:v>
      </x:c>
      <x:c r="J115" t="n">
        <x:v>371740.59426410845</x:v>
      </x:c>
      <x:c r="K115" s="14" t="n">
        <x:v>0.03319856391689857</x:v>
      </x:c>
      <x:c r="L115" s="14" t="n">
        <x:v>0.08324168862116821</x:v>
      </x:c>
      <x:c r="M115" s="14" t="n">
        <x:v>-0.006486947916917396</x:v>
      </x:c>
      <x:c r="N115" t="n">
        <x:v>8</x:v>
      </x:c>
      <x:c r="O115" t="n">
        <x:v>0</x:v>
      </x:c>
      <x:c r="P115" s="14" t="n">
        <x:v>0</x:v>
      </x:c>
      <x:c r="Q115" s="14" t="n">
        <x:v>0</x:v>
      </x:c>
      <x:c r="R115" s="14" t="n">
        <x:v>0.1428571428571428</x:v>
      </x:c>
      <x:c r="S115" t="n">
        <x:v>110575</x:v>
      </x:c>
      <x:c r="T115" t="n">
        <x:v>2098.727003209539</x:v>
      </x:c>
      <x:c r="U115" s="14" t="n">
        <x:v>0.5928150516062753</x:v>
      </x:c>
      <x:c r="V115" s="14" t="n">
        <x:v>0.41268295517363085</x:v>
      </x:c>
      <x:c r="W115" s="14" t="n">
        <x:v>0.38116641862238</x:v>
      </x:c>
      <x:c r="X115" s="14" t="n">
        <x:v>0.4004076095466082</x:v>
      </x:c>
      <x:c r="Y115" s="16" t="n">
        <x:v>96.36363636363636</x:v>
      </x:c>
      <x:c r="Z115" s="16" t="n">
        <x:v>59.183673469387756</x:v>
      </x:c>
      <x:c r="AA115" s="16" t="n">
        <x:v>85.24590163934427</x:v>
      </x:c>
      <x:c r="AB115" s="16" t="n">
        <x:v>69.0909090909091</x:v>
      </x:c>
      <x:c r="AC115" s="16" t="n">
        <x:v>59.09090909090909</x:v>
      </x:c>
      <x:c r="AD115" s="16" t="n">
        <x:v>98.90243902439025</x:v>
      </x:c>
      <x:c r="AE115" s="16" t="n">
        <x:v>79.5687418909987</x:v>
      </x:c>
      <x:c r="AF115" t="str">
        <x:v>검토</x:v>
      </x:c>
      <x:c r="AG115" t="str">
        <x:v>직장수요·수요 강점 / 안정성 상대적 약점</x:v>
      </x:c>
    </x:row>
    <x:row r="116">
      <x:c r="A116" t="str">
        <x:v>3110943</x:v>
      </x:c>
      <x:c r="B116" t="str">
        <x:v>법제교육센터(버들어린이공원)</x:v>
      </x:c>
      <x:c r="C116" t="str">
        <x:v>골목상권</x:v>
      </x:c>
      <x:c r="D116" t="str">
        <x:v>서초구</x:v>
      </x:c>
      <x:c r="E116" t="str">
        <x:v>양재2동</x:v>
      </x:c>
      <x:c r="F116" t="str">
        <x:v>CS300020</x:v>
      </x:c>
      <x:c r="G116" t="str">
        <x:v>서적</x:v>
      </x:c>
      <x:c r="H116" t="n">
        <x:v>4039553574</x:v>
      </x:c>
      <x:c r="I116" t="n">
        <x:v>2410</x:v>
      </x:c>
      <x:c r="J116" t="n">
        <x:v>1676163.308713693</x:v>
      </x:c>
      <x:c r="K116" s="14" t="n">
        <x:v>0.1760218148218735</x:v>
      </x:c>
      <x:c r="L116" s="14" t="n">
        <x:v>0.20039418624921757</x:v>
      </x:c>
      <x:c r="M116" s="14" t="n">
        <x:v>-0.01061516125540185</x:v>
      </x:c>
      <x:c r="N116" t="n">
        <x:v>23</x:v>
      </x:c>
      <x:c r="O116" t="n">
        <x:v>0</x:v>
      </x:c>
      <x:c r="P116" s="14" t="n">
        <x:v>0</x:v>
      </x:c>
      <x:c r="Q116" s="14" t="n">
        <x:v>0</x:v>
      </x:c>
      <x:c r="R116" s="14" t="n">
        <x:v>0.21052631578947367</x:v>
      </x:c>
      <x:c r="S116" t="n">
        <x:v>1410</x:v>
      </x:c>
      <x:c r="T116" t="n">
        <x:v>245.1278663444655</x:v>
      </x:c>
      <x:c r="U116" s="14" t="n">
        <x:v>0.9992541148558115</x:v>
      </x:c>
      <x:c r="V116" s="14" t="n">
        <x:v>0.0007458851441884603</x:v>
      </x:c>
      <x:c r="W116" s="14" t="n">
        <x:v>0.0007458851441884603</x:v>
      </x:c>
      <x:c r="X116" s="14" t="n">
        <x:v>0.0007458851441884603</x:v>
      </x:c>
      <x:c r="Y116" s="16" t="n">
        <x:v>98.65771812080537</x:v>
      </x:c>
      <x:c r="Z116" s="16" t="n">
        <x:v>83.57142857142857</x:v>
      </x:c>
      <x:c r="AA116" s="16" t="n">
        <x:v>96.72131147540983</x:v>
      </x:c>
      <x:c r="AB116" s="16" t="n">
        <x:v>25.167785234899327</x:v>
      </x:c>
      <x:c r="AC116" s="16" t="n">
        <x:v>59.395973154362416</x:v>
      </x:c>
      <x:c r="AD116" s="16" t="n">
        <x:v>80.2439024390244</x:v>
      </x:c>
      <x:c r="AE116" s="16" t="n">
        <x:v>79.47964400050144</x:v>
      </x:c>
      <x:c r="AF116" t="str">
        <x:v>검토</x:v>
      </x:c>
      <x:c r="AG116" t="str">
        <x:v>수요·서울 업종추세 강점 / 경쟁여건 상대적 약점</x:v>
      </x:c>
    </x:row>
    <x:row r="117">
      <x:c r="A117" t="str">
        <x:v>3120107</x:v>
      </x:c>
      <x:c r="B117" t="str">
        <x:v>공덕역(공덕오거리)</x:v>
      </x:c>
      <x:c r="C117" t="str">
        <x:v>발달상권</x:v>
      </x:c>
      <x:c r="D117" t="str">
        <x:v>마포구</x:v>
      </x:c>
      <x:c r="E117" t="str">
        <x:v>도화동</x:v>
      </x:c>
      <x:c r="F117" t="str">
        <x:v>CS300011</x:v>
      </x:c>
      <x:c r="G117" t="str">
        <x:v>일반의류</x:v>
      </x:c>
      <x:c r="H117" t="n">
        <x:v>14962171458</x:v>
      </x:c>
      <x:c r="I117" t="n">
        <x:v>110855</x:v>
      </x:c>
      <x:c r="J117" t="n">
        <x:v>134970.65047133644</x:v>
      </x:c>
      <x:c r="K117" s="14" t="n">
        <x:v>0.034214747595245676</x:v>
      </x:c>
      <x:c r="L117" s="14" t="n">
        <x:v>0.06726691045630595</x:v>
      </x:c>
      <x:c r="M117" s="14" t="n">
        <x:v>0.00788849516466894</x:v>
      </x:c>
      <x:c r="N117" t="n">
        <x:v>36</x:v>
      </x:c>
      <x:c r="O117" t="n">
        <x:v>0</x:v>
      </x:c>
      <x:c r="P117" s="14" t="n">
        <x:v>0</x:v>
      </x:c>
      <x:c r="Q117" s="14" t="n">
        <x:v>0</x:v>
      </x:c>
      <x:c r="R117" s="14" t="n">
        <x:v>-0.027027027027026973</x:v>
      </x:c>
      <x:c r="S117" t="n">
        <x:v>16135</x:v>
      </x:c>
      <x:c r="T117" t="n">
        <x:v>839.4115015243109</x:v>
      </x:c>
      <x:c r="U117" s="14" t="n">
        <x:v>0.6806685909587442</x:v>
      </x:c>
      <x:c r="V117" s="14" t="n">
        <x:v>0.13465258720336207</x:v>
      </x:c>
      <x:c r="W117" s="14" t="n">
        <x:v>0.10297573900452758</x:v>
      </x:c>
      <x:c r="X117" s="14" t="n">
        <x:v>0.6699088459944582</x:v>
      </x:c>
      <x:c r="Y117" s="16" t="n">
        <x:v>97.05535924617196</x:v>
      </x:c>
      <x:c r="Z117" s="16" t="n">
        <x:v>41.997593261131165</x:v>
      </x:c>
      <x:c r="AA117" s="16" t="n">
        <x:v>81.9672131147541</x:v>
      </x:c>
      <x:c r="AB117" s="16" t="n">
        <x:v>76.03062426383981</x:v>
      </x:c>
      <x:c r="AC117" s="16" t="n">
        <x:v>86.33686690223793</x:v>
      </x:c>
      <x:c r="AD117" s="16" t="n">
        <x:v>95.48780487804878</x:v>
      </x:c>
      <x:c r="AE117" s="16" t="n">
        <x:v>79.47664692930174</x:v>
      </x:c>
      <x:c r="AF117" t="str">
        <x:v>검토</x:v>
      </x:c>
      <x:c r="AG117" t="str">
        <x:v>수요·직장수요 강점 / 상권 모멘텀 상대적 약점</x:v>
      </x:c>
    </x:row>
    <x:row r="118">
      <x:c r="A118" t="str">
        <x:v>3111086</x:v>
      </x:c>
      <x:c r="B118" t="str">
        <x:v>한영중고</x:v>
      </x:c>
      <x:c r="C118" t="str">
        <x:v>골목상권</x:v>
      </x:c>
      <x:c r="D118" t="str">
        <x:v>강동구</x:v>
      </x:c>
      <x:c r="E118" t="str">
        <x:v>명일2동</x:v>
      </x:c>
      <x:c r="F118" t="str">
        <x:v>CS200025</x:v>
      </x:c>
      <x:c r="G118" t="str">
        <x:v>자동차수리</x:v>
      </x:c>
      <x:c r="H118" t="n">
        <x:v>1157723124</x:v>
      </x:c>
      <x:c r="I118" t="n">
        <x:v>5416</x:v>
      </x:c>
      <x:c r="J118" t="n">
        <x:v>213759.80871491876</x:v>
      </x:c>
      <x:c r="K118" s="14" t="n">
        <x:v>0.15496803899734757</x:v>
      </x:c>
      <x:c r="L118" s="14" t="n">
        <x:v>0.02213950283587751</x:v>
      </x:c>
      <x:c r="M118" s="14" t="n">
        <x:v>0.024356161917000962</x:v>
      </x:c>
      <x:c r="N118" t="n">
        <x:v>4</x:v>
      </x:c>
      <x:c r="O118" t="n">
        <x:v>0</x:v>
      </x:c>
      <x:c r="P118" s="14" t="n">
        <x:v>0</x:v>
      </x:c>
      <x:c r="Q118" s="14" t="n">
        <x:v>0</x:v>
      </x:c>
      <x:c r="R118" s="14" t="n">
        <x:v>0</x:v>
      </x:c>
      <x:c r="S118" t="n">
        <x:v>523</x:v>
      </x:c>
      <x:c r="T118" t="n">
        <x:v>69.30548745742946</x:v>
      </x:c>
      <x:c r="U118" s="14" t="n">
        <x:v>0.9149165927863077</x:v>
      </x:c>
      <x:c r="V118" s="14" t="n">
        <x:v>0.1952512982715546</x:v>
      </x:c>
      <x:c r="W118" s="14" t="n">
        <x:v>0.1339938330539902</x:v>
      </x:c>
      <x:c r="X118" s="14" t="n">
        <x:v>0.18251338305306236</x:v>
      </x:c>
      <x:c r="Y118" s="16" t="n">
        <x:v>90.88471849865952</x:v>
      </x:c>
      <x:c r="Z118" s="16" t="n">
        <x:v>80.05464480874316</x:v>
      </x:c>
      <x:c r="AA118" s="16" t="n">
        <x:v>59.01639344262295</x:v>
      </x:c>
      <x:c r="AB118" s="16" t="n">
        <x:v>98.25268817204301</x:v>
      </x:c>
      <x:c r="AC118" s="16" t="n">
        <x:v>56.98924731182796</x:v>
      </x:c>
      <x:c r="AD118" s="16" t="n">
        <x:v>47.31707317073171</x:v>
      </x:c>
      <x:c r="AE118" s="16" t="n">
        <x:v>79.47572106819874</x:v>
      </x:c>
      <x:c r="AF118" t="str">
        <x:v>검토</x:v>
      </x:c>
      <x:c r="AG118" t="str">
        <x:v>경쟁여건·수요 강점 / 직장수요 상대적 약점</x:v>
      </x:c>
    </x:row>
    <x:row r="119">
      <x:c r="A119" t="str">
        <x:v>3120109</x:v>
      </x:c>
      <x:c r="B119" t="str">
        <x:v>서울남부지방법원</x:v>
      </x:c>
      <x:c r="C119" t="str">
        <x:v>발달상권</x:v>
      </x:c>
      <x:c r="D119" t="str">
        <x:v>양천구</x:v>
      </x:c>
      <x:c r="E119" t="str">
        <x:v>신정1동</x:v>
      </x:c>
      <x:c r="F119" t="str">
        <x:v>CS200016</x:v>
      </x:c>
      <x:c r="G119" t="str">
        <x:v>당구장</x:v>
      </x:c>
      <x:c r="H119" t="n">
        <x:v>80722917</x:v>
      </x:c>
      <x:c r="I119" t="n">
        <x:v>1785</x:v>
      </x:c>
      <x:c r="J119" t="n">
        <x:v>45222.92268907563</x:v>
      </x:c>
      <x:c r="K119" s="14" t="n">
        <x:v>0.20592860606471675</x:v>
      </x:c>
      <x:c r="L119" s="14" t="n">
        <x:v>0.052763611334009974</x:v>
      </x:c>
      <x:c r="M119" s="14" t="n">
        <x:v>0.07602781601598463</x:v>
      </x:c>
      <x:c r="N119" t="n">
        <x:v>9</x:v>
      </x:c>
      <x:c r="O119" t="n">
        <x:v>0</x:v>
      </x:c>
      <x:c r="P119" s="14" t="n">
        <x:v>0</x:v>
      </x:c>
      <x:c r="Q119" s="14" t="n">
        <x:v>0</x:v>
      </x:c>
      <x:c r="R119" s="14" t="n">
        <x:v>1.25</x:v>
      </x:c>
      <x:c r="S119" t="n">
        <x:v>9625</x:v>
      </x:c>
      <x:c r="T119" t="n">
        <x:v>853.0154650596003</x:v>
      </x:c>
      <x:c r="U119" s="14" t="n">
        <x:v>0.7619189479983732</x:v>
      </x:c>
      <x:c r="V119" s="14" t="n">
        <x:v>0.5693534092679035</x:v>
      </x:c>
      <x:c r="W119" s="14" t="n">
        <x:v>0.4006755355483499</x:v>
      </x:c>
      <x:c r="X119" s="14" t="n">
        <x:v>0.464332179670861</x:v>
      </x:c>
      <x:c r="Y119" s="16" t="n">
        <x:v>74.04129793510324</x:v>
      </x:c>
      <x:c r="Z119" s="16" t="n">
        <x:v>91.9753086419753</x:v>
      </x:c>
      <x:c r="AA119" s="16" t="n">
        <x:v>80.32786885245902</x:v>
      </x:c>
      <x:c r="AB119" s="16" t="n">
        <x:v>75.81120943952803</x:v>
      </x:c>
      <x:c r="AC119" s="16" t="n">
        <x:v>69.32153392330383</x:v>
      </x:c>
      <x:c r="AD119" s="16" t="n">
        <x:v>95.97560975609755</x:v>
      </x:c>
      <x:c r="AE119" s="16" t="n">
        <x:v>79.4613116296145</x:v>
      </x:c>
      <x:c r="AF119" t="str">
        <x:v>검토</x:v>
      </x:c>
      <x:c r="AG119" t="str">
        <x:v>직장수요·상권 모멘텀 강점 / 안정성 상대적 약점</x:v>
      </x:c>
    </x:row>
    <x:row r="120">
      <x:c r="A120" t="str">
        <x:v>3110690</x:v>
      </x:c>
      <x:c r="B120" t="str">
        <x:v>오류2동버들시장</x:v>
      </x:c>
      <x:c r="C120" t="str">
        <x:v>골목상권</x:v>
      </x:c>
      <x:c r="D120" t="str">
        <x:v>구로구</x:v>
      </x:c>
      <x:c r="E120" t="str">
        <x:v>오류2동</x:v>
      </x:c>
      <x:c r="F120" t="str">
        <x:v>CS300004</x:v>
      </x:c>
      <x:c r="G120" t="str">
        <x:v>핸드폰</x:v>
      </x:c>
      <x:c r="H120" t="n">
        <x:v>1422678290</x:v>
      </x:c>
      <x:c r="I120" t="n">
        <x:v>1181</x:v>
      </x:c>
      <x:c r="J120" t="n">
        <x:v>1204638.6875529212</x:v>
      </x:c>
      <x:c r="K120" s="14" t="n">
        <x:v>3.7652497009318004</x:v>
      </x:c>
      <x:c r="L120" s="14" t="n">
        <x:v>0.021417847123978317</x:v>
      </x:c>
      <x:c r="M120" s="14" t="n">
        <x:v>-0.06496332404204874</x:v>
      </x:c>
      <x:c r="N120" t="n">
        <x:v>13</x:v>
      </x:c>
      <x:c r="O120" t="n">
        <x:v>0</x:v>
      </x:c>
      <x:c r="P120" s="14" t="n">
        <x:v>0</x:v>
      </x:c>
      <x:c r="Q120" s="14" t="n">
        <x:v>0</x:v>
      </x:c>
      <x:c r="R120" s="14" t="n">
        <x:v>-0.35</x:v>
      </x:c>
      <x:c r="S120" t="n">
        <x:v>839</x:v>
      </x:c>
      <x:c r="T120" t="n">
        <x:v>51.28487249076994</x:v>
      </x:c>
      <x:c r="U120" s="14" t="n">
        <x:v>0.5016611288838885</x:v>
      </x:c>
      <x:c r="V120" s="14" t="n">
        <x:v>0.000830564441944215</x:v>
      </x:c>
      <x:c r="W120" s="14" t="n">
        <x:v>0.000830564441944215</x:v>
      </x:c>
      <x:c r="X120" s="14" t="n">
        <x:v>0</x:v>
      </x:c>
      <x:c r="Y120" s="16" t="n">
        <x:v>92.52873563218391</x:v>
      </x:c>
      <x:c r="Z120" s="16" t="n">
        <x:v>100</x:v>
      </x:c>
      <x:c r="AA120" s="16" t="n">
        <x:v>55.73770491803279</x:v>
      </x:c>
      <x:c r="AB120" s="16" t="n">
        <x:v>72.1264367816092</x:v>
      </x:c>
      <x:c r="AC120" s="16" t="n">
        <x:v>60.3448275862069</x:v>
      </x:c>
      <x:c r="AD120" s="16" t="n">
        <x:v>36.890243902439025</x:v>
      </x:c>
      <x:c r="AE120" s="16" t="n">
        <x:v>79.44367367995329</x:v>
      </x:c>
      <x:c r="AF120" t="str">
        <x:v>검토</x:v>
      </x:c>
      <x:c r="AG120" t="str">
        <x:v>상권 모멘텀·수요 강점 / 직장수요 상대적 약점</x:v>
      </x:c>
    </x:row>
    <x:row r="121">
      <x:c r="A121" t="str">
        <x:v>3120012</x:v>
      </x:c>
      <x:c r="B121" t="str">
        <x:v>대학로(혜화역)</x:v>
      </x:c>
      <x:c r="C121" t="str">
        <x:v>발달상권</x:v>
      </x:c>
      <x:c r="D121" t="str">
        <x:v>종로구</x:v>
      </x:c>
      <x:c r="E121" t="str">
        <x:v>혜화동</x:v>
      </x:c>
      <x:c r="F121" t="str">
        <x:v>CS300011</x:v>
      </x:c>
      <x:c r="G121" t="str">
        <x:v>일반의류</x:v>
      </x:c>
      <x:c r="H121" t="n">
        <x:v>2043746458</x:v>
      </x:c>
      <x:c r="I121" t="n">
        <x:v>31639</x:v>
      </x:c>
      <x:c r="J121" t="n">
        <x:v>64595.79816049812</x:v>
      </x:c>
      <x:c r="K121" s="14" t="n">
        <x:v>0.15566131415278628</x:v>
      </x:c>
      <x:c r="L121" s="14" t="n">
        <x:v>0.06726691045630595</x:v>
      </x:c>
      <x:c r="M121" s="14" t="n">
        <x:v>0.00788849516466894</x:v>
      </x:c>
      <x:c r="N121" t="n">
        <x:v>44</x:v>
      </x:c>
      <x:c r="O121" t="n">
        <x:v>0</x:v>
      </x:c>
      <x:c r="P121" s="14" t="n">
        <x:v>0</x:v>
      </x:c>
      <x:c r="Q121" s="14" t="n">
        <x:v>0</x:v>
      </x:c>
      <x:c r="R121" s="14" t="n">
        <x:v>-0.10204081632653061</x:v>
      </x:c>
      <x:c r="S121" t="n">
        <x:v>2991</x:v>
      </x:c>
      <x:c r="T121" t="n">
        <x:v>116.4320637787674</x:v>
      </x:c>
      <x:c r="U121" s="14" t="n">
        <x:v>0.6607809352837053</x:v>
      </x:c>
      <x:c r="V121" s="14" t="n">
        <x:v>0.4478461603772967</x:v>
      </x:c>
      <x:c r="W121" s="14" t="n">
        <x:v>0.4201539641273839</x:v>
      </x:c>
      <x:c r="X121" s="14" t="n">
        <x:v>0.7198408517070565</x:v>
      </x:c>
      <x:c r="Y121" s="16" t="n">
        <x:v>88.69257950530036</x:v>
      </x:c>
      <x:c r="Z121" s="16" t="n">
        <x:v>70.27677496991576</x:v>
      </x:c>
      <x:c r="AA121" s="16" t="n">
        <x:v>81.9672131147541</x:v>
      </x:c>
      <x:c r="AB121" s="16" t="n">
        <x:v>68.13898704358068</x:v>
      </x:c>
      <x:c r="AC121" s="16" t="n">
        <x:v>86.33686690223793</x:v>
      </x:c>
      <x:c r="AD121" s="16" t="n">
        <x:v>63.170731707317074</x:v>
      </x:c>
      <x:c r="AE121" s="16" t="n">
        <x:v>79.40591112017815</x:v>
      </x:c>
      <x:c r="AF121" t="str">
        <x:v>검토</x:v>
      </x:c>
      <x:c r="AG121" t="str">
        <x:v>수요·안정성 강점 / 직장수요 상대적 약점</x:v>
      </x:c>
    </x:row>
    <x:row r="122">
      <x:c r="A122" t="str">
        <x:v>3130219</x:v>
      </x:c>
      <x:c r="B122" t="str">
        <x:v>까치산시장</x:v>
      </x:c>
      <x:c r="C122" t="str">
        <x:v>전통시장</x:v>
      </x:c>
      <x:c r="D122" t="str">
        <x:v>강서구</x:v>
      </x:c>
      <x:c r="E122" t="str">
        <x:v>화곡8동</x:v>
      </x:c>
      <x:c r="F122" t="str">
        <x:v>CS200006</x:v>
      </x:c>
      <x:c r="G122" t="str">
        <x:v>일반의원</x:v>
      </x:c>
      <x:c r="H122" t="n">
        <x:v>4003375891</x:v>
      </x:c>
      <x:c r="I122" t="n">
        <x:v>144674</x:v>
      </x:c>
      <x:c r="J122" t="n">
        <x:v>27671.702524296004</x:v>
      </x:c>
      <x:c r="K122" s="14" t="n">
        <x:v>0.17011725160726288</x:v>
      </x:c>
      <x:c r="L122" s="14" t="n">
        <x:v>0.09973642051122278</x:v>
      </x:c>
      <x:c r="M122" s="14" t="n">
        <x:v>0.06942273842247415</x:v>
      </x:c>
      <x:c r="N122" t="n">
        <x:v>20</x:v>
      </x:c>
      <x:c r="O122" t="n">
        <x:v>0</x:v>
      </x:c>
      <x:c r="P122" s="14" t="n">
        <x:v>0</x:v>
      </x:c>
      <x:c r="Q122" s="14" t="n">
        <x:v>0</x:v>
      </x:c>
      <x:c r="R122" s="14" t="n">
        <x:v>0.17647058823529416</x:v>
      </x:c>
      <x:c r="S122" t="n">
        <x:v>519</x:v>
      </x:c>
      <x:c r="T122" t="n">
        <x:v>131.24620675703014</x:v>
      </x:c>
      <x:c r="U122" s="14" t="n">
        <x:v>0.8517718652565068</x:v>
      </x:c>
      <x:c r="V122" s="14" t="n">
        <x:v>0.19204832444748315</x:v>
      </x:c>
      <x:c r="W122" s="14" t="n">
        <x:v>0.21834334666527072</x:v>
      </x:c>
      <x:c r="X122" s="14" t="n">
        <x:v>0.5985720087856722</x:v>
      </x:c>
      <x:c r="Y122" s="16" t="n">
        <x:v>79.69052224371373</x:v>
      </x:c>
      <x:c r="Z122" s="16" t="n">
        <x:v>92.05426356589147</x:v>
      </x:c>
      <x:c r="AA122" s="16" t="n">
        <x:v>90.1639344262295</x:v>
      </x:c>
      <x:c r="AB122" s="16" t="n">
        <x:v>66.66666666666666</x:v>
      </x:c>
      <x:c r="AC122" s="16" t="n">
        <x:v>62.5</x:v>
      </x:c>
      <x:c r="AD122" s="16" t="n">
        <x:v>66.46341463414635</x:v>
      </x:c>
      <x:c r="AE122" s="16" t="n">
        <x:v>79.40029639411985</x:v>
      </x:c>
      <x:c r="AF122" t="str">
        <x:v>검토</x:v>
      </x:c>
      <x:c r="AG122" t="str">
        <x:v>상권 모멘텀·서울 업종추세 강점 / 안정성 상대적 약점</x:v>
      </x:c>
    </x:row>
    <x:row r="123">
      <x:c r="A123" t="str">
        <x:v>3130319</x:v>
      </x:c>
      <x:c r="B123" t="str">
        <x:v>성내전통시장</x:v>
      </x:c>
      <x:c r="C123" t="str">
        <x:v>전통시장</x:v>
      </x:c>
      <x:c r="D123" t="str">
        <x:v>강동구</x:v>
      </x:c>
      <x:c r="E123" t="str">
        <x:v>성내2동</x:v>
      </x:c>
      <x:c r="F123" t="str">
        <x:v>CS300007</x:v>
      </x:c>
      <x:c r="G123" t="str">
        <x:v>육류판매</x:v>
      </x:c>
      <x:c r="H123" t="n">
        <x:v>3701293165</x:v>
      </x:c>
      <x:c r="I123" t="n">
        <x:v>94086</x:v>
      </x:c>
      <x:c r="J123" t="n">
        <x:v>39339.46777416406</x:v>
      </x:c>
      <x:c r="K123" s="14" t="n">
        <x:v>0.17393258797440647</x:v>
      </x:c>
      <x:c r="L123" s="14" t="n">
        <x:v>0.23518223683931017</x:v>
      </x:c>
      <x:c r="M123" s="14" t="n">
        <x:v>0.00863079289162072</x:v>
      </x:c>
      <x:c r="N123" t="n">
        <x:v>17</x:v>
      </x:c>
      <x:c r="O123" t="n">
        <x:v>0</x:v>
      </x:c>
      <x:c r="P123" s="14" t="n">
        <x:v>0</x:v>
      </x:c>
      <x:c r="Q123" s="14" t="n">
        <x:v>0</x:v>
      </x:c>
      <x:c r="R123" s="14" t="n">
        <x:v>-0.19047619047619047</x:v>
      </x:c>
      <x:c r="S123" t="n">
        <x:v>95</x:v>
      </x:c>
      <x:c r="T123" t="n">
        <x:v>30.014849451834063</x:v>
      </x:c>
      <x:c r="U123" s="14" t="n">
        <x:v>0.6577637837558322</x:v>
      </x:c>
      <x:c r="V123" s="14" t="n">
        <x:v>0.3389770026498293</x:v>
      </x:c>
      <x:c r="W123" s="14" t="n">
        <x:v>0.142741634463316</x:v>
      </x:c>
      <x:c r="X123" s="14" t="n">
        <x:v>0.583984874378358</x:v>
      </x:c>
      <x:c r="Y123" s="16" t="n">
        <x:v>91.58415841584159</x:v>
      </x:c>
      <x:c r="Z123" s="16" t="n">
        <x:v>92.72727272727273</x:v>
      </x:c>
      <x:c r="AA123" s="16" t="n">
        <x:v>100</x:v>
      </x:c>
      <x:c r="AB123" s="16" t="n">
        <x:v>39.975247524752476</x:v>
      </x:c>
      <x:c r="AC123" s="16" t="n">
        <x:v>66.83168316831683</x:v>
      </x:c>
      <x:c r="AD123" s="16" t="n">
        <x:v>21.646341463414632</x:v>
      </x:c>
      <x:c r="AE123" s="16" t="n">
        <x:v>79.36168250971437</x:v>
      </x:c>
      <x:c r="AF123" t="str">
        <x:v>검토</x:v>
      </x:c>
      <x:c r="AG123" t="str">
        <x:v>서울 업종추세·상권 모멘텀 강점 / 직장수요 상대적 약점</x:v>
      </x:c>
    </x:row>
    <x:row r="124">
      <x:c r="A124" t="str">
        <x:v>3120085</x:v>
      </x:c>
      <x:c r="B124" t="str">
        <x:v>은행사거리</x:v>
      </x:c>
      <x:c r="C124" t="str">
        <x:v>발달상권</x:v>
      </x:c>
      <x:c r="D124" t="str">
        <x:v>노원구</x:v>
      </x:c>
      <x:c r="E124" t="str">
        <x:v>중계본동</x:v>
      </x:c>
      <x:c r="F124" t="str">
        <x:v>CS200006</x:v>
      </x:c>
      <x:c r="G124" t="str">
        <x:v>일반의원</x:v>
      </x:c>
      <x:c r="H124" t="n">
        <x:v>7324143753</x:v>
      </x:c>
      <x:c r="I124" t="n">
        <x:v>173255</x:v>
      </x:c>
      <x:c r="J124" t="n">
        <x:v>42273.77999480534</x:v>
      </x:c>
      <x:c r="K124" s="14" t="n">
        <x:v>0.07303368106154196</x:v>
      </x:c>
      <x:c r="L124" s="14" t="n">
        <x:v>0.09973642051122278</x:v>
      </x:c>
      <x:c r="M124" s="14" t="n">
        <x:v>0.06942273842247415</x:v>
      </x:c>
      <x:c r="N124" t="n">
        <x:v>21</x:v>
      </x:c>
      <x:c r="O124" t="n">
        <x:v>0</x:v>
      </x:c>
      <x:c r="P124" s="14" t="n">
        <x:v>0</x:v>
      </x:c>
      <x:c r="Q124" s="14" t="n">
        <x:v>0</x:v>
      </x:c>
      <x:c r="R124" s="14" t="n">
        <x:v>0.050000000000000044</x:v>
      </x:c>
      <x:c r="S124" t="n">
        <x:v>1811</x:v>
      </x:c>
      <x:c r="T124" t="n">
        <x:v>294.05556367415204</x:v>
      </x:c>
      <x:c r="U124" s="14" t="n">
        <x:v>0.8326354170072227</x:v>
      </x:c>
      <x:c r="V124" s="14" t="n">
        <x:v>0.1573753420019745</x:v>
      </x:c>
      <x:c r="W124" s="14" t="n">
        <x:v>0.13281654372247273</x:v>
      </x:c>
      <x:c r="X124" s="14" t="n">
        <x:v>0.596866850300337</x:v>
      </x:c>
      <x:c r="Y124" s="16" t="n">
        <x:v>88.97485493230174</x:v>
      </x:c>
      <x:c r="Z124" s="16" t="n">
        <x:v>73.83720930232558</x:v>
      </x:c>
      <x:c r="AA124" s="16" t="n">
        <x:v>90.1639344262295</x:v>
      </x:c>
      <x:c r="AB124" s="16" t="n">
        <x:v>63.372093023255815</x:v>
      </x:c>
      <x:c r="AC124" s="16" t="n">
        <x:v>62.5</x:v>
      </x:c>
      <x:c r="AD124" s="16" t="n">
        <x:v>83.41463414634147</x:v>
      </x:c>
      <x:c r="AE124" s="16" t="n">
        <x:v>79.3597769115106</x:v>
      </x:c>
      <x:c r="AF124" t="str">
        <x:v>검토</x:v>
      </x:c>
      <x:c r="AG124" t="str">
        <x:v>서울 업종추세·수요 강점 / 안정성 상대적 약점</x:v>
      </x:c>
    </x:row>
    <x:row r="125">
      <x:c r="A125" t="str">
        <x:v>3001492</x:v>
      </x:c>
      <x:c r="B125" t="str">
        <x:v>명동 남대문 북창동 다동 무교동 관광특구</x:v>
      </x:c>
      <x:c r="C125" t="str">
        <x:v>관광특구</x:v>
      </x:c>
      <x:c r="D125" t="str">
        <x:v>중구</x:v>
      </x:c>
      <x:c r="E125" t="str">
        <x:v>소공동</x:v>
      </x:c>
      <x:c r="F125" t="str">
        <x:v>CS300007</x:v>
      </x:c>
      <x:c r="G125" t="str">
        <x:v>육류판매</x:v>
      </x:c>
      <x:c r="H125" t="n">
        <x:v>23415815953</x:v>
      </x:c>
      <x:c r="I125" t="n">
        <x:v>246637</x:v>
      </x:c>
      <x:c r="J125" t="n">
        <x:v>94940.4021010635</x:v>
      </x:c>
      <x:c r="K125" s="14" t="n">
        <x:v>-0.026421562802625753</x:v>
      </x:c>
      <x:c r="L125" s="14" t="n">
        <x:v>0.23518223683931017</x:v>
      </x:c>
      <x:c r="M125" s="14" t="n">
        <x:v>0.00863079289162072</x:v>
      </x:c>
      <x:c r="N125" t="n">
        <x:v>5</x:v>
      </x:c>
      <x:c r="O125" t="n">
        <x:v>0</x:v>
      </x:c>
      <x:c r="P125" s="14" t="n">
        <x:v>0</x:v>
      </x:c>
      <x:c r="Q125" s="14" t="n">
        <x:v>0</x:v>
      </x:c>
      <x:c r="R125" s="14" t="n">
        <x:v>0</x:v>
      </x:c>
      <x:c r="S125" t="n">
        <x:v>199667</x:v>
      </x:c>
      <x:c r="T125" t="n">
        <x:v>2029.9242185482574</x:v>
      </x:c>
      <x:c r="U125" s="14" t="n">
        <x:v>0.9259158158536113</x:v>
      </x:c>
      <x:c r="V125" s="14" t="n">
        <x:v>0.057092696264924386</x:v>
      </x:c>
      <x:c r="W125" s="14" t="n">
        <x:v>0.12859940905088135</x:v>
      </x:c>
      <x:c r="X125" s="14" t="n">
        <x:v>0.7774489243313194</x:v>
      </x:c>
      <x:c r="Y125" s="16" t="n">
        <x:v>99.38118811881188</x:v>
      </x:c>
      <x:c r="Z125" s="16" t="n">
        <x:v>16.493506493506494</x:v>
      </x:c>
      <x:c r="AA125" s="16" t="n">
        <x:v>100</x:v>
      </x:c>
      <x:c r="AB125" s="16" t="n">
        <x:v>97.27722772277228</x:v>
      </x:c>
      <x:c r="AC125" s="16" t="n">
        <x:v>66.83168316831683</x:v>
      </x:c>
      <x:c r="AD125" s="16" t="n">
        <x:v>98.84146341463415</x:v>
      </x:c>
      <x:c r="AE125" s="16" t="n">
        <x:v>79.29894278626467</x:v>
      </x:c>
      <x:c r="AF125" t="str">
        <x:v>검토</x:v>
      </x:c>
      <x:c r="AG125" t="str">
        <x:v>서울 업종추세·수요 강점 / 상권 모멘텀 상대적 약점</x:v>
      </x:c>
    </x:row>
    <x:row r="126">
      <x:c r="A126" t="str">
        <x:v>3001492</x:v>
      </x:c>
      <x:c r="B126" t="str">
        <x:v>명동 남대문 북창동 다동 무교동 관광특구</x:v>
      </x:c>
      <x:c r="C126" t="str">
        <x:v>관광특구</x:v>
      </x:c>
      <x:c r="D126" t="str">
        <x:v>중구</x:v>
      </x:c>
      <x:c r="E126" t="str">
        <x:v>소공동</x:v>
      </x:c>
      <x:c r="F126" t="str">
        <x:v>CS200028</x:v>
      </x:c>
      <x:c r="G126" t="str">
        <x:v>미용실</x:v>
      </x:c>
      <x:c r="H126" t="n">
        <x:v>2732519605</x:v>
      </x:c>
      <x:c r="I126" t="n">
        <x:v>27918</x:v>
      </x:c>
      <x:c r="J126" t="n">
        <x:v>97876.62457912457</x:v>
      </x:c>
      <x:c r="K126" s="14" t="n">
        <x:v>0.08021668806487914</x:v>
      </x:c>
      <x:c r="L126" s="14" t="n">
        <x:v>0.02168887159425803</x:v>
      </x:c>
      <x:c r="M126" s="14" t="n">
        <x:v>-0.013481964371473865</x:v>
      </x:c>
      <x:c r="N126" t="n">
        <x:v>20</x:v>
      </x:c>
      <x:c r="O126" t="n">
        <x:v>1</x:v>
      </x:c>
      <x:c r="P126" s="14" t="n">
        <x:v>0.04</x:v>
      </x:c>
      <x:c r="Q126" s="14" t="n">
        <x:v>0</x:v>
      </x:c>
      <x:c r="R126" s="14" t="n">
        <x:v>-0.04761904761904767</x:v>
      </x:c>
      <x:c r="S126" t="n">
        <x:v>199667</x:v>
      </x:c>
      <x:c r="T126" t="n">
        <x:v>2029.9242185482574</x:v>
      </x:c>
      <x:c r="U126" s="14" t="n">
        <x:v>0.7079461140773773</x:v>
      </x:c>
      <x:c r="V126" s="14" t="n">
        <x:v>0.3478384295068946</x:v>
      </x:c>
      <x:c r="W126" s="14" t="n">
        <x:v>0.2971633713127559</x:v>
      </x:c>
      <x:c r="X126" s="14" t="n">
        <x:v>0.689290803825724</x:v>
      </x:c>
      <x:c r="Y126" s="16" t="n">
        <x:v>99.0152193375112</x:v>
      </x:c>
      <x:c r="Z126" s="16" t="n">
        <x:v>80.39568345323741</x:v>
      </x:c>
      <x:c r="AA126" s="16" t="n">
        <x:v>57.377049180327866</x:v>
      </x:c>
      <x:c r="AB126" s="16" t="n">
        <x:v>96.41897940913161</x:v>
      </x:c>
      <x:c r="AC126" s="16" t="n">
        <x:v>4.252461951656215</x:v>
      </x:c>
      <x:c r="AD126" s="16" t="n">
        <x:v>98.84146341463415</x:v>
      </x:c>
      <x:c r="AE126" s="16" t="n">
        <x:v>79.17118711309266</x:v>
      </x:c>
      <x:c r="AF126" t="str">
        <x:v>검토</x:v>
      </x:c>
      <x:c r="AG126" t="str">
        <x:v>수요·직장수요 강점 / 안정성 상대적 약점</x:v>
      </x:c>
    </x:row>
    <x:row r="127">
      <x:c r="A127" t="str">
        <x:v>3120232</x:v>
      </x:c>
      <x:c r="B127" t="str">
        <x:v>송파나루역</x:v>
      </x:c>
      <x:c r="C127" t="str">
        <x:v>발달상권</x:v>
      </x:c>
      <x:c r="D127" t="str">
        <x:v>송파구</x:v>
      </x:c>
      <x:c r="E127" t="str">
        <x:v>송파1동</x:v>
      </x:c>
      <x:c r="F127" t="str">
        <x:v>CS300035</x:v>
      </x:c>
      <x:c r="G127" t="str">
        <x:v>인테리어</x:v>
      </x:c>
      <x:c r="H127" t="n">
        <x:v>1167519652</x:v>
      </x:c>
      <x:c r="I127" t="n">
        <x:v>2771</x:v>
      </x:c>
      <x:c r="J127" t="n">
        <x:v>421335.13244316133</x:v>
      </x:c>
      <x:c r="K127" s="14" t="n">
        <x:v>0.22097336977788218</x:v>
      </x:c>
      <x:c r="L127" s="14" t="n">
        <x:v>0.20213561276420866</x:v>
      </x:c>
      <x:c r="M127" s="14" t="n">
        <x:v>0.044160820891303576</x:v>
      </x:c>
      <x:c r="N127" t="n">
        <x:v>16</x:v>
      </x:c>
      <x:c r="O127" t="n">
        <x:v>0</x:v>
      </x:c>
      <x:c r="P127" s="14" t="n">
        <x:v>0</x:v>
      </x:c>
      <x:c r="Q127" s="14" t="n">
        <x:v>0</x:v>
      </x:c>
      <x:c r="R127" s="14" t="n">
        <x:v>-0.11111111111111116</x:v>
      </x:c>
      <x:c r="S127" t="n">
        <x:v>1569</x:v>
      </x:c>
      <x:c r="T127" t="n">
        <x:v>257.5847123719464</x:v>
      </x:c>
      <x:c r="U127" s="14" t="n">
        <x:v>0.9980013047352114</x:v>
      </x:c>
      <x:c r="V127" s="14" t="n">
        <x:v>0.007807854869409941</x:v>
      </x:c>
      <x:c r="W127" s="14" t="n">
        <x:v>0.004304883426493278</x:v>
      </x:c>
      <x:c r="X127" s="14" t="n">
        <x:v>0.028737417774960073</x:v>
      </x:c>
      <x:c r="Y127" s="16" t="n">
        <x:v>95.65217391304348</x:v>
      </x:c>
      <x:c r="Z127" s="16" t="n">
        <x:v>72.61146496815287</x:v>
      </x:c>
      <x:c r="AA127" s="16" t="n">
        <x:v>98.36065573770492</x:v>
      </x:c>
      <x:c r="AB127" s="16" t="n">
        <x:v>41.03260869565217</x:v>
      </x:c>
      <x:c r="AC127" s="16" t="n">
        <x:v>60.32608695652174</x:v>
      </x:c>
      <x:c r="AD127" s="16" t="n">
        <x:v>81.21951219512195</x:v>
      </x:c>
      <x:c r="AE127" s="16" t="n">
        <x:v>79.00312783360762</x:v>
      </x:c>
      <x:c r="AF127" t="str">
        <x:v>검토</x:v>
      </x:c>
      <x:c r="AG127" t="str">
        <x:v>서울 업종추세·수요 강점 / 경쟁여건 상대적 약점</x:v>
      </x:c>
    </x:row>
    <x:row r="128">
      <x:c r="A128" t="str">
        <x:v>3110542</x:v>
      </x:c>
      <x:c r="B128" t="str">
        <x:v>마포구청역 7번</x:v>
      </x:c>
      <x:c r="C128" t="str">
        <x:v>골목상권</x:v>
      </x:c>
      <x:c r="D128" t="str">
        <x:v>마포구</x:v>
      </x:c>
      <x:c r="E128" t="str">
        <x:v>망원2동</x:v>
      </x:c>
      <x:c r="F128" t="str">
        <x:v>CS200024</x:v>
      </x:c>
      <x:c r="G128" t="str">
        <x:v>스포츠클럽</x:v>
      </x:c>
      <x:c r="H128" t="n">
        <x:v>890886586</x:v>
      </x:c>
      <x:c r="I128" t="n">
        <x:v>1917</x:v>
      </x:c>
      <x:c r="J128" t="n">
        <x:v>464729.570161711</x:v>
      </x:c>
      <x:c r="K128" s="14"/>
      <x:c r="L128" s="14" t="n">
        <x:v>0.03927856170757105</x:v>
      </x:c>
      <x:c r="M128" s="14" t="n">
        <x:v>-0.042593628048716026</x:v>
      </x:c>
      <x:c r="N128" t="n">
        <x:v>6</x:v>
      </x:c>
      <x:c r="O128" t="n">
        <x:v>0</x:v>
      </x:c>
      <x:c r="P128" s="14" t="n">
        <x:v>0</x:v>
      </x:c>
      <x:c r="Q128" s="14" t="n">
        <x:v>0</x:v>
      </x:c>
      <x:c r="R128" s="14" t="n">
        <x:v>1</x:v>
      </x:c>
      <x:c r="S128" t="n">
        <x:v>1552</x:v>
      </x:c>
      <x:c r="T128" t="n">
        <x:v>125.50947790645014</x:v>
      </x:c>
      <x:c r="U128" s="14" t="n">
        <x:v>0.9323069951352932</x:v>
      </x:c>
      <x:c r="V128" s="14" t="n">
        <x:v>0.6671524797209147</x:v>
      </x:c>
      <x:c r="W128" s="14" t="n">
        <x:v>0.752589427808491</x:v>
      </x:c>
      <x:c r="X128" s="14" t="n">
        <x:v>0.5431429708382656</x:v>
      </x:c>
      <x:c r="Y128" s="16" t="n">
        <x:v>95.65217391304348</x:v>
      </x:c>
      <x:c r="Z128" s="16" t="n">
        <x:v>50</x:v>
      </x:c>
      <x:c r="AA128" s="16" t="n">
        <x:v>75.40983606557377</x:v>
      </x:c>
      <x:c r="AB128" s="16" t="n">
        <x:v>93.65942028985508</x:v>
      </x:c>
      <x:c r="AC128" s="16" t="n">
        <x:v>68.84057971014492</x:v>
      </x:c>
      <x:c r="AD128" s="16" t="n">
        <x:v>65.0609756097561</x:v>
      </x:c>
      <x:c r="AE128" s="16" t="n">
        <x:v>78.97575607438185</x:v>
      </x:c>
      <x:c r="AF128" t="str">
        <x:v>검토</x:v>
      </x:c>
      <x:c r="AG128" t="str">
        <x:v>수요·경쟁여건 강점 / 상권 모멘텀 상대적 약점</x:v>
      </x:c>
    </x:row>
    <x:row r="129">
      <x:c r="A129" t="str">
        <x:v>3120228</x:v>
      </x:c>
      <x:c r="B129" t="str">
        <x:v>석촌역(석촌호수)</x:v>
      </x:c>
      <x:c r="C129" t="str">
        <x:v>발달상권</x:v>
      </x:c>
      <x:c r="D129" t="str">
        <x:v>송파구</x:v>
      </x:c>
      <x:c r="E129" t="str">
        <x:v>송파1동</x:v>
      </x:c>
      <x:c r="F129" t="str">
        <x:v>CS300011</x:v>
      </x:c>
      <x:c r="G129" t="str">
        <x:v>일반의류</x:v>
      </x:c>
      <x:c r="H129" t="n">
        <x:v>817546875</x:v>
      </x:c>
      <x:c r="I129" t="n">
        <x:v>6880</x:v>
      </x:c>
      <x:c r="J129" t="n">
        <x:v>118829.48764534884</x:v>
      </x:c>
      <x:c r="K129" s="14" t="n">
        <x:v>0.23548413920707456</x:v>
      </x:c>
      <x:c r="L129" s="14" t="n">
        <x:v>0.06726691045630595</x:v>
      </x:c>
      <x:c r="M129" s="14" t="n">
        <x:v>0.00788849516466894</x:v>
      </x:c>
      <x:c r="N129" t="n">
        <x:v>49</x:v>
      </x:c>
      <x:c r="O129" t="n">
        <x:v>0</x:v>
      </x:c>
      <x:c r="P129" s="14" t="n">
        <x:v>0</x:v>
      </x:c>
      <x:c r="Q129" s="14" t="n">
        <x:v>0</x:v>
      </x:c>
      <x:c r="R129" s="14" t="n">
        <x:v>-0.26865671641791045</x:v>
      </x:c>
      <x:c r="S129" t="n">
        <x:v>6934</x:v>
      </x:c>
      <x:c r="T129" t="n">
        <x:v>303.9228577690116</x:v>
      </x:c>
      <x:c r="U129" s="14" t="n">
        <x:v>0.8379624838025342</x:v>
      </x:c>
      <x:c r="V129" s="14" t="n">
        <x:v>0.25937355090495573</x:v>
      </x:c>
      <x:c r="W129" s="14" t="n">
        <x:v>0.1184772383846492</x:v>
      </x:c>
      <x:c r="X129" s="14" t="n">
        <x:v>0.6587677581178449</x:v>
      </x:c>
      <x:c r="Y129" s="16" t="n">
        <x:v>81.50765606595995</x:v>
      </x:c>
      <x:c r="Z129" s="16" t="n">
        <x:v>78.82069795427196</x:v>
      </x:c>
      <x:c r="AA129" s="16" t="n">
        <x:v>81.9672131147541</x:v>
      </x:c>
      <x:c r="AB129" s="16" t="n">
        <x:v>63.486454652532395</x:v>
      </x:c>
      <x:c r="AC129" s="16" t="n">
        <x:v>86.33686690223793</x:v>
      </x:c>
      <x:c r="AD129" s="16" t="n">
        <x:v>84.02439024390245</x:v>
      </x:c>
      <x:c r="AE129" s="16" t="n">
        <x:v>78.94477558145226</x:v>
      </x:c>
      <x:c r="AF129" t="str">
        <x:v>검토</x:v>
      </x:c>
      <x:c r="AG129" t="str">
        <x:v>안정성·직장수요 강점 / 경쟁여건 상대적 약점</x:v>
      </x:c>
    </x:row>
    <x:row r="130">
      <x:c r="A130" t="str">
        <x:v>3120107</x:v>
      </x:c>
      <x:c r="B130" t="str">
        <x:v>공덕역(공덕오거리)</x:v>
      </x:c>
      <x:c r="C130" t="str">
        <x:v>발달상권</x:v>
      </x:c>
      <x:c r="D130" t="str">
        <x:v>마포구</x:v>
      </x:c>
      <x:c r="E130" t="str">
        <x:v>도화동</x:v>
      </x:c>
      <x:c r="F130" t="str">
        <x:v>CS100003</x:v>
      </x:c>
      <x:c r="G130" t="str">
        <x:v>일식음식점</x:v>
      </x:c>
      <x:c r="H130" t="n">
        <x:v>812193776</x:v>
      </x:c>
      <x:c r="I130" t="n">
        <x:v>15059</x:v>
      </x:c>
      <x:c r="J130" t="n">
        <x:v>53934.11089713792</x:v>
      </x:c>
      <x:c r="K130" s="14" t="n">
        <x:v>0.5853515347608553</x:v>
      </x:c>
      <x:c r="L130" s="14" t="n">
        <x:v>0.048235937606500245</x:v>
      </x:c>
      <x:c r="M130" s="14" t="n">
        <x:v>-0.004288267098710441</x:v>
      </x:c>
      <x:c r="N130" t="n">
        <x:v>22</x:v>
      </x:c>
      <x:c r="O130" t="n">
        <x:v>0</x:v>
      </x:c>
      <x:c r="P130" s="14" t="n">
        <x:v>0</x:v>
      </x:c>
      <x:c r="Q130" s="14" t="n">
        <x:v>0.22727272727272727</x:v>
      </x:c>
      <x:c r="R130" s="14" t="n">
        <x:v>0.1578947368421053</x:v>
      </x:c>
      <x:c r="S130" t="n">
        <x:v>16135</x:v>
      </x:c>
      <x:c r="T130" t="n">
        <x:v>839.4115015243109</x:v>
      </x:c>
      <x:c r="U130" s="14" t="n">
        <x:v>0.9066331677971391</x:v>
      </x:c>
      <x:c r="V130" s="14" t="n">
        <x:v>0.6420723211747439</x:v>
      </x:c>
      <x:c r="W130" s="14" t="n">
        <x:v>0.31188744790381157</x:v>
      </x:c>
      <x:c r="X130" s="14" t="n">
        <x:v>0.24578551436720195</x:v>
      </x:c>
      <x:c r="Y130" s="16" t="n">
        <x:v>74.4047619047619</x:v>
      </x:c>
      <x:c r="Z130" s="16" t="n">
        <x:v>96.60493827160494</x:v>
      </x:c>
      <x:c r="AA130" s="16" t="n">
        <x:v>78.68852459016394</x:v>
      </x:c>
      <x:c r="AB130" s="16" t="n">
        <x:v>58.779761904761905</x:v>
      </x:c>
      <x:c r="AC130" s="16" t="n">
        <x:v>81.10119047619048</x:v>
      </x:c>
      <x:c r="AD130" s="16" t="n">
        <x:v>95.48780487804878</x:v>
      </x:c>
      <x:c r="AE130" s="16" t="n">
        <x:v>78.86740658674803</x:v>
      </x:c>
      <x:c r="AF130" t="str">
        <x:v>검토</x:v>
      </x:c>
      <x:c r="AG130" t="str">
        <x:v>상권 모멘텀·직장수요 강점 / 경쟁여건 상대적 약점</x:v>
      </x:c>
    </x:row>
    <x:row r="131">
      <x:c r="A131" t="str">
        <x:v>3120151</x:v>
      </x:c>
      <x:c r="B131" t="str">
        <x:v>보라매공원</x:v>
      </x:c>
      <x:c r="C131" t="str">
        <x:v>발달상권</x:v>
      </x:c>
      <x:c r="D131" t="str">
        <x:v>동작구</x:v>
      </x:c>
      <x:c r="E131" t="str">
        <x:v>신대방2동</x:v>
      </x:c>
      <x:c r="F131" t="str">
        <x:v>CS200028</x:v>
      </x:c>
      <x:c r="G131" t="str">
        <x:v>미용실</x:v>
      </x:c>
      <x:c r="H131" t="n">
        <x:v>480142753</x:v>
      </x:c>
      <x:c r="I131" t="n">
        <x:v>5914</x:v>
      </x:c>
      <x:c r="J131" t="n">
        <x:v>81187.4793709841</x:v>
      </x:c>
      <x:c r="K131" s="14" t="n">
        <x:v>0.10965062329407771</x:v>
      </x:c>
      <x:c r="L131" s="14" t="n">
        <x:v>0.02168887159425803</x:v>
      </x:c>
      <x:c r="M131" s="14" t="n">
        <x:v>-0.013481964371473865</x:v>
      </x:c>
      <x:c r="N131" t="n">
        <x:v>56</x:v>
      </x:c>
      <x:c r="O131" t="n">
        <x:v>0</x:v>
      </x:c>
      <x:c r="P131" s="14" t="n">
        <x:v>0</x:v>
      </x:c>
      <x:c r="Q131" s="14" t="n">
        <x:v>0</x:v>
      </x:c>
      <x:c r="R131" s="14" t="n">
        <x:v>0.2727272727272727</x:v>
      </x:c>
      <x:c r="S131" t="n">
        <x:v>10160</x:v>
      </x:c>
      <x:c r="T131" t="n">
        <x:v>848.8666460576995</x:v>
      </x:c>
      <x:c r="U131" s="14" t="n">
        <x:v>0.6626245694892328</x:v>
      </x:c>
      <x:c r="V131" s="14" t="n">
        <x:v>0.46564283560060316</x:v>
      </x:c>
      <x:c r="W131" s="14" t="n">
        <x:v>0.2665157938976536</x:v>
      </x:c>
      <x:c r="X131" s="14" t="n">
        <x:v>0.6506161054147994</x:v>
      </x:c>
      <x:c r="Y131" s="16" t="n">
        <x:v>93.01700984780662</x:v>
      </x:c>
      <x:c r="Z131" s="16" t="n">
        <x:v>87.14028776978417</x:v>
      </x:c>
      <x:c r="AA131" s="16" t="n">
        <x:v>57.377049180327866</x:v>
      </x:c>
      <x:c r="AB131" s="16" t="n">
        <x:v>52.64100268576544</x:v>
      </x:c>
      <x:c r="AC131" s="16" t="n">
        <x:v>75.60429722470904</x:v>
      </x:c>
      <x:c r="AD131" s="16" t="n">
        <x:v>95.85365853658537</x:v>
      </x:c>
      <x:c r="AE131" s="16" t="n">
        <x:v>78.83983142990331</x:v>
      </x:c>
      <x:c r="AF131" t="str">
        <x:v>검토</x:v>
      </x:c>
      <x:c r="AG131" t="str">
        <x:v>직장수요·수요 강점 / 경쟁여건 상대적 약점</x:v>
      </x:c>
    </x:row>
    <x:row r="132">
      <x:c r="A132" t="str">
        <x:v>3120076</x:v>
      </x:c>
      <x:c r="B132" t="str">
        <x:v>수유역</x:v>
      </x:c>
      <x:c r="C132" t="str">
        <x:v>발달상권</x:v>
      </x:c>
      <x:c r="D132" t="str">
        <x:v>강북구</x:v>
      </x:c>
      <x:c r="E132" t="str">
        <x:v>수유3동</x:v>
      </x:c>
      <x:c r="F132" t="str">
        <x:v>CS300028</x:v>
      </x:c>
      <x:c r="G132" t="str">
        <x:v>화초</x:v>
      </x:c>
      <x:c r="H132" t="n">
        <x:v>172126324</x:v>
      </x:c>
      <x:c r="I132" t="n">
        <x:v>5081</x:v>
      </x:c>
      <x:c r="J132" t="n">
        <x:v>33876.46604999016</x:v>
      </x:c>
      <x:c r="K132" s="14" t="n">
        <x:v>0.07603673125807497</x:v>
      </x:c>
      <x:c r="L132" s="14" t="n">
        <x:v>0.028008199294863756</x:v>
      </x:c>
      <x:c r="M132" s="14" t="n">
        <x:v>-0.0030123365554672876</x:v>
      </x:c>
      <x:c r="N132" t="n">
        <x:v>9</x:v>
      </x:c>
      <x:c r="O132" t="n">
        <x:v>0</x:v>
      </x:c>
      <x:c r="P132" s="14" t="n">
        <x:v>0</x:v>
      </x:c>
      <x:c r="Q132" s="14" t="n">
        <x:v>0</x:v>
      </x:c>
      <x:c r="R132" s="14" t="n">
        <x:v>0.2857142857142858</x:v>
      </x:c>
      <x:c r="S132" t="n">
        <x:v>3443</x:v>
      </x:c>
      <x:c r="T132" t="n">
        <x:v>115.79375729386324</x:v>
      </x:c>
      <x:c r="U132" s="14" t="n">
        <x:v>0.8274514884777299</x:v>
      </x:c>
      <x:c r="V132" s="14" t="n">
        <x:v>0.4122094596059578</x:v>
      </x:c>
      <x:c r="W132" s="14" t="n">
        <x:v>0.397997862314192</x:v>
      </x:c>
      <x:c r="X132" s="14" t="n">
        <x:v>0.35829203556336914</x:v>
      </x:c>
      <x:c r="Y132" s="16" t="n">
        <x:v>82.21476510067114</x:v>
      </x:c>
      <x:c r="Z132" s="16" t="n">
        <x:v>82.87671232876713</x:v>
      </x:c>
      <x:c r="AA132" s="16" t="n">
        <x:v>73.77049180327869</x:v>
      </x:c>
      <x:c r="AB132" s="16" t="n">
        <x:v>83.89261744966443</x:v>
      </x:c>
      <x:c r="AC132" s="16" t="n">
        <x:v>66.7785234899329</x:v>
      </x:c>
      <x:c r="AD132" s="16" t="n">
        <x:v>62.86585365853659</x:v>
      </x:c>
      <x:c r="AE132" s="16" t="n">
        <x:v>78.82112167084989</x:v>
      </x:c>
      <x:c r="AF132" t="str">
        <x:v>검토</x:v>
      </x:c>
      <x:c r="AG132" t="str">
        <x:v>경쟁여건·상권 모멘텀 강점 / 직장수요 상대적 약점</x:v>
      </x:c>
    </x:row>
    <x:row r="133">
      <x:c r="A133" t="str">
        <x:v>3110640</x:v>
      </x:c>
      <x:c r="B133" t="str">
        <x:v>방화역 1번</x:v>
      </x:c>
      <x:c r="C133" t="str">
        <x:v>골목상권</x:v>
      </x:c>
      <x:c r="D133" t="str">
        <x:v>강서구</x:v>
      </x:c>
      <x:c r="E133" t="str">
        <x:v>방화3동</x:v>
      </x:c>
      <x:c r="F133" t="str">
        <x:v>CS100002</x:v>
      </x:c>
      <x:c r="G133" t="str">
        <x:v>중식음식점</x:v>
      </x:c>
      <x:c r="H133" t="n">
        <x:v>1387998412</x:v>
      </x:c>
      <x:c r="I133" t="n">
        <x:v>51029</x:v>
      </x:c>
      <x:c r="J133" t="n">
        <x:v>27200.18836347959</x:v>
      </x:c>
      <x:c r="K133" s="14" t="n">
        <x:v>0.059299456719428045</x:v>
      </x:c>
      <x:c r="L133" s="14" t="n">
        <x:v>-0.02375238205614094</x:v>
      </x:c>
      <x:c r="M133" s="14" t="n">
        <x:v>0.025085263877023367</x:v>
      </x:c>
      <x:c r="N133" t="n">
        <x:v>4</x:v>
      </x:c>
      <x:c r="O133" t="n">
        <x:v>0</x:v>
      </x:c>
      <x:c r="P133" s="14" t="n">
        <x:v>0</x:v>
      </x:c>
      <x:c r="Q133" s="14" t="n">
        <x:v>0</x:v>
      </x:c>
      <x:c r="R133" s="14" t="n">
        <x:v>1</x:v>
      </x:c>
      <x:c r="S133" t="n">
        <x:v>1776</x:v>
      </x:c>
      <x:c r="T133" t="n">
        <x:v>222.88876896625294</x:v>
      </x:c>
      <x:c r="U133" s="14" t="n">
        <x:v>0.6292419504583698</x:v>
      </x:c>
      <x:c r="V133" s="14" t="n">
        <x:v>0.3722617868528224</x:v>
      </x:c>
      <x:c r="W133" s="14" t="n">
        <x:v>0.34117267851744487</x:v>
      </x:c>
      <x:c r="X133" s="14" t="n">
        <x:v>0.3501155179995984</x:v>
      </x:c>
      <x:c r="Y133" s="16" t="n">
        <x:v>89.7025171624714</x:v>
      </x:c>
      <x:c r="Z133" s="16" t="n">
        <x:v>80.65268065268066</x:v>
      </x:c>
      <x:c r="AA133" s="16" t="n">
        <x:v>32.78688524590164</x:v>
      </x:c>
      <x:c r="AB133" s="16" t="n">
        <x:v>98.16933638443936</x:v>
      </x:c>
      <x:c r="AC133" s="16" t="n">
        <x:v>76.3157894736842</x:v>
      </x:c>
      <x:c r="AD133" s="16" t="n">
        <x:v>78.47560975609755</x:v>
      </x:c>
      <x:c r="AE133" s="16" t="n">
        <x:v>78.72520981712556</x:v>
      </x:c>
      <x:c r="AF133" t="str">
        <x:v>검토</x:v>
      </x:c>
      <x:c r="AG133" t="str">
        <x:v>경쟁여건·수요 강점 / 서울 업종추세 상대적 약점</x:v>
      </x:c>
    </x:row>
    <x:row r="134">
      <x:c r="A134" t="str">
        <x:v>3120194</x:v>
      </x:c>
      <x:c r="B134" t="str">
        <x:v>언주역(차병원)</x:v>
      </x:c>
      <x:c r="C134" t="str">
        <x:v>발달상권</x:v>
      </x:c>
      <x:c r="D134" t="str">
        <x:v>강남구</x:v>
      </x:c>
      <x:c r="E134" t="str">
        <x:v>논현2동</x:v>
      </x:c>
      <x:c r="F134" t="str">
        <x:v>CS200030</x:v>
      </x:c>
      <x:c r="G134" t="str">
        <x:v>피부관리실</x:v>
      </x:c>
      <x:c r="H134" t="n">
        <x:v>477171576</x:v>
      </x:c>
      <x:c r="I134" t="n">
        <x:v>1705</x:v>
      </x:c>
      <x:c r="J134" t="n">
        <x:v>279866.02697947214</x:v>
      </x:c>
      <x:c r="K134" s="14" t="n">
        <x:v>0.8394306761931256</x:v>
      </x:c>
      <x:c r="L134" s="14" t="n">
        <x:v>0.11857168683779085</x:v>
      </x:c>
      <x:c r="M134" s="14" t="n">
        <x:v>0.0314283578178467</x:v>
      </x:c>
      <x:c r="N134" t="n">
        <x:v>110</x:v>
      </x:c>
      <x:c r="O134" t="n">
        <x:v>0</x:v>
      </x:c>
      <x:c r="P134" s="14" t="n">
        <x:v>0</x:v>
      </x:c>
      <x:c r="Q134" s="14" t="n">
        <x:v>0.045454545454545456</x:v>
      </x:c>
      <x:c r="R134" s="14" t="n">
        <x:v>0.8333333333333333</x:v>
      </x:c>
      <x:c r="S134" t="n">
        <x:v>14060</x:v>
      </x:c>
      <x:c r="T134" t="n">
        <x:v>579.9229519150656</x:v>
      </x:c>
      <x:c r="U134" s="14" t="n">
        <x:v>0.7921165027650348</x:v>
      </x:c>
      <x:c r="V134" s="14" t="n">
        <x:v>0.36246000956268193</x:v>
      </x:c>
      <x:c r="W134" s="14" t="n">
        <x:v>0.7125238050641977</x:v>
      </x:c>
      <x:c r="X134" s="14" t="n">
        <x:v>0.762077601202298</x:v>
      </x:c>
      <x:c r="Y134" s="16" t="n">
        <x:v>93.05210918114143</x:v>
      </x:c>
      <x:c r="Z134" s="16" t="n">
        <x:v>93.10344827586206</x:v>
      </x:c>
      <x:c r="AA134" s="16" t="n">
        <x:v>91.80327868852459</x:v>
      </x:c>
      <x:c r="AB134" s="16" t="n">
        <x:v>8.312655086848636</x:v>
      </x:c>
      <x:c r="AC134" s="16" t="n">
        <x:v>79.15632754342431</x:v>
      </x:c>
      <x:c r="AD134" s="16" t="n">
        <x:v>91.82926829268293</x:v>
      </x:c>
      <x:c r="AE134" s="16" t="n">
        <x:v>78.71341410385446</x:v>
      </x:c>
      <x:c r="AF134" t="str">
        <x:v>검토</x:v>
      </x:c>
      <x:c r="AG134" t="str">
        <x:v>상권 모멘텀·수요 강점 / 경쟁여건 상대적 약점</x:v>
      </x:c>
    </x:row>
    <x:row r="135">
      <x:c r="A135" t="str">
        <x:v>3001496</x:v>
      </x:c>
      <x:c r="B135" t="str">
        <x:v>강남 마이스 관광특구</x:v>
      </x:c>
      <x:c r="C135" t="str">
        <x:v>관광특구</x:v>
      </x:c>
      <x:c r="D135" t="str">
        <x:v>강남구</x:v>
      </x:c>
      <x:c r="E135" t="str">
        <x:v>삼성1동</x:v>
      </x:c>
      <x:c r="F135" t="str">
        <x:v>CS300026</x:v>
      </x:c>
      <x:c r="G135" t="str">
        <x:v>완구</x:v>
      </x:c>
      <x:c r="H135" t="n">
        <x:v>2258493446</x:v>
      </x:c>
      <x:c r="I135" t="n">
        <x:v>52021</x:v>
      </x:c>
      <x:c r="J135" t="n">
        <x:v>43415.03327502355</x:v>
      </x:c>
      <x:c r="K135" s="14" t="n">
        <x:v>0.48927077819932774</x:v>
      </x:c>
      <x:c r="L135" s="14" t="n">
        <x:v>0.13391619953678746</x:v>
      </x:c>
      <x:c r="M135" s="14" t="n">
        <x:v>-0.001177008085450515</x:v>
      </x:c>
      <x:c r="N135" t="n">
        <x:v>11</x:v>
      </x:c>
      <x:c r="O135" t="n">
        <x:v>0</x:v>
      </x:c>
      <x:c r="P135" s="14" t="n">
        <x:v>0</x:v>
      </x:c>
      <x:c r="Q135" s="14" t="n">
        <x:v>0</x:v>
      </x:c>
      <x:c r="R135" s="14" t="n">
        <x:v>-0.2142857142857143</x:v>
      </x:c>
      <x:c r="S135" t="n">
        <x:v>102032</x:v>
      </x:c>
      <x:c r="T135" t="n">
        <x:v>4289.005094748878</x:v>
      </x:c>
      <x:c r="U135" s="14" t="n">
        <x:v>0.5841862925645169</x:v>
      </x:c>
      <x:c r="V135" s="14" t="n">
        <x:v>0.370369763738513</x:v>
      </x:c>
      <x:c r="W135" s="14" t="n">
        <x:v>0.5357121111610257</x:v>
      </x:c>
      <x:c r="X135" s="14" t="n">
        <x:v>0.6124164413448557</x:v>
      </x:c>
      <x:c r="Y135" s="16" t="n">
        <x:v>83.33333333333333</x:v>
      </x:c>
      <x:c r="Z135" s="16" t="n">
        <x:v>88.46153846153847</x:v>
      </x:c>
      <x:c r="AA135" s="16" t="n">
        <x:v>93.44262295081967</x:v>
      </x:c>
      <x:c r="AB135" s="16" t="n">
        <x:v>50</x:v>
      </x:c>
      <x:c r="AC135" s="16" t="n">
        <x:v>53.333333333333336</x:v>
      </x:c>
      <x:c r="AD135" s="16" t="n">
        <x:v>99.9390243902439</x:v>
      </x:c>
      <x:c r="AE135" s="16" t="n">
        <x:v>78.70565235444283</x:v>
      </x:c>
      <x:c r="AF135" t="str">
        <x:v>검토</x:v>
      </x:c>
      <x:c r="AG135" t="str">
        <x:v>직장수요·서울 업종추세 강점 / 경쟁여건 상대적 약점</x:v>
      </x:c>
    </x:row>
    <x:row r="136">
      <x:c r="A136" t="str">
        <x:v>3120218</x:v>
      </x:c>
      <x:c r="B136" t="str">
        <x:v>코엑스</x:v>
      </x:c>
      <x:c r="C136" t="str">
        <x:v>발달상권</x:v>
      </x:c>
      <x:c r="D136" t="str">
        <x:v>강남구</x:v>
      </x:c>
      <x:c r="E136" t="str">
        <x:v>삼성1동</x:v>
      </x:c>
      <x:c r="F136" t="str">
        <x:v>CS300026</x:v>
      </x:c>
      <x:c r="G136" t="str">
        <x:v>완구</x:v>
      </x:c>
      <x:c r="H136" t="n">
        <x:v>2258493446</x:v>
      </x:c>
      <x:c r="I136" t="n">
        <x:v>52021</x:v>
      </x:c>
      <x:c r="J136" t="n">
        <x:v>43415.03327502355</x:v>
      </x:c>
      <x:c r="K136" s="14" t="n">
        <x:v>0.48927077819932774</x:v>
      </x:c>
      <x:c r="L136" s="14" t="n">
        <x:v>0.13391619953678746</x:v>
      </x:c>
      <x:c r="M136" s="14" t="n">
        <x:v>-0.001177008085450515</x:v>
      </x:c>
      <x:c r="N136" t="n">
        <x:v>11</x:v>
      </x:c>
      <x:c r="O136" t="n">
        <x:v>0</x:v>
      </x:c>
      <x:c r="P136" s="14" t="n">
        <x:v>0</x:v>
      </x:c>
      <x:c r="Q136" s="14" t="n">
        <x:v>0</x:v>
      </x:c>
      <x:c r="R136" s="14" t="n">
        <x:v>-0.2142857142857143</x:v>
      </x:c>
      <x:c r="S136" t="n">
        <x:v>52540</x:v>
      </x:c>
      <x:c r="T136" t="n">
        <x:v>3613.5794657349584</x:v>
      </x:c>
      <x:c r="U136" s="14" t="n">
        <x:v>0.5841862925645169</x:v>
      </x:c>
      <x:c r="V136" s="14" t="n">
        <x:v>0.370369763738513</x:v>
      </x:c>
      <x:c r="W136" s="14" t="n">
        <x:v>0.5357121111610257</x:v>
      </x:c>
      <x:c r="X136" s="14" t="n">
        <x:v>0.6124164413448557</x:v>
      </x:c>
      <x:c r="Y136" s="16" t="n">
        <x:v>83.33333333333333</x:v>
      </x:c>
      <x:c r="Z136" s="16" t="n">
        <x:v>88.46153846153847</x:v>
      </x:c>
      <x:c r="AA136" s="16" t="n">
        <x:v>93.44262295081967</x:v>
      </x:c>
      <x:c r="AB136" s="16" t="n">
        <x:v>50</x:v>
      </x:c>
      <x:c r="AC136" s="16" t="n">
        <x:v>53.333333333333336</x:v>
      </x:c>
      <x:c r="AD136" s="16" t="n">
        <x:v>99.8170731707317</x:v>
      </x:c>
      <x:c r="AE136" s="16" t="n">
        <x:v>78.69955479346721</x:v>
      </x:c>
      <x:c r="AF136" t="str">
        <x:v>검토</x:v>
      </x:c>
      <x:c r="AG136" t="str">
        <x:v>직장수요·서울 업종추세 강점 / 경쟁여건 상대적 약점</x:v>
      </x:c>
    </x:row>
    <x:row r="137">
      <x:c r="A137" t="str">
        <x:v>3120123</x:v>
      </x:c>
      <x:c r="B137" t="str">
        <x:v>오류동역</x:v>
      </x:c>
      <x:c r="C137" t="str">
        <x:v>발달상권</x:v>
      </x:c>
      <x:c r="D137" t="str">
        <x:v>구로구</x:v>
      </x:c>
      <x:c r="E137" t="str">
        <x:v>오류1동</x:v>
      </x:c>
      <x:c r="F137" t="str">
        <x:v>CS300020</x:v>
      </x:c>
      <x:c r="G137" t="str">
        <x:v>서적</x:v>
      </x:c>
      <x:c r="H137" t="n">
        <x:v>316720679</x:v>
      </x:c>
      <x:c r="I137" t="n">
        <x:v>2077</x:v>
      </x:c>
      <x:c r="J137" t="n">
        <x:v>152489.49398170438</x:v>
      </x:c>
      <x:c r="K137" s="14" t="n">
        <x:v>0.30135046398954946</x:v>
      </x:c>
      <x:c r="L137" s="14" t="n">
        <x:v>0.20039418624921757</x:v>
      </x:c>
      <x:c r="M137" s="14" t="n">
        <x:v>-0.01061516125540185</x:v>
      </x:c>
      <x:c r="N137" t="n">
        <x:v>9</x:v>
      </x:c>
      <x:c r="O137" t="n">
        <x:v>0</x:v>
      </x:c>
      <x:c r="P137" s="14" t="n">
        <x:v>0</x:v>
      </x:c>
      <x:c r="Q137" s="14" t="n">
        <x:v>0</x:v>
      </x:c>
      <x:c r="R137" s="14" t="n">
        <x:v>0.125</x:v>
      </x:c>
      <x:c r="S137" t="n">
        <x:v>2184</x:v>
      </x:c>
      <x:c r="T137" t="n">
        <x:v>104.17908881458125</x:v>
      </x:c>
      <x:c r="U137" s="14" t="n">
        <x:v>0.9923481314587609</x:v>
      </x:c>
      <x:c r="V137" s="14" t="n">
        <x:v>0.030144188974790622</x:v>
      </x:c>
      <x:c r="W137" s="14" t="n">
        <x:v>0.03001145056272123</x:v>
      </x:c>
      <x:c r="X137" s="14" t="n">
        <x:v>0.047933475793034655</x:v>
      </x:c>
      <x:c r="Y137" s="16" t="n">
        <x:v>71.81208053691275</x:v>
      </x:c>
      <x:c r="Z137" s="16" t="n">
        <x:v>92.85714285714286</x:v>
      </x:c>
      <x:c r="AA137" s="16" t="n">
        <x:v>96.72131147540983</x:v>
      </x:c>
      <x:c r="AB137" s="16" t="n">
        <x:v>76.84563758389262</x:v>
      </x:c>
      <x:c r="AC137" s="16" t="n">
        <x:v>59.395973154362416</x:v>
      </x:c>
      <x:c r="AD137" s="16" t="n">
        <x:v>60.18292682926829</x:v>
      </x:c>
      <x:c r="AE137" s="16" t="n">
        <x:v>78.68944277514306</x:v>
      </x:c>
      <x:c r="AF137" t="str">
        <x:v>검토</x:v>
      </x:c>
      <x:c r="AG137" t="str">
        <x:v>서울 업종추세·상권 모멘텀 강점 / 안정성 상대적 약점</x:v>
      </x:c>
    </x:row>
    <x:row r="138">
      <x:c r="A138" t="str">
        <x:v>3110532</x:v>
      </x:c>
      <x:c r="B138" t="str">
        <x:v>아현역 2번</x:v>
      </x:c>
      <x:c r="C138" t="str">
        <x:v>골목상권</x:v>
      </x:c>
      <x:c r="D138" t="str">
        <x:v>서대문구</x:v>
      </x:c>
      <x:c r="E138" t="str">
        <x:v>북아현동</x:v>
      </x:c>
      <x:c r="F138" t="str">
        <x:v>CS300032</x:v>
      </x:c>
      <x:c r="G138" t="str">
        <x:v>가전제품</x:v>
      </x:c>
      <x:c r="H138" t="n">
        <x:v>233974181</x:v>
      </x:c>
      <x:c r="I138" t="n">
        <x:v>598</x:v>
      </x:c>
      <x:c r="J138" t="n">
        <x:v>391261.17224080267</x:v>
      </x:c>
      <x:c r="K138" s="14" t="n">
        <x:v>3.035126344263234</x:v>
      </x:c>
      <x:c r="L138" s="14" t="n">
        <x:v>0.08324168862116821</x:v>
      </x:c>
      <x:c r="M138" s="14" t="n">
        <x:v>-0.006486947916917396</x:v>
      </x:c>
      <x:c r="N138" t="n">
        <x:v>3</x:v>
      </x:c>
      <x:c r="O138" t="n">
        <x:v>0</x:v>
      </x:c>
      <x:c r="P138" s="14" t="n">
        <x:v>0</x:v>
      </x:c>
      <x:c r="Q138" s="14" t="n">
        <x:v>0</x:v>
      </x:c>
      <x:c r="R138" s="14" t="n">
        <x:v>0</x:v>
      </x:c>
      <x:c r="S138" t="n">
        <x:v>426</x:v>
      </x:c>
      <x:c r="T138" t="n">
        <x:v>69.66248037676608</x:v>
      </x:c>
      <x:c r="U138" s="14" t="n">
        <x:v>0.05276202676397017</x:v>
      </x:c>
      <x:c r="V138" s="14" t="n">
        <x:v>0.010543317170538573</x:v>
      </x:c>
      <x:c r="W138" s="14" t="n">
        <x:v>0.9411829418904986</x:v>
      </x:c>
      <x:c r="X138" s="14" t="n">
        <x:v>0.9618684465017958</x:v>
      </x:c>
      <x:c r="Y138" s="16" t="n">
        <x:v>67.27272727272727</x:v>
      </x:c>
      <x:c r="Z138" s="16" t="n">
        <x:v>97.95918367346938</x:v>
      </x:c>
      <x:c r="AA138" s="16" t="n">
        <x:v>85.24590163934427</x:v>
      </x:c>
      <x:c r="AB138" s="16" t="n">
        <x:v>96.36363636363636</x:v>
      </x:c>
      <x:c r="AC138" s="16" t="n">
        <x:v>59.09090909090909</x:v>
      </x:c>
      <x:c r="AD138" s="16" t="n">
        <x:v>47.5</x:v>
      </x:c>
      <x:c r="AE138" s="16" t="n">
        <x:v>78.66281288968642</x:v>
      </x:c>
      <x:c r="AF138" t="str">
        <x:v>검토</x:v>
      </x:c>
      <x:c r="AG138" t="str">
        <x:v>상권 모멘텀·경쟁여건 강점 / 직장수요 상대적 약점</x:v>
      </x:c>
    </x:row>
    <x:row r="139">
      <x:c r="A139" t="str">
        <x:v>3110583</x:v>
      </x:c>
      <x:c r="B139" t="str">
        <x:v>공덕래미안3차아파트</x:v>
      </x:c>
      <x:c r="C139" t="str">
        <x:v>골목상권</x:v>
      </x:c>
      <x:c r="D139" t="str">
        <x:v>마포구</x:v>
      </x:c>
      <x:c r="E139" t="str">
        <x:v>아현동</x:v>
      </x:c>
      <x:c r="F139" t="str">
        <x:v>CS200003</x:v>
      </x:c>
      <x:c r="G139" t="str">
        <x:v>예술학원</x:v>
      </x:c>
      <x:c r="H139" t="n">
        <x:v>254931514</x:v>
      </x:c>
      <x:c r="I139" t="n">
        <x:v>1552</x:v>
      </x:c>
      <x:c r="J139" t="n">
        <x:v>164259.99613402062</x:v>
      </x:c>
      <x:c r="K139" s="14" t="n">
        <x:v>0.27522695749643855</x:v>
      </x:c>
      <x:c r="L139" s="14" t="n">
        <x:v>0.09364146198394163</x:v>
      </x:c>
      <x:c r="M139" s="14" t="n">
        <x:v>0.053788091189524545</x:v>
      </x:c>
      <x:c r="N139" t="n">
        <x:v>32</x:v>
      </x:c>
      <x:c r="O139" t="n">
        <x:v>0</x:v>
      </x:c>
      <x:c r="P139" s="14" t="n">
        <x:v>0</x:v>
      </x:c>
      <x:c r="Q139" s="14" t="n">
        <x:v>0.03125</x:v>
      </x:c>
      <x:c r="R139" s="14" t="n">
        <x:v>0.3913043478260869</x:v>
      </x:c>
      <x:c r="S139" t="n">
        <x:v>493</x:v>
      </x:c>
      <x:c r="T139" t="n">
        <x:v>618.4144505770196</x:v>
      </x:c>
      <x:c r="U139" s="14" t="n">
        <x:v>0.8562167092452917</x:v>
      </x:c>
      <x:c r="V139" s="14" t="n">
        <x:v>0.27810850407454923</x:v>
      </x:c>
      <x:c r="W139" s="14" t="n">
        <x:v>0.1992703695314813</x:v>
      </x:c>
      <x:c r="X139" s="14" t="n">
        <x:v>0.7706244430808189</x:v>
      </x:c>
      <x:c r="Y139" s="16" t="n">
        <x:v>83.06772908366534</x:v>
      </x:c>
      <x:c r="Z139" s="16" t="n">
        <x:v>88.34355828220859</x:v>
      </x:c>
      <x:c r="AA139" s="16" t="n">
        <x:v>88.52459016393442</x:v>
      </x:c>
      <x:c r="AB139" s="16" t="n">
        <x:v>44.42231075697211</x:v>
      </x:c>
      <x:c r="AC139" s="16" t="n">
        <x:v>73.20717131474103</x:v>
      </x:c>
      <x:c r="AD139" s="16" t="n">
        <x:v>92.98780487804878</x:v>
      </x:c>
      <x:c r="AE139" s="16" t="n">
        <x:v>78.6545593492371</x:v>
      </x:c>
      <x:c r="AF139" t="str">
        <x:v>검토</x:v>
      </x:c>
      <x:c r="AG139" t="str">
        <x:v>직장수요·서울 업종추세 강점 / 경쟁여건 상대적 약점</x:v>
      </x:c>
    </x:row>
    <x:row r="140">
      <x:c r="A140" t="str">
        <x:v>3120076</x:v>
      </x:c>
      <x:c r="B140" t="str">
        <x:v>수유역</x:v>
      </x:c>
      <x:c r="C140" t="str">
        <x:v>발달상권</x:v>
      </x:c>
      <x:c r="D140" t="str">
        <x:v>강북구</x:v>
      </x:c>
      <x:c r="E140" t="str">
        <x:v>수유3동</x:v>
      </x:c>
      <x:c r="F140" t="str">
        <x:v>CS300017</x:v>
      </x:c>
      <x:c r="G140" t="str">
        <x:v>시계및귀금속</x:v>
      </x:c>
      <x:c r="H140" t="n">
        <x:v>9062848985</x:v>
      </x:c>
      <x:c r="I140" t="n">
        <x:v>4810</x:v>
      </x:c>
      <x:c r="J140" t="n">
        <x:v>1884168.188149688</x:v>
      </x:c>
      <x:c r="K140" s="14" t="n">
        <x:v>0.280143262076753</x:v>
      </x:c>
      <x:c r="L140" s="14" t="n">
        <x:v>0.09182238369060247</x:v>
      </x:c>
      <x:c r="M140" s="14" t="n">
        <x:v>0.00817160170707898</x:v>
      </x:c>
      <x:c r="N140" t="n">
        <x:v>11</x:v>
      </x:c>
      <x:c r="O140" t="n">
        <x:v>0</x:v>
      </x:c>
      <x:c r="P140" s="14" t="n">
        <x:v>0</x:v>
      </x:c>
      <x:c r="Q140" s="14" t="n">
        <x:v>0.18181818181818182</x:v>
      </x:c>
      <x:c r="R140" s="14" t="n">
        <x:v>0</x:v>
      </x:c>
      <x:c r="S140" t="n">
        <x:v>3443</x:v>
      </x:c>
      <x:c r="T140" t="n">
        <x:v>115.79375729386324</x:v>
      </x:c>
      <x:c r="U140" s="14" t="n">
        <x:v>0.8718224722796702</x:v>
      </x:c>
      <x:c r="V140" s="14" t="n">
        <x:v>0.2691692624513041</x:v>
      </x:c>
      <x:c r="W140" s="14" t="n">
        <x:v>0.077457543114959</x:v>
      </x:c>
      <x:c r="X140" s="14" t="n">
        <x:v>0.4378700515222146</x:v>
      </x:c>
      <x:c r="Y140" s="16" t="n">
        <x:v>95.53072625698324</x:v>
      </x:c>
      <x:c r="Z140" s="16" t="n">
        <x:v>80.11695906432749</x:v>
      </x:c>
      <x:c r="AA140" s="16" t="n">
        <x:v>86.88524590163935</x:v>
      </x:c>
      <x:c r="AB140" s="16" t="n">
        <x:v>45.2247191011236</x:v>
      </x:c>
      <x:c r="AC140" s="16" t="n">
        <x:v>61.79775280898876</x:v>
      </x:c>
      <x:c r="AD140" s="16" t="n">
        <x:v>62.86585365853659</x:v>
      </x:c>
      <x:c r="AE140" s="16" t="n">
        <x:v>78.59870871704979</x:v>
      </x:c>
      <x:c r="AF140" t="str">
        <x:v>검토</x:v>
      </x:c>
      <x:c r="AG140" t="str">
        <x:v>수요·서울 업종추세 강점 / 경쟁여건 상대적 약점</x:v>
      </x:c>
    </x:row>
    <x:row r="141">
      <x:c r="A141" t="str">
        <x:v>3110912</x:v>
      </x:c>
      <x:c r="B141" t="str">
        <x:v>방배동사이길</x:v>
      </x:c>
      <x:c r="C141" t="str">
        <x:v>골목상권</x:v>
      </x:c>
      <x:c r="D141" t="str">
        <x:v>서초구</x:v>
      </x:c>
      <x:c r="E141" t="str">
        <x:v>방배본동</x:v>
      </x:c>
      <x:c r="F141" t="str">
        <x:v>CS300027</x:v>
      </x:c>
      <x:c r="G141" t="str">
        <x:v>섬유제품</x:v>
      </x:c>
      <x:c r="H141" t="n">
        <x:v>455624252</x:v>
      </x:c>
      <x:c r="I141" t="n">
        <x:v>3118</x:v>
      </x:c>
      <x:c r="J141" t="n">
        <x:v>146127.08531109686</x:v>
      </x:c>
      <x:c r="K141" s="14" t="n">
        <x:v>0.48464813421063346</x:v>
      </x:c>
      <x:c r="L141" s="14" t="n">
        <x:v>0.005461786773685251</x:v>
      </x:c>
      <x:c r="M141" s="14" t="n">
        <x:v>-0.12689174640480594</x:v>
      </x:c>
      <x:c r="N141" t="n">
        <x:v>8</x:v>
      </x:c>
      <x:c r="O141" t="n">
        <x:v>0</x:v>
      </x:c>
      <x:c r="P141" s="14" t="n">
        <x:v>0</x:v>
      </x:c>
      <x:c r="Q141" s="14" t="n">
        <x:v>0</x:v>
      </x:c>
      <x:c r="R141" s="14" t="n">
        <x:v>0.1428571428571428</x:v>
      </x:c>
      <x:c r="S141" t="n">
        <x:v>2199</x:v>
      </x:c>
      <x:c r="T141" t="n">
        <x:v>830.5007931112622</x:v>
      </x:c>
      <x:c r="U141" s="14" t="n">
        <x:v>1</x:v>
      </x:c>
      <x:c r="V141" s="14" t="n">
        <x:v>0</x:v>
      </x:c>
      <x:c r="W141" s="14" t="n">
        <x:v>0.15235092665787245</x:v>
      </x:c>
      <x:c r="X141" s="14" t="n">
        <x:v>0.5496080946103808</x:v>
      </x:c>
      <x:c r="Y141" s="16" t="n">
        <x:v>88.3495145631068</x:v>
      </x:c>
      <x:c r="Z141" s="16" t="n">
        <x:v>95.40229885057471</x:v>
      </x:c>
      <x:c r="AA141" s="16" t="n">
        <x:v>47.540983606557376</x:v>
      </x:c>
      <x:c r="AB141" s="16" t="n">
        <x:v>70.87378640776699</x:v>
      </x:c>
      <x:c r="AC141" s="16" t="n">
        <x:v>60.679611650485434</x:v>
      </x:c>
      <x:c r="AD141" s="16" t="n">
        <x:v>95.3048780487805</x:v>
      </x:c>
      <x:c r="AE141" s="16" t="n">
        <x:v>78.59821043683854</x:v>
      </x:c>
      <x:c r="AF141" t="str">
        <x:v>검토</x:v>
      </x:c>
      <x:c r="AG141" t="str">
        <x:v>상권 모멘텀·직장수요 강점 / 서울 업종추세 상대적 약점</x:v>
      </x:c>
    </x:row>
    <x:row r="142">
      <x:c r="A142" t="str">
        <x:v>3120058</x:v>
      </x:c>
      <x:c r="B142" t="str">
        <x:v>구의사거리</x:v>
      </x:c>
      <x:c r="C142" t="str">
        <x:v>발달상권</x:v>
      </x:c>
      <x:c r="D142" t="str">
        <x:v>광진구</x:v>
      </x:c>
      <x:c r="E142" t="str">
        <x:v>구의1동</x:v>
      </x:c>
      <x:c r="F142" t="str">
        <x:v>CS300036</x:v>
      </x:c>
      <x:c r="G142" t="str">
        <x:v>조명용품</x:v>
      </x:c>
      <x:c r="H142" t="n">
        <x:v>5817170388</x:v>
      </x:c>
      <x:c r="I142" t="n">
        <x:v>71488</x:v>
      </x:c>
      <x:c r="J142" t="n">
        <x:v>81372.68335944494</x:v>
      </x:c>
      <x:c r="K142" s="14" t="n">
        <x:v>0.12692336211072752</x:v>
      </x:c>
      <x:c r="L142" s="14" t="n">
        <x:v>0.025028299232514595</x:v>
      </x:c>
      <x:c r="M142" s="14" t="n">
        <x:v>-0.03086161384017172</x:v>
      </x:c>
      <x:c r="N142" t="n">
        <x:v>7</x:v>
      </x:c>
      <x:c r="O142" t="n">
        <x:v>0</x:v>
      </x:c>
      <x:c r="P142" s="14" t="n">
        <x:v>0</x:v>
      </x:c>
      <x:c r="Q142" s="14" t="n">
        <x:v>0</x:v>
      </x:c>
      <x:c r="R142" s="14" t="n">
        <x:v>-0.2222222222222222</x:v>
      </x:c>
      <x:c r="S142" t="n">
        <x:v>1201</x:v>
      </x:c>
      <x:c r="T142" t="n">
        <x:v>129.61783783200406</x:v>
      </x:c>
      <x:c r="U142" s="14" t="n">
        <x:v>0.8608932345063708</x:v>
      </x:c>
      <x:c r="V142" s="14" t="n">
        <x:v>0.08249011013840704</x:v>
      </x:c>
      <x:c r="W142" s="14" t="n">
        <x:v>0.17604711632868197</x:v>
      </x:c>
      <x:c r="X142" s="14" t="n">
        <x:v>0.13361981550401855</x:v>
      </x:c>
      <x:c r="Y142" s="16" t="n">
        <x:v>91.55844155844156</x:v>
      </x:c>
      <x:c r="Z142" s="16" t="n">
        <x:v>67.78523489932886</x:v>
      </x:c>
      <x:c r="AA142" s="16" t="n">
        <x:v>67.21311475409836</x:v>
      </x:c>
      <x:c r="AB142" s="16" t="n">
        <x:v>91.55844155844156</x:v>
      </x:c>
      <x:c r="AC142" s="16" t="n">
        <x:v>58.44155844155844</x:v>
      </x:c>
      <x:c r="AD142" s="16" t="n">
        <x:v>66.03658536585365</x:v>
      </x:c>
      <x:c r="AE142" s="16" t="n">
        <x:v>78.56422008464983</x:v>
      </x:c>
      <x:c r="AF142" t="str">
        <x:v>검토</x:v>
      </x:c>
      <x:c r="AG142" t="str">
        <x:v>수요·경쟁여건 강점 / 안정성 상대적 약점</x:v>
      </x:c>
    </x:row>
    <x:row r="143">
      <x:c r="A143" t="str">
        <x:v>3120079</x:v>
      </x:c>
      <x:c r="B143" t="str">
        <x:v>창동역</x:v>
      </x:c>
      <x:c r="C143" t="str">
        <x:v>발달상권</x:v>
      </x:c>
      <x:c r="D143" t="str">
        <x:v>도봉구</x:v>
      </x:c>
      <x:c r="E143" t="str">
        <x:v>창5동</x:v>
      </x:c>
      <x:c r="F143" t="str">
        <x:v>CS300017</x:v>
      </x:c>
      <x:c r="G143" t="str">
        <x:v>시계및귀금속</x:v>
      </x:c>
      <x:c r="H143" t="n">
        <x:v>149717739</x:v>
      </x:c>
      <x:c r="I143" t="n">
        <x:v>400</x:v>
      </x:c>
      <x:c r="J143" t="n">
        <x:v>374294.3475</x:v>
      </x:c>
      <x:c r="K143" s="14" t="n">
        <x:v>0.666363930601338</x:v>
      </x:c>
      <x:c r="L143" s="14" t="n">
        <x:v>0.09182238369060247</x:v>
      </x:c>
      <x:c r="M143" s="14" t="n">
        <x:v>0.00817160170707898</x:v>
      </x:c>
      <x:c r="N143" t="n">
        <x:v>4</x:v>
      </x:c>
      <x:c r="O143" t="n">
        <x:v>0</x:v>
      </x:c>
      <x:c r="P143" s="14" t="n">
        <x:v>0</x:v>
      </x:c>
      <x:c r="Q143" s="14" t="n">
        <x:v>0</x:v>
      </x:c>
      <x:c r="R143" s="14" t="n">
        <x:v>0</x:v>
      </x:c>
      <x:c r="S143" t="n">
        <x:v>3247</x:v>
      </x:c>
      <x:c r="T143" t="n">
        <x:v>337.8877592432646</x:v>
      </x:c>
      <x:c r="U143" s="14" t="n">
        <x:v>0.8261514622525792</x:v>
      </x:c>
      <x:c r="V143" s="14" t="n">
        <x:v>0.33374302426514735</x:v>
      </x:c>
      <x:c r="W143" s="14" t="n">
        <x:v>0.09630425957741721</x:v>
      </x:c>
      <x:c r="X143" s="14" t="n">
        <x:v>0.9929162435454626</x:v>
      </x:c>
      <x:c r="Y143" s="16" t="n">
        <x:v>65.36312849162012</x:v>
      </x:c>
      <x:c r="Z143" s="16" t="n">
        <x:v>91.2280701754386</x:v>
      </x:c>
      <x:c r="AA143" s="16" t="n">
        <x:v>86.88524590163935</x:v>
      </x:c>
      <x:c r="AB143" s="16" t="n">
        <x:v>92.69662921348315</x:v>
      </x:c>
      <x:c r="AC143" s="16" t="n">
        <x:v>61.79775280898876</x:v>
      </x:c>
      <x:c r="AD143" s="16" t="n">
        <x:v>85.48780487804878</x:v>
      </x:c>
      <x:c r="AE143" s="16" t="n">
        <x:v>78.51415579922447</x:v>
      </x:c>
      <x:c r="AF143" t="str">
        <x:v>검토</x:v>
      </x:c>
      <x:c r="AG143" t="str">
        <x:v>경쟁여건·상권 모멘텀 강점 / 안정성 상대적 약점</x:v>
      </x:c>
    </x:row>
    <x:row r="144">
      <x:c r="A144" t="str">
        <x:v>3120055</x:v>
      </x:c>
      <x:c r="B144" t="str">
        <x:v>군자역</x:v>
      </x:c>
      <x:c r="C144" t="str">
        <x:v>발달상권</x:v>
      </x:c>
      <x:c r="D144" t="str">
        <x:v>광진구</x:v>
      </x:c>
      <x:c r="E144" t="str">
        <x:v>군자동</x:v>
      </x:c>
      <x:c r="F144" t="str">
        <x:v>CS200006</x:v>
      </x:c>
      <x:c r="G144" t="str">
        <x:v>일반의원</x:v>
      </x:c>
      <x:c r="H144" t="n">
        <x:v>7819996282</x:v>
      </x:c>
      <x:c r="I144" t="n">
        <x:v>201861</x:v>
      </x:c>
      <x:c r="J144" t="n">
        <x:v>38739.51026696588</x:v>
      </x:c>
      <x:c r="K144" s="14" t="n">
        <x:v>0.06920611354377937</x:v>
      </x:c>
      <x:c r="L144" s="14" t="n">
        <x:v>0.09973642051122278</x:v>
      </x:c>
      <x:c r="M144" s="14" t="n">
        <x:v>0.06942273842247415</x:v>
      </x:c>
      <x:c r="N144" t="n">
        <x:v>21</x:v>
      </x:c>
      <x:c r="O144" t="n">
        <x:v>0</x:v>
      </x:c>
      <x:c r="P144" s="14" t="n">
        <x:v>0</x:v>
      </x:c>
      <x:c r="Q144" s="14" t="n">
        <x:v>0</x:v>
      </x:c>
      <x:c r="R144" s="14" t="n">
        <x:v>0.5</x:v>
      </x:c>
      <x:c r="S144" t="n">
        <x:v>3475</x:v>
      </x:c>
      <x:c r="T144" t="n">
        <x:v>120.37008171310008</x:v>
      </x:c>
      <x:c r="U144" s="14" t="n">
        <x:v>0.8325089197273866</x:v>
      </x:c>
      <x:c r="V144" s="14" t="n">
        <x:v>0.15742408904127406</x:v>
      </x:c>
      <x:c r="W144" s="14" t="n">
        <x:v>0.3390950011195926</x:v>
      </x:c>
      <x:c r="X144" s="14" t="n">
        <x:v>0.5804386846638145</x:v>
      </x:c>
      <x:c r="Y144" s="16" t="n">
        <x:v>89.94197292069633</x:v>
      </x:c>
      <x:c r="Z144" s="16" t="n">
        <x:v>72.67441860465117</x:v>
      </x:c>
      <x:c r="AA144" s="16" t="n">
        <x:v>90.1639344262295</x:v>
      </x:c>
      <x:c r="AB144" s="16" t="n">
        <x:v>63.372093023255815</x:v>
      </x:c>
      <x:c r="AC144" s="16" t="n">
        <x:v>62.5</x:v>
      </x:c>
      <x:c r="AD144" s="16" t="n">
        <x:v>63.90243902439025</x:v>
      </x:c>
      <x:c r="AE144" s="16" t="n">
        <x:v>78.49010031181626</x:v>
      </x:c>
      <x:c r="AF144" t="str">
        <x:v>검토</x:v>
      </x:c>
      <x:c r="AG144" t="str">
        <x:v>서울 업종추세·수요 강점 / 안정성 상대적 약점</x:v>
      </x:c>
    </x:row>
    <x:row r="145">
      <x:c r="A145" t="str">
        <x:v>3120042</x:v>
      </x:c>
      <x:c r="B145" t="str">
        <x:v>숙대입구역(남영역, 남영동)</x:v>
      </x:c>
      <x:c r="C145" t="str">
        <x:v>발달상권</x:v>
      </x:c>
      <x:c r="D145" t="str">
        <x:v>용산구</x:v>
      </x:c>
      <x:c r="E145" t="str">
        <x:v>남영동</x:v>
      </x:c>
      <x:c r="F145" t="str">
        <x:v>CS300033</x:v>
      </x:c>
      <x:c r="G145" t="str">
        <x:v>철물점</x:v>
      </x:c>
      <x:c r="H145" t="n">
        <x:v>545740141</x:v>
      </x:c>
      <x:c r="I145" t="n">
        <x:v>1520</x:v>
      </x:c>
      <x:c r="J145" t="n">
        <x:v>359039.5664473684</x:v>
      </x:c>
      <x:c r="K145" s="14" t="n">
        <x:v>0.06907898236923793</x:v>
      </x:c>
      <x:c r="L145" s="14" t="n">
        <x:v>0.018800721364975237</x:v>
      </x:c>
      <x:c r="M145" s="14" t="n">
        <x:v>-0.020555839555512545</x:v>
      </x:c>
      <x:c r="N145" t="n">
        <x:v>1</x:v>
      </x:c>
      <x:c r="O145" t="n">
        <x:v>0</x:v>
      </x:c>
      <x:c r="P145" s="14" t="n">
        <x:v>0</x:v>
      </x:c>
      <x:c r="Q145" s="14" t="n">
        <x:v>0</x:v>
      </x:c>
      <x:c r="R145" s="14" t="n">
        <x:v>0</x:v>
      </x:c>
      <x:c r="S145" t="n">
        <x:v>5031</x:v>
      </x:c>
      <x:c r="T145" t="n">
        <x:v>577.254056038736</x:v>
      </x:c>
      <x:c r="U145" s="14" t="n">
        <x:v>0.8964466148734329</x:v>
      </x:c>
      <x:c r="V145" s="14" t="n">
        <x:v>0.1937913011240271</x:v>
      </x:c>
      <x:c r="W145" s="14" t="n">
        <x:v>0.0066670466888012914</x:v>
      </x:c>
      <x:c r="X145" s="14" t="n">
        <x:v>0.4849535522804799</x:v>
      </x:c>
      <x:c r="Y145" s="16" t="n">
        <x:v>94.18604651162791</x:v>
      </x:c>
      <x:c r="Z145" s="16" t="n">
        <x:v>61.96319018404908</x:v>
      </x:c>
      <x:c r="AA145" s="16" t="n">
        <x:v>54.09836065573771</x:v>
      </x:c>
      <x:c r="AB145" s="16" t="n">
        <x:v>99.70930232558139</x:v>
      </x:c>
      <x:c r="AC145" s="16" t="n">
        <x:v>54.651162790697676</x:v>
      </x:c>
      <x:c r="AD145" s="16" t="n">
        <x:v>91.76829268292683</x:v>
      </x:c>
      <x:c r="AE145" s="16" t="n">
        <x:v>78.48243467629356</x:v>
      </x:c>
      <x:c r="AF145" t="str">
        <x:v>검토</x:v>
      </x:c>
      <x:c r="AG145" t="str">
        <x:v>경쟁여건·수요 강점 / 서울 업종추세 상대적 약점</x:v>
      </x:c>
    </x:row>
    <x:row r="146">
      <x:c r="A146" t="str">
        <x:v>3110128</x:v>
      </x:c>
      <x:c r="B146" t="str">
        <x:v>성원중학교</x:v>
      </x:c>
      <x:c r="C146" t="str">
        <x:v>골목상권</x:v>
      </x:c>
      <x:c r="D146" t="str">
        <x:v>성동구</x:v>
      </x:c>
      <x:c r="E146" t="str">
        <x:v>성수1가1동</x:v>
      </x:c>
      <x:c r="F146" t="str">
        <x:v>CS300007</x:v>
      </x:c>
      <x:c r="G146" t="str">
        <x:v>육류판매</x:v>
      </x:c>
      <x:c r="H146" t="n">
        <x:v>1047008815</x:v>
      </x:c>
      <x:c r="I146" t="n">
        <x:v>13033</x:v>
      </x:c>
      <x:c r="J146" t="n">
        <x:v>80335.211770122</x:v>
      </x:c>
      <x:c r="K146" s="14" t="n">
        <x:v>0.08413980121556719</x:v>
      </x:c>
      <x:c r="L146" s="14" t="n">
        <x:v>0.23518223683931017</x:v>
      </x:c>
      <x:c r="M146" s="14" t="n">
        <x:v>0.00863079289162072</x:v>
      </x:c>
      <x:c r="N146" t="n">
        <x:v>6</x:v>
      </x:c>
      <x:c r="O146" t="n">
        <x:v>0</x:v>
      </x:c>
      <x:c r="P146" s="14" t="n">
        <x:v>0</x:v>
      </x:c>
      <x:c r="Q146" s="14" t="n">
        <x:v>0</x:v>
      </x:c>
      <x:c r="R146" s="14" t="n">
        <x:v>0</x:v>
      </x:c>
      <x:c r="S146" t="n">
        <x:v>1406</x:v>
      </x:c>
      <x:c r="T146" t="n">
        <x:v>56.84482898035093</x:v>
      </x:c>
      <x:c r="U146" s="14" t="n">
        <x:v>0.8614348065445848</x:v>
      </x:c>
      <x:c r="V146" s="14" t="n">
        <x:v>0.22033361104032348</x:v>
      </x:c>
      <x:c r="W146" s="14" t="n">
        <x:v>0.037833202006040415</x:v>
      </x:c>
      <x:c r="X146" s="14" t="n">
        <x:v>0.31195152831640677</x:v>
      </x:c>
      <x:c r="Y146" s="16" t="n">
        <x:v>71.2871287128713</x:v>
      </x:c>
      <x:c r="Z146" s="16" t="n">
        <x:v>78.44155844155844</x:v>
      </x:c>
      <x:c r="AA146" s="16" t="n">
        <x:v>100</x:v>
      </x:c>
      <x:c r="AB146" s="16" t="n">
        <x:v>94.18316831683168</x:v>
      </x:c>
      <x:c r="AC146" s="16" t="n">
        <x:v>66.83168316831683</x:v>
      </x:c>
      <x:c r="AD146" s="16" t="n">
        <x:v>40.548780487804876</x:v>
      </x:c>
      <x:c r="AE146" s="16" t="n">
        <x:v>78.47688932656332</x:v>
      </x:c>
      <x:c r="AF146" t="str">
        <x:v>검토</x:v>
      </x:c>
      <x:c r="AG146" t="str">
        <x:v>서울 업종추세·경쟁여건 강점 / 직장수요 상대적 약점</x:v>
      </x:c>
    </x:row>
    <x:row r="147">
      <x:c r="A147" t="str">
        <x:v>3110098</x:v>
      </x:c>
      <x:c r="B147" t="str">
        <x:v>서울독일학교</x:v>
      </x:c>
      <x:c r="C147" t="str">
        <x:v>골목상권</x:v>
      </x:c>
      <x:c r="D147" t="str">
        <x:v>용산구</x:v>
      </x:c>
      <x:c r="E147" t="str">
        <x:v>한남동</x:v>
      </x:c>
      <x:c r="F147" t="str">
        <x:v>CS200028</x:v>
      </x:c>
      <x:c r="G147" t="str">
        <x:v>미용실</x:v>
      </x:c>
      <x:c r="H147" t="n">
        <x:v>565442346</x:v>
      </x:c>
      <x:c r="I147" t="n">
        <x:v>4271</x:v>
      </x:c>
      <x:c r="J147" t="n">
        <x:v>132391.0901428237</x:v>
      </x:c>
      <x:c r="K147" s="14" t="n">
        <x:v>0.0817774086362002</x:v>
      </x:c>
      <x:c r="L147" s="14" t="n">
        <x:v>0.02168887159425803</x:v>
      </x:c>
      <x:c r="M147" s="14" t="n">
        <x:v>-0.013481964371473865</x:v>
      </x:c>
      <x:c r="N147" t="n">
        <x:v>53</x:v>
      </x:c>
      <x:c r="O147" t="n">
        <x:v>0</x:v>
      </x:c>
      <x:c r="P147" s="14" t="n">
        <x:v>0</x:v>
      </x:c>
      <x:c r="Q147" s="14" t="n">
        <x:v>0.03773584905660377</x:v>
      </x:c>
      <x:c r="R147" s="14" t="n">
        <x:v>0.29268292682926833</x:v>
      </x:c>
      <x:c r="S147" t="n">
        <x:v>2490</x:v>
      </x:c>
      <x:c r="T147" t="n">
        <x:v>601.2459554739943</x:v>
      </x:c>
      <x:c r="U147" s="14" t="n">
        <x:v>0.6224007708117425</x:v>
      </x:c>
      <x:c r="V147" s="14" t="n">
        <x:v>0.26712063938699065</x:v>
      </x:c>
      <x:c r="W147" s="14" t="n">
        <x:v>0.5060768087574397</x:v>
      </x:c>
      <x:c r="X147" s="14" t="n">
        <x:v>0.7226519518578822</x:v>
      </x:c>
      <x:c r="Y147" s="16" t="n">
        <x:v>94.27036705461056</x:v>
      </x:c>
      <x:c r="Z147" s="16" t="n">
        <x:v>80.84532374100719</x:v>
      </x:c>
      <x:c r="AA147" s="16" t="n">
        <x:v>57.377049180327866</x:v>
      </x:c>
      <x:c r="AB147" s="16" t="n">
        <x:v>56.80393912264996</x:v>
      </x:c>
      <x:c r="AC147" s="16" t="n">
        <x:v>75.60429722470904</x:v>
      </x:c>
      <x:c r="AD147" s="16" t="n">
        <x:v>92.5</x:v>
      </x:c>
      <x:c r="AE147" s="16" t="n">
        <x:v>78.4762711852327</x:v>
      </x:c>
      <x:c r="AF147" t="str">
        <x:v>검토</x:v>
      </x:c>
      <x:c r="AG147" t="str">
        <x:v>수요·직장수요 강점 / 경쟁여건 상대적 약점</x:v>
      </x:c>
    </x:row>
    <x:row r="148">
      <x:c r="A148" t="str">
        <x:v>3120127</x:v>
      </x:c>
      <x:c r="B148" t="str">
        <x:v>구로구청</x:v>
      </x:c>
      <x:c r="C148" t="str">
        <x:v>발달상권</x:v>
      </x:c>
      <x:c r="D148" t="str">
        <x:v>구로구</x:v>
      </x:c>
      <x:c r="E148" t="str">
        <x:v>구로5동</x:v>
      </x:c>
      <x:c r="F148" t="str">
        <x:v>CS300018</x:v>
      </x:c>
      <x:c r="G148" t="str">
        <x:v>의약품</x:v>
      </x:c>
      <x:c r="H148" t="n">
        <x:v>7989635699</x:v>
      </x:c>
      <x:c r="I148" t="n">
        <x:v>209399</x:v>
      </x:c>
      <x:c r="J148" t="n">
        <x:v>38155.08048749039</x:v>
      </x:c>
      <x:c r="K148" s="14" t="n">
        <x:v>0.10203324442285</x:v>
      </x:c>
      <x:c r="L148" s="14" t="n">
        <x:v>0.027829225601598617</x:v>
      </x:c>
      <x:c r="M148" s="14" t="n">
        <x:v>0.02632929521123617</x:v>
      </x:c>
      <x:c r="N148" t="n">
        <x:v>33</x:v>
      </x:c>
      <x:c r="O148" t="n">
        <x:v>0</x:v>
      </x:c>
      <x:c r="P148" s="14" t="n">
        <x:v>0</x:v>
      </x:c>
      <x:c r="Q148" s="14" t="n">
        <x:v>0.030303030303030304</x:v>
      </x:c>
      <x:c r="R148" s="14" t="n">
        <x:v>-0.05714285714285716</x:v>
      </x:c>
      <x:c r="S148" t="n">
        <x:v>4193</x:v>
      </x:c>
      <x:c r="T148" t="n">
        <x:v>493.71813439777696</x:v>
      </x:c>
      <x:c r="U148" s="14" t="n">
        <x:v>0.8061112252973075</x:v>
      </x:c>
      <x:c r="V148" s="14" t="n">
        <x:v>0.09749898748168193</x:v>
      </x:c>
      <x:c r="W148" s="14" t="n">
        <x:v>0.14638518551557803</x:v>
      </x:c>
      <x:c r="X148" s="14" t="n">
        <x:v>0.2946253183101484</x:v>
      </x:c>
      <x:c r="Y148" s="16" t="n">
        <x:v>95.01718213058419</x:v>
      </x:c>
      <x:c r="Z148" s="16" t="n">
        <x:v>93.88111888111888</x:v>
      </x:c>
      <x:c r="AA148" s="16" t="n">
        <x:v>72.1311475409836</x:v>
      </x:c>
      <x:c r="AB148" s="16" t="n">
        <x:v>29.89690721649484</x:v>
      </x:c>
      <x:c r="AC148" s="16" t="n">
        <x:v>66.32302405498282</x:v>
      </x:c>
      <x:c r="AD148" s="16" t="n">
        <x:v>89.9390243902439</x:v>
      </x:c>
      <x:c r="AE148" s="16" t="n">
        <x:v>78.46569936056048</x:v>
      </x:c>
      <x:c r="AF148" t="str">
        <x:v>검토</x:v>
      </x:c>
      <x:c r="AG148" t="str">
        <x:v>수요·상권 모멘텀 강점 / 경쟁여건 상대적 약점</x:v>
      </x:c>
    </x:row>
    <x:row r="149">
      <x:c r="A149" t="str">
        <x:v>3120205</x:v>
      </x:c>
      <x:c r="B149" t="str">
        <x:v>매봉역</x:v>
      </x:c>
      <x:c r="C149" t="str">
        <x:v>발달상권</x:v>
      </x:c>
      <x:c r="D149" t="str">
        <x:v>강남구</x:v>
      </x:c>
      <x:c r="E149" t="str">
        <x:v>도곡2동</x:v>
      </x:c>
      <x:c r="F149" t="str">
        <x:v>CS200025</x:v>
      </x:c>
      <x:c r="G149" t="str">
        <x:v>자동차수리</x:v>
      </x:c>
      <x:c r="H149" t="n">
        <x:v>1242309277</x:v>
      </x:c>
      <x:c r="I149" t="n">
        <x:v>3478</x:v>
      </x:c>
      <x:c r="J149" t="n">
        <x:v>357190.70644048305</x:v>
      </x:c>
      <x:c r="K149" s="14" t="n">
        <x:v>0.1885888082029723</x:v>
      </x:c>
      <x:c r="L149" s="14" t="n">
        <x:v>0.02213950283587751</x:v>
      </x:c>
      <x:c r="M149" s="14" t="n">
        <x:v>0.024356161917000962</x:v>
      </x:c>
      <x:c r="N149" t="n">
        <x:v>14</x:v>
      </x:c>
      <x:c r="O149" t="n">
        <x:v>0</x:v>
      </x:c>
      <x:c r="P149" s="14" t="n">
        <x:v>0</x:v>
      </x:c>
      <x:c r="Q149" s="14" t="n">
        <x:v>0</x:v>
      </x:c>
      <x:c r="R149" s="14" t="n">
        <x:v>0</x:v>
      </x:c>
      <x:c r="S149" t="n">
        <x:v>67744</x:v>
      </x:c>
      <x:c r="T149" t="n">
        <x:v>5532.696846696013</x:v>
      </x:c>
      <x:c r="U149" s="14" t="n">
        <x:v>0.875940655154586</x:v>
      </x:c>
      <x:c r="V149" s="14" t="n">
        <x:v>0.2328979943695615</x:v>
      </x:c>
      <x:c r="W149" s="14" t="n">
        <x:v>0.053938765684674185</x:v>
      </x:c>
      <x:c r="X149" s="14" t="n">
        <x:v>0.2821366140373755</x:v>
      </x:c>
      <x:c r="Y149" s="16" t="n">
        <x:v>92.22520107238606</x:v>
      </x:c>
      <x:c r="Z149" s="16" t="n">
        <x:v>85.24590163934427</x:v>
      </x:c>
      <x:c r="AA149" s="16" t="n">
        <x:v>59.01639344262295</x:v>
      </x:c>
      <x:c r="AB149" s="16" t="n">
        <x:v>63.844086021505376</x:v>
      </x:c>
      <x:c r="AC149" s="16" t="n">
        <x:v>56.98924731182796</x:v>
      </x:c>
      <x:c r="AD149" s="16" t="n">
        <x:v>100</x:v>
      </x:c>
      <x:c r="AE149" s="16" t="n">
        <x:v>78.45599735400602</x:v>
      </x:c>
      <x:c r="AF149" t="str">
        <x:v>검토</x:v>
      </x:c>
      <x:c r="AG149" t="str">
        <x:v>직장수요·수요 강점 / 안정성 상대적 약점</x:v>
      </x:c>
    </x:row>
    <x:row r="150">
      <x:c r="A150" t="str">
        <x:v>3130238</x:v>
      </x:c>
      <x:c r="B150" t="str">
        <x:v>은행나무시장</x:v>
      </x:c>
      <x:c r="C150" t="str">
        <x:v>전통시장</x:v>
      </x:c>
      <x:c r="D150" t="str">
        <x:v>금천구</x:v>
      </x:c>
      <x:c r="E150" t="str">
        <x:v>시흥5동</x:v>
      </x:c>
      <x:c r="F150" t="str">
        <x:v>CS300007</x:v>
      </x:c>
      <x:c r="G150" t="str">
        <x:v>육류판매</x:v>
      </x:c>
      <x:c r="H150" t="n">
        <x:v>1943203833</x:v>
      </x:c>
      <x:c r="I150" t="n">
        <x:v>50619</x:v>
      </x:c>
      <x:c r="J150" t="n">
        <x:v>38388.823030877735</x:v>
      </x:c>
      <x:c r="K150" s="14" t="n">
        <x:v>0.15708343063958763</x:v>
      </x:c>
      <x:c r="L150" s="14" t="n">
        <x:v>0.23518223683931017</x:v>
      </x:c>
      <x:c r="M150" s="14" t="n">
        <x:v>0.00863079289162072</x:v>
      </x:c>
      <x:c r="N150" t="n">
        <x:v>15</x:v>
      </x:c>
      <x:c r="O150" t="n">
        <x:v>0</x:v>
      </x:c>
      <x:c r="P150" s="14" t="n">
        <x:v>0</x:v>
      </x:c>
      <x:c r="Q150" s="14" t="n">
        <x:v>0</x:v>
      </x:c>
      <x:c r="R150" s="14" t="n">
        <x:v>-0.11764705882352944</x:v>
      </x:c>
      <x:c r="S150" t="n">
        <x:v>118</x:v>
      </x:c>
      <x:c r="T150" t="n">
        <x:v>32.313716898978555</x:v>
      </x:c>
      <x:c r="U150" s="14" t="n">
        <x:v>0.6335667309277071</x:v>
      </x:c>
      <x:c r="V150" s="14" t="n">
        <x:v>0.29912317695598123</x:v>
      </x:c>
      <x:c r="W150" s="14" t="n">
        <x:v>0.07182685708504363</x:v>
      </x:c>
      <x:c r="X150" s="14" t="n">
        <x:v>0.577865402965166</x:v>
      </x:c>
      <x:c r="Y150" s="16" t="n">
        <x:v>84.9009900990099</x:v>
      </x:c>
      <x:c r="Z150" s="16" t="n">
        <x:v>91.16883116883118</x:v>
      </x:c>
      <x:c r="AA150" s="16" t="n">
        <x:v>100</x:v>
      </x:c>
      <x:c r="AB150" s="16" t="n">
        <x:v>50.99009900990099</x:v>
      </x:c>
      <x:c r="AC150" s="16" t="n">
        <x:v>66.83168316831683</x:v>
      </x:c>
      <x:c r="AD150" s="16" t="n">
        <x:v>23.414634146341463</x:v>
      </x:c>
      <x:c r="AE150" s="16" t="n">
        <x:v>78.4515276440536</x:v>
      </x:c>
      <x:c r="AF150" t="str">
        <x:v>검토</x:v>
      </x:c>
      <x:c r="AG150" t="str">
        <x:v>서울 업종추세·상권 모멘텀 강점 / 직장수요 상대적 약점</x:v>
      </x:c>
    </x:row>
    <x:row r="151">
      <x:c r="A151" t="str">
        <x:v>3120080</x:v>
      </x:c>
      <x:c r="B151" t="str">
        <x:v>마들역</x:v>
      </x:c>
      <x:c r="C151" t="str">
        <x:v>발달상권</x:v>
      </x:c>
      <x:c r="D151" t="str">
        <x:v>노원구</x:v>
      </x:c>
      <x:c r="E151" t="str">
        <x:v>상계9동</x:v>
      </x:c>
      <x:c r="F151" t="str">
        <x:v>CS300016</x:v>
      </x:c>
      <x:c r="G151" t="str">
        <x:v>안경</x:v>
      </x:c>
      <x:c r="H151" t="n">
        <x:v>1323291688</x:v>
      </x:c>
      <x:c r="I151" t="n">
        <x:v>9354</x:v>
      </x:c>
      <x:c r="J151" t="n">
        <x:v>141468.00171049818</x:v>
      </x:c>
      <x:c r="K151" s="14" t="n">
        <x:v>0.030769098983965737</x:v>
      </x:c>
      <x:c r="L151" s="14" t="n">
        <x:v>0.02313988190963734</x:v>
      </x:c>
      <x:c r="M151" s="14" t="n">
        <x:v>0.009707725123368816</x:v>
      </x:c>
      <x:c r="N151" t="n">
        <x:v>5</x:v>
      </x:c>
      <x:c r="O151" t="n">
        <x:v>0</x:v>
      </x:c>
      <x:c r="P151" s="14" t="n">
        <x:v>0</x:v>
      </x:c>
      <x:c r="Q151" s="14" t="n">
        <x:v>0.4</x:v>
      </x:c>
      <x:c r="R151" s="14" t="n">
        <x:v>-0.16666666666666663</x:v>
      </x:c>
      <x:c r="S151" t="n">
        <x:v>1635</x:v>
      </x:c>
      <x:c r="T151" t="n">
        <x:v>419.4889162561576</x:v>
      </x:c>
      <x:c r="U151" s="14" t="n">
        <x:v>0.720661604427761</x:v>
      </x:c>
      <x:c r="V151" s="14" t="n">
        <x:v>0.3798065895506479</x:v>
      </x:c>
      <x:c r="W151" s="14" t="n">
        <x:v>0.2168313166340995</x:v>
      </x:c>
      <x:c r="X151" s="14" t="n">
        <x:v>0.3966392615926414</x:v>
      </x:c>
      <x:c r="Y151" s="16" t="n">
        <x:v>93.71980676328502</x:v>
      </x:c>
      <x:c r="Z151" s="16" t="n">
        <x:v>65.85365853658537</x:v>
      </x:c>
      <x:c r="AA151" s="16" t="n">
        <x:v>62.295081967213115</x:v>
      </x:c>
      <x:c r="AB151" s="16" t="n">
        <x:v>86.6504854368932</x:v>
      </x:c>
      <x:c r="AC151" s="16" t="n">
        <x:v>57.28155339805825</x:v>
      </x:c>
      <x:c r="AD151" s="16" t="n">
        <x:v>87.98780487804878</x:v>
      </x:c>
      <x:c r="AE151" s="16" t="n">
        <x:v>78.44204476879105</x:v>
      </x:c>
      <x:c r="AF151" t="str">
        <x:v>검토</x:v>
      </x:c>
      <x:c r="AG151" t="str">
        <x:v>수요·직장수요 강점 / 안정성 상대적 약점</x:v>
      </x:c>
    </x:row>
    <x:row r="152">
      <x:c r="A152" t="str">
        <x:v>3120083</x:v>
      </x:c>
      <x:c r="B152" t="str">
        <x:v>등나무근린공원</x:v>
      </x:c>
      <x:c r="C152" t="str">
        <x:v>발달상권</x:v>
      </x:c>
      <x:c r="D152" t="str">
        <x:v>노원구</x:v>
      </x:c>
      <x:c r="E152" t="str">
        <x:v>중계2·3동</x:v>
      </x:c>
      <x:c r="F152" t="str">
        <x:v>CS200028</x:v>
      </x:c>
      <x:c r="G152" t="str">
        <x:v>미용실</x:v>
      </x:c>
      <x:c r="H152" t="n">
        <x:v>419552993</x:v>
      </x:c>
      <x:c r="I152" t="n">
        <x:v>8100</x:v>
      </x:c>
      <x:c r="J152" t="n">
        <x:v>51796.665802469135</x:v>
      </x:c>
      <x:c r="K152" s="14" t="n">
        <x:v>0.0779297822809577</x:v>
      </x:c>
      <x:c r="L152" s="14" t="n">
        <x:v>0.02168887159425803</x:v>
      </x:c>
      <x:c r="M152" s="14" t="n">
        <x:v>-0.013481964371473865</x:v>
      </x:c>
      <x:c r="N152" t="n">
        <x:v>39</x:v>
      </x:c>
      <x:c r="O152" t="n">
        <x:v>0</x:v>
      </x:c>
      <x:c r="P152" s="14" t="n">
        <x:v>0</x:v>
      </x:c>
      <x:c r="Q152" s="14" t="n">
        <x:v>0.10256410256410256</x:v>
      </x:c>
      <x:c r="R152" s="14" t="n">
        <x:v>-0.04878048780487809</x:v>
      </x:c>
      <x:c r="S152" t="n">
        <x:v>1099</x:v>
      </x:c>
      <x:c r="T152" t="n">
        <x:v>87.34700365601653</x:v>
      </x:c>
      <x:c r="U152" s="14" t="n">
        <x:v>0.7277503631108645</x:v>
      </x:c>
      <x:c r="V152" s="14" t="n">
        <x:v>0.422051156717645</x:v>
      </x:c>
      <x:c r="W152" s="14" t="n">
        <x:v>0.15724175277186023</x:v>
      </x:c>
      <x:c r="X152" s="14" t="n">
        <x:v>0.6547590401768388</x:v>
      </x:c>
      <x:c r="Y152" s="16" t="n">
        <x:v>91.047448522829</x:v>
      </x:c>
      <x:c r="Z152" s="16" t="n">
        <x:v>79.40647482014388</x:v>
      </x:c>
      <x:c r="AA152" s="16" t="n">
        <x:v>57.377049180327866</x:v>
      </x:c>
      <x:c r="AB152" s="16" t="n">
        <x:v>78.3348254252462</x:v>
      </x:c>
      <x:c r="AC152" s="16" t="n">
        <x:v>75.60429722470904</x:v>
      </x:c>
      <x:c r="AD152" s="16" t="n">
        <x:v>55.24390243902439</x:v>
      </x:c>
      <x:c r="AE152" s="16" t="n">
        <x:v>78.42730798227716</x:v>
      </x:c>
      <x:c r="AF152" t="str">
        <x:v>검토</x:v>
      </x:c>
      <x:c r="AG152" t="str">
        <x:v>수요·상권 모멘텀 강점 / 직장수요 상대적 약점</x:v>
      </x:c>
    </x:row>
    <x:row r="153">
      <x:c r="A153" t="str">
        <x:v>3120220</x:v>
      </x:c>
      <x:c r="B153" t="str">
        <x:v>대치역</x:v>
      </x:c>
      <x:c r="C153" t="str">
        <x:v>발달상권</x:v>
      </x:c>
      <x:c r="D153" t="str">
        <x:v>강남구</x:v>
      </x:c>
      <x:c r="E153" t="str">
        <x:v>대치1동</x:v>
      </x:c>
      <x:c r="F153" t="str">
        <x:v>CS200028</x:v>
      </x:c>
      <x:c r="G153" t="str">
        <x:v>미용실</x:v>
      </x:c>
      <x:c r="H153" t="n">
        <x:v>1384988528</x:v>
      </x:c>
      <x:c r="I153" t="n">
        <x:v>12694</x:v>
      </x:c>
      <x:c r="J153" t="n">
        <x:v>109105.76083188909</x:v>
      </x:c>
      <x:c r="K153" s="14" t="n">
        <x:v>0.08523212278284964</x:v>
      </x:c>
      <x:c r="L153" s="14" t="n">
        <x:v>0.02168887159425803</x:v>
      </x:c>
      <x:c r="M153" s="14" t="n">
        <x:v>-0.013481964371473865</x:v>
      </x:c>
      <x:c r="N153" t="n">
        <x:v>32</x:v>
      </x:c>
      <x:c r="O153" t="n">
        <x:v>1</x:v>
      </x:c>
      <x:c r="P153" s="14" t="n">
        <x:v>0.02702702702702703</x:v>
      </x:c>
      <x:c r="Q153" s="14" t="n">
        <x:v>0.3125</x:v>
      </x:c>
      <x:c r="R153" s="14" t="n">
        <x:v>-0.030303030303030276</x:v>
      </x:c>
      <x:c r="S153" t="n">
        <x:v>12518</x:v>
      </x:c>
      <x:c r="T153" t="n">
        <x:v>766.7852964417193</x:v>
      </x:c>
      <x:c r="U153" s="14" t="n">
        <x:v>0.6204703523724783</x:v>
      </x:c>
      <x:c r="V153" s="14" t="n">
        <x:v>0.3281936144672528</x:v>
      </x:c>
      <x:c r="W153" s="14" t="n">
        <x:v>0.12113033040227464</x:v>
      </x:c>
      <x:c r="X153" s="14" t="n">
        <x:v>0.4930650970706091</x:v>
      </x:c>
      <x:c r="Y153" s="16" t="n">
        <x:v>98.38854073410923</x:v>
      </x:c>
      <x:c r="Z153" s="16" t="n">
        <x:v>82.10431654676259</x:v>
      </x:c>
      <x:c r="AA153" s="16" t="n">
        <x:v>57.377049180327866</x:v>
      </x:c>
      <x:c r="AB153" s="16" t="n">
        <x:v>84.24350940017905</x:v>
      </x:c>
      <x:c r="AC153" s="16" t="n">
        <x:v>15.890778871978512</x:v>
      </x:c>
      <x:c r="AD153" s="16" t="n">
        <x:v>94.51219512195122</x:v>
      </x:c>
      <x:c r="AE153" s="16" t="n">
        <x:v>78.41462399666219</x:v>
      </x:c>
      <x:c r="AF153" t="str">
        <x:v>검토</x:v>
      </x:c>
      <x:c r="AG153" t="str">
        <x:v>수요·직장수요 강점 / 안정성 상대적 약점</x:v>
      </x:c>
    </x:row>
    <x:row r="154">
      <x:c r="A154" t="str">
        <x:v>3130310</x:v>
      </x:c>
      <x:c r="B154" t="str">
        <x:v>강남개포시장</x:v>
      </x:c>
      <x:c r="C154" t="str">
        <x:v>전통시장</x:v>
      </x:c>
      <x:c r="D154" t="str">
        <x:v>강남구</x:v>
      </x:c>
      <x:c r="E154" t="str">
        <x:v>개포2동</x:v>
      </x:c>
      <x:c r="F154" t="str">
        <x:v>CS100003</x:v>
      </x:c>
      <x:c r="G154" t="str">
        <x:v>일식음식점</x:v>
      </x:c>
      <x:c r="H154" t="n">
        <x:v>412533072</x:v>
      </x:c>
      <x:c r="I154" t="n">
        <x:v>6798</x:v>
      </x:c>
      <x:c r="J154" t="n">
        <x:v>60684.47661076787</x:v>
      </x:c>
      <x:c r="K154" s="14" t="n">
        <x:v>0.5117015845707351</x:v>
      </x:c>
      <x:c r="L154" s="14" t="n">
        <x:v>0.048235937606500245</x:v>
      </x:c>
      <x:c r="M154" s="14" t="n">
        <x:v>-0.004288267098710441</x:v>
      </x:c>
      <x:c r="N154" t="n">
        <x:v>8</x:v>
      </x:c>
      <x:c r="O154" t="n">
        <x:v>0</x:v>
      </x:c>
      <x:c r="P154" s="14" t="n">
        <x:v>0</x:v>
      </x:c>
      <x:c r="Q154" s="14" t="n">
        <x:v>0.125</x:v>
      </x:c>
      <x:c r="R154" s="14" t="n">
        <x:v>1</x:v>
      </x:c>
      <x:c r="S154" t="n">
        <x:v>5643</x:v>
      </x:c>
      <x:c r="T154" t="n">
        <x:v>2224.806812805551</x:v>
      </x:c>
      <x:c r="U154" s="14" t="n">
        <x:v>0.6834136100486993</x:v>
      </x:c>
      <x:c r="V154" s="14" t="n">
        <x:v>0.8227284502416815</x:v>
      </x:c>
      <x:c r="W154" s="14" t="n">
        <x:v>0.13500384279493596</x:v>
      </x:c>
      <x:c r="X154" s="14" t="n">
        <x:v>0.26959284612216494</x:v>
      </x:c>
      <x:c r="Y154" s="16" t="n">
        <x:v>59.523809523809526</x:v>
      </x:c>
      <x:c r="Z154" s="16" t="n">
        <x:v>95.98765432098766</x:v>
      </x:c>
      <x:c r="AA154" s="16" t="n">
        <x:v>78.68852459016394</x:v>
      </x:c>
      <x:c r="AB154" s="16" t="n">
        <x:v>90.0297619047619</x:v>
      </x:c>
      <x:c r="AC154" s="16" t="n">
        <x:v>81.10119047619048</x:v>
      </x:c>
      <x:c r="AD154" s="16" t="n">
        <x:v>99.14634146341463</x:v>
      </x:c>
      <x:c r="AE154" s="16" t="n">
        <x:v>78.40604329255952</x:v>
      </x:c>
      <x:c r="AF154" t="str">
        <x:v>검토</x:v>
      </x:c>
      <x:c r="AG154" t="str">
        <x:v>직장수요·상권 모멘텀 강점 / 수요 상대적 약점</x:v>
      </x:c>
    </x:row>
    <x:row r="155">
      <x:c r="A155" t="str">
        <x:v>3110997</x:v>
      </x:c>
      <x:c r="B155" t="str">
        <x:v>대청초등학교</x:v>
      </x:c>
      <x:c r="C155" t="str">
        <x:v>골목상권</x:v>
      </x:c>
      <x:c r="D155" t="str">
        <x:v>강남구</x:v>
      </x:c>
      <x:c r="E155" t="str">
        <x:v>일원1동</x:v>
      </x:c>
      <x:c r="F155" t="str">
        <x:v>CS200006</x:v>
      </x:c>
      <x:c r="G155" t="str">
        <x:v>일반의원</x:v>
      </x:c>
      <x:c r="H155" t="n">
        <x:v>3854231977</x:v>
      </x:c>
      <x:c r="I155" t="n">
        <x:v>141133</x:v>
      </x:c>
      <x:c r="J155" t="n">
        <x:v>27309.218800705716</x:v>
      </x:c>
      <x:c r="K155" s="14" t="n">
        <x:v>0.12441547203979586</x:v>
      </x:c>
      <x:c r="L155" s="14" t="n">
        <x:v>0.09973642051122278</x:v>
      </x:c>
      <x:c r="M155" s="14" t="n">
        <x:v>0.06942273842247415</x:v>
      </x:c>
      <x:c r="N155" t="n">
        <x:v>17</x:v>
      </x:c>
      <x:c r="O155" t="n">
        <x:v>0</x:v>
      </x:c>
      <x:c r="P155" s="14" t="n">
        <x:v>0</x:v>
      </x:c>
      <x:c r="Q155" s="14" t="n">
        <x:v>0</x:v>
      </x:c>
      <x:c r="R155" s="14" t="n">
        <x:v>0.3076923076923077</x:v>
      </x:c>
      <x:c r="S155" t="n">
        <x:v>1822</x:v>
      </x:c>
      <x:c r="T155" t="n">
        <x:v>76.88931652065293</x:v>
      </x:c>
      <x:c r="U155" s="14" t="n">
        <x:v>0.862782225315962</x:v>
      </x:c>
      <x:c r="V155" s="14" t="n">
        <x:v>0.2142963513687853</x:v>
      </x:c>
      <x:c r="W155" s="14" t="n">
        <x:v>0.18202630489981014</x:v>
      </x:c>
      <x:c r="X155" s="14" t="n">
        <x:v>0.6125702583780934</x:v>
      </x:c>
      <x:c r="Y155" s="16" t="n">
        <x:v>78.91682785299807</x:v>
      </x:c>
      <x:c r="Z155" s="16" t="n">
        <x:v>86.82170542635659</x:v>
      </x:c>
      <x:c r="AA155" s="16" t="n">
        <x:v>90.1639344262295</x:v>
      </x:c>
      <x:c r="AB155" s="16" t="n">
        <x:v>74.03100775193798</x:v>
      </x:c>
      <x:c r="AC155" s="16" t="n">
        <x:v>62.5</x:v>
      </x:c>
      <x:c r="AD155" s="16" t="n">
        <x:v>50.670731707317074</x:v>
      </x:c>
      <x:c r="AE155" s="16" t="n">
        <x:v>78.39800874591161</x:v>
      </x:c>
      <x:c r="AF155" t="str">
        <x:v>검토</x:v>
      </x:c>
      <x:c r="AG155" t="str">
        <x:v>서울 업종추세·상권 모멘텀 강점 / 직장수요 상대적 약점</x:v>
      </x:c>
    </x:row>
    <x:row r="156">
      <x:c r="A156" t="str">
        <x:v>3110653</x:v>
      </x:c>
      <x:c r="B156" t="str">
        <x:v>화곡역 2번</x:v>
      </x:c>
      <x:c r="C156" t="str">
        <x:v>골목상권</x:v>
      </x:c>
      <x:c r="D156" t="str">
        <x:v>강서구</x:v>
      </x:c>
      <x:c r="E156" t="str">
        <x:v>우장산동</x:v>
      </x:c>
      <x:c r="F156" t="str">
        <x:v>CS300033</x:v>
      </x:c>
      <x:c r="G156" t="str">
        <x:v>철물점</x:v>
      </x:c>
      <x:c r="H156" t="n">
        <x:v>429045821</x:v>
      </x:c>
      <x:c r="I156" t="n">
        <x:v>17795</x:v>
      </x:c>
      <x:c r="J156" t="n">
        <x:v>24110.47041303737</x:v>
      </x:c>
      <x:c r="K156" s="14" t="n">
        <x:v>0.19040901601796345</x:v>
      </x:c>
      <x:c r="L156" s="14" t="n">
        <x:v>0.018800721364975237</x:v>
      </x:c>
      <x:c r="M156" s="14" t="n">
        <x:v>-0.020555839555512545</x:v>
      </x:c>
      <x:c r="N156" t="n">
        <x:v>4</x:v>
      </x:c>
      <x:c r="O156" t="n">
        <x:v>0</x:v>
      </x:c>
      <x:c r="P156" s="14" t="n">
        <x:v>0</x:v>
      </x:c>
      <x:c r="Q156" s="14" t="n">
        <x:v>0</x:v>
      </x:c>
      <x:c r="R156" s="14" t="n">
        <x:v>0.33333333333333326</x:v>
      </x:c>
      <x:c r="S156" t="n">
        <x:v>602</x:v>
      </x:c>
      <x:c r="T156" t="n">
        <x:v>49.014419358253065</x:v>
      </x:c>
      <x:c r="U156" s="14" t="n">
        <x:v>0.9192682732131774</x:v>
      </x:c>
      <x:c r="V156" s="14" t="n">
        <x:v>0.05836836713997501</x:v>
      </x:c>
      <x:c r="W156" s="14" t="n">
        <x:v>0.16821719375283228</x:v>
      </x:c>
      <x:c r="X156" s="14" t="n">
        <x:v>0.2797209042154964</x:v>
      </x:c>
      <x:c r="Y156" s="16" t="n">
        <x:v>93.02325581395348</x:v>
      </x:c>
      <x:c r="Z156" s="16" t="n">
        <x:v>83.43558282208589</x:v>
      </x:c>
      <x:c r="AA156" s="16" t="n">
        <x:v>54.09836065573771</x:v>
      </x:c>
      <x:c r="AB156" s="16" t="n">
        <x:v>92.15116279069767</x:v>
      </x:c>
      <x:c r="AC156" s="16" t="n">
        <x:v>54.651162790697676</x:v>
      </x:c>
      <x:c r="AD156" s="16" t="n">
        <x:v>34.8780487804878</x:v>
      </x:c>
      <x:c r="AE156" s="16" t="n">
        <x:v>78.39170333436036</x:v>
      </x:c>
      <x:c r="AF156" t="str">
        <x:v>검토</x:v>
      </x:c>
      <x:c r="AG156" t="str">
        <x:v>수요·경쟁여건 강점 / 직장수요 상대적 약점</x:v>
      </x:c>
    </x:row>
    <x:row r="157">
      <x:c r="A157" t="str">
        <x:v>3130065</x:v>
      </x:c>
      <x:c r="B157" t="str">
        <x:v>무학봉상점가</x:v>
      </x:c>
      <x:c r="C157" t="str">
        <x:v>전통시장</x:v>
      </x:c>
      <x:c r="D157" t="str">
        <x:v>성동구</x:v>
      </x:c>
      <x:c r="E157" t="str">
        <x:v>왕십리2동</x:v>
      </x:c>
      <x:c r="F157" t="str">
        <x:v>CS200028</x:v>
      </x:c>
      <x:c r="G157" t="str">
        <x:v>미용실</x:v>
      </x:c>
      <x:c r="H157" t="n">
        <x:v>267215746</x:v>
      </x:c>
      <x:c r="I157" t="n">
        <x:v>5370</x:v>
      </x:c>
      <x:c r="J157" t="n">
        <x:v>49760.846554934826</x:v>
      </x:c>
      <x:c r="K157" s="14" t="n">
        <x:v>0.08826339670187622</x:v>
      </x:c>
      <x:c r="L157" s="14" t="n">
        <x:v>0.02168887159425803</x:v>
      </x:c>
      <x:c r="M157" s="14" t="n">
        <x:v>-0.013481964371473865</x:v>
      </x:c>
      <x:c r="N157" t="n">
        <x:v>30</x:v>
      </x:c>
      <x:c r="O157" t="n">
        <x:v>0</x:v>
      </x:c>
      <x:c r="P157" s="14" t="n">
        <x:v>0</x:v>
      </x:c>
      <x:c r="Q157" s="14" t="n">
        <x:v>0.16666666666666666</x:v>
      </x:c>
      <x:c r="R157" s="14" t="n">
        <x:v>0.11111111111111116</x:v>
      </x:c>
      <x:c r="S157" t="n">
        <x:v>689</x:v>
      </x:c>
      <x:c r="T157" t="n">
        <x:v>99.3683117482477</x:v>
      </x:c>
      <x:c r="U157" s="14" t="n">
        <x:v>0.6470388687349286</x:v>
      </x:c>
      <x:c r="V157" s="14" t="n">
        <x:v>0.4111887178983831</x:v>
      </x:c>
      <x:c r="W157" s="14" t="n">
        <x:v>0.3078838325642681</x:v>
      </x:c>
      <x:c r="X157" s="14" t="n">
        <x:v>0.6169715612492387</x:v>
      </x:c>
      <x:c r="Y157" s="16" t="n">
        <x:v>84.33303491495076</x:v>
      </x:c>
      <x:c r="Z157" s="16" t="n">
        <x:v>83.36330935251799</x:v>
      </x:c>
      <x:c r="AA157" s="16" t="n">
        <x:v>57.377049180327866</x:v>
      </x:c>
      <x:c r="AB157" s="16" t="n">
        <x:v>87.10832587287376</x:v>
      </x:c>
      <x:c r="AC157" s="16" t="n">
        <x:v>75.60429722470904</x:v>
      </x:c>
      <x:c r="AD157" s="16" t="n">
        <x:v>59.146341463414636</x:v>
      </x:c>
      <x:c r="AE157" s="16" t="n">
        <x:v>78.37977714435823</x:v>
      </x:c>
      <x:c r="AF157" t="str">
        <x:v>검토</x:v>
      </x:c>
      <x:c r="AG157" t="str">
        <x:v>경쟁여건·수요 강점 / 서울 업종추세 상대적 약점</x:v>
      </x:c>
    </x:row>
    <x:row r="158">
      <x:c r="A158" t="str">
        <x:v>3120220</x:v>
      </x:c>
      <x:c r="B158" t="str">
        <x:v>대치역</x:v>
      </x:c>
      <x:c r="C158" t="str">
        <x:v>발달상권</x:v>
      </x:c>
      <x:c r="D158" t="str">
        <x:v>강남구</x:v>
      </x:c>
      <x:c r="E158" t="str">
        <x:v>대치1동</x:v>
      </x:c>
      <x:c r="F158" t="str">
        <x:v>CS100003</x:v>
      </x:c>
      <x:c r="G158" t="str">
        <x:v>일식음식점</x:v>
      </x:c>
      <x:c r="H158" t="n">
        <x:v>606643410</x:v>
      </x:c>
      <x:c r="I158" t="n">
        <x:v>30174</x:v>
      </x:c>
      <x:c r="J158" t="n">
        <x:v>20104.838934181746</x:v>
      </x:c>
      <x:c r="K158" s="14" t="n">
        <x:v>0.22862339635908868</x:v>
      </x:c>
      <x:c r="L158" s="14" t="n">
        <x:v>0.048235937606500245</x:v>
      </x:c>
      <x:c r="M158" s="14" t="n">
        <x:v>-0.004288267098710441</x:v>
      </x:c>
      <x:c r="N158" t="n">
        <x:v>12</x:v>
      </x:c>
      <x:c r="O158" t="n">
        <x:v>0</x:v>
      </x:c>
      <x:c r="P158" s="14" t="n">
        <x:v>0</x:v>
      </x:c>
      <x:c r="Q158" s="14" t="n">
        <x:v>0.3333333333333333</x:v>
      </x:c>
      <x:c r="R158" s="14" t="n">
        <x:v>0.7142857142857142</x:v>
      </x:c>
      <x:c r="S158" t="n">
        <x:v>12518</x:v>
      </x:c>
      <x:c r="T158" t="n">
        <x:v>766.7852964417193</x:v>
      </x:c>
      <x:c r="U158" s="14" t="n">
        <x:v>0.7508340377422051</x:v>
      </x:c>
      <x:c r="V158" s="14" t="n">
        <x:v>0.452221274438636</x:v>
      </x:c>
      <x:c r="W158" s="14" t="n">
        <x:v>0.13811080878633464</x:v>
      </x:c>
      <x:c r="X158" s="14" t="n">
        <x:v>0.3973882680106918</x:v>
      </x:c>
      <x:c r="Y158" s="16" t="n">
        <x:v>67.85714285714286</x:v>
      </x:c>
      <x:c r="Z158" s="16" t="n">
        <x:v>89.50617283950618</x:v>
      </x:c>
      <x:c r="AA158" s="16" t="n">
        <x:v>78.68852459016394</x:v>
      </x:c>
      <x:c r="AB158" s="16" t="n">
        <x:v>80.20833333333333</x:v>
      </x:c>
      <x:c r="AC158" s="16" t="n">
        <x:v>81.10119047619048</x:v>
      </x:c>
      <x:c r="AD158" s="16" t="n">
        <x:v>94.51219512195122</x:v>
      </x:c>
      <x:c r="AE158" s="16" t="n">
        <x:v>78.32149206014243</x:v>
      </x:c>
      <x:c r="AF158" t="str">
        <x:v>검토</x:v>
      </x:c>
      <x:c r="AG158" t="str">
        <x:v>직장수요·상권 모멘텀 강점 / 수요 상대적 약점</x:v>
      </x:c>
    </x:row>
    <x:row r="159">
      <x:c r="A159" t="str">
        <x:v>3120167</x:v>
      </x:c>
      <x:c r="B159" t="str">
        <x:v>고속터미널(고속터미널역)</x:v>
      </x:c>
      <x:c r="C159" t="str">
        <x:v>발달상권</x:v>
      </x:c>
      <x:c r="D159" t="str">
        <x:v>서초구</x:v>
      </x:c>
      <x:c r="E159" t="str">
        <x:v>반포4동</x:v>
      </x:c>
      <x:c r="F159" t="str">
        <x:v>CS300018</x:v>
      </x:c>
      <x:c r="G159" t="str">
        <x:v>의약품</x:v>
      </x:c>
      <x:c r="H159" t="n">
        <x:v>4797959602</x:v>
      </x:c>
      <x:c r="I159" t="n">
        <x:v>213885</x:v>
      </x:c>
      <x:c r="J159" t="n">
        <x:v>22432.426780746664</x:v>
      </x:c>
      <x:c r="K159" s="14" t="n">
        <x:v>0.12921011016687478</x:v>
      </x:c>
      <x:c r="L159" s="14" t="n">
        <x:v>0.027829225601598617</x:v>
      </x:c>
      <x:c r="M159" s="14" t="n">
        <x:v>0.02632929521123617</x:v>
      </x:c>
      <x:c r="N159" t="n">
        <x:v>26</x:v>
      </x:c>
      <x:c r="O159" t="n">
        <x:v>0</x:v>
      </x:c>
      <x:c r="P159" s="14" t="n">
        <x:v>0</x:v>
      </x:c>
      <x:c r="Q159" s="14" t="n">
        <x:v>0.038461538461538464</x:v>
      </x:c>
      <x:c r="R159" s="14" t="n">
        <x:v>0.13043478260869557</x:v>
      </x:c>
      <x:c r="S159" t="n">
        <x:v>26897</x:v>
      </x:c>
      <x:c r="T159" t="n">
        <x:v>838.3959602886398</x:v>
      </x:c>
      <x:c r="U159" s="14" t="n">
        <x:v>0.8453080499696962</x:v>
      </x:c>
      <x:c r="V159" s="14" t="n">
        <x:v>0.20971626784447445</x:v>
      </x:c>
      <x:c r="W159" s="14" t="n">
        <x:v>0.1762366408102992</x:v>
      </x:c>
      <x:c r="X159" s="14" t="n">
        <x:v>0.459097703549193</x:v>
      </x:c>
      <x:c r="Y159" s="16" t="n">
        <x:v>87.97250859106529</x:v>
      </x:c>
      <x:c r="Z159" s="16" t="n">
        <x:v>95.45454545454545</x:v>
      </x:c>
      <x:c r="AA159" s="16" t="n">
        <x:v>72.1311475409836</x:v>
      </x:c>
      <x:c r="AB159" s="16" t="n">
        <x:v>41.15120274914089</x:v>
      </x:c>
      <x:c r="AC159" s="16" t="n">
        <x:v>66.32302405498282</x:v>
      </x:c>
      <x:c r="AD159" s="16" t="n">
        <x:v>95.42682926829268</x:v>
      </x:c>
      <x:c r="AE159" s="16" t="n">
        <x:v>78.27728351021352</x:v>
      </x:c>
      <x:c r="AF159" t="str">
        <x:v>검토</x:v>
      </x:c>
      <x:c r="AG159" t="str">
        <x:v>상권 모멘텀·직장수요 강점 / 경쟁여건 상대적 약점</x:v>
      </x:c>
    </x:row>
    <x:row r="160">
      <x:c r="A160" t="str">
        <x:v>3120225</x:v>
      </x:c>
      <x:c r="B160" t="str">
        <x:v>잠실새내역(신천)</x:v>
      </x:c>
      <x:c r="C160" t="str">
        <x:v>발달상권</x:v>
      </x:c>
      <x:c r="D160" t="str">
        <x:v>송파구</x:v>
      </x:c>
      <x:c r="E160" t="str">
        <x:v>잠실본동</x:v>
      </x:c>
      <x:c r="F160" t="str">
        <x:v>CS300011</x:v>
      </x:c>
      <x:c r="G160" t="str">
        <x:v>일반의류</x:v>
      </x:c>
      <x:c r="H160" t="n">
        <x:v>6866445953</x:v>
      </x:c>
      <x:c r="I160" t="n">
        <x:v>54451</x:v>
      </x:c>
      <x:c r="J160" t="n">
        <x:v>126103.2111990597</x:v>
      </x:c>
      <x:c r="K160" s="14" t="n">
        <x:v>0.7692016354258624</x:v>
      </x:c>
      <x:c r="L160" s="14" t="n">
        <x:v>0.06726691045630595</x:v>
      </x:c>
      <x:c r="M160" s="14" t="n">
        <x:v>0.00788849516466894</x:v>
      </x:c>
      <x:c r="N160" t="n">
        <x:v>63</x:v>
      </x:c>
      <x:c r="O160" t="n">
        <x:v>3</x:v>
      </x:c>
      <x:c r="P160" s="14" t="n">
        <x:v>0.04411764705882353</x:v>
      </x:c>
      <x:c r="Q160" s="14" t="n">
        <x:v>0</x:v>
      </x:c>
      <x:c r="R160" s="14" t="n">
        <x:v>-0.21250000000000002</x:v>
      </x:c>
      <x:c r="S160" t="n">
        <x:v>12478</x:v>
      </x:c>
      <x:c r="T160" t="n">
        <x:v>524.1821993135809</x:v>
      </x:c>
      <x:c r="U160" s="14" t="n">
        <x:v>0.21797248769519295</x:v>
      </x:c>
      <x:c r="V160" s="14" t="n">
        <x:v>0.11424656836587496</x:v>
      </x:c>
      <x:c r="W160" s="14" t="n">
        <x:v>0.447551436366778</x:v>
      </x:c>
      <x:c r="X160" s="14" t="n">
        <x:v>0.6065477119470163</x:v>
      </x:c>
      <x:c r="Y160" s="16" t="n">
        <x:v>95.28857479387514</x:v>
      </x:c>
      <x:c r="Z160" s="16" t="n">
        <x:v>95.66787003610108</x:v>
      </x:c>
      <x:c r="AA160" s="16" t="n">
        <x:v>81.9672131147541</x:v>
      </x:c>
      <x:c r="AB160" s="16" t="n">
        <x:v>52.00235571260306</x:v>
      </x:c>
      <x:c r="AC160" s="16" t="n">
        <x:v>11.601884570082447</x:v>
      </x:c>
      <x:c r="AD160" s="16" t="n">
        <x:v>90.48780487804878</x:v>
      </x:c>
      <x:c r="AE160" s="16" t="n">
        <x:v>78.26458921009076</x:v>
      </x:c>
      <x:c r="AF160" t="str">
        <x:v>검토</x:v>
      </x:c>
      <x:c r="AG160" t="str">
        <x:v>상권 모멘텀·수요 강점 / 안정성 상대적 약점</x:v>
      </x:c>
    </x:row>
    <x:row r="161">
      <x:c r="A161" t="str">
        <x:v>3130271</x:v>
      </x:c>
      <x:c r="B161" t="str">
        <x:v>남성역골목시장</x:v>
      </x:c>
      <x:c r="C161" t="str">
        <x:v>전통시장</x:v>
      </x:c>
      <x:c r="D161" t="str">
        <x:v>동작구</x:v>
      </x:c>
      <x:c r="E161" t="str">
        <x:v>사당4동</x:v>
      </x:c>
      <x:c r="F161" t="str">
        <x:v>CS300001</x:v>
      </x:c>
      <x:c r="G161" t="str">
        <x:v>슈퍼마켓</x:v>
      </x:c>
      <x:c r="H161" t="n">
        <x:v>3999007418</x:v>
      </x:c>
      <x:c r="I161" t="n">
        <x:v>338469</x:v>
      </x:c>
      <x:c r="J161" t="n">
        <x:v>11814.988722748612</x:v>
      </x:c>
      <x:c r="K161" s="14" t="n">
        <x:v>0.04742438416714023</x:v>
      </x:c>
      <x:c r="L161" s="14" t="n">
        <x:v>-0.02979620222776047</x:v>
      </x:c>
      <x:c r="M161" s="14" t="n">
        <x:v>-0.03099912402160654</x:v>
      </x:c>
      <x:c r="N161" t="n">
        <x:v>18</x:v>
      </x:c>
      <x:c r="O161" t="n">
        <x:v>0</x:v>
      </x:c>
      <x:c r="P161" s="14" t="n">
        <x:v>0</x:v>
      </x:c>
      <x:c r="Q161" s="14" t="n">
        <x:v>0.2222222222222222</x:v>
      </x:c>
      <x:c r="R161" s="14" t="n">
        <x:v>0.3846153846153846</x:v>
      </x:c>
      <x:c r="S161" t="n">
        <x:v>267</x:v>
      </x:c>
      <x:c r="T161" t="n">
        <x:v>91.91999173752883</x:v>
      </x:c>
      <x:c r="U161" s="14" t="n">
        <x:v>0.7168816339514977</x:v>
      </x:c>
      <x:c r="V161" s="14" t="n">
        <x:v>0.3378256239083576</x:v>
      </x:c>
      <x:c r="W161" s="14" t="n">
        <x:v>0.11531571357540303</x:v>
      </x:c>
      <x:c r="X161" s="14" t="n">
        <x:v>0.6081248631982408</x:v>
      </x:c>
      <x:c r="Y161" s="16" t="n">
        <x:v>96.84329199549042</x:v>
      </x:c>
      <x:c r="Z161" s="16" t="n">
        <x:v>75.75757575757575</x:v>
      </x:c>
      <x:c r="AA161" s="16" t="n">
        <x:v>31.147540983606557</x:v>
      </x:c>
      <x:c r="AB161" s="16" t="n">
        <x:v>91.88275084554678</x:v>
      </x:c>
      <x:c r="AC161" s="16" t="n">
        <x:v>78.80496054114994</x:v>
      </x:c>
      <x:c r="AD161" s="16" t="n">
        <x:v>56.76829268292683</x:v>
      </x:c>
      <x:c r="AE161" s="16" t="n">
        <x:v>78.22012181257114</x:v>
      </x:c>
      <x:c r="AF161" t="str">
        <x:v>검토</x:v>
      </x:c>
      <x:c r="AG161" t="str">
        <x:v>수요·경쟁여건 강점 / 서울 업종추세 상대적 약점</x:v>
      </x:c>
    </x:row>
    <x:row r="162">
      <x:c r="A162" t="str">
        <x:v>3120081</x:v>
      </x:c>
      <x:c r="B162" t="str">
        <x:v>노원역</x:v>
      </x:c>
      <x:c r="C162" t="str">
        <x:v>발달상권</x:v>
      </x:c>
      <x:c r="D162" t="str">
        <x:v>노원구</x:v>
      </x:c>
      <x:c r="E162" t="str">
        <x:v>상계2동</x:v>
      </x:c>
      <x:c r="F162" t="str">
        <x:v>CS300020</x:v>
      </x:c>
      <x:c r="G162" t="str">
        <x:v>서적</x:v>
      </x:c>
      <x:c r="H162" t="n">
        <x:v>790251517</x:v>
      </x:c>
      <x:c r="I162" t="n">
        <x:v>48233</x:v>
      </x:c>
      <x:c r="J162" t="n">
        <x:v>16384.04239835797</x:v>
      </x:c>
      <x:c r="K162" s="14" t="n">
        <x:v>-0.019765081618804414</x:v>
      </x:c>
      <x:c r="L162" s="14" t="n">
        <x:v>0.20039418624921757</x:v>
      </x:c>
      <x:c r="M162" s="14" t="n">
        <x:v>-0.01061516125540185</x:v>
      </x:c>
      <x:c r="N162" t="n">
        <x:v>8</x:v>
      </x:c>
      <x:c r="O162" t="n">
        <x:v>0</x:v>
      </x:c>
      <x:c r="P162" s="14" t="n">
        <x:v>0</x:v>
      </x:c>
      <x:c r="Q162" s="14" t="n">
        <x:v>0</x:v>
      </x:c>
      <x:c r="R162" s="14" t="n">
        <x:v>-0.3846153846153846</x:v>
      </x:c>
      <x:c r="S162" t="n">
        <x:v>5934</x:v>
      </x:c>
      <x:c r="T162" t="n">
        <x:v>221.67184050386078</x:v>
      </x:c>
      <x:c r="U162" s="14" t="n">
        <x:v>0.7464186531893744</x:v>
      </x:c>
      <x:c r="V162" s="14" t="n">
        <x:v>0.25906338753665437</x:v>
      </x:c>
      <x:c r="W162" s="14" t="n">
        <x:v>0.26037834989692277</x:v>
      </x:c>
      <x:c r="X162" s="14" t="n">
        <x:v>0.698555882683614</x:v>
      </x:c>
      <x:c r="Y162" s="16" t="n">
        <x:v>88.59060402684564</x:v>
      </x:c>
      <x:c r="Z162" s="16" t="n">
        <x:v>52.857142857142854</x:v>
      </x:c>
      <x:c r="AA162" s="16" t="n">
        <x:v>96.72131147540983</x:v>
      </x:c>
      <x:c r="AB162" s="16" t="n">
        <x:v>81.87919463087249</x:v>
      </x:c>
      <x:c r="AC162" s="16" t="n">
        <x:v>59.395973154362416</x:v>
      </x:c>
      <x:c r="AD162" s="16" t="n">
        <x:v>78.23170731707317</x:v>
      </x:c>
      <x:c r="AE162" s="16" t="n">
        <x:v>78.2193985780568</x:v>
      </x:c>
      <x:c r="AF162" t="str">
        <x:v>검토</x:v>
      </x:c>
      <x:c r="AG162" t="str">
        <x:v>서울 업종추세·수요 강점 / 상권 모멘텀 상대적 약점</x:v>
      </x:c>
    </x:row>
    <x:row r="163">
      <x:c r="A163" t="str">
        <x:v>3120091</x:v>
      </x:c>
      <x:c r="B163" t="str">
        <x:v>본서부병원</x:v>
      </x:c>
      <x:c r="C163" t="str">
        <x:v>발달상권</x:v>
      </x:c>
      <x:c r="D163" t="str">
        <x:v>은평구</x:v>
      </x:c>
      <x:c r="E163" t="str">
        <x:v>응암1동</x:v>
      </x:c>
      <x:c r="F163" t="str">
        <x:v>CS200016</x:v>
      </x:c>
      <x:c r="G163" t="str">
        <x:v>당구장</x:v>
      </x:c>
      <x:c r="H163" t="n">
        <x:v>240299193</x:v>
      </x:c>
      <x:c r="I163" t="n">
        <x:v>6119</x:v>
      </x:c>
      <x:c r="J163" t="n">
        <x:v>39270.990848177804</x:v>
      </x:c>
      <x:c r="K163" s="14" t="n">
        <x:v>0.16009521079527644</x:v>
      </x:c>
      <x:c r="L163" s="14" t="n">
        <x:v>0.052763611334009974</x:v>
      </x:c>
      <x:c r="M163" s="14" t="n">
        <x:v>0.07602781601598463</x:v>
      </x:c>
      <x:c r="N163" t="n">
        <x:v>15</x:v>
      </x:c>
      <x:c r="O163" t="n">
        <x:v>0</x:v>
      </x:c>
      <x:c r="P163" s="14" t="n">
        <x:v>0</x:v>
      </x:c>
      <x:c r="Q163" s="14" t="n">
        <x:v>0</x:v>
      </x:c>
      <x:c r="R163" s="14" t="n">
        <x:v>0.5</x:v>
      </x:c>
      <x:c r="S163" t="n">
        <x:v>1212</x:v>
      </x:c>
      <x:c r="T163" t="n">
        <x:v>107.090788601723</x:v>
      </x:c>
      <x:c r="U163" s="14" t="n">
        <x:v>0.5852866638632449</x:v>
      </x:c>
      <x:c r="V163" s="14" t="n">
        <x:v>0.47265098805388</x:v>
      </x:c>
      <x:c r="W163" s="14" t="n">
        <x:v>0.5861297461785483</x:v>
      </x:c>
      <x:c r="X163" s="14" t="n">
        <x:v>0.4477198514769877</x:v>
      </x:c>
      <x:c r="Y163" s="16" t="n">
        <x:v>94.10029498525074</x:v>
      </x:c>
      <x:c r="Z163" s="16" t="n">
        <x:v>87.34567901234568</x:v>
      </x:c>
      <x:c r="AA163" s="16" t="n">
        <x:v>80.32786885245902</x:v>
      </x:c>
      <x:c r="AB163" s="16" t="n">
        <x:v>38.49557522123894</x:v>
      </x:c>
      <x:c r="AC163" s="16" t="n">
        <x:v>69.32153392330383</x:v>
      </x:c>
      <x:c r="AD163" s="16" t="n">
        <x:v>60.853658536585364</x:v>
      </x:c>
      <x:c r="AE163" s="16" t="n">
        <x:v>78.20259197752124</x:v>
      </x:c>
      <x:c r="AF163" t="str">
        <x:v>검토</x:v>
      </x:c>
      <x:c r="AG163" t="str">
        <x:v>수요·상권 모멘텀 강점 / 경쟁여건 상대적 약점</x:v>
      </x:c>
    </x:row>
    <x:row r="164">
      <x:c r="A164" t="str">
        <x:v>3001494</x:v>
      </x:c>
      <x:c r="B164" t="str">
        <x:v>종로?청계 관광특구</x:v>
      </x:c>
      <x:c r="C164" t="str">
        <x:v>관광특구</x:v>
      </x:c>
      <x:c r="D164" t="str">
        <x:v>종로구</x:v>
      </x:c>
      <x:c r="E164" t="str">
        <x:v>종로1·2·3·4가동</x:v>
      </x:c>
      <x:c r="F164" t="str">
        <x:v>CS300007</x:v>
      </x:c>
      <x:c r="G164" t="str">
        <x:v>육류판매</x:v>
      </x:c>
      <x:c r="H164" t="n">
        <x:v>1103736786</x:v>
      </x:c>
      <x:c r="I164" t="n">
        <x:v>21108</x:v>
      </x:c>
      <x:c r="J164" t="n">
        <x:v>52289.974701534964</x:v>
      </x:c>
      <x:c r="K164" s="14" t="n">
        <x:v>0.15866461573931478</x:v>
      </x:c>
      <x:c r="L164" s="14" t="n">
        <x:v>0.23518223683931017</x:v>
      </x:c>
      <x:c r="M164" s="14" t="n">
        <x:v>0.00863079289162072</x:v>
      </x:c>
      <x:c r="N164" t="n">
        <x:v>15</x:v>
      </x:c>
      <x:c r="O164" t="n">
        <x:v>0</x:v>
      </x:c>
      <x:c r="P164" s="14" t="n">
        <x:v>0</x:v>
      </x:c>
      <x:c r="Q164" s="14" t="n">
        <x:v>0</x:v>
      </x:c>
      <x:c r="R164" s="14" t="n">
        <x:v>-0.16666666666666663</x:v>
      </x:c>
      <x:c r="S164" t="n">
        <x:v>46516</x:v>
      </x:c>
      <x:c r="T164" t="n">
        <x:v>712.2045176512379</x:v>
      </x:c>
      <x:c r="U164" s="14" t="n">
        <x:v>0.8481040614695975</x:v>
      </x:c>
      <x:c r="V164" s="14" t="n">
        <x:v>0.138999175297941</x:v>
      </x:c>
      <x:c r="W164" s="14" t="n">
        <x:v>0.037817159425544415</x:v>
      </x:c>
      <x:c r="X164" s="14" t="n">
        <x:v>0.6666642729800255</x:v>
      </x:c>
      <x:c r="Y164" s="16" t="n">
        <x:v>73.76237623762377</x:v>
      </x:c>
      <x:c r="Z164" s="16" t="n">
        <x:v>91.68831168831169</x:v>
      </x:c>
      <x:c r="AA164" s="16" t="n">
        <x:v>100</x:v>
      </x:c>
      <x:c r="AB164" s="16" t="n">
        <x:v>50.99009900990099</x:v>
      </x:c>
      <x:c r="AC164" s="16" t="n">
        <x:v>66.83168316831683</x:v>
      </x:c>
      <x:c r="AD164" s="16" t="n">
        <x:v>94.02439024390245</x:v>
      </x:c>
      <x:c r="AE164" s="16" t="n">
        <x:v>78.1873967013426</x:v>
      </x:c>
      <x:c r="AF164" t="str">
        <x:v>검토</x:v>
      </x:c>
      <x:c r="AG164" t="str">
        <x:v>서울 업종추세·직장수요 강점 / 경쟁여건 상대적 약점</x:v>
      </x:c>
    </x:row>
    <x:row r="165">
      <x:c r="A165" t="str">
        <x:v>3120224</x:v>
      </x:c>
      <x:c r="B165" t="str">
        <x:v>수서역</x:v>
      </x:c>
      <x:c r="C165" t="str">
        <x:v>발달상권</x:v>
      </x:c>
      <x:c r="D165" t="str">
        <x:v>강남구</x:v>
      </x:c>
      <x:c r="E165" t="str">
        <x:v>수서동</x:v>
      </x:c>
      <x:c r="F165" t="str">
        <x:v>CS300010</x:v>
      </x:c>
      <x:c r="G165" t="str">
        <x:v>반찬가게</x:v>
      </x:c>
      <x:c r="H165" t="n">
        <x:v>16440022163</x:v>
      </x:c>
      <x:c r="I165" t="n">
        <x:v>1211815</x:v>
      </x:c>
      <x:c r="J165" t="n">
        <x:v>13566.445507771401</x:v>
      </x:c>
      <x:c r="K165" s="14" t="n">
        <x:v>0.1904694094341226</x:v>
      </x:c>
      <x:c r="L165" s="14" t="n">
        <x:v>0.02346021551670452</x:v>
      </x:c>
      <x:c r="M165" s="14" t="n">
        <x:v>0.024589273784872745</x:v>
      </x:c>
      <x:c r="N165" t="n">
        <x:v>40</x:v>
      </x:c>
      <x:c r="O165" t="n">
        <x:v>0</x:v>
      </x:c>
      <x:c r="P165" s="14" t="n">
        <x:v>0</x:v>
      </x:c>
      <x:c r="Q165" s="14" t="n">
        <x:v>0.2</x:v>
      </x:c>
      <x:c r="R165" s="14" t="n">
        <x:v>0.05263157894736836</x:v>
      </x:c>
      <x:c r="S165" t="n">
        <x:v>19403</x:v>
      </x:c>
      <x:c r="T165" t="n">
        <x:v>3224.0001329279035</x:v>
      </x:c>
      <x:c r="U165" s="14" t="n">
        <x:v>0.949495823255722</x:v>
      </x:c>
      <x:c r="V165" s="14" t="n">
        <x:v>0.21088433188385355</x:v>
      </x:c>
      <x:c r="W165" s="14" t="n">
        <x:v>0.3810573997946988</x:v>
      </x:c>
      <x:c r="X165" s="14" t="n">
        <x:v>0.5793519181766081</x:v>
      </x:c>
      <x:c r="Y165" s="16" t="n">
        <x:v>97.99498746867168</x:v>
      </x:c>
      <x:c r="Z165" s="16" t="n">
        <x:v>85.27777777777777</x:v>
      </x:c>
      <x:c r="AA165" s="16" t="n">
        <x:v>63.9344262295082</x:v>
      </x:c>
      <x:c r="AB165" s="16" t="n">
        <x:v>32.20551378446115</x:v>
      </x:c>
      <x:c r="AC165" s="16" t="n">
        <x:v>73.93483709273183</x:v>
      </x:c>
      <x:c r="AD165" s="16" t="n">
        <x:v>99.63414634146342</x:v>
      </x:c>
      <x:c r="AE165" s="16" t="n">
        <x:v>78.1499831980324</x:v>
      </x:c>
      <x:c r="AF165" t="str">
        <x:v>검토</x:v>
      </x:c>
      <x:c r="AG165" t="str">
        <x:v>직장수요·수요 강점 / 경쟁여건 상대적 약점</x:v>
      </x:c>
    </x:row>
    <x:row r="166">
      <x:c r="A166" t="str">
        <x:v>3120122</x:v>
      </x:c>
      <x:c r="B166" t="str">
        <x:v>강서구청</x:v>
      </x:c>
      <x:c r="C166" t="str">
        <x:v>발달상권</x:v>
      </x:c>
      <x:c r="D166" t="str">
        <x:v>강서구</x:v>
      </x:c>
      <x:c r="E166" t="str">
        <x:v>화곡6동</x:v>
      </x:c>
      <x:c r="F166" t="str">
        <x:v>CS200016</x:v>
      </x:c>
      <x:c r="G166" t="str">
        <x:v>당구장</x:v>
      </x:c>
      <x:c r="H166" t="n">
        <x:v>350243097</x:v>
      </x:c>
      <x:c r="I166" t="n">
        <x:v>13056</x:v>
      </x:c>
      <x:c r="J166" t="n">
        <x:v>26826.21760110294</x:v>
      </x:c>
      <x:c r="K166" s="14" t="n">
        <x:v>0.07577118369626556</x:v>
      </x:c>
      <x:c r="L166" s="14" t="n">
        <x:v>0.052763611334009974</x:v>
      </x:c>
      <x:c r="M166" s="14" t="n">
        <x:v>0.07602781601598463</x:v>
      </x:c>
      <x:c r="N166" t="n">
        <x:v>15</x:v>
      </x:c>
      <x:c r="O166" t="n">
        <x:v>0</x:v>
      </x:c>
      <x:c r="P166" s="14" t="n">
        <x:v>0</x:v>
      </x:c>
      <x:c r="Q166" s="14" t="n">
        <x:v>0.06666666666666667</x:v>
      </x:c>
      <x:c r="R166" s="14" t="n">
        <x:v>0.15384615384615374</x:v>
      </x:c>
      <x:c r="S166" t="n">
        <x:v>5982</x:v>
      </x:c>
      <x:c r="T166" t="n">
        <x:v>266.4398082987404</x:v>
      </x:c>
      <x:c r="U166" s="14" t="n">
        <x:v>0.6670281698656861</x:v>
      </x:c>
      <x:c r="V166" s="14" t="n">
        <x:v>0.617724665676994</x:v>
      </x:c>
      <x:c r="W166" s="14" t="n">
        <x:v>0.39828289321002663</x:v>
      </x:c>
      <x:c r="X166" s="14" t="n">
        <x:v>0.28024468673539626</x:v>
      </x:c>
      <x:c r="Y166" s="16" t="n">
        <x:v>96.7551622418879</x:v>
      </x:c>
      <x:c r="Z166" s="16" t="n">
        <x:v>77.1604938271605</x:v>
      </x:c>
      <x:c r="AA166" s="16" t="n">
        <x:v>80.32786885245902</x:v>
      </x:c>
      <x:c r="AB166" s="16" t="n">
        <x:v>38.49557522123894</x:v>
      </x:c>
      <x:c r="AC166" s="16" t="n">
        <x:v>69.32153392330383</x:v>
      </x:c>
      <x:c r="AD166" s="16" t="n">
        <x:v>81.82926829268293</x:v>
      </x:c>
      <x:c r="AE166" s="16" t="n">
        <x:v>78.14353896811208</x:v>
      </x:c>
      <x:c r="AF166" t="str">
        <x:v>검토</x:v>
      </x:c>
      <x:c r="AG166" t="str">
        <x:v>수요·직장수요 강점 / 경쟁여건 상대적 약점</x:v>
      </x:c>
    </x:row>
    <x:row r="167">
      <x:c r="A167" t="str">
        <x:v>3130182</x:v>
      </x:c>
      <x:c r="B167" t="str">
        <x:v>영천시장</x:v>
      </x:c>
      <x:c r="C167" t="str">
        <x:v>전통시장</x:v>
      </x:c>
      <x:c r="D167" t="str">
        <x:v>서대문구</x:v>
      </x:c>
      <x:c r="E167" t="str">
        <x:v>천연동</x:v>
      </x:c>
      <x:c r="F167" t="str">
        <x:v>CS300007</x:v>
      </x:c>
      <x:c r="G167" t="str">
        <x:v>육류판매</x:v>
      </x:c>
      <x:c r="H167" t="n">
        <x:v>2747729375</x:v>
      </x:c>
      <x:c r="I167" t="n">
        <x:v>66113</x:v>
      </x:c>
      <x:c r="J167" t="n">
        <x:v>41561.10560706669</x:v>
      </x:c>
      <x:c r="K167" s="14" t="n">
        <x:v>0.03240063224190681</x:v>
      </x:c>
      <x:c r="L167" s="14" t="n">
        <x:v>0.23518223683931017</x:v>
      </x:c>
      <x:c r="M167" s="14" t="n">
        <x:v>0.00863079289162072</x:v>
      </x:c>
      <x:c r="N167" t="n">
        <x:v>9</x:v>
      </x:c>
      <x:c r="O167" t="n">
        <x:v>0</x:v>
      </x:c>
      <x:c r="P167" s="14" t="n">
        <x:v>0</x:v>
      </x:c>
      <x:c r="Q167" s="14" t="n">
        <x:v>0</x:v>
      </x:c>
      <x:c r="R167" s="14" t="n">
        <x:v>0.125</x:v>
      </x:c>
      <x:c r="S167" t="n">
        <x:v>352</x:v>
      </x:c>
      <x:c r="T167" t="n">
        <x:v>84.204482931847</x:v>
      </x:c>
      <x:c r="U167" s="14" t="n">
        <x:v>0.7376852529372547</x:v>
      </x:c>
      <x:c r="V167" s="14" t="n">
        <x:v>0.2228814182255485</x:v>
      </x:c>
      <x:c r="W167" s="14" t="n">
        <x:v>0.11768487244126798</x:v>
      </x:c>
      <x:c r="X167" s="14" t="n">
        <x:v>0.5594836471113536</x:v>
      </x:c>
      <x:c r="Y167" s="16" t="n">
        <x:v>88.11881188118812</x:v>
      </x:c>
      <x:c r="Z167" s="16" t="n">
        <x:v>51.94805194805195</x:v>
      </x:c>
      <x:c r="AA167" s="16" t="n">
        <x:v>100</x:v>
      </x:c>
      <x:c r="AB167" s="16" t="n">
        <x:v>83.41584158415841</x:v>
      </x:c>
      <x:c r="AC167" s="16" t="n">
        <x:v>66.83168316831683</x:v>
      </x:c>
      <x:c r="AD167" s="16" t="n">
        <x:v>54.329268292682926</x:v>
      </x:c>
      <x:c r="AE167" s="16" t="n">
        <x:v>78.14320251711582</x:v>
      </x:c>
      <x:c r="AF167" t="str">
        <x:v>검토</x:v>
      </x:c>
      <x:c r="AG167" t="str">
        <x:v>서울 업종추세·수요 강점 / 상권 모멘텀 상대적 약점</x:v>
      </x:c>
    </x:row>
    <x:row r="168">
      <x:c r="A168" t="str">
        <x:v>3120079</x:v>
      </x:c>
      <x:c r="B168" t="str">
        <x:v>창동역</x:v>
      </x:c>
      <x:c r="C168" t="str">
        <x:v>발달상권</x:v>
      </x:c>
      <x:c r="D168" t="str">
        <x:v>도봉구</x:v>
      </x:c>
      <x:c r="E168" t="str">
        <x:v>창5동</x:v>
      </x:c>
      <x:c r="F168" t="str">
        <x:v>CS200019</x:v>
      </x:c>
      <x:c r="G168" t="str">
        <x:v>PC방</x:v>
      </x:c>
      <x:c r="H168" t="n">
        <x:v>1437314749</x:v>
      </x:c>
      <x:c r="I168" t="n">
        <x:v>249721</x:v>
      </x:c>
      <x:c r="J168" t="n">
        <x:v>5755.682337488637</x:v>
      </x:c>
      <x:c r="K168" s="14" t="n">
        <x:v>0.13017490839184487</x:v>
      </x:c>
      <x:c r="L168" s="14" t="n">
        <x:v>0.007617357603377117</x:v>
      </x:c>
      <x:c r="M168" s="14" t="n">
        <x:v>-0.035308538695497105</x:v>
      </x:c>
      <x:c r="N168" t="n">
        <x:v>4</x:v>
      </x:c>
      <x:c r="O168" t="n">
        <x:v>0</x:v>
      </x:c>
      <x:c r="P168" s="14" t="n">
        <x:v>0</x:v>
      </x:c>
      <x:c r="Q168" s="14" t="n">
        <x:v>0.25</x:v>
      </x:c>
      <x:c r="R168" s="14" t="n">
        <x:v>-0.33333333333333337</x:v>
      </x:c>
      <x:c r="S168" t="n">
        <x:v>3247</x:v>
      </x:c>
      <x:c r="T168" t="n">
        <x:v>337.8877592432646</x:v>
      </x:c>
      <x:c r="U168" s="14" t="n">
        <x:v>0.6295379294128429</x:v>
      </x:c>
      <x:c r="V168" s="14" t="n">
        <x:v>0.49372302865028206</x:v>
      </x:c>
      <x:c r="W168" s="14" t="n">
        <x:v>0.7132594601935724</x:v>
      </x:c>
      <x:c r="X168" s="14" t="n">
        <x:v>0.20554335242544708</x:v>
      </x:c>
      <x:c r="Y168" s="16" t="n">
        <x:v>97.11538461538461</x:v>
      </x:c>
      <x:c r="Z168" s="16" t="n">
        <x:v>80</x:v>
      </x:c>
      <x:c r="AA168" s="16" t="n">
        <x:v>50.81967213114754</x:v>
      </x:c>
      <x:c r="AB168" s="16" t="n">
        <x:v>69.23076923076923</x:v>
      </x:c>
      <x:c r="AC168" s="16" t="n">
        <x:v>58.65384615384615</x:v>
      </x:c>
      <x:c r="AD168" s="16" t="n">
        <x:v>85.48780487804878</x:v>
      </x:c>
      <x:c r="AE168" s="16" t="n">
        <x:v>78.13772567895919</x:v>
      </x:c>
      <x:c r="AF168" t="str">
        <x:v>검토</x:v>
      </x:c>
      <x:c r="AG168" t="str">
        <x:v>수요·직장수요 강점 / 서울 업종추세 상대적 약점</x:v>
      </x:c>
    </x:row>
    <x:row r="169">
      <x:c r="A169" t="str">
        <x:v>3120248</x:v>
      </x:c>
      <x:c r="B169" t="str">
        <x:v>명일역</x:v>
      </x:c>
      <x:c r="C169" t="str">
        <x:v>발달상권</x:v>
      </x:c>
      <x:c r="D169" t="str">
        <x:v>강동구</x:v>
      </x:c>
      <x:c r="E169" t="str">
        <x:v>명일1동</x:v>
      </x:c>
      <x:c r="F169" t="str">
        <x:v>CS200016</x:v>
      </x:c>
      <x:c r="G169" t="str">
        <x:v>당구장</x:v>
      </x:c>
      <x:c r="H169" t="n">
        <x:v>95990069</x:v>
      </x:c>
      <x:c r="I169" t="n">
        <x:v>4282</x:v>
      </x:c>
      <x:c r="J169" t="n">
        <x:v>22417.11092947221</x:v>
      </x:c>
      <x:c r="K169" s="14" t="n">
        <x:v>0.2186778610816611</x:v>
      </x:c>
      <x:c r="L169" s="14" t="n">
        <x:v>0.052763611334009974</x:v>
      </x:c>
      <x:c r="M169" s="14" t="n">
        <x:v>0.07602781601598463</x:v>
      </x:c>
      <x:c r="N169" t="n">
        <x:v>11</x:v>
      </x:c>
      <x:c r="O169" t="n">
        <x:v>0</x:v>
      </x:c>
      <x:c r="P169" s="14" t="n">
        <x:v>0</x:v>
      </x:c>
      <x:c r="Q169" s="14" t="n">
        <x:v>0</x:v>
      </x:c>
      <x:c r="R169" s="14" t="n">
        <x:v>0</x:v>
      </x:c>
      <x:c r="S169" t="n">
        <x:v>2489</x:v>
      </x:c>
      <x:c r="T169" t="n">
        <x:v>173.93552715253074</x:v>
      </x:c>
      <x:c r="U169" s="14" t="n">
        <x:v>0.7700327311984743</x:v>
      </x:c>
      <x:c r="V169" s="14" t="n">
        <x:v>0.702216486582586</x:v>
      </x:c>
      <x:c r="W169" s="14" t="n">
        <x:v>0.09499204547920473</x:v>
      </x:c>
      <x:c r="X169" s="14" t="n">
        <x:v>0.2755145014011814</x:v>
      </x:c>
      <x:c r="Y169" s="16" t="n">
        <x:v>79.05604719764011</x:v>
      </x:c>
      <x:c r="Z169" s="16" t="n">
        <x:v>92.28395061728395</x:v>
      </x:c>
      <x:c r="AA169" s="16" t="n">
        <x:v>80.32786885245902</x:v>
      </x:c>
      <x:c r="AB169" s="16" t="n">
        <x:v>62.389380530973455</x:v>
      </x:c>
      <x:c r="AC169" s="16" t="n">
        <x:v>69.32153392330383</x:v>
      </x:c>
      <x:c r="AD169" s="16" t="n">
        <x:v>73.35365853658537</x:v>
      </x:c>
      <x:c r="AE169" s="16" t="n">
        <x:v>78.13383036930534</x:v>
      </x:c>
      <x:c r="AF169" t="str">
        <x:v>검토</x:v>
      </x:c>
      <x:c r="AG169" t="str">
        <x:v>상권 모멘텀·서울 업종추세 강점 / 경쟁여건 상대적 약점</x:v>
      </x:c>
    </x:row>
    <x:row r="170">
      <x:c r="A170" t="str">
        <x:v>3120159</x:v>
      </x:c>
      <x:c r="B170" t="str">
        <x:v>서울대입구역</x:v>
      </x:c>
      <x:c r="C170" t="str">
        <x:v>발달상권</x:v>
      </x:c>
      <x:c r="D170" t="str">
        <x:v>관악구</x:v>
      </x:c>
      <x:c r="E170" t="str">
        <x:v>청룡동</x:v>
      </x:c>
      <x:c r="F170" t="str">
        <x:v>CS100003</x:v>
      </x:c>
      <x:c r="G170" t="str">
        <x:v>일식음식점</x:v>
      </x:c>
      <x:c r="H170" t="n">
        <x:v>2276055718</x:v>
      </x:c>
      <x:c r="I170" t="n">
        <x:v>46955</x:v>
      </x:c>
      <x:c r="J170" t="n">
        <x:v>48473.12784580982</x:v>
      </x:c>
      <x:c r="K170" s="14" t="n">
        <x:v>0.0663665184977813</x:v>
      </x:c>
      <x:c r="L170" s="14" t="n">
        <x:v>0.048235937606500245</x:v>
      </x:c>
      <x:c r="M170" s="14" t="n">
        <x:v>-0.004288267098710441</x:v>
      </x:c>
      <x:c r="N170" t="n">
        <x:v>18</x:v>
      </x:c>
      <x:c r="O170" t="n">
        <x:v>0</x:v>
      </x:c>
      <x:c r="P170" s="14" t="n">
        <x:v>0</x:v>
      </x:c>
      <x:c r="Q170" s="14" t="n">
        <x:v>0.05555555555555555</x:v>
      </x:c>
      <x:c r="R170" s="14" t="n">
        <x:v>0</x:v>
      </x:c>
      <x:c r="S170" t="n">
        <x:v>6550</x:v>
      </x:c>
      <x:c r="T170" t="n">
        <x:v>278.2285126880697</x:v>
      </x:c>
      <x:c r="U170" s="14" t="n">
        <x:v>0.7233017368514174</x:v>
      </x:c>
      <x:c r="V170" s="14" t="n">
        <x:v>0.6611748552985116</x:v>
      </x:c>
      <x:c r="W170" s="14" t="n">
        <x:v>0.4341990761405429</x:v>
      </x:c>
      <x:c r="X170" s="14" t="n">
        <x:v>0.31719114356057254</x:v>
      </x:c>
      <x:c r="Y170" s="16" t="n">
        <x:v>90.77380952380952</x:v>
      </x:c>
      <x:c r="Z170" s="16" t="n">
        <x:v>60.80246913580247</x:v>
      </x:c>
      <x:c r="AA170" s="16" t="n">
        <x:v>78.68852459016394</x:v>
      </x:c>
      <x:c r="AB170" s="16" t="n">
        <x:v>67.55952380952381</x:v>
      </x:c>
      <x:c r="AC170" s="16" t="n">
        <x:v>81.10119047619048</x:v>
      </x:c>
      <x:c r="AD170" s="16" t="n">
        <x:v>82.8048780487805</x:v>
      </x:c>
      <x:c r="AE170" s="16" t="n">
        <x:v>78.11889737050507</x:v>
      </x:c>
      <x:c r="AF170" t="str">
        <x:v>검토</x:v>
      </x:c>
      <x:c r="AG170" t="str">
        <x:v>수요·직장수요 강점 / 상권 모멘텀 상대적 약점</x:v>
      </x:c>
    </x:row>
    <x:row r="171">
      <x:c r="A171" t="str">
        <x:v>3120032</x:v>
      </x:c>
      <x:c r="B171" t="str">
        <x:v>충무로역</x:v>
      </x:c>
      <x:c r="C171" t="str">
        <x:v>발달상권</x:v>
      </x:c>
      <x:c r="D171" t="str">
        <x:v>중구</x:v>
      </x:c>
      <x:c r="E171" t="str">
        <x:v>필동</x:v>
      </x:c>
      <x:c r="F171" t="str">
        <x:v>CS200031</x:v>
      </x:c>
      <x:c r="G171" t="str">
        <x:v>세탁소</x:v>
      </x:c>
      <x:c r="H171" t="n">
        <x:v>192000000</x:v>
      </x:c>
      <x:c r="I171" t="n">
        <x:v>9260</x:v>
      </x:c>
      <x:c r="J171" t="n">
        <x:v>20734.341252699785</x:v>
      </x:c>
      <x:c r="K171" s="14" t="n">
        <x:v>0.05120723249139947</x:v>
      </x:c>
      <x:c r="L171" s="14" t="n">
        <x:v>0.00038108013748794356</x:v>
      </x:c>
      <x:c r="M171" s="14" t="n">
        <x:v>0.043856378214214065</x:v>
      </x:c>
      <x:c r="N171" t="n">
        <x:v>4</x:v>
      </x:c>
      <x:c r="O171" t="n">
        <x:v>0</x:v>
      </x:c>
      <x:c r="P171" s="14" t="n">
        <x:v>0</x:v>
      </x:c>
      <x:c r="Q171" s="14" t="n">
        <x:v>0</x:v>
      </x:c>
      <x:c r="R171" s="14" t="n">
        <x:v>-0.19999999999999996</x:v>
      </x:c>
      <x:c r="S171" t="n">
        <x:v>12883</x:v>
      </x:c>
      <x:c r="T171" t="n">
        <x:v>544.6988787227925</x:v>
      </x:c>
      <x:c r="U171" s="14" t="n">
        <x:v>0.9339784375</x:v>
      </x:c>
      <x:c r="V171" s="14" t="n">
        <x:v>0.24602163020833334</x:v>
      </x:c>
      <x:c r="W171" s="14" t="n">
        <x:v>0.17186240625</x:v>
      </x:c>
      <x:c r="X171" s="14" t="n">
        <x:v>0.3125059427083333</x:v>
      </x:c>
      <x:c r="Y171" s="16" t="n">
        <x:v>94.17249417249417</x:v>
      </x:c>
      <x:c r="Z171" s="16" t="n">
        <x:v>65.45893719806763</x:v>
      </x:c>
      <x:c r="AA171" s="16" t="n">
        <x:v>42.622950819672134</x:v>
      </x:c>
      <x:c r="AB171" s="16" t="n">
        <x:v>99.18414918414918</x:v>
      </x:c>
      <x:c r="AC171" s="16" t="n">
        <x:v>62.47086247086247</x:v>
      </x:c>
      <x:c r="AD171" s="16" t="n">
        <x:v>90.91463414634147</x:v>
      </x:c>
      <x:c r="AE171" s="16" t="n">
        <x:v>78.116043354963</x:v>
      </x:c>
      <x:c r="AF171" t="str">
        <x:v>검토</x:v>
      </x:c>
      <x:c r="AG171" t="str">
        <x:v>경쟁여건·수요 강점 / 서울 업종추세 상대적 약점</x:v>
      </x:c>
    </x:row>
    <x:row r="172">
      <x:c r="A172" t="str">
        <x:v>3110406</x:v>
      </x:c>
      <x:c r="B172" t="str">
        <x:v>도봉산역 1번</x:v>
      </x:c>
      <x:c r="C172" t="str">
        <x:v>골목상권</x:v>
      </x:c>
      <x:c r="D172" t="str">
        <x:v>도봉구</x:v>
      </x:c>
      <x:c r="E172" t="str">
        <x:v>도봉1동</x:v>
      </x:c>
      <x:c r="F172" t="str">
        <x:v>CS300011</x:v>
      </x:c>
      <x:c r="G172" t="str">
        <x:v>일반의류</x:v>
      </x:c>
      <x:c r="H172" t="n">
        <x:v>557471115</x:v>
      </x:c>
      <x:c r="I172" t="n">
        <x:v>7205</x:v>
      </x:c>
      <x:c r="J172" t="n">
        <x:v>77372.81263011797</x:v>
      </x:c>
      <x:c r="K172" s="14" t="n">
        <x:v>0.8604056499886832</x:v>
      </x:c>
      <x:c r="L172" s="14" t="n">
        <x:v>0.06726691045630595</x:v>
      </x:c>
      <x:c r="M172" s="14" t="n">
        <x:v>0.00788849516466894</x:v>
      </x:c>
      <x:c r="N172" t="n">
        <x:v>39</x:v>
      </x:c>
      <x:c r="O172" t="n">
        <x:v>0</x:v>
      </x:c>
      <x:c r="P172" s="14" t="n">
        <x:v>0</x:v>
      </x:c>
      <x:c r="Q172" s="14" t="n">
        <x:v>0</x:v>
      </x:c>
      <x:c r="R172" s="14" t="n">
        <x:v>-0.09302325581395354</x:v>
      </x:c>
      <x:c r="S172" t="n">
        <x:v>274</x:v>
      </x:c>
      <x:c r="T172" t="n">
        <x:v>11.069275891601894</x:v>
      </x:c>
      <x:c r="U172" s="14" t="n">
        <x:v>0.46019584709783573</x:v>
      </x:c>
      <x:c r="V172" s="14" t="n">
        <x:v>0.180712437450683</x:v>
      </x:c>
      <x:c r="W172" s="14" t="n">
        <x:v>0.05115404409787223</x:v>
      </x:c>
      <x:c r="X172" s="14" t="n">
        <x:v>0.47863340506888863</x:v>
      </x:c>
      <x:c r="Y172" s="16" t="n">
        <x:v>76.32508833922262</x:v>
      </x:c>
      <x:c r="Z172" s="16" t="n">
        <x:v>96.38989169675091</x:v>
      </x:c>
      <x:c r="AA172" s="16" t="n">
        <x:v>81.9672131147541</x:v>
      </x:c>
      <x:c r="AB172" s="16" t="n">
        <x:v>72.85041224970553</x:v>
      </x:c>
      <x:c r="AC172" s="16" t="n">
        <x:v>86.33686690223793</x:v>
      </x:c>
      <x:c r="AD172" s="16" t="n">
        <x:v>5.060975609756097</x:v>
      </x:c>
      <x:c r="AE172" s="16" t="n">
        <x:v>78.10113853345864</x:v>
      </x:c>
      <x:c r="AF172" t="str">
        <x:v>검토</x:v>
      </x:c>
      <x:c r="AG172" t="str">
        <x:v>상권 모멘텀·안정성 강점 / 직장수요 상대적 약점</x:v>
      </x:c>
    </x:row>
    <x:row r="173">
      <x:c r="A173" t="str">
        <x:v>3130129</x:v>
      </x:c>
      <x:c r="B173" t="str">
        <x:v>장미원골목시장</x:v>
      </x:c>
      <x:c r="C173" t="str">
        <x:v>전통시장</x:v>
      </x:c>
      <x:c r="D173" t="str">
        <x:v>강북구</x:v>
      </x:c>
      <x:c r="E173" t="str">
        <x:v>우이동</x:v>
      </x:c>
      <x:c r="F173" t="str">
        <x:v>CS300009</x:v>
      </x:c>
      <x:c r="G173" t="str">
        <x:v>청과상</x:v>
      </x:c>
      <x:c r="H173" t="n">
        <x:v>1304781573</x:v>
      </x:c>
      <x:c r="I173" t="n">
        <x:v>98994</x:v>
      </x:c>
      <x:c r="J173" t="n">
        <x:v>13180.410661252197</x:v>
      </x:c>
      <x:c r="K173" s="14" t="n">
        <x:v>0.16058359994773985</x:v>
      </x:c>
      <x:c r="L173" s="14" t="n">
        <x:v>0.19728256051488424</x:v>
      </x:c>
      <x:c r="M173" s="14" t="n">
        <x:v>0.09797365727115581</x:v>
      </x:c>
      <x:c r="N173" t="n">
        <x:v>12</x:v>
      </x:c>
      <x:c r="O173" t="n">
        <x:v>0</x:v>
      </x:c>
      <x:c r="P173" s="14" t="n">
        <x:v>0</x:v>
      </x:c>
      <x:c r="Q173" s="14" t="n">
        <x:v>0</x:v>
      </x:c>
      <x:c r="R173" s="14" t="n">
        <x:v>0.09090909090909083</x:v>
      </x:c>
      <x:c r="S173" t="n">
        <x:v>210</x:v>
      </x:c>
      <x:c r="T173" t="n">
        <x:v>48.24813325674899</x:v>
      </x:c>
      <x:c r="U173" s="14" t="n">
        <x:v>0.7854678784615239</x:v>
      </x:c>
      <x:c r="V173" s="14" t="n">
        <x:v>0.2865397233809647</x:v>
      </x:c>
      <x:c r="W173" s="14" t="n">
        <x:v>0.07056737840671513</x:v>
      </x:c>
      <x:c r="X173" s="14" t="n">
        <x:v>0.6568608637148495</x:v>
      </x:c>
      <x:c r="Y173" s="16" t="n">
        <x:v>76.55677655677655</x:v>
      </x:c>
      <x:c r="Z173" s="16" t="n">
        <x:v>84.35114503816794</x:v>
      </x:c>
      <x:c r="AA173" s="16" t="n">
        <x:v>95.08196721311475</x:v>
      </x:c>
      <x:c r="AB173" s="16" t="n">
        <x:v>76.55677655677655</x:v>
      </x:c>
      <x:c r="AC173" s="16" t="n">
        <x:v>69.5970695970696</x:v>
      </x:c>
      <x:c r="AD173" s="16" t="n">
        <x:v>34.451219512195124</x:v>
      </x:c>
      <x:c r="AE173" s="16" t="n">
        <x:v>78.09318030330579</x:v>
      </x:c>
      <x:c r="AF173" t="str">
        <x:v>검토</x:v>
      </x:c>
      <x:c r="AG173" t="str">
        <x:v>서울 업종추세·상권 모멘텀 강점 / 직장수요 상대적 약점</x:v>
      </x:c>
    </x:row>
    <x:row r="174">
      <x:c r="A174" t="str">
        <x:v>3130131</x:v>
      </x:c>
      <x:c r="B174" t="str">
        <x:v>동북프라자</x:v>
      </x:c>
      <x:c r="C174" t="str">
        <x:v>전통시장</x:v>
      </x:c>
      <x:c r="D174" t="str">
        <x:v>강북구</x:v>
      </x:c>
      <x:c r="E174" t="str">
        <x:v>삼양동</x:v>
      </x:c>
      <x:c r="F174" t="str">
        <x:v>CS300007</x:v>
      </x:c>
      <x:c r="G174" t="str">
        <x:v>육류판매</x:v>
      </x:c>
      <x:c r="H174" t="n">
        <x:v>1143823186</x:v>
      </x:c>
      <x:c r="I174" t="n">
        <x:v>35372</x:v>
      </x:c>
      <x:c r="J174" t="n">
        <x:v>32336.966696822346</x:v>
      </x:c>
      <x:c r="K174" s="14" t="n">
        <x:v>0.07897020307912417</x:v>
      </x:c>
      <x:c r="L174" s="14" t="n">
        <x:v>0.23518223683931017</x:v>
      </x:c>
      <x:c r="M174" s="14" t="n">
        <x:v>0.00863079289162072</x:v>
      </x:c>
      <x:c r="N174" t="n">
        <x:v>6</x:v>
      </x:c>
      <x:c r="O174" t="n">
        <x:v>0</x:v>
      </x:c>
      <x:c r="P174" s="14" t="n">
        <x:v>0</x:v>
      </x:c>
      <x:c r="Q174" s="14" t="n">
        <x:v>0</x:v>
      </x:c>
      <x:c r="R174" s="14" t="n">
        <x:v>-0.4</x:v>
      </x:c>
      <x:c r="S174" t="n">
        <x:v>20</x:v>
      </x:c>
      <x:c r="T174" t="n">
        <x:v>23.657440264963334</x:v>
      </x:c>
      <x:c r="U174" s="14" t="n">
        <x:v>0.7213470255707861</x:v>
      </x:c>
      <x:c r="V174" s="14" t="n">
        <x:v>0.241116082778899</x:v>
      </x:c>
      <x:c r="W174" s="14" t="n">
        <x:v>0.12862394975091893</x:v>
      </x:c>
      <x:c r="X174" s="14" t="n">
        <x:v>0.5486874367311523</x:v>
      </x:c>
      <x:c r="Y174" s="16" t="n">
        <x:v>74.5049504950495</x:v>
      </x:c>
      <x:c r="Z174" s="16" t="n">
        <x:v>77.14285714285714</x:v>
      </x:c>
      <x:c r="AA174" s="16" t="n">
        <x:v>100</x:v>
      </x:c>
      <x:c r="AB174" s="16" t="n">
        <x:v>94.18316831683168</x:v>
      </x:c>
      <x:c r="AC174" s="16" t="n">
        <x:v>66.83168316831683</x:v>
      </x:c>
      <x:c r="AD174" s="16" t="n">
        <x:v>15.365853658536585</x:v>
      </x:c>
      <x:c r="AE174" s="16" t="n">
        <x:v>78.08424034912201</x:v>
      </x:c>
      <x:c r="AF174" t="str">
        <x:v>검토</x:v>
      </x:c>
      <x:c r="AG174" t="str">
        <x:v>서울 업종추세·경쟁여건 강점 / 직장수요 상대적 약점</x:v>
      </x:c>
    </x:row>
    <x:row r="175">
      <x:c r="A175" t="str">
        <x:v>3120088</x:v>
      </x:c>
      <x:c r="B175" t="str">
        <x:v>구산역</x:v>
      </x:c>
      <x:c r="C175" t="str">
        <x:v>발달상권</x:v>
      </x:c>
      <x:c r="D175" t="str">
        <x:v>은평구</x:v>
      </x:c>
      <x:c r="E175" t="str">
        <x:v>갈현2동</x:v>
      </x:c>
      <x:c r="F175" t="str">
        <x:v>CS300010</x:v>
      </x:c>
      <x:c r="G175" t="str">
        <x:v>반찬가게</x:v>
      </x:c>
      <x:c r="H175" t="n">
        <x:v>11480249930</x:v>
      </x:c>
      <x:c r="I175" t="n">
        <x:v>247760</x:v>
      </x:c>
      <x:c r="J175" t="n">
        <x:v>46336.17181950274</x:v>
      </x:c>
      <x:c r="K175" s="14" t="n">
        <x:v>0.08011651711656698</x:v>
      </x:c>
      <x:c r="L175" s="14" t="n">
        <x:v>0.02346021551670452</x:v>
      </x:c>
      <x:c r="M175" s="14" t="n">
        <x:v>0.024589273784872745</x:v>
      </x:c>
      <x:c r="N175" t="n">
        <x:v>22</x:v>
      </x:c>
      <x:c r="O175" t="n">
        <x:v>0</x:v>
      </x:c>
      <x:c r="P175" s="14" t="n">
        <x:v>0</x:v>
      </x:c>
      <x:c r="Q175" s="14" t="n">
        <x:v>0.045454545454545456</x:v>
      </x:c>
      <x:c r="R175" s="14" t="n">
        <x:v>0.04761904761904767</x:v>
      </x:c>
      <x:c r="S175" t="n">
        <x:v>1239</x:v>
      </x:c>
      <x:c r="T175" t="n">
        <x:v>208.68422825574345</x:v>
      </x:c>
      <x:c r="U175" s="14" t="n">
        <x:v>0.8521990252524058</x:v>
      </x:c>
      <x:c r="V175" s="14" t="n">
        <x:v>0.05017421036233485</x:v>
      </x:c>
      <x:c r="W175" s="14" t="n">
        <x:v>0.024066975517492064</x:v>
      </x:c>
      <x:c r="X175" s="14" t="n">
        <x:v>0.6241917347351688</x:v>
      </x:c>
      <x:c r="Y175" s="16" t="n">
        <x:v>96.74185463659148</x:v>
      </x:c>
      <x:c r="Z175" s="16" t="n">
        <x:v>69.16666666666667</x:v>
      </x:c>
      <x:c r="AA175" s="16" t="n">
        <x:v>63.9344262295082</x:v>
      </x:c>
      <x:c r="AB175" s="16" t="n">
        <x:v>63.53383458646616</x:v>
      </x:c>
      <x:c r="AC175" s="16" t="n">
        <x:v>73.93483709273183</x:v>
      </x:c>
      <x:c r="AD175" s="16" t="n">
        <x:v>77.2560975609756</x:v>
      </x:c>
      <x:c r="AE175" s="16" t="n">
        <x:v>78.06951016585846</x:v>
      </x:c>
      <x:c r="AF175" t="str">
        <x:v>검토</x:v>
      </x:c>
      <x:c r="AG175" t="str">
        <x:v>수요·직장수요 강점 / 경쟁여건 상대적 약점</x:v>
      </x:c>
    </x:row>
    <x:row r="176">
      <x:c r="A176" t="str">
        <x:v>3120125</x:v>
      </x:c>
      <x:c r="B176" t="str">
        <x:v>구로역</x:v>
      </x:c>
      <x:c r="C176" t="str">
        <x:v>발달상권</x:v>
      </x:c>
      <x:c r="D176" t="str">
        <x:v>구로구</x:v>
      </x:c>
      <x:c r="E176" t="str">
        <x:v>구로2동</x:v>
      </x:c>
      <x:c r="F176" t="str">
        <x:v>CS300020</x:v>
      </x:c>
      <x:c r="G176" t="str">
        <x:v>서적</x:v>
      </x:c>
      <x:c r="H176" t="n">
        <x:v>6465000000</x:v>
      </x:c>
      <x:c r="I176" t="n">
        <x:v>230028</x:v>
      </x:c>
      <x:c r="J176" t="n">
        <x:v>28105.27414053941</x:v>
      </x:c>
      <x:c r="K176" s="14"/>
      <x:c r="L176" s="14" t="n">
        <x:v>0.20039418624921757</x:v>
      </x:c>
      <x:c r="M176" s="14" t="n">
        <x:v>-0.01061516125540185</x:v>
      </x:c>
      <x:c r="N176" t="n">
        <x:v>13</x:v>
      </x:c>
      <x:c r="O176" t="n">
        <x:v>0</x:v>
      </x:c>
      <x:c r="P176" s="14" t="n">
        <x:v>0</x:v>
      </x:c>
      <x:c r="Q176" s="14" t="n">
        <x:v>0</x:v>
      </x:c>
      <x:c r="R176" s="14" t="n">
        <x:v>0</x:v>
      </x:c>
      <x:c r="S176" t="n">
        <x:v>12431</x:v>
      </x:c>
      <x:c r="T176" t="n">
        <x:v>189.05917547629804</x:v>
      </x:c>
      <x:c r="U176" s="14" t="n">
        <x:v>0.666069139675174</x:v>
      </x:c>
      <x:c r="V176" s="14" t="n">
        <x:v>0.3163989797370456</x:v>
      </x:c>
      <x:c r="W176" s="14" t="n">
        <x:v>0.22026142846094354</x:v>
      </x:c>
      <x:c r="X176" s="14" t="n">
        <x:v>0.4171153385924207</x:v>
      </x:c>
      <x:c r="Y176" s="16" t="n">
        <x:v>99.32885906040268</x:v>
      </x:c>
      <x:c r="Z176" s="16" t="n">
        <x:v>50</x:v>
      </x:c>
      <x:c r="AA176" s="16" t="n">
        <x:v>96.72131147540983</x:v>
      </x:c>
      <x:c r="AB176" s="16" t="n">
        <x:v>60.738255033557046</x:v>
      </x:c>
      <x:c r="AC176" s="16" t="n">
        <x:v>59.395973154362416</x:v>
      </x:c>
      <x:c r="AD176" s="16" t="n">
        <x:v>74.63414634146342</x:v>
      </x:c>
      <x:c r="AE176" s="16" t="n">
        <x:v>78.05534027999538</x:v>
      </x:c>
      <x:c r="AF176" t="str">
        <x:v>검토</x:v>
      </x:c>
      <x:c r="AG176" t="str">
        <x:v>수요·서울 업종추세 강점 / 상권 모멘텀 상대적 약점</x:v>
      </x:c>
    </x:row>
    <x:row r="177">
      <x:c r="A177" t="str">
        <x:v>3120095</x:v>
      </x:c>
      <x:c r="B177" t="str">
        <x:v>홍제역</x:v>
      </x:c>
      <x:c r="C177" t="str">
        <x:v>발달상권</x:v>
      </x:c>
      <x:c r="D177" t="str">
        <x:v>서대문구</x:v>
      </x:c>
      <x:c r="E177" t="str">
        <x:v>홍제1동</x:v>
      </x:c>
      <x:c r="F177" t="str">
        <x:v>CS300031</x:v>
      </x:c>
      <x:c r="G177" t="str">
        <x:v>가구</x:v>
      </x:c>
      <x:c r="H177" t="n">
        <x:v>2886775485</x:v>
      </x:c>
      <x:c r="I177" t="n">
        <x:v>1184</x:v>
      </x:c>
      <x:c r="J177" t="n">
        <x:v>2438154.970439189</x:v>
      </x:c>
      <x:c r="K177" s="14" t="n">
        <x:v>6.366909142945446</x:v>
      </x:c>
      <x:c r="L177" s="14" t="n">
        <x:v>0.007439212551848762</x:v>
      </x:c>
      <x:c r="M177" s="14" t="n">
        <x:v>-0.09845567001162137</x:v>
      </x:c>
      <x:c r="N177" t="n">
        <x:v>9</x:v>
      </x:c>
      <x:c r="O177" t="n">
        <x:v>0</x:v>
      </x:c>
      <x:c r="P177" s="14" t="n">
        <x:v>0</x:v>
      </x:c>
      <x:c r="Q177" s="14" t="n">
        <x:v>0</x:v>
      </x:c>
      <x:c r="R177" s="14" t="n">
        <x:v>-0.18181818181818177</x:v>
      </x:c>
      <x:c r="S177" t="n">
        <x:v>988</x:v>
      </x:c>
      <x:c r="T177" t="n">
        <x:v>98.1970699902598</x:v>
      </x:c>
      <x:c r="U177" s="14" t="n">
        <x:v>0.9989835596792177</x:v>
      </x:c>
      <x:c r="V177" s="14" t="n">
        <x:v>0.15916217744934882</x:v>
      </x:c>
      <x:c r="W177" s="14" t="n">
        <x:v>0.32713813315482</x:v>
      </x:c>
      <x:c r="X177" s="14" t="n">
        <x:v>0.5296660983664963</x:v>
      </x:c>
      <x:c r="Y177" s="16" t="n">
        <x:v>88.29787234042553</x:v>
      </x:c>
      <x:c r="Z177" s="16" t="n">
        <x:v>100</x:v>
      </x:c>
      <x:c r="AA177" s="16" t="n">
        <x:v>49.18032786885246</x:v>
      </x:c>
      <x:c r="AB177" s="16" t="n">
        <x:v>70.74468085106383</x:v>
      </x:c>
      <x:c r="AC177" s="16" t="n">
        <x:v>62.234042553191486</x:v>
      </x:c>
      <x:c r="AD177" s="16" t="n">
        <x:v>58.65853658536585</x:v>
      </x:c>
      <x:c r="AE177" s="16" t="n">
        <x:v>78.04933771172382</x:v>
      </x:c>
      <x:c r="AF177" t="str">
        <x:v>검토</x:v>
      </x:c>
      <x:c r="AG177" t="str">
        <x:v>상권 모멘텀·수요 강점 / 서울 업종추세 상대적 약점</x:v>
      </x:c>
    </x:row>
    <x:row r="178">
      <x:c r="A178" t="str">
        <x:v>3120125</x:v>
      </x:c>
      <x:c r="B178" t="str">
        <x:v>구로역</x:v>
      </x:c>
      <x:c r="C178" t="str">
        <x:v>발달상권</x:v>
      </x:c>
      <x:c r="D178" t="str">
        <x:v>구로구</x:v>
      </x:c>
      <x:c r="E178" t="str">
        <x:v>구로2동</x:v>
      </x:c>
      <x:c r="F178" t="str">
        <x:v>CS300035</x:v>
      </x:c>
      <x:c r="G178" t="str">
        <x:v>인테리어</x:v>
      </x:c>
      <x:c r="H178" t="n">
        <x:v>1670042212</x:v>
      </x:c>
      <x:c r="I178" t="n">
        <x:v>7003</x:v>
      </x:c>
      <x:c r="J178" t="n">
        <x:v>238475.25517635298</x:v>
      </x:c>
      <x:c r="K178" s="14" t="n">
        <x:v>0.845115104899198</x:v>
      </x:c>
      <x:c r="L178" s="14" t="n">
        <x:v>0.20213561276420866</x:v>
      </x:c>
      <x:c r="M178" s="14" t="n">
        <x:v>0.044160820891303576</x:v>
      </x:c>
      <x:c r="N178" t="n">
        <x:v>28</x:v>
      </x:c>
      <x:c r="O178" t="n">
        <x:v>0</x:v>
      </x:c>
      <x:c r="P178" s="14" t="n">
        <x:v>0</x:v>
      </x:c>
      <x:c r="Q178" s="14" t="n">
        <x:v>0</x:v>
      </x:c>
      <x:c r="R178" s="14" t="n">
        <x:v>0.1200000000000001</x:v>
      </x:c>
      <x:c r="S178" t="n">
        <x:v>12431</x:v>
      </x:c>
      <x:c r="T178" t="n">
        <x:v>189.05917547629804</x:v>
      </x:c>
      <x:c r="U178" s="14" t="n">
        <x:v>1</x:v>
      </x:c>
      <x:c r="V178" s="14" t="n">
        <x:v>0.001962727634335988</x:v>
      </x:c>
      <x:c r="W178" s="14" t="n">
        <x:v>0.012954003703949491</x:v>
      </x:c>
      <x:c r="X178" s="14" t="n">
        <x:v>0.031138676391731828</x:v>
      </x:c>
      <x:c r="Y178" s="16" t="n">
        <x:v>96.73913043478261</x:v>
      </x:c>
      <x:c r="Z178" s="16" t="n">
        <x:v>87.26114649681529</x:v>
      </x:c>
      <x:c r="AA178" s="16" t="n">
        <x:v>98.36065573770492</x:v>
      </x:c>
      <x:c r="AB178" s="16" t="n">
        <x:v>14.673913043478265</x:v>
      </x:c>
      <x:c r="AC178" s="16" t="n">
        <x:v>60.32608695652174</x:v>
      </x:c>
      <x:c r="AD178" s="16" t="n">
        <x:v>74.63414634146342</x:v>
      </x:c>
      <x:c r="AE178" s="16" t="n">
        <x:v>78.03042628143979</x:v>
      </x:c>
      <x:c r="AF178" t="str">
        <x:v>검토</x:v>
      </x:c>
      <x:c r="AG178" t="str">
        <x:v>서울 업종추세·수요 강점 / 경쟁여건 상대적 약점</x:v>
      </x:c>
    </x:row>
    <x:row r="179">
      <x:c r="A179" t="str">
        <x:v>3110286</x:v>
      </x:c>
      <x:c r="B179" t="str">
        <x:v>한성대입구역 5번</x:v>
      </x:c>
      <x:c r="C179" t="str">
        <x:v>골목상권</x:v>
      </x:c>
      <x:c r="D179" t="str">
        <x:v>성북구</x:v>
      </x:c>
      <x:c r="E179" t="str">
        <x:v>성북동</x:v>
      </x:c>
      <x:c r="F179" t="str">
        <x:v>CS300001</x:v>
      </x:c>
      <x:c r="G179" t="str">
        <x:v>슈퍼마켓</x:v>
      </x:c>
      <x:c r="H179" t="n">
        <x:v>1957696036</x:v>
      </x:c>
      <x:c r="I179" t="n">
        <x:v>57224</x:v>
      </x:c>
      <x:c r="J179" t="n">
        <x:v>34211.100866769186</x:v>
      </x:c>
      <x:c r="K179" s="14" t="n">
        <x:v>0.05971033477041909</x:v>
      </x:c>
      <x:c r="L179" s="14" t="n">
        <x:v>-0.02979620222776047</x:v>
      </x:c>
      <x:c r="M179" s="14" t="n">
        <x:v>-0.03099912402160654</x:v>
      </x:c>
      <x:c r="N179" t="n">
        <x:v>15</x:v>
      </x:c>
      <x:c r="O179" t="n">
        <x:v>0</x:v>
      </x:c>
      <x:c r="P179" s="14" t="n">
        <x:v>0</x:v>
      </x:c>
      <x:c r="Q179" s="14" t="n">
        <x:v>0.2</x:v>
      </x:c>
      <x:c r="R179" s="14" t="n">
        <x:v>-0.25</x:v>
      </x:c>
      <x:c r="S179" t="n">
        <x:v>4146</x:v>
      </x:c>
      <x:c r="T179" t="n">
        <x:v>369.59448015190276</x:v>
      </x:c>
      <x:c r="U179" s="14" t="n">
        <x:v>0.7443732214820707</x:v>
      </x:c>
      <x:c r="V179" s="14" t="n">
        <x:v>0.2350368870032283</x:v>
      </x:c>
      <x:c r="W179" s="14" t="n">
        <x:v>0.0593370384696432</x:v>
      </x:c>
      <x:c r="X179" s="14" t="n">
        <x:v>0.43772259035212147</x:v>
      </x:c>
      <x:c r="Y179" s="16" t="n">
        <x:v>88.16234498308907</x:v>
      </x:c>
      <x:c r="Z179" s="16" t="n">
        <x:v>79.83682983682984</x:v>
      </x:c>
      <x:c r="AA179" s="16" t="n">
        <x:v>31.147540983606557</x:v>
      </x:c>
      <x:c r="AB179" s="16" t="n">
        <x:v>95.49041713641488</x:v>
      </x:c>
      <x:c r="AC179" s="16" t="n">
        <x:v>78.80496054114994</x:v>
      </x:c>
      <x:c r="AD179" s="16" t="n">
        <x:v>86.58536585365853</x:v>
      </x:c>
      <x:c r="AE179" s="16" t="n">
        <x:v>78.02964477624828</x:v>
      </x:c>
      <x:c r="AF179" t="str">
        <x:v>검토</x:v>
      </x:c>
      <x:c r="AG179" t="str">
        <x:v>경쟁여건·수요 강점 / 서울 업종추세 상대적 약점</x:v>
      </x:c>
    </x:row>
    <x:row r="180">
      <x:c r="A180" t="str">
        <x:v>3120057</x:v>
      </x:c>
      <x:c r="B180" t="str">
        <x:v>아차산역</x:v>
      </x:c>
      <x:c r="C180" t="str">
        <x:v>발달상권</x:v>
      </x:c>
      <x:c r="D180" t="str">
        <x:v>광진구</x:v>
      </x:c>
      <x:c r="E180" t="str">
        <x:v>중곡2동</x:v>
      </x:c>
      <x:c r="F180" t="str">
        <x:v>CS300004</x:v>
      </x:c>
      <x:c r="G180" t="str">
        <x:v>핸드폰</x:v>
      </x:c>
      <x:c r="H180" t="n">
        <x:v>1211537986</x:v>
      </x:c>
      <x:c r="I180" t="n">
        <x:v>11993</x:v>
      </x:c>
      <x:c r="J180" t="n">
        <x:v>101020.42741599266</x:v>
      </x:c>
      <x:c r="K180" s="14" t="n">
        <x:v>1.5760349676740226</x:v>
      </x:c>
      <x:c r="L180" s="14" t="n">
        <x:v>0.021417847123978317</x:v>
      </x:c>
      <x:c r="M180" s="14" t="n">
        <x:v>-0.06496332404204874</x:v>
      </x:c>
      <x:c r="N180" t="n">
        <x:v>15</x:v>
      </x:c>
      <x:c r="O180" t="n">
        <x:v>0</x:v>
      </x:c>
      <x:c r="P180" s="14" t="n">
        <x:v>0</x:v>
      </x:c>
      <x:c r="Q180" s="14" t="n">
        <x:v>0.06666666666666667</x:v>
      </x:c>
      <x:c r="R180" s="14" t="n">
        <x:v>-0.16666666666666663</x:v>
      </x:c>
      <x:c r="S180" t="n">
        <x:v>2527</x:v>
      </x:c>
      <x:c r="T180" t="n">
        <x:v>125.5608500573893</x:v>
      </x:c>
      <x:c r="U180" s="14" t="n">
        <x:v>0.9841078569368109</x:v>
      </x:c>
      <x:c r="V180" s="14" t="n">
        <x:v>0.02189147043384573</x:v>
      </x:c>
      <x:c r="W180" s="14" t="n">
        <x:v>0.9416227441340828</x:v>
      </x:c>
      <x:c r="X180" s="14" t="n">
        <x:v>0.04248511197733094</x:v>
      </x:c>
      <x:c r="Y180" s="16" t="n">
        <x:v>91.37931034482759</x:v>
      </x:c>
      <x:c r="Z180" s="16" t="n">
        <x:v>93.90243902439025</x:v>
      </x:c>
      <x:c r="AA180" s="16" t="n">
        <x:v>55.73770491803279</x:v>
      </x:c>
      <x:c r="AB180" s="16" t="n">
        <x:v>64.08045977011494</x:v>
      </x:c>
      <x:c r="AC180" s="16" t="n">
        <x:v>60.3448275862069</x:v>
      </x:c>
      <x:c r="AD180" s="16" t="n">
        <x:v>65.1829268292683</x:v>
      </x:c>
      <x:c r="AE180" s="16" t="n">
        <x:v>78.02960022887397</x:v>
      </x:c>
      <x:c r="AF180" t="str">
        <x:v>검토</x:v>
      </x:c>
      <x:c r="AG180" t="str">
        <x:v>상권 모멘텀·수요 강점 / 서울 업종추세 상대적 약점</x:v>
      </x:c>
    </x:row>
    <x:row r="181">
      <x:c r="A181" t="str">
        <x:v>3120162</x:v>
      </x:c>
      <x:c r="B181" t="str">
        <x:v>방배동카페골목</x:v>
      </x:c>
      <x:c r="C181" t="str">
        <x:v>발달상권</x:v>
      </x:c>
      <x:c r="D181" t="str">
        <x:v>서초구</x:v>
      </x:c>
      <x:c r="E181" t="str">
        <x:v>방배본동</x:v>
      </x:c>
      <x:c r="F181" t="str">
        <x:v>CS300001</x:v>
      </x:c>
      <x:c r="G181" t="str">
        <x:v>슈퍼마켓</x:v>
      </x:c>
      <x:c r="H181" t="n">
        <x:v>2054406729</x:v>
      </x:c>
      <x:c r="I181" t="n">
        <x:v>99347</x:v>
      </x:c>
      <x:c r="J181" t="n">
        <x:v>20679.101824916706</x:v>
      </x:c>
      <x:c r="K181" s="14" t="n">
        <x:v>0.06565806757742165</x:v>
      </x:c>
      <x:c r="L181" s="14" t="n">
        <x:v>-0.02979620222776047</x:v>
      </x:c>
      <x:c r="M181" s="14" t="n">
        <x:v>-0.03099912402160654</x:v>
      </x:c>
      <x:c r="N181" t="n">
        <x:v>21</x:v>
      </x:c>
      <x:c r="O181" t="n">
        <x:v>0</x:v>
      </x:c>
      <x:c r="P181" s="14" t="n">
        <x:v>0</x:v>
      </x:c>
      <x:c r="Q181" s="14" t="n">
        <x:v>0.42857142857142855</x:v>
      </x:c>
      <x:c r="R181" s="14" t="n">
        <x:v>0.16666666666666674</x:v>
      </x:c>
      <x:c r="S181" t="n">
        <x:v>7381</x:v>
      </x:c>
      <x:c r="T181" t="n">
        <x:v>772.6692209450831</x:v>
      </x:c>
      <x:c r="U181" s="14" t="n">
        <x:v>0.7113771895165945</x:v>
      </x:c>
      <x:c r="V181" s="14" t="n">
        <x:v>0.3221620581052916</x:v>
      </x:c>
      <x:c r="W181" s="14" t="n">
        <x:v>0.15273020652182648</x:v>
      </x:c>
      <x:c r="X181" s="14" t="n">
        <x:v>0.4825089482074024</x:v>
      </x:c>
      <x:c r="Y181" s="16" t="n">
        <x:v>89.17700112739571</x:v>
      </x:c>
      <x:c r="Z181" s="16" t="n">
        <x:v>82.28438228438229</x:v>
      </x:c>
      <x:c r="AA181" s="16" t="n">
        <x:v>31.147540983606557</x:v>
      </x:c>
      <x:c r="AB181" s="16" t="n">
        <x:v>87.14768883878241</x:v>
      </x:c>
      <x:c r="AC181" s="16" t="n">
        <x:v>78.80496054114994</x:v>
      </x:c>
      <x:c r="AD181" s="16" t="n">
        <x:v>94.63414634146342</x:v>
      </x:c>
      <x:c r="AE181" s="16" t="n">
        <x:v>78.02531469601148</x:v>
      </x:c>
      <x:c r="AF181" t="str">
        <x:v>검토</x:v>
      </x:c>
      <x:c r="AG181" t="str">
        <x:v>직장수요·수요 강점 / 서울 업종추세 상대적 약점</x:v>
      </x:c>
    </x:row>
    <x:row r="182">
      <x:c r="A182" t="str">
        <x:v>3130001</x:v>
      </x:c>
      <x:c r="B182" t="str">
        <x:v>통인시장</x:v>
      </x:c>
      <x:c r="C182" t="str">
        <x:v>전통시장</x:v>
      </x:c>
      <x:c r="D182" t="str">
        <x:v>종로구</x:v>
      </x:c>
      <x:c r="E182" t="str">
        <x:v>청운효자동</x:v>
      </x:c>
      <x:c r="F182" t="str">
        <x:v>CS300020</x:v>
      </x:c>
      <x:c r="G182" t="str">
        <x:v>서적</x:v>
      </x:c>
      <x:c r="H182" t="n">
        <x:v>4029604071</x:v>
      </x:c>
      <x:c r="I182" t="n">
        <x:v>1779</x:v>
      </x:c>
      <x:c r="J182" t="n">
        <x:v>2265095.037099494</x:v>
      </x:c>
      <x:c r="K182" s="14" t="n">
        <x:v>-0.0017352592702603031</x:v>
      </x:c>
      <x:c r="L182" s="14" t="n">
        <x:v>0.20039418624921757</x:v>
      </x:c>
      <x:c r="M182" s="14" t="n">
        <x:v>-0.01061516125540185</x:v>
      </x:c>
      <x:c r="N182" t="n">
        <x:v>15</x:v>
      </x:c>
      <x:c r="O182" t="n">
        <x:v>0</x:v>
      </x:c>
      <x:c r="P182" s="14" t="n">
        <x:v>0</x:v>
      </x:c>
      <x:c r="Q182" s="14" t="n">
        <x:v>0</x:v>
      </x:c>
      <x:c r="R182" s="14" t="n">
        <x:v>0.0714285714285714</x:v>
      </x:c>
      <x:c r="S182" t="n">
        <x:v>799</x:v>
      </x:c>
      <x:c r="T182" t="n">
        <x:v>208.7251828631139</x:v>
      </x:c>
      <x:c r="U182" s="14" t="n">
        <x:v>1</x:v>
      </x:c>
      <x:c r="V182" s="14" t="n">
        <x:v>0.16839286169164683</x:v>
      </x:c>
      <x:c r="W182" s="14" t="n">
        <x:v>0.4518527753393269</x:v>
      </x:c>
      <x:c r="X182" s="14" t="n">
        <x:v>0.998596814997113</x:v>
      </x:c>
      <x:c r="Y182" s="16" t="n">
        <x:v>97.98657718120805</x:v>
      </x:c>
      <x:c r="Z182" s="16" t="n">
        <x:v>58.57142857142857</x:v>
      </x:c>
      <x:c r="AA182" s="16" t="n">
        <x:v>96.72131147540983</x:v>
      </x:c>
      <x:c r="AB182" s="16" t="n">
        <x:v>51.34228187919463</x:v>
      </x:c>
      <x:c r="AC182" s="16" t="n">
        <x:v>59.395973154362416</x:v>
      </x:c>
      <x:c r="AD182" s="16" t="n">
        <x:v>77.3170731707317</x:v>
      </x:c>
      <x:c r="AE182" s="16" t="n">
        <x:v>78.02457770487202</x:v>
      </x:c>
      <x:c r="AF182" t="str">
        <x:v>검토</x:v>
      </x:c>
      <x:c r="AG182" t="str">
        <x:v>수요·서울 업종추세 강점 / 경쟁여건 상대적 약점</x:v>
      </x:c>
    </x:row>
    <x:row r="183">
      <x:c r="A183" t="str">
        <x:v>3120152</x:v>
      </x:c>
      <x:c r="B183" t="str">
        <x:v>신대방삼거리역</x:v>
      </x:c>
      <x:c r="C183" t="str">
        <x:v>발달상권</x:v>
      </x:c>
      <x:c r="D183" t="str">
        <x:v>동작구</x:v>
      </x:c>
      <x:c r="E183" t="str">
        <x:v>대방동</x:v>
      </x:c>
      <x:c r="F183" t="str">
        <x:v>CS300018</x:v>
      </x:c>
      <x:c r="G183" t="str">
        <x:v>의약품</x:v>
      </x:c>
      <x:c r="H183" t="n">
        <x:v>7060213236</x:v>
      </x:c>
      <x:c r="I183" t="n">
        <x:v>302637</x:v>
      </x:c>
      <x:c r="J183" t="n">
        <x:v>23328.982365011547</x:v>
      </x:c>
      <x:c r="K183" s="14" t="n">
        <x:v>0.15109725581480715</x:v>
      </x:c>
      <x:c r="L183" s="14" t="n">
        <x:v>0.027829225601598617</x:v>
      </x:c>
      <x:c r="M183" s="14" t="n">
        <x:v>0.02632929521123617</x:v>
      </x:c>
      <x:c r="N183" t="n">
        <x:v>33</x:v>
      </x:c>
      <x:c r="O183" t="n">
        <x:v>0</x:v>
      </x:c>
      <x:c r="P183" s="14" t="n">
        <x:v>0</x:v>
      </x:c>
      <x:c r="Q183" s="14" t="n">
        <x:v>0.030303030303030304</x:v>
      </x:c>
      <x:c r="R183" s="14" t="n">
        <x:v>-0.02941176470588236</x:v>
      </x:c>
      <x:c r="S183" t="n">
        <x:v>3098</x:v>
      </x:c>
      <x:c r="T183" t="n">
        <x:v>276.11900390381294</x:v>
      </x:c>
      <x:c r="U183" s="14" t="n">
        <x:v>0.8104288949552628</x:v>
      </x:c>
      <x:c r="V183" s="14" t="n">
        <x:v>0.21498704816172778</x:v>
      </x:c>
      <x:c r="W183" s="14" t="n">
        <x:v>0.34733042247167617</x:v>
      </x:c>
      <x:c r="X183" s="14" t="n">
        <x:v>0.5101472483344694</x:v>
      </x:c>
      <x:c r="Y183" s="16" t="n">
        <x:v>93.47079037800687</x:v>
      </x:c>
      <x:c r="Z183" s="16" t="n">
        <x:v>96.15384615384616</x:v>
      </x:c>
      <x:c r="AA183" s="16" t="n">
        <x:v>72.1311475409836</x:v>
      </x:c>
      <x:c r="AB183" s="16" t="n">
        <x:v>29.89690721649484</x:v>
      </x:c>
      <x:c r="AC183" s="16" t="n">
        <x:v>66.32302405498282</x:v>
      </x:c>
      <x:c r="AD183" s="16" t="n">
        <x:v>82.6219512195122</x:v>
      </x:c>
      <x:c r="AE183" s="16" t="n">
        <x:v>78.01315404316729</x:v>
      </x:c>
      <x:c r="AF183" t="str">
        <x:v>검토</x:v>
      </x:c>
      <x:c r="AG183" t="str">
        <x:v>상권 모멘텀·수요 강점 / 경쟁여건 상대적 약점</x:v>
      </x:c>
    </x:row>
    <x:row r="184">
      <x:c r="A184" t="str">
        <x:v>3110392</x:v>
      </x:c>
      <x:c r="B184" t="str">
        <x:v>발바닥공원</x:v>
      </x:c>
      <x:c r="C184" t="str">
        <x:v>골목상권</x:v>
      </x:c>
      <x:c r="D184" t="str">
        <x:v>도봉구</x:v>
      </x:c>
      <x:c r="E184" t="str">
        <x:v>쌍문4동</x:v>
      </x:c>
      <x:c r="F184" t="str">
        <x:v>CS200006</x:v>
      </x:c>
      <x:c r="G184" t="str">
        <x:v>일반의원</x:v>
      </x:c>
      <x:c r="H184" t="n">
        <x:v>2664688847</x:v>
      </x:c>
      <x:c r="I184" t="n">
        <x:v>114774</x:v>
      </x:c>
      <x:c r="J184" t="n">
        <x:v>23216.833490163277</x:v>
      </x:c>
      <x:c r="K184" s="14" t="n">
        <x:v>0.0752277650666675</x:v>
      </x:c>
      <x:c r="L184" s="14" t="n">
        <x:v>0.09973642051122278</x:v>
      </x:c>
      <x:c r="M184" s="14" t="n">
        <x:v>0.06942273842247415</x:v>
      </x:c>
      <x:c r="N184" t="n">
        <x:v>6</x:v>
      </x:c>
      <x:c r="O184" t="n">
        <x:v>0</x:v>
      </x:c>
      <x:c r="P184" s="14" t="n">
        <x:v>0</x:v>
      </x:c>
      <x:c r="Q184" s="14" t="n">
        <x:v>0</x:v>
      </x:c>
      <x:c r="R184" s="14" t="n">
        <x:v>0</x:v>
      </x:c>
      <x:c r="S184" t="n">
        <x:v>265</x:v>
      </x:c>
      <x:c r="T184" t="n">
        <x:v>255.9150169000483</x:v>
      </x:c>
      <x:c r="U184" s="14" t="n">
        <x:v>0.8307980308816897</x:v>
      </x:c>
      <x:c r="V184" s="14" t="n">
        <x:v>0.12921415811367337</x:v>
      </x:c>
      <x:c r="W184" s="14" t="n">
        <x:v>0.17279603077049244</x:v>
      </x:c>
      <x:c r="X184" s="14" t="n">
        <x:v>0.5461087611179543</x:v>
      </x:c>
      <x:c r="Y184" s="16" t="n">
        <x:v>70.40618955512572</x:v>
      </x:c>
      <x:c r="Z184" s="16" t="n">
        <x:v>74.8062015503876</x:v>
      </x:c>
      <x:c r="AA184" s="16" t="n">
        <x:v>90.1639344262295</x:v>
      </x:c>
      <x:c r="AB184" s="16" t="n">
        <x:v>97.09302325581396</x:v>
      </x:c>
      <x:c r="AC184" s="16" t="n">
        <x:v>62.5</x:v>
      </x:c>
      <x:c r="AD184" s="16" t="n">
        <x:v>81.03658536585365</x:v>
      </x:c>
      <x:c r="AE184" s="16" t="n">
        <x:v>77.99377957497073</x:v>
      </x:c>
      <x:c r="AF184" t="str">
        <x:v>검토</x:v>
      </x:c>
      <x:c r="AG184" t="str">
        <x:v>경쟁여건·서울 업종추세 강점 / 안정성 상대적 약점</x:v>
      </x:c>
    </x:row>
    <x:row r="185">
      <x:c r="A185" t="str">
        <x:v>3110431</x:v>
      </x:c>
      <x:c r="B185" t="str">
        <x:v>상계역</x:v>
      </x:c>
      <x:c r="C185" t="str">
        <x:v>골목상권</x:v>
      </x:c>
      <x:c r="D185" t="str">
        <x:v>노원구</x:v>
      </x:c>
      <x:c r="E185" t="str">
        <x:v>중계4동</x:v>
      </x:c>
      <x:c r="F185" t="str">
        <x:v>CS100005</x:v>
      </x:c>
      <x:c r="G185" t="str">
        <x:v>제과점</x:v>
      </x:c>
      <x:c r="H185" t="n">
        <x:v>881091708</x:v>
      </x:c>
      <x:c r="I185" t="n">
        <x:v>92705</x:v>
      </x:c>
      <x:c r="J185" t="n">
        <x:v>9504.25228412707</x:v>
      </x:c>
      <x:c r="K185" s="14" t="n">
        <x:v>0.07060765380066569</x:v>
      </x:c>
      <x:c r="L185" s="14" t="n">
        <x:v>0.015772977300780644</x:v>
      </x:c>
      <x:c r="M185" s="14" t="n">
        <x:v>-0.01180050626373963</x:v>
      </x:c>
      <x:c r="N185" t="n">
        <x:v>8</x:v>
      </x:c>
      <x:c r="O185" t="n">
        <x:v>0</x:v>
      </x:c>
      <x:c r="P185" s="14" t="n">
        <x:v>0</x:v>
      </x:c>
      <x:c r="Q185" s="14" t="n">
        <x:v>0.625</x:v>
      </x:c>
      <x:c r="R185" s="14" t="n">
        <x:v>0</x:v>
      </x:c>
      <x:c r="S185" t="n">
        <x:v>627</x:v>
      </x:c>
      <x:c r="T185" t="n">
        <x:v>112.55318003123486</x:v>
      </x:c>
      <x:c r="U185" s="14" t="n">
        <x:v>0.6868839526066678</x:v>
      </x:c>
      <x:c r="V185" s="14" t="n">
        <x:v>0.4377477571267757</x:v>
      </x:c>
      <x:c r="W185" s="14" t="n">
        <x:v>0.23497317602721102</x:v>
      </x:c>
      <x:c r="X185" s="14" t="n">
        <x:v>0.5261342874878128</x:v>
      </x:c>
      <x:c r="Y185" s="16" t="n">
        <x:v>86.01398601398601</x:v>
      </x:c>
      <x:c r="Z185" s="16" t="n">
        <x:v>78.41191066997519</x:v>
      </x:c>
      <x:c r="AA185" s="16" t="n">
        <x:v>52.459016393442624</x:v>
      </x:c>
      <x:c r="AB185" s="16" t="n">
        <x:v>92.19114219114219</x:v>
      </x:c>
      <x:c r="AC185" s="16" t="n">
        <x:v>73.54312354312354</x:v>
      </x:c>
      <x:c r="AD185" s="16" t="n">
        <x:v>62.01219512195122</x:v>
      </x:c>
      <x:c r="AE185" s="16" t="n">
        <x:v>77.93972313698778</x:v>
      </x:c>
      <x:c r="AF185" t="str">
        <x:v>검토</x:v>
      </x:c>
      <x:c r="AG185" t="str">
        <x:v>경쟁여건·수요 강점 / 서울 업종추세 상대적 약점</x:v>
      </x:c>
    </x:row>
    <x:row r="186">
      <x:c r="A186" t="str">
        <x:v>3120032</x:v>
      </x:c>
      <x:c r="B186" t="str">
        <x:v>충무로역</x:v>
      </x:c>
      <x:c r="C186" t="str">
        <x:v>발달상권</x:v>
      </x:c>
      <x:c r="D186" t="str">
        <x:v>중구</x:v>
      </x:c>
      <x:c r="E186" t="str">
        <x:v>필동</x:v>
      </x:c>
      <x:c r="F186" t="str">
        <x:v>CS200016</x:v>
      </x:c>
      <x:c r="G186" t="str">
        <x:v>당구장</x:v>
      </x:c>
      <x:c r="H186" t="n">
        <x:v>497623817</x:v>
      </x:c>
      <x:c r="I186" t="n">
        <x:v>25788</x:v>
      </x:c>
      <x:c r="J186" t="n">
        <x:v>19296.720063595472</x:v>
      </x:c>
      <x:c r="K186" s="14" t="n">
        <x:v>-0.00021053275031124308</x:v>
      </x:c>
      <x:c r="L186" s="14" t="n">
        <x:v>0.052763611334009974</x:v>
      </x:c>
      <x:c r="M186" s="14" t="n">
        <x:v>0.07602781601598463</x:v>
      </x:c>
      <x:c r="N186" t="n">
        <x:v>10</x:v>
      </x:c>
      <x:c r="O186" t="n">
        <x:v>0</x:v>
      </x:c>
      <x:c r="P186" s="14" t="n">
        <x:v>0</x:v>
      </x:c>
      <x:c r="Q186" s="14" t="n">
        <x:v>0</x:v>
      </x:c>
      <x:c r="R186" s="14" t="n">
        <x:v>0.11111111111111116</x:v>
      </x:c>
      <x:c r="S186" t="n">
        <x:v>12883</x:v>
      </x:c>
      <x:c r="T186" t="n">
        <x:v>544.6988787227925</x:v>
      </x:c>
      <x:c r="U186" s="14" t="n">
        <x:v>0.7526478942626655</x:v>
      </x:c>
      <x:c r="V186" s="14" t="n">
        <x:v>0.6702381871726208</x:v>
      </x:c>
      <x:c r="W186" s="14" t="n">
        <x:v>0.1906436825550896</x:v>
      </x:c>
      <x:c r="X186" s="14" t="n">
        <x:v>0.07031577429502334</x:v>
      </x:c>
      <x:c r="Y186" s="16" t="n">
        <x:v>98.23008849557522</x:v>
      </x:c>
      <x:c r="Z186" s="16" t="n">
        <x:v>48.45679012345679</x:v>
      </x:c>
      <x:c r="AA186" s="16" t="n">
        <x:v>80.32786885245902</x:v>
      </x:c>
      <x:c r="AB186" s="16" t="n">
        <x:v>68.87905604719764</x:v>
      </x:c>
      <x:c r="AC186" s="16" t="n">
        <x:v>69.32153392330383</x:v>
      </x:c>
      <x:c r="AD186" s="16" t="n">
        <x:v>90.91463414634147</x:v>
      </x:c>
      <x:c r="AE186" s="16" t="n">
        <x:v>77.93081283273864</x:v>
      </x:c>
      <x:c r="AF186" t="str">
        <x:v>검토</x:v>
      </x:c>
      <x:c r="AG186" t="str">
        <x:v>수요·직장수요 강점 / 상권 모멘텀 상대적 약점</x:v>
      </x:c>
    </x:row>
    <x:row r="187">
      <x:c r="A187" t="str">
        <x:v>3120179</x:v>
      </x:c>
      <x:c r="B187" t="str">
        <x:v>양재역</x:v>
      </x:c>
      <x:c r="C187" t="str">
        <x:v>발달상권</x:v>
      </x:c>
      <x:c r="D187" t="str">
        <x:v>서초구</x:v>
      </x:c>
      <x:c r="E187" t="str">
        <x:v>도곡1동</x:v>
      </x:c>
      <x:c r="F187" t="str">
        <x:v>CS100001</x:v>
      </x:c>
      <x:c r="G187" t="str">
        <x:v>한식음식점</x:v>
      </x:c>
      <x:c r="H187" t="n">
        <x:v>25286115923</x:v>
      </x:c>
      <x:c r="I187" t="n">
        <x:v>509259</x:v>
      </x:c>
      <x:c r="J187" t="n">
        <x:v>49652.76199929702</x:v>
      </x:c>
      <x:c r="K187" s="14" t="n">
        <x:v>0.024223728162252378</x:v>
      </x:c>
      <x:c r="L187" s="14" t="n">
        <x:v>-0.0018259958518723751</x:v>
      </x:c>
      <x:c r="M187" s="14" t="n">
        <x:v>0.06341040875687098</x:v>
      </x:c>
      <x:c r="N187" t="n">
        <x:v>77</x:v>
      </x:c>
      <x:c r="O187" t="n">
        <x:v>0</x:v>
      </x:c>
      <x:c r="P187" s="14" t="n">
        <x:v>0</x:v>
      </x:c>
      <x:c r="Q187" s="14" t="n">
        <x:v>0.09090909090909091</x:v>
      </x:c>
      <x:c r="R187" s="14" t="n">
        <x:v>-0.10465116279069764</x:v>
      </x:c>
      <x:c r="S187" t="n">
        <x:v>27837</x:v>
      </x:c>
      <x:c r="T187" t="n">
        <x:v>798.9839411030267</x:v>
      </x:c>
      <x:c r="U187" s="14" t="n">
        <x:v>0.8342870010261797</x:v>
      </x:c>
      <x:c r="V187" s="14" t="n">
        <x:v>0.5765241530724751</x:v>
      </x:c>
      <x:c r="W187" s="14" t="n">
        <x:v>0.17775168874044872</x:v>
      </x:c>
      <x:c r="X187" s="14" t="n">
        <x:v>0.2199368758307974</x:v>
      </x:c>
      <x:c r="Y187" s="16" t="n">
        <x:v>98.22064056939502</x:v>
      </x:c>
      <x:c r="Z187" s="16" t="n">
        <x:v>52.751965689778416</x:v>
      </x:c>
      <x:c r="AA187" s="16" t="n">
        <x:v>40.98360655737705</x:v>
      </x:c>
      <x:c r="AB187" s="16" t="n">
        <x:v>81.99288256227757</x:v>
      </x:c>
      <x:c r="AC187" s="16" t="n">
        <x:v>98.04270462633453</x:v>
      </x:c>
      <x:c r="AD187" s="16" t="n">
        <x:v>95</x:v>
      </x:c>
      <x:c r="AE187" s="16" t="n">
        <x:v>77.92836116782559</x:v>
      </x:c>
      <x:c r="AF187" t="str">
        <x:v>검토</x:v>
      </x:c>
      <x:c r="AG187" t="str">
        <x:v>수요·안정성 강점 / 서울 업종추세 상대적 약점</x:v>
      </x:c>
    </x:row>
    <x:row r="188">
      <x:c r="A188" t="str">
        <x:v>3120122</x:v>
      </x:c>
      <x:c r="B188" t="str">
        <x:v>강서구청</x:v>
      </x:c>
      <x:c r="C188" t="str">
        <x:v>발달상권</x:v>
      </x:c>
      <x:c r="D188" t="str">
        <x:v>강서구</x:v>
      </x:c>
      <x:c r="E188" t="str">
        <x:v>화곡6동</x:v>
      </x:c>
      <x:c r="F188" t="str">
        <x:v>CS200024</x:v>
      </x:c>
      <x:c r="G188" t="str">
        <x:v>스포츠클럽</x:v>
      </x:c>
      <x:c r="H188" t="n">
        <x:v>625534600</x:v>
      </x:c>
      <x:c r="I188" t="n">
        <x:v>1722</x:v>
      </x:c>
      <x:c r="J188" t="n">
        <x:v>363260.51103368175</x:v>
      </x:c>
      <x:c r="K188" s="14" t="n">
        <x:v>0.9211224928283495</x:v>
      </x:c>
      <x:c r="L188" s="14" t="n">
        <x:v>0.03927856170757105</x:v>
      </x:c>
      <x:c r="M188" s="14" t="n">
        <x:v>-0.042593628048716026</x:v>
      </x:c>
      <x:c r="N188" t="n">
        <x:v>10</x:v>
      </x:c>
      <x:c r="O188" t="n">
        <x:v>2</x:v>
      </x:c>
      <x:c r="P188" s="14" t="n">
        <x:v>0.13333333333333333</x:v>
      </x:c>
      <x:c r="Q188" s="14" t="n">
        <x:v>0</x:v>
      </x:c>
      <x:c r="R188" s="14" t="n">
        <x:v>2.3333333333333335</x:v>
      </x:c>
      <x:c r="S188" t="n">
        <x:v>5982</x:v>
      </x:c>
      <x:c r="T188" t="n">
        <x:v>266.4398082987404</x:v>
      </x:c>
      <x:c r="U188" s="14" t="n">
        <x:v>0.9563716395543908</x:v>
      </x:c>
      <x:c r="V188" s="14" t="n">
        <x:v>0.5481829973913513</x:v>
      </x:c>
      <x:c r="W188" s="14" t="n">
        <x:v>0.5823225270033024</x:v>
      </x:c>
      <x:c r="X188" s="14" t="n">
        <x:v>0.5383894240222683</x:v>
      </x:c>
      <x:c r="Y188" s="16" t="n">
        <x:v>88.40579710144928</x:v>
      </x:c>
      <x:c r="Z188" s="16" t="n">
        <x:v>94.19642857142857</x:v>
      </x:c>
      <x:c r="AA188" s="16" t="n">
        <x:v>75.40983606557377</x:v>
      </x:c>
      <x:c r="AB188" s="16" t="n">
        <x:v>83.15217391304347</x:v>
      </x:c>
      <x:c r="AC188" s="16" t="n">
        <x:v>2.536231884057969</x:v>
      </x:c>
      <x:c r="AD188" s="16" t="n">
        <x:v>81.82926829268293</x:v>
      </x:c>
      <x:c r="AE188" s="16" t="n">
        <x:v>77.91070279962548</x:v>
      </x:c>
      <x:c r="AF188" t="str">
        <x:v>검토</x:v>
      </x:c>
      <x:c r="AG188" t="str">
        <x:v>상권 모멘텀·수요 강점 / 안정성 상대적 약점</x:v>
      </x:c>
    </x:row>
    <x:row r="189">
      <x:c r="A189" t="str">
        <x:v>3110090</x:v>
      </x:c>
      <x:c r="B189" t="str">
        <x:v>한국폴리텍대학서울정수캠퍼스</x:v>
      </x:c>
      <x:c r="C189" t="str">
        <x:v>골목상권</x:v>
      </x:c>
      <x:c r="D189" t="str">
        <x:v>용산구</x:v>
      </x:c>
      <x:c r="E189" t="str">
        <x:v>보광동</x:v>
      </x:c>
      <x:c r="F189" t="str">
        <x:v>CS200001</x:v>
      </x:c>
      <x:c r="G189" t="str">
        <x:v>일반교습학원</x:v>
      </x:c>
      <x:c r="H189" t="n">
        <x:v>288856526</x:v>
      </x:c>
      <x:c r="I189" t="n">
        <x:v>209</x:v>
      </x:c>
      <x:c r="J189" t="n">
        <x:v>1382088.6411483253</x:v>
      </x:c>
      <x:c r="K189" s="14" t="n">
        <x:v>0.7283676031574915</x:v>
      </x:c>
      <x:c r="L189" s="14" t="n">
        <x:v>0.026465986538897424</x:v>
      </x:c>
      <x:c r="M189" s="14" t="n">
        <x:v>0.05930632525283164</x:v>
      </x:c>
      <x:c r="N189" t="n">
        <x:v>14</x:v>
      </x:c>
      <x:c r="O189" t="n">
        <x:v>0</x:v>
      </x:c>
      <x:c r="P189" s="14" t="n">
        <x:v>0</x:v>
      </x:c>
      <x:c r="Q189" s="14" t="n">
        <x:v>0.07142857142857142</x:v>
      </x:c>
      <x:c r="R189" s="14" t="n">
        <x:v>-0.06666666666666665</x:v>
      </x:c>
      <x:c r="S189" t="n">
        <x:v>1290</x:v>
      </x:c>
      <x:c r="T189" t="n">
        <x:v>132.9088492566377</x:v>
      </x:c>
      <x:c r="U189" s="14" t="n">
        <x:v>0.9530335797225505</x:v>
      </x:c>
      <x:c r="V189" s="14" t="n">
        <x:v>0.20218878489177702</x:v>
      </x:c>
      <x:c r="W189" s="14" t="n">
        <x:v>0.010992142168184907</x:v>
      </x:c>
      <x:c r="X189" s="14" t="n">
        <x:v>0.1465618886519462</x:v>
      </x:c>
      <x:c r="Y189" s="16" t="n">
        <x:v>60.714285714285715</x:v>
      </x:c>
      <x:c r="Z189" s="16" t="n">
        <x:v>98.21428571428571</x:v>
      </x:c>
      <x:c r="AA189" s="16" t="n">
        <x:v>70.49180327868852</x:v>
      </x:c>
      <x:c r="AB189" s="16" t="n">
        <x:v>97.98136645962732</x:v>
      </x:c>
      <x:c r="AC189" s="16" t="n">
        <x:v>83.92857142857143</x:v>
      </x:c>
      <x:c r="AD189" s="16" t="n">
        <x:v>67.01219512195122</x:v>
      </x:c>
      <x:c r="AE189" s="16" t="n">
        <x:v>77.90729950255921</x:v>
      </x:c>
      <x:c r="AF189" t="str">
        <x:v>검토</x:v>
      </x:c>
      <x:c r="AG189" t="str">
        <x:v>상권 모멘텀·경쟁여건 강점 / 수요 상대적 약점</x:v>
      </x:c>
    </x:row>
    <x:row r="190">
      <x:c r="A190" t="str">
        <x:v>3130285</x:v>
      </x:c>
      <x:c r="B190" t="str">
        <x:v>서원동상점가</x:v>
      </x:c>
      <x:c r="C190" t="str">
        <x:v>전통시장</x:v>
      </x:c>
      <x:c r="D190" t="str">
        <x:v>관악구</x:v>
      </x:c>
      <x:c r="E190" t="str">
        <x:v>서원동</x:v>
      </x:c>
      <x:c r="F190" t="str">
        <x:v>CS100003</x:v>
      </x:c>
      <x:c r="G190" t="str">
        <x:v>일식음식점</x:v>
      </x:c>
      <x:c r="H190" t="n">
        <x:v>798603167</x:v>
      </x:c>
      <x:c r="I190" t="n">
        <x:v>19081</x:v>
      </x:c>
      <x:c r="J190" t="n">
        <x:v>41853.3183271317</x:v>
      </x:c>
      <x:c r="K190" s="14" t="n">
        <x:v>0.4258925370062927</x:v>
      </x:c>
      <x:c r="L190" s="14" t="n">
        <x:v>0.048235937606500245</x:v>
      </x:c>
      <x:c r="M190" s="14" t="n">
        <x:v>-0.004288267098710441</x:v>
      </x:c>
      <x:c r="N190" t="n">
        <x:v>20</x:v>
      </x:c>
      <x:c r="O190" t="n">
        <x:v>0</x:v>
      </x:c>
      <x:c r="P190" s="14" t="n">
        <x:v>0</x:v>
      </x:c>
      <x:c r="Q190" s="14" t="n">
        <x:v>0.25</x:v>
      </x:c>
      <x:c r="R190" s="14" t="n">
        <x:v>0.17647058823529416</x:v>
      </x:c>
      <x:c r="S190" t="n">
        <x:v>988</x:v>
      </x:c>
      <x:c r="T190" t="n">
        <x:v>164.59534201845867</x:v>
      </x:c>
      <x:c r="U190" s="14" t="n">
        <x:v>0.6210227676194527</x:v>
      </x:c>
      <x:c r="V190" s="14" t="n">
        <x:v>0.5765417331484236</x:v>
      </x:c>
      <x:c r="W190" s="14" t="n">
        <x:v>0.6700576971290674</x:v>
      </x:c>
      <x:c r="X190" s="14" t="n">
        <x:v>0.39136853811149486</x:v>
      </x:c>
      <x:c r="Y190" s="16" t="n">
        <x:v>73.51190476190476</x:v>
      </x:c>
      <x:c r="Z190" s="16" t="n">
        <x:v>95.06172839506173</x:v>
      </x:c>
      <x:c r="AA190" s="16" t="n">
        <x:v>78.68852459016394</x:v>
      </x:c>
      <x:c r="AB190" s="16" t="n">
        <x:v>64.13690476190476</x:v>
      </x:c>
      <x:c r="AC190" s="16" t="n">
        <x:v>81.10119047619048</x:v>
      </x:c>
      <x:c r="AD190" s="16" t="n">
        <x:v>72.3780487804878</x:v>
      </x:c>
      <x:c r="AE190" s="16" t="n">
        <x:v>77.89434823513277</x:v>
      </x:c>
      <x:c r="AF190" t="str">
        <x:v>검토</x:v>
      </x:c>
      <x:c r="AG190" t="str">
        <x:v>상권 모멘텀·안정성 강점 / 경쟁여건 상대적 약점</x:v>
      </x:c>
    </x:row>
    <x:row r="191">
      <x:c r="A191" t="str">
        <x:v>3001496</x:v>
      </x:c>
      <x:c r="B191" t="str">
        <x:v>강남 마이스 관광특구</x:v>
      </x:c>
      <x:c r="C191" t="str">
        <x:v>관광특구</x:v>
      </x:c>
      <x:c r="D191" t="str">
        <x:v>강남구</x:v>
      </x:c>
      <x:c r="E191" t="str">
        <x:v>삼성1동</x:v>
      </x:c>
      <x:c r="F191" t="str">
        <x:v>CS300015</x:v>
      </x:c>
      <x:c r="G191" t="str">
        <x:v>가방</x:v>
      </x:c>
      <x:c r="H191" t="n">
        <x:v>14040119106</x:v>
      </x:c>
      <x:c r="I191" t="n">
        <x:v>521967</x:v>
      </x:c>
      <x:c r="J191" t="n">
        <x:v>26898.480375196134</x:v>
      </x:c>
      <x:c r="K191" s="14" t="n">
        <x:v>0.10223646150053489</x:v>
      </x:c>
      <x:c r="L191" s="14" t="n">
        <x:v>0.08003853878387823</x:v>
      </x:c>
      <x:c r="M191" s="14" t="n">
        <x:v>0.032771077188109565</x:v>
      </x:c>
      <x:c r="N191" t="n">
        <x:v>55</x:v>
      </x:c>
      <x:c r="O191" t="n">
        <x:v>0</x:v>
      </x:c>
      <x:c r="P191" s="14" t="n">
        <x:v>0</x:v>
      </x:c>
      <x:c r="Q191" s="14" t="n">
        <x:v>0</x:v>
      </x:c>
      <x:c r="R191" s="14" t="n">
        <x:v>-0.017857142857142905</x:v>
      </x:c>
      <x:c r="S191" t="n">
        <x:v>102032</x:v>
      </x:c>
      <x:c r="T191" t="n">
        <x:v>4289.005094748878</x:v>
      </x:c>
      <x:c r="U191" s="14" t="n">
        <x:v>0.6285250578272409</x:v>
      </x:c>
      <x:c r="V191" s="14" t="n">
        <x:v>0.4124205648316385</x:v>
      </x:c>
      <x:c r="W191" s="14" t="n">
        <x:v>0.4151323250889806</x:v>
      </x:c>
      <x:c r="X191" s="14" t="n">
        <x:v>0.6658991794453228</x:v>
      </x:c>
      <x:c r="Y191" s="16" t="n">
        <x:v>98.36065573770492</x:v>
      </x:c>
      <x:c r="Z191" s="16" t="n">
        <x:v>75.92592592592592</x:v>
      </x:c>
      <x:c r="AA191" s="16" t="n">
        <x:v>83.60655737704919</x:v>
      </x:c>
      <x:c r="AB191" s="16" t="n">
        <x:v>24.59016393442623</x:v>
      </x:c>
      <x:c r="AC191" s="16" t="n">
        <x:v>70.49180327868852</x:v>
      </x:c>
      <x:c r="AD191" s="16" t="n">
        <x:v>99.9390243902439</x:v>
      </x:c>
      <x:c r="AE191" s="16" t="n">
        <x:v>77.88705443748427</x:v>
      </x:c>
      <x:c r="AF191" t="str">
        <x:v>검토</x:v>
      </x:c>
      <x:c r="AG191" t="str">
        <x:v>직장수요·수요 강점 / 경쟁여건 상대적 약점</x:v>
      </x:c>
    </x:row>
    <x:row r="192">
      <x:c r="A192" t="str">
        <x:v>3110249</x:v>
      </x:c>
      <x:c r="B192" t="str">
        <x:v>중화역 1번</x:v>
      </x:c>
      <x:c r="C192" t="str">
        <x:v>골목상권</x:v>
      </x:c>
      <x:c r="D192" t="str">
        <x:v>중랑구</x:v>
      </x:c>
      <x:c r="E192" t="str">
        <x:v>중화1동</x:v>
      </x:c>
      <x:c r="F192" t="str">
        <x:v>CS300007</x:v>
      </x:c>
      <x:c r="G192" t="str">
        <x:v>육류판매</x:v>
      </x:c>
      <x:c r="H192" t="n">
        <x:v>6966796159</x:v>
      </x:c>
      <x:c r="I192" t="n">
        <x:v>344259</x:v>
      </x:c>
      <x:c r="J192" t="n">
        <x:v>20237.077778649214</x:v>
      </x:c>
      <x:c r="K192" s="14" t="n">
        <x:v>0.02269893068735085</x:v>
      </x:c>
      <x:c r="L192" s="14" t="n">
        <x:v>0.23518223683931017</x:v>
      </x:c>
      <x:c r="M192" s="14" t="n">
        <x:v>0.00863079289162072</x:v>
      </x:c>
      <x:c r="N192" t="n">
        <x:v>10</x:v>
      </x:c>
      <x:c r="O192" t="n">
        <x:v>0</x:v>
      </x:c>
      <x:c r="P192" s="14" t="n">
        <x:v>0</x:v>
      </x:c>
      <x:c r="Q192" s="14" t="n">
        <x:v>0</x:v>
      </x:c>
      <x:c r="R192" s="14" t="n">
        <x:v>0</x:v>
      </x:c>
      <x:c r="S192" t="n">
        <x:v>792</x:v>
      </x:c>
      <x:c r="T192" t="n">
        <x:v>46.50152362946741</x:v>
      </x:c>
      <x:c r="U192" s="14" t="n">
        <x:v>0.6714169133479307</x:v>
      </x:c>
      <x:c r="V192" s="14" t="n">
        <x:v>0.04527886216284514</x:v>
      </x:c>
      <x:c r="W192" s="14" t="n">
        <x:v>0.06477190543562163</x:v>
      </x:c>
      <x:c r="X192" s="14" t="n">
        <x:v>0.6215967407637769</x:v>
      </x:c>
      <x:c r="Y192" s="16" t="n">
        <x:v>96.78217821782178</x:v>
      </x:c>
      <x:c r="Z192" s="16" t="n">
        <x:v>43.63636363636363</x:v>
      </x:c>
      <x:c r="AA192" s="16" t="n">
        <x:v>100</x:v>
      </x:c>
      <x:c r="AB192" s="16" t="n">
        <x:v>79.45544554455445</x:v>
      </x:c>
      <x:c r="AC192" s="16" t="n">
        <x:v>66.83168316831683</x:v>
      </x:c>
      <x:c r="AD192" s="16" t="n">
        <x:v>33.59756097560975</x:v>
      </x:c>
      <x:c r="AE192" s="16" t="n">
        <x:v>77.88239830080568</x:v>
      </x:c>
      <x:c r="AF192" t="str">
        <x:v>검토</x:v>
      </x:c>
      <x:c r="AG192" t="str">
        <x:v>서울 업종추세·수요 강점 / 직장수요 상대적 약점</x:v>
      </x:c>
    </x:row>
    <x:row r="193">
      <x:c r="A193" t="str">
        <x:v>3120175</x:v>
      </x:c>
      <x:c r="B193" t="str">
        <x:v>남부터미널역</x:v>
      </x:c>
      <x:c r="C193" t="str">
        <x:v>발달상권</x:v>
      </x:c>
      <x:c r="D193" t="str">
        <x:v>서초구</x:v>
      </x:c>
      <x:c r="E193" t="str">
        <x:v>서초1동</x:v>
      </x:c>
      <x:c r="F193" t="str">
        <x:v>CS200028</x:v>
      </x:c>
      <x:c r="G193" t="str">
        <x:v>미용실</x:v>
      </x:c>
      <x:c r="H193" t="n">
        <x:v>628384160</x:v>
      </x:c>
      <x:c r="I193" t="n">
        <x:v>7421</x:v>
      </x:c>
      <x:c r="J193" t="n">
        <x:v>84676.48025872523</x:v>
      </x:c>
      <x:c r="K193" s="14" t="n">
        <x:v>0.057451413789117556</x:v>
      </x:c>
      <x:c r="L193" s="14" t="n">
        <x:v>0.02168887159425803</x:v>
      </x:c>
      <x:c r="M193" s="14" t="n">
        <x:v>-0.013481964371473865</x:v>
      </x:c>
      <x:c r="N193" t="n">
        <x:v>49</x:v>
      </x:c>
      <x:c r="O193" t="n">
        <x:v>0</x:v>
      </x:c>
      <x:c r="P193" s="14" t="n">
        <x:v>0</x:v>
      </x:c>
      <x:c r="Q193" s="14" t="n">
        <x:v>0.061224489795918366</x:v>
      </x:c>
      <x:c r="R193" s="14" t="n">
        <x:v>-0.05769230769230771</x:v>
      </x:c>
      <x:c r="S193" t="n">
        <x:v>21560</x:v>
      </x:c>
      <x:c r="T193" t="n">
        <x:v>829.3870767952421</x:v>
      </x:c>
      <x:c r="U193" s="14" t="n">
        <x:v>0.636376397520905</x:v>
      </x:c>
      <x:c r="V193" s="14" t="n">
        <x:v>0.37471383428888466</x:v>
      </x:c>
      <x:c r="W193" s="14" t="n">
        <x:v>0.4543519683882547</x:v>
      </x:c>
      <x:c r="X193" s="14" t="n">
        <x:v>0.3912068089049221</x:v>
      </x:c>
      <x:c r="Y193" s="16" t="n">
        <x:v>95.07609668755596</x:v>
      </x:c>
      <x:c r="Z193" s="16" t="n">
        <x:v>71.13309352517986</x:v>
      </x:c>
      <x:c r="AA193" s="16" t="n">
        <x:v>57.377049180327866</x:v>
      </x:c>
      <x:c r="AB193" s="16" t="n">
        <x:v>62.89167412712623</x:v>
      </x:c>
      <x:c r="AC193" s="16" t="n">
        <x:v>75.60429722470904</x:v>
      </x:c>
      <x:c r="AD193" s="16" t="n">
        <x:v>95.1219512195122</x:v>
      </x:c>
      <x:c r="AE193" s="16" t="n">
        <x:v>77.86008832524517</x:v>
      </x:c>
      <x:c r="AF193" t="str">
        <x:v>검토</x:v>
      </x:c>
      <x:c r="AG193" t="str">
        <x:v>직장수요·수요 강점 / 서울 업종추세 상대적 약점</x:v>
      </x:c>
    </x:row>
    <x:row r="194">
      <x:c r="A194" t="str">
        <x:v>3001491</x:v>
      </x:c>
      <x:c r="B194" t="str">
        <x:v>이태원 관광특구</x:v>
      </x:c>
      <x:c r="C194" t="str">
        <x:v>관광특구</x:v>
      </x:c>
      <x:c r="D194" t="str">
        <x:v>용산구</x:v>
      </x:c>
      <x:c r="E194" t="str">
        <x:v>이태원1동</x:v>
      </x:c>
      <x:c r="F194" t="str">
        <x:v>CS200030</x:v>
      </x:c>
      <x:c r="G194" t="str">
        <x:v>피부관리실</x:v>
      </x:c>
      <x:c r="H194" t="n">
        <x:v>54581919</x:v>
      </x:c>
      <x:c r="I194" t="n">
        <x:v>424</x:v>
      </x:c>
      <x:c r="J194" t="n">
        <x:v>128730.94103773584</x:v>
      </x:c>
      <x:c r="K194" s="14" t="n">
        <x:v>0.26130481410928197</x:v>
      </x:c>
      <x:c r="L194" s="14" t="n">
        <x:v>0.11857168683779085</x:v>
      </x:c>
      <x:c r="M194" s="14" t="n">
        <x:v>0.0314283578178467</x:v>
      </x:c>
      <x:c r="N194" t="n">
        <x:v>13</x:v>
      </x:c>
      <x:c r="O194" t="n">
        <x:v>0</x:v>
      </x:c>
      <x:c r="P194" s="14" t="n">
        <x:v>0</x:v>
      </x:c>
      <x:c r="Q194" s="14" t="n">
        <x:v>0.07692307692307693</x:v>
      </x:c>
      <x:c r="R194" s="14" t="n">
        <x:v>1.1666666666666665</x:v>
      </x:c>
      <x:c r="S194" t="n">
        <x:v>35826</x:v>
      </x:c>
      <x:c r="T194" t="n">
        <x:v>961.6040154067075</x:v>
      </x:c>
      <x:c r="U194" s="14" t="n">
        <x:v>0.7787841244643671</x:v>
      </x:c>
      <x:c r="V194" s="14" t="n">
        <x:v>0.3771458639993951</x:v>
      </x:c>
      <x:c r="W194" s="14" t="n">
        <x:v>0.5846828507440348</x:v>
      </x:c>
      <x:c r="X194" s="14" t="n">
        <x:v>0.8267591141308168</x:v>
      </x:c>
      <x:c r="Y194" s="16" t="n">
        <x:v>65.136476426799</x:v>
      </x:c>
      <x:c r="Z194" s="16" t="n">
        <x:v>78.91246684350132</x:v>
      </x:c>
      <x:c r="AA194" s="16" t="n">
        <x:v>91.80327868852459</x:v>
      </x:c>
      <x:c r="AB194" s="16" t="n">
        <x:v>84.61538461538461</x:v>
      </x:c>
      <x:c r="AC194" s="16" t="n">
        <x:v>79.15632754342431</x:v>
      </x:c>
      <x:c r="AD194" s="16" t="n">
        <x:v>96.76829268292683</x:v>
      </x:c>
      <x:c r="AE194" s="16" t="n">
        <x:v>77.79710700215507</x:v>
      </x:c>
      <x:c r="AF194" t="str">
        <x:v>검토</x:v>
      </x:c>
      <x:c r="AG194" t="str">
        <x:v>직장수요·서울 업종추세 강점 / 수요 상대적 약점</x:v>
      </x:c>
    </x:row>
    <x:row r="195">
      <x:c r="A195" t="str">
        <x:v>3120025</x:v>
      </x:c>
      <x:c r="B195" t="str">
        <x:v>롯데백화점(시청광장 지하쇼핑센터)</x:v>
      </x:c>
      <x:c r="C195" t="str">
        <x:v>발달상권</x:v>
      </x:c>
      <x:c r="D195" t="str">
        <x:v>중구</x:v>
      </x:c>
      <x:c r="E195" t="str">
        <x:v>소공동</x:v>
      </x:c>
      <x:c r="F195" t="str">
        <x:v>CS200028</x:v>
      </x:c>
      <x:c r="G195" t="str">
        <x:v>미용실</x:v>
      </x:c>
      <x:c r="H195" t="n">
        <x:v>315585903</x:v>
      </x:c>
      <x:c r="I195" t="n">
        <x:v>1939</x:v>
      </x:c>
      <x:c r="J195" t="n">
        <x:v>162757.0412583806</x:v>
      </x:c>
      <x:c r="K195" s="14" t="n">
        <x:v>0.17074544779510537</x:v>
      </x:c>
      <x:c r="L195" s="14" t="n">
        <x:v>0.02168887159425803</x:v>
      </x:c>
      <x:c r="M195" s="14" t="n">
        <x:v>-0.013481964371473865</x:v>
      </x:c>
      <x:c r="N195" t="n">
        <x:v>20</x:v>
      </x:c>
      <x:c r="O195" t="n">
        <x:v>1</x:v>
      </x:c>
      <x:c r="P195" s="14" t="n">
        <x:v>0.04</x:v>
      </x:c>
      <x:c r="Q195" s="14" t="n">
        <x:v>0</x:v>
      </x:c>
      <x:c r="R195" s="14" t="n">
        <x:v>-0.04761904761904767</x:v>
      </x:c>
      <x:c r="S195" t="n">
        <x:v>24494</x:v>
      </x:c>
      <x:c r="T195" t="n">
        <x:v>3254.5408644583517</x:v>
      </x:c>
      <x:c r="U195" s="14" t="n">
        <x:v>0.6322569420979491</x:v>
      </x:c>
      <x:c r="V195" s="14" t="n">
        <x:v>0.2896570541682275</x:v>
      </x:c>
      <x:c r="W195" s="14" t="n">
        <x:v>0.20502781139751988</x:v>
      </x:c>
      <x:c r="X195" s="14" t="n">
        <x:v>0.7782200271474103</x:v>
      </x:c>
      <x:c r="Y195" s="16" t="n">
        <x:v>87.46642793196061</x:v>
      </x:c>
      <x:c r="Z195" s="16" t="n">
        <x:v>93.43525179856115</x:v>
      </x:c>
      <x:c r="AA195" s="16" t="n">
        <x:v>57.377049180327866</x:v>
      </x:c>
      <x:c r="AB195" s="16" t="n">
        <x:v>96.41897940913161</x:v>
      </x:c>
      <x:c r="AC195" s="16" t="n">
        <x:v>4.252461951656215</x:v>
      </x:c>
      <x:c r="AD195" s="16" t="n">
        <x:v>99.6951219512195</x:v>
      </x:c>
      <x:c r="AE195" s="16" t="n">
        <x:v>77.77970671704396</x:v>
      </x:c>
      <x:c r="AF195" t="str">
        <x:v>검토</x:v>
      </x:c>
      <x:c r="AG195" t="str">
        <x:v>직장수요·경쟁여건 강점 / 안정성 상대적 약점</x:v>
      </x:c>
    </x:row>
    <x:row r="196">
      <x:c r="A196" t="str">
        <x:v>3130036</x:v>
      </x:c>
      <x:c r="B196" t="str">
        <x:v>중부시장(신중부시장)</x:v>
      </x:c>
      <x:c r="C196" t="str">
        <x:v>전통시장</x:v>
      </x:c>
      <x:c r="D196" t="str">
        <x:v>중구</x:v>
      </x:c>
      <x:c r="E196" t="str">
        <x:v>광희동</x:v>
      </x:c>
      <x:c r="F196" t="str">
        <x:v>CS300009</x:v>
      </x:c>
      <x:c r="G196" t="str">
        <x:v>청과상</x:v>
      </x:c>
      <x:c r="H196" t="n">
        <x:v>58321949463</x:v>
      </x:c>
      <x:c r="I196" t="n">
        <x:v>673636</x:v>
      </x:c>
      <x:c r="J196" t="n">
        <x:v>86577.83946077703</x:v>
      </x:c>
      <x:c r="K196" s="14" t="n">
        <x:v>0.13829594314431914</x:v>
      </x:c>
      <x:c r="L196" s="14" t="n">
        <x:v>0.19728256051488424</x:v>
      </x:c>
      <x:c r="M196" s="14" t="n">
        <x:v>0.09797365727115581</x:v>
      </x:c>
      <x:c r="N196" t="n">
        <x:v>42</x:v>
      </x:c>
      <x:c r="O196" t="n">
        <x:v>0</x:v>
      </x:c>
      <x:c r="P196" s="14" t="n">
        <x:v>0</x:v>
      </x:c>
      <x:c r="Q196" s="14" t="n">
        <x:v>0</x:v>
      </x:c>
      <x:c r="R196" s="14" t="n">
        <x:v>-0.045454545454545414</x:v>
      </x:c>
      <x:c r="S196" t="n">
        <x:v>3023</x:v>
      </x:c>
      <x:c r="T196" t="n">
        <x:v>327.7213447090836</x:v>
      </x:c>
      <x:c r="U196" s="14" t="n">
        <x:v>0.7580603326548306</x:v>
      </x:c>
      <x:c r="V196" s="14" t="n">
        <x:v>0.028814919365240905</x:v>
      </x:c>
      <x:c r="W196" s="14" t="n">
        <x:v>0.04804134086391487</x:v>
      </x:c>
      <x:c r="X196" s="14" t="n">
        <x:v>0.5774667320811399</x:v>
      </x:c>
      <x:c r="Y196" s="16" t="n">
        <x:v>97.43589743589743</x:v>
      </x:c>
      <x:c r="Z196" s="16" t="n">
        <x:v>80.91603053435115</x:v>
      </x:c>
      <x:c r="AA196" s="16" t="n">
        <x:v>95.08196721311475</x:v>
      </x:c>
      <x:c r="AB196" s="16" t="n">
        <x:v>13.369963369963372</x:v>
      </x:c>
      <x:c r="AC196" s="16" t="n">
        <x:v>69.5970695970696</x:v>
      </x:c>
      <x:c r="AD196" s="16" t="n">
        <x:v>85.1829268292683</x:v>
      </x:c>
      <x:c r="AE196" s="16" t="n">
        <x:v>77.77241309806644</x:v>
      </x:c>
      <x:c r="AF196" t="str">
        <x:v>검토</x:v>
      </x:c>
      <x:c r="AG196" t="str">
        <x:v>수요·서울 업종추세 강점 / 경쟁여건 상대적 약점</x:v>
      </x:c>
    </x:row>
    <x:row r="197">
      <x:c r="A197" t="str">
        <x:v>3130001</x:v>
      </x:c>
      <x:c r="B197" t="str">
        <x:v>통인시장</x:v>
      </x:c>
      <x:c r="C197" t="str">
        <x:v>전통시장</x:v>
      </x:c>
      <x:c r="D197" t="str">
        <x:v>종로구</x:v>
      </x:c>
      <x:c r="E197" t="str">
        <x:v>청운효자동</x:v>
      </x:c>
      <x:c r="F197" t="str">
        <x:v>CS300035</x:v>
      </x:c>
      <x:c r="G197" t="str">
        <x:v>인테리어</x:v>
      </x:c>
      <x:c r="H197" t="n">
        <x:v>206700645</x:v>
      </x:c>
      <x:c r="I197" t="n">
        <x:v>9042</x:v>
      </x:c>
      <x:c r="J197" t="n">
        <x:v>22860.05806237558</x:v>
      </x:c>
      <x:c r="K197" s="14" t="n">
        <x:v>0.40249278988934045</x:v>
      </x:c>
      <x:c r="L197" s="14" t="n">
        <x:v>0.20213561276420866</x:v>
      </x:c>
      <x:c r="M197" s="14" t="n">
        <x:v>0.044160820891303576</x:v>
      </x:c>
      <x:c r="N197" t="n">
        <x:v>12</x:v>
      </x:c>
      <x:c r="O197" t="n">
        <x:v>0</x:v>
      </x:c>
      <x:c r="P197" s="14" t="n">
        <x:v>0</x:v>
      </x:c>
      <x:c r="Q197" s="14" t="n">
        <x:v>0</x:v>
      </x:c>
      <x:c r="R197" s="14" t="n">
        <x:v>0.19999999999999996</x:v>
      </x:c>
      <x:c r="S197" t="n">
        <x:v>799</x:v>
      </x:c>
      <x:c r="T197" t="n">
        <x:v>208.7251828631139</x:v>
      </x:c>
      <x:c r="U197" s="14" t="n">
        <x:v>0.9349246055811775</x:v>
      </x:c>
      <x:c r="V197" s="14" t="n">
        <x:v>0.10064284511545671</x:v>
      </x:c>
      <x:c r="W197" s="14" t="n">
        <x:v>0.20528426024021357</x:v>
      </x:c>
      <x:c r="X197" s="14" t="n">
        <x:v>0.09399648946426849</x:v>
      </x:c>
      <x:c r="Y197" s="16" t="n">
        <x:v>79.34782608695652</x:v>
      </x:c>
      <x:c r="Z197" s="16" t="n">
        <x:v>79.61783439490446</x:v>
      </x:c>
      <x:c r="AA197" s="16" t="n">
        <x:v>98.36065573770492</x:v>
      </x:c>
      <x:c r="AB197" s="16" t="n">
        <x:v>62.77173913043478</x:v>
      </x:c>
      <x:c r="AC197" s="16" t="n">
        <x:v>60.32608695652174</x:v>
      </x:c>
      <x:c r="AD197" s="16" t="n">
        <x:v>77.3170731707317</x:v>
      </x:c>
      <x:c r="AE197" s="16" t="n">
        <x:v>77.76362759382538</x:v>
      </x:c>
      <x:c r="AF197" t="str">
        <x:v>검토</x:v>
      </x:c>
      <x:c r="AG197" t="str">
        <x:v>서울 업종추세·상권 모멘텀 강점 / 안정성 상대적 약점</x:v>
      </x:c>
    </x:row>
    <x:row r="198">
      <x:c r="A198" t="str">
        <x:v>3120215</x:v>
      </x:c>
      <x:c r="B198" t="str">
        <x:v>포스코사거리</x:v>
      </x:c>
      <x:c r="C198" t="str">
        <x:v>발달상권</x:v>
      </x:c>
      <x:c r="D198" t="str">
        <x:v>강남구</x:v>
      </x:c>
      <x:c r="E198" t="str">
        <x:v>삼성2동</x:v>
      </x:c>
      <x:c r="F198" t="str">
        <x:v>CS300020</x:v>
      </x:c>
      <x:c r="G198" t="str">
        <x:v>서적</x:v>
      </x:c>
      <x:c r="H198" t="n">
        <x:v>1038050984</x:v>
      </x:c>
      <x:c r="I198" t="n">
        <x:v>40461</x:v>
      </x:c>
      <x:c r="J198" t="n">
        <x:v>25655.59388052693</x:v>
      </x:c>
      <x:c r="K198" s="14" t="n">
        <x:v>0.01251761466088408</x:v>
      </x:c>
      <x:c r="L198" s="14" t="n">
        <x:v>0.20039418624921757</x:v>
      </x:c>
      <x:c r="M198" s="14" t="n">
        <x:v>-0.01061516125540185</x:v>
      </x:c>
      <x:c r="N198" t="n">
        <x:v>15</x:v>
      </x:c>
      <x:c r="O198" t="n">
        <x:v>0</x:v>
      </x:c>
      <x:c r="P198" s="14" t="n">
        <x:v>0</x:v>
      </x:c>
      <x:c r="Q198" s="14" t="n">
        <x:v>0.06666666666666667</x:v>
      </x:c>
      <x:c r="R198" s="14" t="n">
        <x:v>0.0714285714285714</x:v>
      </x:c>
      <x:c r="S198" t="n">
        <x:v>94741</x:v>
      </x:c>
      <x:c r="T198" t="n">
        <x:v>2973.4233866664995</x:v>
      </x:c>
      <x:c r="U198" s="14" t="n">
        <x:v>0.7395465799202017</x:v>
      </x:c>
      <x:c r="V198" s="14" t="n">
        <x:v>0.23233583004820887</x:v>
      </x:c>
      <x:c r="W198" s="14" t="n">
        <x:v>0.20560049196966995</x:v>
      </x:c>
      <x:c r="X198" s="14" t="n">
        <x:v>0.37974051763916056</x:v>
      </x:c>
      <x:c r="Y198" s="16" t="n">
        <x:v>91.94630872483222</x:v>
      </x:c>
      <x:c r="Z198" s="16" t="n">
        <x:v>62.142857142857146</x:v>
      </x:c>
      <x:c r="AA198" s="16" t="n">
        <x:v>96.72131147540983</x:v>
      </x:c>
      <x:c r="AB198" s="16" t="n">
        <x:v>51.34228187919463</x:v>
      </x:c>
      <x:c r="AC198" s="16" t="n">
        <x:v>59.395973154362416</x:v>
      </x:c>
      <x:c r="AD198" s="16" t="n">
        <x:v>99.45121951219512</x:v>
      </x:c>
      <x:c r="AE198" s="16" t="n">
        <x:v>77.73147677649938</x:v>
      </x:c>
      <x:c r="AF198" t="str">
        <x:v>검토</x:v>
      </x:c>
      <x:c r="AG198" t="str">
        <x:v>직장수요·서울 업종추세 강점 / 경쟁여건 상대적 약점</x:v>
      </x:c>
    </x:row>
    <x:row r="199">
      <x:c r="A199" t="str">
        <x:v>3001493</x:v>
      </x:c>
      <x:c r="B199" t="str">
        <x:v>동대문패션타운 관광특구</x:v>
      </x:c>
      <x:c r="C199" t="str">
        <x:v>관광특구</x:v>
      </x:c>
      <x:c r="D199" t="str">
        <x:v>중구</x:v>
      </x:c>
      <x:c r="E199" t="str">
        <x:v>광희동</x:v>
      </x:c>
      <x:c r="F199" t="str">
        <x:v>CS300033</x:v>
      </x:c>
      <x:c r="G199" t="str">
        <x:v>철물점</x:v>
      </x:c>
      <x:c r="H199" t="n">
        <x:v>924519063</x:v>
      </x:c>
      <x:c r="I199" t="n">
        <x:v>15448</x:v>
      </x:c>
      <x:c r="J199" t="n">
        <x:v>59847.168759709995</x:v>
      </x:c>
      <x:c r="K199" s="14" t="n">
        <x:v>0.08950417417889889</x:v>
      </x:c>
      <x:c r="L199" s="14" t="n">
        <x:v>0.018800721364975237</x:v>
      </x:c>
      <x:c r="M199" s="14" t="n">
        <x:v>-0.020555839555512545</x:v>
      </x:c>
      <x:c r="N199" t="n">
        <x:v>5</x:v>
      </x:c>
      <x:c r="O199" t="n">
        <x:v>0</x:v>
      </x:c>
      <x:c r="P199" s="14" t="n">
        <x:v>0</x:v>
      </x:c>
      <x:c r="Q199" s="14" t="n">
        <x:v>0</x:v>
      </x:c>
      <x:c r="R199" s="14" t="n">
        <x:v>0.25</x:v>
      </x:c>
      <x:c r="S199" t="n">
        <x:v>33754</x:v>
      </x:c>
      <x:c r="T199" t="n">
        <x:v>556.9433948565978</x:v>
      </x:c>
      <x:c r="U199" s="14" t="n">
        <x:v>0.9672328032894223</x:v>
      </x:c>
      <x:c r="V199" s="14" t="n">
        <x:v>0.0020887454648406746</x:v>
      </x:c>
      <x:c r="W199" s="14" t="n">
        <x:v>0.024151121262493642</x:v>
      </x:c>
      <x:c r="X199" s="14" t="n">
        <x:v>0.03276719671057773</x:v>
      </x:c>
      <x:c r="Y199" s="16" t="n">
        <x:v>96.80232558139535</x:v>
      </x:c>
      <x:c r="Z199" s="16" t="n">
        <x:v>65.95092024539878</x:v>
      </x:c>
      <x:c r="AA199" s="16" t="n">
        <x:v>54.09836065573771</x:v>
      </x:c>
      <x:c r="AB199" s="16" t="n">
        <x:v>83.43023255813954</x:v>
      </x:c>
      <x:c r="AC199" s="16" t="n">
        <x:v>54.651162790697676</x:v>
      </x:c>
      <x:c r="AD199" s="16" t="n">
        <x:v>91.28048780487805</x:v>
      </x:c>
      <x:c r="AE199" s="16" t="n">
        <x:v>77.72942765396337</x:v>
      </x:c>
      <x:c r="AF199" t="str">
        <x:v>검토</x:v>
      </x:c>
      <x:c r="AG199" t="str">
        <x:v>수요·직장수요 강점 / 서울 업종추세 상대적 약점</x:v>
      </x:c>
    </x:row>
    <x:row r="200">
      <x:c r="A200" t="str">
        <x:v>3120131</x:v>
      </x:c>
      <x:c r="B200" t="str">
        <x:v>가산디지털단지</x:v>
      </x:c>
      <x:c r="C200" t="str">
        <x:v>발달상권</x:v>
      </x:c>
      <x:c r="D200" t="str">
        <x:v>금천구</x:v>
      </x:c>
      <x:c r="E200" t="str">
        <x:v>가산동</x:v>
      </x:c>
      <x:c r="F200" t="str">
        <x:v>CS200030</x:v>
      </x:c>
      <x:c r="G200" t="str">
        <x:v>피부관리실</x:v>
      </x:c>
      <x:c r="H200" t="n">
        <x:v>200808666</x:v>
      </x:c>
      <x:c r="I200" t="n">
        <x:v>1483</x:v>
      </x:c>
      <x:c r="J200" t="n">
        <x:v>135407.05731625084</x:v>
      </x:c>
      <x:c r="K200" s="14" t="n">
        <x:v>0.4847589215511514</x:v>
      </x:c>
      <x:c r="L200" s="14" t="n">
        <x:v>0.11857168683779085</x:v>
      </x:c>
      <x:c r="M200" s="14" t="n">
        <x:v>0.0314283578178467</x:v>
      </x:c>
      <x:c r="N200" t="n">
        <x:v>52</x:v>
      </x:c>
      <x:c r="O200" t="n">
        <x:v>0</x:v>
      </x:c>
      <x:c r="P200" s="14" t="n">
        <x:v>0</x:v>
      </x:c>
      <x:c r="Q200" s="14" t="n">
        <x:v>0.038461538461538464</x:v>
      </x:c>
      <x:c r="R200" s="14" t="n">
        <x:v>2.0588235294117645</x:v>
      </x:c>
      <x:c r="S200" t="n">
        <x:v>104860</x:v>
      </x:c>
      <x:c r="T200" t="n">
        <x:v>611.9209626404921</x:v>
      </x:c>
      <x:c r="U200" s="14" t="n">
        <x:v>0.9055381404704914</x:v>
      </x:c>
      <x:c r="V200" s="14" t="n">
        <x:v>0.5359634578718829</x:v>
      </x:c>
      <x:c r="W200" s="14" t="n">
        <x:v>0.8789482521635794</x:v>
      </x:c>
      <x:c r="X200" s="14" t="n">
        <x:v>0.7909539720760856</x:v>
      </x:c>
      <x:c r="Y200" s="16" t="n">
        <x:v>84.863523573201</x:v>
      </x:c>
      <x:c r="Z200" s="16" t="n">
        <x:v>89.65517241379311</x:v>
      </x:c>
      <x:c r="AA200" s="16" t="n">
        <x:v>91.80327868852459</x:v>
      </x:c>
      <x:c r="AB200" s="16" t="n">
        <x:v>25.06203473945409</x:v>
      </x:c>
      <x:c r="AC200" s="16" t="n">
        <x:v>79.15632754342431</x:v>
      </x:c>
      <x:c r="AD200" s="16" t="n">
        <x:v>92.7439024390244</x:v>
      </x:c>
      <x:c r="AE200" s="16" t="n">
        <x:v>77.71589262386942</x:v>
      </x:c>
      <x:c r="AF200" t="str">
        <x:v>검토</x:v>
      </x:c>
      <x:c r="AG200" t="str">
        <x:v>직장수요·서울 업종추세 강점 / 경쟁여건 상대적 약점</x:v>
      </x:c>
    </x:row>
    <x:row r="201">
      <x:c r="A201" t="str">
        <x:v>3110813</x:v>
      </x:c>
      <x:c r="B201" t="str">
        <x:v>보라매역 6번</x:v>
      </x:c>
      <x:c r="C201" t="str">
        <x:v>골목상권</x:v>
      </x:c>
      <x:c r="D201" t="str">
        <x:v>영등포구</x:v>
      </x:c>
      <x:c r="E201" t="str">
        <x:v>신길6동</x:v>
      </x:c>
      <x:c r="F201" t="str">
        <x:v>CS300010</x:v>
      </x:c>
      <x:c r="G201" t="str">
        <x:v>반찬가게</x:v>
      </x:c>
      <x:c r="H201" t="n">
        <x:v>1653209537</x:v>
      </x:c>
      <x:c r="I201" t="n">
        <x:v>1764</x:v>
      </x:c>
      <x:c r="J201" t="n">
        <x:v>937193.6150793651</x:v>
      </x:c>
      <x:c r="K201" s="14" t="n">
        <x:v>0.25167866669029504</x:v>
      </x:c>
      <x:c r="L201" s="14" t="n">
        <x:v>0.02346021551670452</x:v>
      </x:c>
      <x:c r="M201" s="14" t="n">
        <x:v>0.024589273784872745</x:v>
      </x:c>
      <x:c r="N201" t="n">
        <x:v>18</x:v>
      </x:c>
      <x:c r="O201" t="n">
        <x:v>0</x:v>
      </x:c>
      <x:c r="P201" s="14" t="n">
        <x:v>0</x:v>
      </x:c>
      <x:c r="Q201" s="14" t="n">
        <x:v>0</x:v>
      </x:c>
      <x:c r="R201" s="14" t="n">
        <x:v>0.19999999999999996</x:v>
      </x:c>
      <x:c r="S201" t="n">
        <x:v>708</x:v>
      </x:c>
      <x:c r="T201" t="n">
        <x:v>70.6135801484082</x:v>
      </x:c>
      <x:c r="U201" s="14" t="n">
        <x:v>0.5850413110700559</x:v>
      </x:c>
      <x:c r="V201" s="14" t="n">
        <x:v>0.5850413110700559</x:v>
      </x:c>
      <x:c r="W201" s="14" t="n">
        <x:v>0.866317655412848</x:v>
      </x:c>
      <x:c r="X201" s="14" t="n">
        <x:v>0.024870725143899288</x:v>
      </x:c>
      <x:c r="Y201" s="16" t="n">
        <x:v>84.21052631578948</x:v>
      </x:c>
      <x:c r="Z201" s="16" t="n">
        <x:v>88.88888888888889</x:v>
      </x:c>
      <x:c r="AA201" s="16" t="n">
        <x:v>63.9344262295082</x:v>
      </x:c>
      <x:c r="AB201" s="16" t="n">
        <x:v>73.80952380952381</x:v>
      </x:c>
      <x:c r="AC201" s="16" t="n">
        <x:v>73.93483709273183</x:v>
      </x:c>
      <x:c r="AD201" s="16" t="n">
        <x:v>48.048780487804876</x:v>
      </x:c>
      <x:c r="AE201" s="16" t="n">
        <x:v>77.70897722782233</x:v>
      </x:c>
      <x:c r="AF201" t="str">
        <x:v>검토</x:v>
      </x:c>
      <x:c r="AG201" t="str">
        <x:v>상권 모멘텀·수요 강점 / 직장수요 상대적 약점</x:v>
      </x:c>
    </x:row>
    <x:row r="202">
      <x:c r="A202" t="str">
        <x:v>3120036</x:v>
      </x:c>
      <x:c r="B202" t="str">
        <x:v>장충동족발거리(남소영길)</x:v>
      </x:c>
      <x:c r="C202" t="str">
        <x:v>발달상권</x:v>
      </x:c>
      <x:c r="D202" t="str">
        <x:v>중구</x:v>
      </x:c>
      <x:c r="E202" t="str">
        <x:v>장충동</x:v>
      </x:c>
      <x:c r="F202" t="str">
        <x:v>CS100001</x:v>
      </x:c>
      <x:c r="G202" t="str">
        <x:v>한식음식점</x:v>
      </x:c>
      <x:c r="H202" t="n">
        <x:v>4902843339</x:v>
      </x:c>
      <x:c r="I202" t="n">
        <x:v>83088</x:v>
      </x:c>
      <x:c r="J202" t="n">
        <x:v>59007.83914644714</x:v>
      </x:c>
      <x:c r="K202" s="14" t="n">
        <x:v>0.06792219091258112</x:v>
      </x:c>
      <x:c r="L202" s="14" t="n">
        <x:v>-0.0018259958518723751</x:v>
      </x:c>
      <x:c r="M202" s="14" t="n">
        <x:v>0.06341040875687098</x:v>
      </x:c>
      <x:c r="N202" t="n">
        <x:v>70</x:v>
      </x:c>
      <x:c r="O202" t="n">
        <x:v>1</x:v>
      </x:c>
      <x:c r="P202" s="14" t="n">
        <x:v>0.013333333333333334</x:v>
      </x:c>
      <x:c r="Q202" s="14" t="n">
        <x:v>0.014285714285714285</x:v>
      </x:c>
      <x:c r="R202" s="14" t="n">
        <x:v>0.02941176470588225</x:v>
      </x:c>
      <x:c r="S202" t="n">
        <x:v>1466</x:v>
      </x:c>
      <x:c r="T202" t="n">
        <x:v>166.20938300718805</x:v>
      </x:c>
      <x:c r="U202" s="14" t="n">
        <x:v>0.669668209645399</x:v>
      </x:c>
      <x:c r="V202" s="14" t="n">
        <x:v>0.5214717249198241</x:v>
      </x:c>
      <x:c r="W202" s="14" t="n">
        <x:v>0.17866425407316078</x:v>
      </x:c>
      <x:c r="X202" s="14" t="n">
        <x:v>0.2918616588495486</x:v>
      </x:c>
      <x:c r="Y202" s="16" t="n">
        <x:v>86.19217081850533</x:v>
      </x:c>
      <x:c r="Z202" s="16" t="n">
        <x:v>80.4145818441744</x:v>
      </x:c>
      <x:c r="AA202" s="16" t="n">
        <x:v>40.98360655737705</x:v>
      </x:c>
      <x:c r="AB202" s="16" t="n">
        <x:v>85.48042704626334</x:v>
      </x:c>
      <x:c r="AC202" s="16" t="n">
        <x:v>88.46975088967972</x:v>
      </x:c>
      <x:c r="AD202" s="16" t="n">
        <x:v>72.5609756097561</x:v>
      </x:c>
      <x:c r="AE202" s="16" t="n">
        <x:v>77.69480506531357</x:v>
      </x:c>
      <x:c r="AF202" t="str">
        <x:v>검토</x:v>
      </x:c>
      <x:c r="AG202" t="str">
        <x:v>안정성·수요 강점 / 서울 업종추세 상대적 약점</x:v>
      </x:c>
    </x:row>
    <x:row r="203">
      <x:c r="A203" t="str">
        <x:v>3120046</x:v>
      </x:c>
      <x:c r="B203" t="str">
        <x:v>이태원(이태원역)</x:v>
      </x:c>
      <x:c r="C203" t="str">
        <x:v>발달상권</x:v>
      </x:c>
      <x:c r="D203" t="str">
        <x:v>용산구</x:v>
      </x:c>
      <x:c r="E203" t="str">
        <x:v>이태원1동</x:v>
      </x:c>
      <x:c r="F203" t="str">
        <x:v>CS200030</x:v>
      </x:c>
      <x:c r="G203" t="str">
        <x:v>피부관리실</x:v>
      </x:c>
      <x:c r="H203" t="n">
        <x:v>54581919</x:v>
      </x:c>
      <x:c r="I203" t="n">
        <x:v>424</x:v>
      </x:c>
      <x:c r="J203" t="n">
        <x:v>128730.94103773584</x:v>
      </x:c>
      <x:c r="K203" s="14" t="n">
        <x:v>0.26130481410928197</x:v>
      </x:c>
      <x:c r="L203" s="14" t="n">
        <x:v>0.11857168683779085</x:v>
      </x:c>
      <x:c r="M203" s="14" t="n">
        <x:v>0.0314283578178467</x:v>
      </x:c>
      <x:c r="N203" t="n">
        <x:v>13</x:v>
      </x:c>
      <x:c r="O203" t="n">
        <x:v>0</x:v>
      </x:c>
      <x:c r="P203" s="14" t="n">
        <x:v>0</x:v>
      </x:c>
      <x:c r="Q203" s="14" t="n">
        <x:v>0.07692307692307693</x:v>
      </x:c>
      <x:c r="R203" s="14" t="n">
        <x:v>1.1666666666666665</x:v>
      </x:c>
      <x:c r="S203" t="n">
        <x:v>22140</x:v>
      </x:c>
      <x:c r="T203" t="n">
        <x:v>781.1480123769975</x:v>
      </x:c>
      <x:c r="U203" s="14" t="n">
        <x:v>0.7787841244643671</x:v>
      </x:c>
      <x:c r="V203" s="14" t="n">
        <x:v>0.3771458639993951</x:v>
      </x:c>
      <x:c r="W203" s="14" t="n">
        <x:v>0.5846828507440348</x:v>
      </x:c>
      <x:c r="X203" s="14" t="n">
        <x:v>0.8267591141308168</x:v>
      </x:c>
      <x:c r="Y203" s="16" t="n">
        <x:v>65.136476426799</x:v>
      </x:c>
      <x:c r="Z203" s="16" t="n">
        <x:v>78.91246684350132</x:v>
      </x:c>
      <x:c r="AA203" s="16" t="n">
        <x:v>91.80327868852459</x:v>
      </x:c>
      <x:c r="AB203" s="16" t="n">
        <x:v>84.61538461538461</x:v>
      </x:c>
      <x:c r="AC203" s="16" t="n">
        <x:v>79.15632754342431</x:v>
      </x:c>
      <x:c r="AD203" s="16" t="n">
        <x:v>94.6951219512195</x:v>
      </x:c>
      <x:c r="AE203" s="16" t="n">
        <x:v>77.6934484655697</x:v>
      </x:c>
      <x:c r="AF203" t="str">
        <x:v>검토</x:v>
      </x:c>
      <x:c r="AG203" t="str">
        <x:v>직장수요·서울 업종추세 강점 / 수요 상대적 약점</x:v>
      </x:c>
    </x:row>
    <x:row r="204">
      <x:c r="A204" t="str">
        <x:v>3120080</x:v>
      </x:c>
      <x:c r="B204" t="str">
        <x:v>마들역</x:v>
      </x:c>
      <x:c r="C204" t="str">
        <x:v>발달상권</x:v>
      </x:c>
      <x:c r="D204" t="str">
        <x:v>노원구</x:v>
      </x:c>
      <x:c r="E204" t="str">
        <x:v>상계9동</x:v>
      </x:c>
      <x:c r="F204" t="str">
        <x:v>CS200006</x:v>
      </x:c>
      <x:c r="G204" t="str">
        <x:v>일반의원</x:v>
      </x:c>
      <x:c r="H204" t="n">
        <x:v>5491514177</x:v>
      </x:c>
      <x:c r="I204" t="n">
        <x:v>219986</x:v>
      </x:c>
      <x:c r="J204" t="n">
        <x:v>24963.01663287664</x:v>
      </x:c>
      <x:c r="K204" s="14" t="n">
        <x:v>0.054849151246654015</x:v>
      </x:c>
      <x:c r="L204" s="14" t="n">
        <x:v>0.09973642051122278</x:v>
      </x:c>
      <x:c r="M204" s="14" t="n">
        <x:v>0.06942273842247415</x:v>
      </x:c>
      <x:c r="N204" t="n">
        <x:v>18</x:v>
      </x:c>
      <x:c r="O204" t="n">
        <x:v>0</x:v>
      </x:c>
      <x:c r="P204" s="14" t="n">
        <x:v>0</x:v>
      </x:c>
      <x:c r="Q204" s="14" t="n">
        <x:v>0</x:v>
      </x:c>
      <x:c r="R204" s="14" t="n">
        <x:v>0.125</x:v>
      </x:c>
      <x:c r="S204" t="n">
        <x:v>1635</x:v>
      </x:c>
      <x:c r="T204" t="n">
        <x:v>419.4889162561576</x:v>
      </x:c>
      <x:c r="U204" s="14" t="n">
        <x:v>0.818551900826678</x:v>
      </x:c>
      <x:c r="V204" s="14" t="n">
        <x:v>0.10042747523257464</x:v>
      </x:c>
      <x:c r="W204" s="14" t="n">
        <x:v>0.1854759518360067</x:v>
      </x:c>
      <x:c r="X204" s="14" t="n">
        <x:v>0.5385273703537231</x:v>
      </x:c>
      <x:c r="Y204" s="16" t="n">
        <x:v>84.71953578336557</x:v>
      </x:c>
      <x:c r="Z204" s="16" t="n">
        <x:v>65.69767441860465</x:v>
      </x:c>
      <x:c r="AA204" s="16" t="n">
        <x:v>90.1639344262295</x:v>
      </x:c>
      <x:c r="AB204" s="16" t="n">
        <x:v>71.51162790697674</x:v>
      </x:c>
      <x:c r="AC204" s="16" t="n">
        <x:v>62.5</x:v>
      </x:c>
      <x:c r="AD204" s="16" t="n">
        <x:v>87.98780487804878</x:v>
      </x:c>
      <x:c r="AE204" s="16" t="n">
        <x:v>77.69209700178226</x:v>
      </x:c>
      <x:c r="AF204" t="str">
        <x:v>검토</x:v>
      </x:c>
      <x:c r="AG204" t="str">
        <x:v>서울 업종추세·직장수요 강점 / 안정성 상대적 약점</x:v>
      </x:c>
    </x:row>
    <x:row r="205">
      <x:c r="A205" t="str">
        <x:v>3120205</x:v>
      </x:c>
      <x:c r="B205" t="str">
        <x:v>매봉역</x:v>
      </x:c>
      <x:c r="C205" t="str">
        <x:v>발달상권</x:v>
      </x:c>
      <x:c r="D205" t="str">
        <x:v>강남구</x:v>
      </x:c>
      <x:c r="E205" t="str">
        <x:v>도곡2동</x:v>
      </x:c>
      <x:c r="F205" t="str">
        <x:v>CS200016</x:v>
      </x:c>
      <x:c r="G205" t="str">
        <x:v>당구장</x:v>
      </x:c>
      <x:c r="H205" t="n">
        <x:v>72350557</x:v>
      </x:c>
      <x:c r="I205" t="n">
        <x:v>4134</x:v>
      </x:c>
      <x:c r="J205" t="n">
        <x:v>17501.344218674407</x:v>
      </x:c>
      <x:c r="K205" s="14" t="n">
        <x:v>0.273537495848567</x:v>
      </x:c>
      <x:c r="L205" s="14" t="n">
        <x:v>0.052763611334009974</x:v>
      </x:c>
      <x:c r="M205" s="14" t="n">
        <x:v>0.07602781601598463</x:v>
      </x:c>
      <x:c r="N205" t="n">
        <x:v>10</x:v>
      </x:c>
      <x:c r="O205" t="n">
        <x:v>0</x:v>
      </x:c>
      <x:c r="P205" s="14" t="n">
        <x:v>0</x:v>
      </x:c>
      <x:c r="Q205" s="14" t="n">
        <x:v>0</x:v>
      </x:c>
      <x:c r="R205" s="14" t="n">
        <x:v>-0.16666666666666663</x:v>
      </x:c>
      <x:c r="S205" t="n">
        <x:v>67744</x:v>
      </x:c>
      <x:c r="T205" t="n">
        <x:v>5532.696846696013</x:v>
      </x:c>
      <x:c r="U205" s="14" t="n">
        <x:v>0.7357893872192304</x:v>
      </x:c>
      <x:c r="V205" s="14" t="n">
        <x:v>0.8469843017241733</x:v>
      </x:c>
      <x:c r="W205" s="14" t="n">
        <x:v>0.37689983506277636</x:v>
      </x:c>
      <x:c r="X205" s="14" t="n">
        <x:v>0.4048929713146507</x:v>
      </x:c>
      <x:c r="Y205" s="16" t="n">
        <x:v>69.6165191740413</x:v>
      </x:c>
      <x:c r="Z205" s="16" t="n">
        <x:v>95.06172839506173</x:v>
      </x:c>
      <x:c r="AA205" s="16" t="n">
        <x:v>80.32786885245902</x:v>
      </x:c>
      <x:c r="AB205" s="16" t="n">
        <x:v>68.87905604719764</x:v>
      </x:c>
      <x:c r="AC205" s="16" t="n">
        <x:v>69.32153392330383</x:v>
      </x:c>
      <x:c r="AD205" s="16" t="n">
        <x:v>100</x:v>
      </x:c>
      <x:c r="AE205" s="16" t="n">
        <x:v>77.69131951720568</x:v>
      </x:c>
      <x:c r="AF205" t="str">
        <x:v>검토</x:v>
      </x:c>
      <x:c r="AG205" t="str">
        <x:v>직장수요·상권 모멘텀 강점 / 경쟁여건 상대적 약점</x:v>
      </x:c>
    </x:row>
    <x:row r="206">
      <x:c r="A206" t="str">
        <x:v>3120202</x:v>
      </x:c>
      <x:c r="B206" t="str">
        <x:v>압구정로데오역(압구정로데오)</x:v>
      </x:c>
      <x:c r="C206" t="str">
        <x:v>발달상권</x:v>
      </x:c>
      <x:c r="D206" t="str">
        <x:v>강남구</x:v>
      </x:c>
      <x:c r="E206" t="str">
        <x:v>압구정동</x:v>
      </x:c>
      <x:c r="F206" t="str">
        <x:v>CS300017</x:v>
      </x:c>
      <x:c r="G206" t="str">
        <x:v>시계및귀금속</x:v>
      </x:c>
      <x:c r="H206" t="n">
        <x:v>16110611293</x:v>
      </x:c>
      <x:c r="I206" t="n">
        <x:v>9962</x:v>
      </x:c>
      <x:c r="J206" t="n">
        <x:v>1617206.514053403</x:v>
      </x:c>
      <x:c r="K206" s="14" t="n">
        <x:v>0.7840968596645914</x:v>
      </x:c>
      <x:c r="L206" s="14" t="n">
        <x:v>0.09182238369060247</x:v>
      </x:c>
      <x:c r="M206" s="14" t="n">
        <x:v>0.00817160170707898</x:v>
      </x:c>
      <x:c r="N206" t="n">
        <x:v>95</x:v>
      </x:c>
      <x:c r="O206" t="n">
        <x:v>0</x:v>
      </x:c>
      <x:c r="P206" s="14" t="n">
        <x:v>0</x:v>
      </x:c>
      <x:c r="Q206" s="14" t="n">
        <x:v>0</x:v>
      </x:c>
      <x:c r="R206" s="14" t="n">
        <x:v>0.28378378378378377</x:v>
      </x:c>
      <x:c r="S206" t="n">
        <x:v>15957</x:v>
      </x:c>
      <x:c r="T206" t="n">
        <x:v>600.5600258936704</x:v>
      </x:c>
      <x:c r="U206" s="14" t="n">
        <x:v>0.2242275063497803</x:v>
      </x:c>
      <x:c r="V206" s="14" t="n">
        <x:v>0.3898401452792099</x:v>
      </x:c>
      <x:c r="W206" s="14" t="n">
        <x:v>0.16956043407160615</x:v>
      </x:c>
      <x:c r="X206" s="14" t="n">
        <x:v>0.8671540075000183</x:v>
      </x:c>
      <x:c r="Y206" s="16" t="n">
        <x:v>97.20670391061452</x:v>
      </x:c>
      <x:c r="Z206" s="16" t="n">
        <x:v>92.39766081871345</x:v>
      </x:c>
      <x:c r="AA206" s="16" t="n">
        <x:v>86.88524590163935</x:v>
      </x:c>
      <x:c r="AB206" s="16" t="n">
        <x:v>8.98876404494382</x:v>
      </x:c>
      <x:c r="AC206" s="16" t="n">
        <x:v>61.79775280898876</x:v>
      </x:c>
      <x:c r="AD206" s="16" t="n">
        <x:v>92.4390243902439</x:v>
      </x:c>
      <x:c r="AE206" s="16" t="n">
        <x:v>77.68470652485631</x:v>
      </x:c>
      <x:c r="AF206" t="str">
        <x:v>검토</x:v>
      </x:c>
      <x:c r="AG206" t="str">
        <x:v>수요·직장수요 강점 / 경쟁여건 상대적 약점</x:v>
      </x:c>
    </x:row>
    <x:row r="207">
      <x:c r="A207" t="str">
        <x:v>3110316</x:v>
      </x:c>
      <x:c r="B207" t="str">
        <x:v>숭곡초등학교</x:v>
      </x:c>
      <x:c r="C207" t="str">
        <x:v>골목상권</x:v>
      </x:c>
      <x:c r="D207" t="str">
        <x:v>성북구</x:v>
      </x:c>
      <x:c r="E207" t="str">
        <x:v>월곡1동</x:v>
      </x:c>
      <x:c r="F207" t="str">
        <x:v>CS200030</x:v>
      </x:c>
      <x:c r="G207" t="str">
        <x:v>피부관리실</x:v>
      </x:c>
      <x:c r="H207" t="n">
        <x:v>48366834</x:v>
      </x:c>
      <x:c r="I207" t="n">
        <x:v>10</x:v>
      </x:c>
      <x:c r="J207" t="n">
        <x:v>4836683.4</x:v>
      </x:c>
      <x:c r="K207" s="14" t="n">
        <x:v>0.8909866795876287</x:v>
      </x:c>
      <x:c r="L207" s="14" t="n">
        <x:v>0.11857168683779085</x:v>
      </x:c>
      <x:c r="M207" s="14" t="n">
        <x:v>0.0314283578178467</x:v>
      </x:c>
      <x:c r="N207" t="n">
        <x:v>9</x:v>
      </x:c>
      <x:c r="O207" t="n">
        <x:v>0</x:v>
      </x:c>
      <x:c r="P207" s="14" t="n">
        <x:v>0</x:v>
      </x:c>
      <x:c r="Q207" s="14" t="n">
        <x:v>0</x:v>
      </x:c>
      <x:c r="R207" s="14" t="n">
        <x:v>-0.09999999999999998</x:v>
      </x:c>
      <x:c r="S207" t="n">
        <x:v>961</x:v>
      </x:c>
      <x:c r="T207" t="n">
        <x:v>53.205919643005444</x:v>
      </x:c>
      <x:c r="U207" s="14" t="n">
        <x:v>1</x:v>
      </x:c>
      <x:c r="V207" s="14" t="n">
        <x:v>1</x:v>
      </x:c>
      <x:c r="W207" s="14" t="n">
        <x:v>0</x:v>
      </x:c>
      <x:c r="X207" s="14" t="n">
        <x:v>1</x:v>
      </x:c>
      <x:c r="Y207" s="16" t="n">
        <x:v>61.53846153846154</x:v>
      </x:c>
      <x:c r="Z207" s="16" t="n">
        <x:v>93.36870026525199</x:v>
      </x:c>
      <x:c r="AA207" s="16" t="n">
        <x:v>91.80327868852459</x:v>
      </x:c>
      <x:c r="AB207" s="16" t="n">
        <x:v>92.55583126550869</x:v>
      </x:c>
      <x:c r="AC207" s="16" t="n">
        <x:v>79.15632754342431</x:v>
      </x:c>
      <x:c r="AD207" s="16" t="n">
        <x:v>37.98780487804878</x:v>
      </x:c>
      <x:c r="AE207" s="16" t="n">
        <x:v>77.6810910828618</x:v>
      </x:c>
      <x:c r="AF207" t="str">
        <x:v>검토</x:v>
      </x:c>
      <x:c r="AG207" t="str">
        <x:v>상권 모멘텀·경쟁여건 강점 / 직장수요 상대적 약점</x:v>
      </x:c>
    </x:row>
    <x:row r="208">
      <x:c r="A208" t="str">
        <x:v>3001495</x:v>
      </x:c>
      <x:c r="B208" t="str">
        <x:v>잠실 관광특구</x:v>
      </x:c>
      <x:c r="C208" t="str">
        <x:v>관광특구</x:v>
      </x:c>
      <x:c r="D208" t="str">
        <x:v>송파구</x:v>
      </x:c>
      <x:c r="E208" t="str">
        <x:v>방이2동</x:v>
      </x:c>
      <x:c r="F208" t="str">
        <x:v>CS300026</x:v>
      </x:c>
      <x:c r="G208" t="str">
        <x:v>완구</x:v>
      </x:c>
      <x:c r="H208" t="n">
        <x:v>17790000000</x:v>
      </x:c>
      <x:c r="I208" t="n">
        <x:v>1291738</x:v>
      </x:c>
      <x:c r="J208" t="n">
        <x:v>13772.142648122142</x:v>
      </x:c>
      <x:c r="K208" s="14" t="n">
        <x:v>0</x:v>
      </x:c>
      <x:c r="L208" s="14" t="n">
        <x:v>0.13391619953678746</x:v>
      </x:c>
      <x:c r="M208" s="14" t="n">
        <x:v>-0.001177008085450515</x:v>
      </x:c>
      <x:c r="N208" t="n">
        <x:v>4</x:v>
      </x:c>
      <x:c r="O208" t="n">
        <x:v>0</x:v>
      </x:c>
      <x:c r="P208" s="14" t="n">
        <x:v>0</x:v>
      </x:c>
      <x:c r="Q208" s="14" t="n">
        <x:v>0</x:v>
      </x:c>
      <x:c r="R208" s="14" t="n">
        <x:v>1</x:v>
      </x:c>
      <x:c r="S208" t="n">
        <x:v>137602</x:v>
      </x:c>
      <x:c r="T208" t="n">
        <x:v>558.7367535430136</x:v>
      </x:c>
      <x:c r="U208" s="14" t="n">
        <x:v>0.6313435027543564</x:v>
      </x:c>
      <x:c r="V208" s="14" t="n">
        <x:v>0.41035025947161324</x:v>
      </x:c>
      <x:c r="W208" s="14" t="n">
        <x:v>0.6415598204609331</x:v>
      </x:c>
      <x:c r="X208" s="14" t="n">
        <x:v>0.49253579229904443</x:v>
      </x:c>
      <x:c r="Y208" s="16" t="n">
        <x:v>96.66666666666667</x:v>
      </x:c>
      <x:c r="Z208" s="16" t="n">
        <x:v>34.61538461538461</x:v>
      </x:c>
      <x:c r="AA208" s="16" t="n">
        <x:v>93.44262295081967</x:v>
      </x:c>
      <x:c r="AB208" s="16" t="n">
        <x:v>86.66666666666667</x:v>
      </x:c>
      <x:c r="AC208" s="16" t="n">
        <x:v>53.333333333333336</x:v>
      </x:c>
      <x:c r="AD208" s="16" t="n">
        <x:v>91.34146341463415</x:v>
      </x:c>
      <x:c r="AE208" s="16" t="n">
        <x:v>77.67321020309824</x:v>
      </x:c>
      <x:c r="AF208" t="str">
        <x:v>검토</x:v>
      </x:c>
      <x:c r="AG208" t="str">
        <x:v>수요·서울 업종추세 강점 / 상권 모멘텀 상대적 약점</x:v>
      </x:c>
    </x:row>
    <x:row r="209">
      <x:c r="A209" t="str">
        <x:v>3110186</x:v>
      </x:c>
      <x:c r="B209" t="str">
        <x:v>종암초등학교</x:v>
      </x:c>
      <x:c r="C209" t="str">
        <x:v>골목상권</x:v>
      </x:c>
      <x:c r="D209" t="str">
        <x:v>동대문구</x:v>
      </x:c>
      <x:c r="E209" t="str">
        <x:v>제기동</x:v>
      </x:c>
      <x:c r="F209" t="str">
        <x:v>CS300035</x:v>
      </x:c>
      <x:c r="G209" t="str">
        <x:v>인테리어</x:v>
      </x:c>
      <x:c r="H209" t="n">
        <x:v>1035512336</x:v>
      </x:c>
      <x:c r="I209" t="n">
        <x:v>252</x:v>
      </x:c>
      <x:c r="J209" t="n">
        <x:v>4109175.9365079366</x:v>
      </x:c>
      <x:c r="K209" s="14" t="n">
        <x:v>3.2052862634972765</x:v>
      </x:c>
      <x:c r="L209" s="14" t="n">
        <x:v>0.20213561276420866</x:v>
      </x:c>
      <x:c r="M209" s="14" t="n">
        <x:v>0.044160820891303576</x:v>
      </x:c>
      <x:c r="N209" t="n">
        <x:v>27</x:v>
      </x:c>
      <x:c r="O209" t="n">
        <x:v>0</x:v>
      </x:c>
      <x:c r="P209" s="14" t="n">
        <x:v>0</x:v>
      </x:c>
      <x:c r="Q209" s="14" t="n">
        <x:v>0</x:v>
      </x:c>
      <x:c r="R209" s="14" t="n">
        <x:v>-0.06896551724137934</x:v>
      </x:c>
      <x:c r="S209" t="n">
        <x:v>97</x:v>
      </x:c>
      <x:c r="T209" t="n">
        <x:v>42.37658366098733</x:v>
      </x:c>
      <x:c r="U209" s="14" t="n">
        <x:v>1</x:v>
      </x:c>
      <x:c r="V209" s="14" t="n">
        <x:v>0</x:v>
      </x:c>
      <x:c r="W209" s="14" t="n">
        <x:v>0.8170180128110034</x:v>
      </x:c>
      <x:c r="X209" s="14" t="n">
        <x:v>0.10902982328160309</x:v>
      </x:c>
      <x:c r="Y209" s="16" t="n">
        <x:v>95.1086956521739</x:v>
      </x:c>
      <x:c r="Z209" s="16" t="n">
        <x:v>98.72611464968153</x:v>
      </x:c>
      <x:c r="AA209" s="16" t="n">
        <x:v>98.36065573770492</x:v>
      </x:c>
      <x:c r="AB209" s="16" t="n">
        <x:v>15.48913043478261</x:v>
      </x:c>
      <x:c r="AC209" s="16" t="n">
        <x:v>60.32608695652174</x:v>
      </x:c>
      <x:c r="AD209" s="16" t="n">
        <x:v>30.548780487804876</x:v>
      </x:c>
      <x:c r="AE209" s="16" t="n">
        <x:v>77.67078205411272</x:v>
      </x:c>
      <x:c r="AF209" t="str">
        <x:v>검토</x:v>
      </x:c>
      <x:c r="AG209" t="str">
        <x:v>상권 모멘텀·서울 업종추세 강점 / 경쟁여건 상대적 약점</x:v>
      </x:c>
    </x:row>
    <x:row r="210">
      <x:c r="A210" t="str">
        <x:v>3120085</x:v>
      </x:c>
      <x:c r="B210" t="str">
        <x:v>은행사거리</x:v>
      </x:c>
      <x:c r="C210" t="str">
        <x:v>발달상권</x:v>
      </x:c>
      <x:c r="D210" t="str">
        <x:v>노원구</x:v>
      </x:c>
      <x:c r="E210" t="str">
        <x:v>중계본동</x:v>
      </x:c>
      <x:c r="F210" t="str">
        <x:v>CS200030</x:v>
      </x:c>
      <x:c r="G210" t="str">
        <x:v>피부관리실</x:v>
      </x:c>
      <x:c r="H210" t="n">
        <x:v>88823236</x:v>
      </x:c>
      <x:c r="I210" t="n">
        <x:v>56</x:v>
      </x:c>
      <x:c r="J210" t="n">
        <x:v>1586129.2142857143</x:v>
      </x:c>
      <x:c r="K210" s="14" t="n">
        <x:v>0.09847501331414077</x:v>
      </x:c>
      <x:c r="L210" s="14" t="n">
        <x:v>0.11857168683779085</x:v>
      </x:c>
      <x:c r="M210" s="14" t="n">
        <x:v>0.0314283578178467</x:v>
      </x:c>
      <x:c r="N210" t="n">
        <x:v>9</x:v>
      </x:c>
      <x:c r="O210" t="n">
        <x:v>0</x:v>
      </x:c>
      <x:c r="P210" s="14" t="n">
        <x:v>0</x:v>
      </x:c>
      <x:c r="Q210" s="14" t="n">
        <x:v>0</x:v>
      </x:c>
      <x:c r="R210" s="14" t="n">
        <x:v>-0.09999999999999998</x:v>
      </x:c>
      <x:c r="S210" t="n">
        <x:v>1811</x:v>
      </x:c>
      <x:c r="T210" t="n">
        <x:v>294.05556367415204</x:v>
      </x:c>
      <x:c r="U210" s="14" t="n">
        <x:v>1</x:v>
      </x:c>
      <x:c r="V210" s="14" t="n">
        <x:v>0</x:v>
      </x:c>
      <x:c r="W210" s="14" t="n">
        <x:v>0</x:v>
      </x:c>
      <x:c r="X210" s="14" t="n">
        <x:v>0.062499997185421166</x:v>
      </x:c>
      <x:c r="Y210" s="16" t="n">
        <x:v>73.9454094292804</x:v>
      </x:c>
      <x:c r="Z210" s="16" t="n">
        <x:v>60.212201591511935</x:v>
      </x:c>
      <x:c r="AA210" s="16" t="n">
        <x:v>91.80327868852459</x:v>
      </x:c>
      <x:c r="AB210" s="16" t="n">
        <x:v>92.55583126550869</x:v>
      </x:c>
      <x:c r="AC210" s="16" t="n">
        <x:v>79.15632754342431</x:v>
      </x:c>
      <x:c r="AD210" s="16" t="n">
        <x:v>83.41463414634147</x:v>
      </x:c>
      <x:c r="AE210" s="16" t="n">
        <x:v>77.66356457331501</x:v>
      </x:c>
      <x:c r="AF210" t="str">
        <x:v>검토</x:v>
      </x:c>
      <x:c r="AG210" t="str">
        <x:v>경쟁여건·서울 업종추세 강점 / 상권 모멘텀 상대적 약점</x:v>
      </x:c>
    </x:row>
    <x:row r="211">
      <x:c r="A211" t="str">
        <x:v>3120153</x:v>
      </x:c>
      <x:c r="B211" t="str">
        <x:v>노량진역(노량진)</x:v>
      </x:c>
      <x:c r="C211" t="str">
        <x:v>발달상권</x:v>
      </x:c>
      <x:c r="D211" t="str">
        <x:v>동작구</x:v>
      </x:c>
      <x:c r="E211" t="str">
        <x:v>노량진1동</x:v>
      </x:c>
      <x:c r="F211" t="str">
        <x:v>CS100003</x:v>
      </x:c>
      <x:c r="G211" t="str">
        <x:v>일식음식점</x:v>
      </x:c>
      <x:c r="H211" t="n">
        <x:v>556508883</x:v>
      </x:c>
      <x:c r="I211" t="n">
        <x:v>11789</x:v>
      </x:c>
      <x:c r="J211" t="n">
        <x:v>47205.77512935788</x:v>
      </x:c>
      <x:c r="K211" s="14" t="n">
        <x:v>1.8579913874502978</x:v>
      </x:c>
      <x:c r="L211" s="14" t="n">
        <x:v>0.048235937606500245</x:v>
      </x:c>
      <x:c r="M211" s="14" t="n">
        <x:v>-0.004288267098710441</x:v>
      </x:c>
      <x:c r="N211" t="n">
        <x:v>14</x:v>
      </x:c>
      <x:c r="O211" t="n">
        <x:v>0</x:v>
      </x:c>
      <x:c r="P211" s="14" t="n">
        <x:v>0</x:v>
      </x:c>
      <x:c r="Q211" s="14" t="n">
        <x:v>0.07142857142857142</x:v>
      </x:c>
      <x:c r="R211" s="14" t="n">
        <x:v>-0.30000000000000004</x:v>
      </x:c>
      <x:c r="S211" t="n">
        <x:v>5349</x:v>
      </x:c>
      <x:c r="T211" t="n">
        <x:v>120.5202038636763</x:v>
      </x:c>
      <x:c r="U211" s="14" t="n">
        <x:v>0.6813295700798364</x:v>
      </x:c>
      <x:c r="V211" s="14" t="n">
        <x:v>0.7345499802201719</x:v>
      </x:c>
      <x:c r="W211" s="14" t="n">
        <x:v>0.6639571932942533</x:v>
      </x:c>
      <x:c r="X211" s="14" t="n">
        <x:v>0.31313594144372353</x:v>
      </x:c>
      <x:c r="Y211" s="16" t="n">
        <x:v>66.07142857142857</x:v>
      </x:c>
      <x:c r="Z211" s="16" t="n">
        <x:v>99.69135802469135</x:v>
      </x:c>
      <x:c r="AA211" s="16" t="n">
        <x:v>78.68852459016394</x:v>
      </x:c>
      <x:c r="AB211" s="16" t="n">
        <x:v>76.48809523809524</x:v>
      </x:c>
      <x:c r="AC211" s="16" t="n">
        <x:v>81.10119047619048</x:v>
      </x:c>
      <x:c r="AD211" s="16" t="n">
        <x:v>63.96341463414634</x:v>
      </x:c>
      <x:c r="AE211" s="16" t="n">
        <x:v>77.64805435850352</x:v>
      </x:c>
      <x:c r="AF211" t="str">
        <x:v>검토</x:v>
      </x:c>
      <x:c r="AG211" t="str">
        <x:v>상권 모멘텀·안정성 강점 / 직장수요 상대적 약점</x:v>
      </x:c>
    </x:row>
    <x:row r="212">
      <x:c r="A212" t="str">
        <x:v>3110748</x:v>
      </x:c>
      <x:c r="B212" t="str">
        <x:v>백산초등학교</x:v>
      </x:c>
      <x:c r="C212" t="str">
        <x:v>골목상권</x:v>
      </x:c>
      <x:c r="D212" t="str">
        <x:v>금천구</x:v>
      </x:c>
      <x:c r="E212" t="str">
        <x:v>시흥5동</x:v>
      </x:c>
      <x:c r="F212" t="str">
        <x:v>CS200003</x:v>
      </x:c>
      <x:c r="G212" t="str">
        <x:v>예술학원</x:v>
      </x:c>
      <x:c r="H212" t="n">
        <x:v>299129699</x:v>
      </x:c>
      <x:c r="I212" t="n">
        <x:v>505</x:v>
      </x:c>
      <x:c r="J212" t="n">
        <x:v>592336.0376237624</x:v>
      </x:c>
      <x:c r="K212" s="14" t="n">
        <x:v>0.09401664859928749</x:v>
      </x:c>
      <x:c r="L212" s="14" t="n">
        <x:v>0.09364146198394163</x:v>
      </x:c>
      <x:c r="M212" s="14" t="n">
        <x:v>0.053788091189524545</x:v>
      </x:c>
      <x:c r="N212" t="n">
        <x:v>13</x:v>
      </x:c>
      <x:c r="O212" t="n">
        <x:v>0</x:v>
      </x:c>
      <x:c r="P212" s="14" t="n">
        <x:v>0</x:v>
      </x:c>
      <x:c r="Q212" s="14" t="n">
        <x:v>0</x:v>
      </x:c>
      <x:c r="R212" s="14" t="n">
        <x:v>-0.1333333333333333</x:v>
      </x:c>
      <x:c r="S212" t="n">
        <x:v>187</x:v>
      </x:c>
      <x:c r="T212" t="n">
        <x:v>26.657163221667854</x:v>
      </x:c>
      <x:c r="U212" s="14" t="n">
        <x:v>0.8208402904186388</x:v>
      </x:c>
      <x:c r="V212" s="14" t="n">
        <x:v>0.5105046523648593</x:v>
      </x:c>
      <x:c r="W212" s="14" t="n">
        <x:v>0</x:v>
      </x:c>
      <x:c r="X212" s="14" t="n">
        <x:v>0.5963106491809762</x:v>
      </x:c>
      <x:c r="Y212" s="16" t="n">
        <x:v>84.4621513944223</x:v>
      </x:c>
      <x:c r="Z212" s="16" t="n">
        <x:v>66.05316973415133</x:v>
      </x:c>
      <x:c r="AA212" s="16" t="n">
        <x:v>88.52459016393442</x:v>
      </x:c>
      <x:c r="AB212" s="16" t="n">
        <x:v>89.04382470119522</x:v>
      </x:c>
      <x:c r="AC212" s="16" t="n">
        <x:v>73.20717131474103</x:v>
      </x:c>
      <x:c r="AD212" s="16" t="n">
        <x:v>18.353658536585368</x:v>
      </x:c>
      <x:c r="AE212" s="16" t="n">
        <x:v>77.6460492229509</x:v>
      </x:c>
      <x:c r="AF212" t="str">
        <x:v>검토</x:v>
      </x:c>
      <x:c r="AG212" t="str">
        <x:v>경쟁여건·서울 업종추세 강점 / 직장수요 상대적 약점</x:v>
      </x:c>
    </x:row>
    <x:row r="213">
      <x:c r="A213" t="str">
        <x:v>3120085</x:v>
      </x:c>
      <x:c r="B213" t="str">
        <x:v>은행사거리</x:v>
      </x:c>
      <x:c r="C213" t="str">
        <x:v>발달상권</x:v>
      </x:c>
      <x:c r="D213" t="str">
        <x:v>노원구</x:v>
      </x:c>
      <x:c r="E213" t="str">
        <x:v>중계본동</x:v>
      </x:c>
      <x:c r="F213" t="str">
        <x:v>CS200024</x:v>
      </x:c>
      <x:c r="G213" t="str">
        <x:v>스포츠클럽</x:v>
      </x:c>
      <x:c r="H213" t="n">
        <x:v>741899715</x:v>
      </x:c>
      <x:c r="I213" t="n">
        <x:v>820</x:v>
      </x:c>
      <x:c r="J213" t="n">
        <x:v>904755.75</x:v>
      </x:c>
      <x:c r="K213" s="14" t="n">
        <x:v>0.03999314500232831</x:v>
      </x:c>
      <x:c r="L213" s="14" t="n">
        <x:v>0.03927856170757105</x:v>
      </x:c>
      <x:c r="M213" s="14" t="n">
        <x:v>-0.042593628048716026</x:v>
      </x:c>
      <x:c r="N213" t="n">
        <x:v>14</x:v>
      </x:c>
      <x:c r="O213" t="n">
        <x:v>0</x:v>
      </x:c>
      <x:c r="P213" s="14" t="n">
        <x:v>0</x:v>
      </x:c>
      <x:c r="Q213" s="14" t="n">
        <x:v>0</x:v>
      </x:c>
      <x:c r="R213" s="14" t="n">
        <x:v>0</x:v>
      </x:c>
      <x:c r="S213" t="n">
        <x:v>1811</x:v>
      </x:c>
      <x:c r="T213" t="n">
        <x:v>294.05556367415204</x:v>
      </x:c>
      <x:c r="U213" s="14" t="n">
        <x:v>0.9051223439275752</x:v>
      </x:c>
      <x:c r="V213" s="14" t="n">
        <x:v>0.5586791187808988</x:v>
      </x:c>
      <x:c r="W213" s="14" t="n">
        <x:v>0.19422662805578783</x:v>
      </x:c>
      <x:c r="X213" s="14" t="n">
        <x:v>0.5744906816684786</x:v>
      </x:c>
      <x:c r="Y213" s="16" t="n">
        <x:v>92.02898550724638</x:v>
      </x:c>
      <x:c r="Z213" s="16" t="n">
        <x:v>63.392857142857146</x:v>
      </x:c>
      <x:c r="AA213" s="16" t="n">
        <x:v>75.40983606557377</x:v>
      </x:c>
      <x:c r="AB213" s="16" t="n">
        <x:v>69.20289855072464</x:v>
      </x:c>
      <x:c r="AC213" s="16" t="n">
        <x:v>68.84057971014492</x:v>
      </x:c>
      <x:c r="AD213" s="16" t="n">
        <x:v>83.41463414634147</x:v>
      </x:c>
      <x:c r="AE213" s="16" t="n">
        <x:v>77.63541622688398</x:v>
      </x:c>
      <x:c r="AF213" t="str">
        <x:v>검토</x:v>
      </x:c>
      <x:c r="AG213" t="str">
        <x:v>수요·직장수요 강점 / 상권 모멘텀 상대적 약점</x:v>
      </x:c>
    </x:row>
    <x:row r="214">
      <x:c r="A214" t="str">
        <x:v>3110502</x:v>
      </x:c>
      <x:c r="B214" t="str">
        <x:v>남가좌파출소</x:v>
      </x:c>
      <x:c r="C214" t="str">
        <x:v>골목상권</x:v>
      </x:c>
      <x:c r="D214" t="str">
        <x:v>서대문구</x:v>
      </x:c>
      <x:c r="E214" t="str">
        <x:v>남가좌2동</x:v>
      </x:c>
      <x:c r="F214" t="str">
        <x:v>CS200006</x:v>
      </x:c>
      <x:c r="G214" t="str">
        <x:v>일반의원</x:v>
      </x:c>
      <x:c r="H214" t="n">
        <x:v>5782143613</x:v>
      </x:c>
      <x:c r="I214" t="n">
        <x:v>145074</x:v>
      </x:c>
      <x:c r="J214" t="n">
        <x:v>39856.511938734715</x:v>
      </x:c>
      <x:c r="K214" s="14" t="n">
        <x:v>0.17357060831188154</x:v>
      </x:c>
      <x:c r="L214" s="14" t="n">
        <x:v>0.09973642051122278</x:v>
      </x:c>
      <x:c r="M214" s="14" t="n">
        <x:v>0.06942273842247415</x:v>
      </x:c>
      <x:c r="N214" t="n">
        <x:v>24</x:v>
      </x:c>
      <x:c r="O214" t="n">
        <x:v>0</x:v>
      </x:c>
      <x:c r="P214" s="14" t="n">
        <x:v>0</x:v>
      </x:c>
      <x:c r="Q214" s="14" t="n">
        <x:v>0</x:v>
      </x:c>
      <x:c r="R214" s="14" t="n">
        <x:v>0.26315789473684204</x:v>
      </x:c>
      <x:c r="S214" t="n">
        <x:v>386</x:v>
      </x:c>
      <x:c r="T214" t="n">
        <x:v>30.694116430894503</x:v>
      </x:c>
      <x:c r="U214" s="14" t="n">
        <x:v>0.8110407595993413</x:v>
      </x:c>
      <x:c r="V214" s="14" t="n">
        <x:v>0.13802413938762886</x:v>
      </x:c>
      <x:c r="W214" s="14" t="n">
        <x:v>0.21083682256855768</x:v>
      </x:c>
      <x:c r="X214" s="14" t="n">
        <x:v>0.5658383409301875</x:v>
      </x:c>
      <x:c r="Y214" s="16" t="n">
        <x:v>85.29980657640232</x:v>
      </x:c>
      <x:c r="Z214" s="16" t="n">
        <x:v>92.44186046511628</x:v>
      </x:c>
      <x:c r="AA214" s="16" t="n">
        <x:v>90.1639344262295</x:v>
      </x:c>
      <x:c r="AB214" s="16" t="n">
        <x:v>56.007751937984494</x:v>
      </x:c>
      <x:c r="AC214" s="16" t="n">
        <x:v>62.5</x:v>
      </x:c>
      <x:c r="AD214" s="16" t="n">
        <x:v>22.195121951219512</x:v>
      </x:c>
      <x:c r="AE214" s="16" t="n">
        <x:v>77.62881344695714</x:v>
      </x:c>
      <x:c r="AF214" t="str">
        <x:v>검토</x:v>
      </x:c>
      <x:c r="AG214" t="str">
        <x:v>상권 모멘텀·서울 업종추세 강점 / 직장수요 상대적 약점</x:v>
      </x:c>
    </x:row>
    <x:row r="215">
      <x:c r="A215" t="str">
        <x:v>3110002</x:v>
      </x:c>
      <x:c r="B215" t="str">
        <x:v>독립문역 1번</x:v>
      </x:c>
      <x:c r="C215" t="str">
        <x:v>골목상권</x:v>
      </x:c>
      <x:c r="D215" t="str">
        <x:v>종로구</x:v>
      </x:c>
      <x:c r="E215" t="str">
        <x:v>무악동</x:v>
      </x:c>
      <x:c r="F215" t="str">
        <x:v>CS300018</x:v>
      </x:c>
      <x:c r="G215" t="str">
        <x:v>의약품</x:v>
      </x:c>
      <x:c r="H215" t="n">
        <x:v>4911451221</x:v>
      </x:c>
      <x:c r="I215" t="n">
        <x:v>155485</x:v>
      </x:c>
      <x:c r="J215" t="n">
        <x:v>31587.94238029392</x:v>
      </x:c>
      <x:c r="K215" s="14" t="n">
        <x:v>0.05611893469866347</x:v>
      </x:c>
      <x:c r="L215" s="14" t="n">
        <x:v>0.027829225601598617</x:v>
      </x:c>
      <x:c r="M215" s="14" t="n">
        <x:v>0.02632929521123617</x:v>
      </x:c>
      <x:c r="N215" t="n">
        <x:v>5</x:v>
      </x:c>
      <x:c r="O215" t="n">
        <x:v>1</x:v>
      </x:c>
      <x:c r="P215" s="14" t="n">
        <x:v>0.1</x:v>
      </x:c>
      <x:c r="Q215" s="14" t="n">
        <x:v>0</x:v>
      </x:c>
      <x:c r="R215" s="14" t="n">
        <x:v>-0.2857142857142857</x:v>
      </x:c>
      <x:c r="S215" t="n">
        <x:v>460</x:v>
      </x:c>
      <x:c r="T215" t="n">
        <x:v>145.88817354349686</x:v>
      </x:c>
      <x:c r="U215" s="14" t="n">
        <x:v>0.9562742294819586</x:v>
      </x:c>
      <x:c r="V215" s="14" t="n">
        <x:v>0.07761517743881509</x:v>
      </x:c>
      <x:c r="W215" s="14" t="n">
        <x:v>0.06725260338282407</x:v>
      </x:c>
      <x:c r="X215" s="14" t="n">
        <x:v>0.5324708735410242</x:v>
      </x:c>
      <x:c r="Y215" s="16" t="n">
        <x:v>88.31615120274914</x:v>
      </x:c>
      <x:c r="Z215" s="16" t="n">
        <x:v>87.06293706293707</x:v>
      </x:c>
      <x:c r="AA215" s="16" t="n">
        <x:v>72.1311475409836</x:v>
      </x:c>
      <x:c r="AB215" s="16" t="n">
        <x:v>99.14089347079037</x:v>
      </x:c>
      <x:c r="AC215" s="16" t="n">
        <x:v>1.3745704467353903</x:v>
      </x:c>
      <x:c r="AD215" s="16" t="n">
        <x:v>69.39024390243902</x:v>
      </x:c>
      <x:c r="AE215" s="16" t="n">
        <x:v>77.62101572511119</x:v>
      </x:c>
      <x:c r="AF215" t="str">
        <x:v>검토</x:v>
      </x:c>
      <x:c r="AG215" t="str">
        <x:v>경쟁여건·수요 강점 / 안정성 상대적 약점</x:v>
      </x:c>
    </x:row>
    <x:row r="216">
      <x:c r="A216" t="str">
        <x:v>3120143</x:v>
      </x:c>
      <x:c r="B216" t="str">
        <x:v>당산역</x:v>
      </x:c>
      <x:c r="C216" t="str">
        <x:v>발달상권</x:v>
      </x:c>
      <x:c r="D216" t="str">
        <x:v>영등포구</x:v>
      </x:c>
      <x:c r="E216" t="str">
        <x:v>당산2동</x:v>
      </x:c>
      <x:c r="F216" t="str">
        <x:v>CS200025</x:v>
      </x:c>
      <x:c r="G216" t="str">
        <x:v>자동차수리</x:v>
      </x:c>
      <x:c r="H216" t="n">
        <x:v>1077073378</x:v>
      </x:c>
      <x:c r="I216" t="n">
        <x:v>5413</x:v>
      </x:c>
      <x:c r="J216" t="n">
        <x:v>198979.00942176243</x:v>
      </x:c>
      <x:c r="K216" s="14" t="n">
        <x:v>0.0917121993641874</x:v>
      </x:c>
      <x:c r="L216" s="14" t="n">
        <x:v>0.02213950283587751</x:v>
      </x:c>
      <x:c r="M216" s="14" t="n">
        <x:v>0.024356161917000962</x:v>
      </x:c>
      <x:c r="N216" t="n">
        <x:v>3</x:v>
      </x:c>
      <x:c r="O216" t="n">
        <x:v>0</x:v>
      </x:c>
      <x:c r="P216" s="14" t="n">
        <x:v>0</x:v>
      </x:c>
      <x:c r="Q216" s="14" t="n">
        <x:v>0</x:v>
      </x:c>
      <x:c r="R216" s="14" t="n">
        <x:v>0</x:v>
      </x:c>
      <x:c r="S216" t="n">
        <x:v>4255</x:v>
      </x:c>
      <x:c r="T216" t="n">
        <x:v>273.5613118084621</x:v>
      </x:c>
      <x:c r="U216" s="14" t="n">
        <x:v>0.8787438760741517</x:v>
      </x:c>
      <x:c r="V216" s="14" t="n">
        <x:v>0.22121748421861004</x:v>
      </x:c>
      <x:c r="W216" s="14" t="n">
        <x:v>0.275912348285708</x:v>
      </x:c>
      <x:c r="X216" s="14" t="n">
        <x:v>0.23859129400931123</x:v>
      </x:c>
      <x:c r="Y216" s="16" t="n">
        <x:v>89.27613941018767</x:v>
      </x:c>
      <x:c r="Z216" s="16" t="n">
        <x:v>63.66120218579235</x:v>
      </x:c>
      <x:c r="AA216" s="16" t="n">
        <x:v>59.01639344262295</x:v>
      </x:c>
      <x:c r="AB216" s="16" t="n">
        <x:v>99.59677419354838</x:v>
      </x:c>
      <x:c r="AC216" s="16" t="n">
        <x:v>56.98924731182796</x:v>
      </x:c>
      <x:c r="AD216" s="16" t="n">
        <x:v>82.3780487804878</x:v>
      </x:c>
      <x:c r="AE216" s="16" t="n">
        <x:v>77.58869154635704</x:v>
      </x:c>
      <x:c r="AF216" t="str">
        <x:v>검토</x:v>
      </x:c>
      <x:c r="AG216" t="str">
        <x:v>경쟁여건·수요 강점 / 안정성 상대적 약점</x:v>
      </x:c>
    </x:row>
    <x:row r="217">
      <x:c r="A217" t="str">
        <x:v>3120220</x:v>
      </x:c>
      <x:c r="B217" t="str">
        <x:v>대치역</x:v>
      </x:c>
      <x:c r="C217" t="str">
        <x:v>발달상권</x:v>
      </x:c>
      <x:c r="D217" t="str">
        <x:v>강남구</x:v>
      </x:c>
      <x:c r="E217" t="str">
        <x:v>대치1동</x:v>
      </x:c>
      <x:c r="F217" t="str">
        <x:v>CS100007</x:v>
      </x:c>
      <x:c r="G217" t="str">
        <x:v>치킨전문점</x:v>
      </x:c>
      <x:c r="H217" t="n">
        <x:v>272476750</x:v>
      </x:c>
      <x:c r="I217" t="n">
        <x:v>5582</x:v>
      </x:c>
      <x:c r="J217" t="n">
        <x:v>48813.462916517376</x:v>
      </x:c>
      <x:c r="K217" s="14" t="n">
        <x:v>0.31383382063832443</x:v>
      </x:c>
      <x:c r="L217" s="14" t="n">
        <x:v>-0.0724550541763268</x:v>
      </x:c>
      <x:c r="M217" s="14" t="n">
        <x:v>-0.037092372220345116</x:v>
      </x:c>
      <x:c r="N217" t="n">
        <x:v>7</x:v>
      </x:c>
      <x:c r="O217" t="n">
        <x:v>0</x:v>
      </x:c>
      <x:c r="P217" s="14" t="n">
        <x:v>0</x:v>
      </x:c>
      <x:c r="Q217" s="14" t="n">
        <x:v>0.8571428571428571</x:v>
      </x:c>
      <x:c r="R217" s="14" t="n">
        <x:v>-0.36363636363636365</x:v>
      </x:c>
      <x:c r="S217" t="n">
        <x:v>12518</x:v>
      </x:c>
      <x:c r="T217" t="n">
        <x:v>766.7852964417193</x:v>
      </x:c>
      <x:c r="U217" s="14" t="n">
        <x:v>0.7424538277119057</x:v>
      </x:c>
      <x:c r="V217" s="14" t="n">
        <x:v>0.917147220817923</x:v>
      </x:c>
      <x:c r="W217" s="14" t="n">
        <x:v>0.1172899742822094</x:v>
      </x:c>
      <x:c r="X217" s="14" t="n">
        <x:v>0.31149303197428774</x:v>
      </x:c>
      <x:c r="Y217" s="16" t="n">
        <x:v>83.06772908366534</x:v>
      </x:c>
      <x:c r="Z217" s="16" t="n">
        <x:v>97.35234215885947</x:v>
      </x:c>
      <x:c r="AA217" s="16" t="n">
        <x:v>16.39344262295082</x:v>
      </x:c>
      <x:c r="AB217" s="16" t="n">
        <x:v>94.8207171314741</x:v>
      </x:c>
      <x:c r="AC217" s="16" t="n">
        <x:v>76.29482071713147</x:v>
      </x:c>
      <x:c r="AD217" s="16" t="n">
        <x:v>94.51219512195122</x:v>
      </x:c>
      <x:c r="AE217" s="16" t="n">
        <x:v>77.58138940202919</x:v>
      </x:c>
      <x:c r="AF217" t="str">
        <x:v>검토</x:v>
      </x:c>
      <x:c r="AG217" t="str">
        <x:v>상권 모멘텀·경쟁여건 강점 / 서울 업종추세 상대적 약점</x:v>
      </x:c>
    </x:row>
    <x:row r="218">
      <x:c r="A218" t="str">
        <x:v>3120090</x:v>
      </x:c>
      <x:c r="B218" t="str">
        <x:v>연신내역</x:v>
      </x:c>
      <x:c r="C218" t="str">
        <x:v>발달상권</x:v>
      </x:c>
      <x:c r="D218" t="str">
        <x:v>은평구</x:v>
      </x:c>
      <x:c r="E218" t="str">
        <x:v>불광1동</x:v>
      </x:c>
      <x:c r="F218" t="str">
        <x:v>CS100008</x:v>
      </x:c>
      <x:c r="G218" t="str">
        <x:v>분식전문점</x:v>
      </x:c>
      <x:c r="H218" t="n">
        <x:v>1098883070</x:v>
      </x:c>
      <x:c r="I218" t="n">
        <x:v>178315</x:v>
      </x:c>
      <x:c r="J218" t="n">
        <x:v>6162.594677957547</x:v>
      </x:c>
      <x:c r="K218" s="14" t="n">
        <x:v>0.9404667170476477</x:v>
      </x:c>
      <x:c r="L218" s="14" t="n">
        <x:v>-0.021494731595524064</x:v>
      </x:c>
      <x:c r="M218" s="14" t="n">
        <x:v>0.009923521656473921</x:v>
      </x:c>
      <x:c r="N218" t="n">
        <x:v>26</x:v>
      </x:c>
      <x:c r="O218" t="n">
        <x:v>0</x:v>
      </x:c>
      <x:c r="P218" s="14" t="n">
        <x:v>0</x:v>
      </x:c>
      <x:c r="Q218" s="14" t="n">
        <x:v>0.11538461538461539</x:v>
      </x:c>
      <x:c r="R218" s="14" t="n">
        <x:v>-0.29729729729729726</x:v>
      </x:c>
      <x:c r="S218" t="n">
        <x:v>1147</x:v>
      </x:c>
      <x:c r="T218" t="n">
        <x:v>85.33273816166351</x:v>
      </x:c>
      <x:c r="U218" s="14" t="n">
        <x:v>0.7864969891655533</x:v>
      </x:c>
      <x:c r="V218" s="14" t="n">
        <x:v>0.37763657965901687</x:v>
      </x:c>
      <x:c r="W218" s="14" t="n">
        <x:v>0.3349171691215518</x:v>
      </x:c>
      <x:c r="X218" s="14" t="n">
        <x:v>0.6088018828063299</x:v>
      </x:c>
      <x:c r="Y218" s="16" t="n">
        <x:v>92.47448979591837</x:v>
      </x:c>
      <x:c r="Z218" s="16" t="n">
        <x:v>98.69451697127937</x:v>
      </x:c>
      <x:c r="AA218" s="16" t="n">
        <x:v>34.42622950819672</x:v>
      </x:c>
      <x:c r="AB218" s="16" t="n">
        <x:v>61.98979591836735</x:v>
      </x:c>
      <x:c r="AC218" s="16" t="n">
        <x:v>82.71683673469389</x:v>
      </x:c>
      <x:c r="AD218" s="16" t="n">
        <x:v>54.69512195121951</x:v>
      </x:c>
      <x:c r="AE218" s="16" t="n">
        <x:v>77.57381840784227</x:v>
      </x:c>
      <x:c r="AF218" t="str">
        <x:v>검토</x:v>
      </x:c>
      <x:c r="AG218" t="str">
        <x:v>상권 모멘텀·수요 강점 / 서울 업종추세 상대적 약점</x:v>
      </x:c>
    </x:row>
    <x:row r="219">
      <x:c r="A219" t="str">
        <x:v>3120166</x:v>
      </x:c>
      <x:c r="B219" t="str">
        <x:v>방배역</x:v>
      </x:c>
      <x:c r="C219" t="str">
        <x:v>발달상권</x:v>
      </x:c>
      <x:c r="D219" t="str">
        <x:v>서초구</x:v>
      </x:c>
      <x:c r="E219" t="str">
        <x:v>방배1동</x:v>
      </x:c>
      <x:c r="F219" t="str">
        <x:v>CS300024</x:v>
      </x:c>
      <x:c r="G219" t="str">
        <x:v>운동/경기용품</x:v>
      </x:c>
      <x:c r="H219" t="n">
        <x:v>1472403692</x:v>
      </x:c>
      <x:c r="I219" t="n">
        <x:v>2331</x:v>
      </x:c>
      <x:c r="J219" t="n">
        <x:v>631661.8155298155</x:v>
      </x:c>
      <x:c r="K219" s="14" t="n">
        <x:v>0.23018783038376212</x:v>
      </x:c>
      <x:c r="L219" s="14" t="n">
        <x:v>0.02391308801579517</x:v>
      </x:c>
      <x:c r="M219" s="14" t="n">
        <x:v>-0.0228667837393145</x:v>
      </x:c>
      <x:c r="N219" t="n">
        <x:v>6</x:v>
      </x:c>
      <x:c r="O219" t="n">
        <x:v>0</x:v>
      </x:c>
      <x:c r="P219" s="14" t="n">
        <x:v>0</x:v>
      </x:c>
      <x:c r="Q219" s="14" t="n">
        <x:v>0</x:v>
      </x:c>
      <x:c r="R219" s="14" t="n">
        <x:v>0.5</x:v>
      </x:c>
      <x:c r="S219" t="n">
        <x:v>10702</x:v>
      </x:c>
      <x:c r="T219" t="n">
        <x:v>552.7407200813979</x:v>
      </x:c>
      <x:c r="U219" s="14" t="n">
        <x:v>0.499088584192439</x:v>
      </x:c>
      <x:c r="V219" s="14" t="n">
        <x:v>0.3517322136679348</x:v>
      </x:c>
      <x:c r="W219" s="14" t="n">
        <x:v>0.28209829631424205</x:v>
      </x:c>
      <x:c r="X219" s="14" t="n">
        <x:v>0.25190616745614625</x:v>
      </x:c>
      <x:c r="Y219" s="16" t="n">
        <x:v>79.23076923076923</x:v>
      </x:c>
      <x:c r="Z219" s="16" t="n">
        <x:v>75.60975609756098</x:v>
      </x:c>
      <x:c r="AA219" s="16" t="n">
        <x:v>65.57377049180327</x:v>
      </x:c>
      <x:c r="AB219" s="16" t="n">
        <x:v>91.15384615384616</x:v>
      </x:c>
      <x:c r="AC219" s="16" t="n">
        <x:v>66.53846153846155</x:v>
      </x:c>
      <x:c r="AD219" s="16" t="n">
        <x:v>91.09756097560975</x:v>
      </x:c>
      <x:c r="AE219" s="16" t="n">
        <x:v>77.57058714975548</x:v>
      </x:c>
      <x:c r="AF219" t="str">
        <x:v>검토</x:v>
      </x:c>
      <x:c r="AG219" t="str">
        <x:v>경쟁여건·직장수요 강점 / 서울 업종추세 상대적 약점</x:v>
      </x:c>
    </x:row>
    <x:row r="220">
      <x:c r="A220" t="str">
        <x:v>3110251</x:v>
      </x:c>
      <x:c r="B220" t="str">
        <x:v>장안중학교</x:v>
      </x:c>
      <x:c r="C220" t="str">
        <x:v>골목상권</x:v>
      </x:c>
      <x:c r="D220" t="str">
        <x:v>중랑구</x:v>
      </x:c>
      <x:c r="E220" t="str">
        <x:v>중화1동</x:v>
      </x:c>
      <x:c r="F220" t="str">
        <x:v>CS200030</x:v>
      </x:c>
      <x:c r="G220" t="str">
        <x:v>피부관리실</x:v>
      </x:c>
      <x:c r="H220" t="n">
        <x:v>144059921</x:v>
      </x:c>
      <x:c r="I220" t="n">
        <x:v>1631</x:v>
      </x:c>
      <x:c r="J220" t="n">
        <x:v>88326.13182096873</x:v>
      </x:c>
      <x:c r="K220" s="14" t="n">
        <x:v>0.27387948366314974</x:v>
      </x:c>
      <x:c r="L220" s="14" t="n">
        <x:v>0.11857168683779085</x:v>
      </x:c>
      <x:c r="M220" s="14" t="n">
        <x:v>0.0314283578178467</x:v>
      </x:c>
      <x:c r="N220" t="n">
        <x:v>21</x:v>
      </x:c>
      <x:c r="O220" t="n">
        <x:v>0</x:v>
      </x:c>
      <x:c r="P220" s="14" t="n">
        <x:v>0</x:v>
      </x:c>
      <x:c r="Q220" s="14" t="n">
        <x:v>0</x:v>
      </x:c>
      <x:c r="R220" s="14" t="n">
        <x:v>0.75</x:v>
      </x:c>
      <x:c r="S220" t="n">
        <x:v>378</x:v>
      </x:c>
      <x:c r="T220" t="n">
        <x:v>41.74212641901144</x:v>
      </x:c>
      <x:c r="U220" s="14" t="n">
        <x:v>0.5991813434355555</x:v>
      </x:c>
      <x:c r="V220" s="14" t="n">
        <x:v>0.3377854274958265</x:v>
      </x:c>
      <x:c r="W220" s="14" t="n">
        <x:v>0.33053515974092473</x:v>
      </x:c>
      <x:c r="X220" s="14" t="n">
        <x:v>0.9331516570802506</x:v>
      </x:c>
      <x:c r="Y220" s="16" t="n">
        <x:v>80.14888337468983</x:v>
      </x:c>
      <x:c r="Z220" s="16" t="n">
        <x:v>79.84084880636605</x:v>
      </x:c>
      <x:c r="AA220" s="16" t="n">
        <x:v>91.80327868852459</x:v>
      </x:c>
      <x:c r="AB220" s="16" t="n">
        <x:v>68.61042183622828</x:v>
      </x:c>
      <x:c r="AC220" s="16" t="n">
        <x:v>79.15632754342431</x:v>
      </x:c>
      <x:c r="AD220" s="16" t="n">
        <x:v>30.121951219512194</x:v>
      </x:c>
      <x:c r="AE220" s="16" t="n">
        <x:v>77.50406433644561</x:v>
      </x:c>
      <x:c r="AF220" t="str">
        <x:v>검토</x:v>
      </x:c>
      <x:c r="AG220" t="str">
        <x:v>서울 업종추세·수요 강점 / 직장수요 상대적 약점</x:v>
      </x:c>
    </x:row>
    <x:row r="221">
      <x:c r="A221" t="str">
        <x:v>3120043</x:v>
      </x:c>
      <x:c r="B221" t="str">
        <x:v>서울역</x:v>
      </x:c>
      <x:c r="C221" t="str">
        <x:v>발달상권</x:v>
      </x:c>
      <x:c r="D221" t="str">
        <x:v>중구</x:v>
      </x:c>
      <x:c r="E221" t="str">
        <x:v>회현동</x:v>
      </x:c>
      <x:c r="F221" t="str">
        <x:v>CS100003</x:v>
      </x:c>
      <x:c r="G221" t="str">
        <x:v>일식음식점</x:v>
      </x:c>
      <x:c r="H221" t="n">
        <x:v>2772637465</x:v>
      </x:c>
      <x:c r="I221" t="n">
        <x:v>96028</x:v>
      </x:c>
      <x:c r="J221" t="n">
        <x:v>28873.218904902737</x:v>
      </x:c>
      <x:c r="K221" s="14" t="n">
        <x:v>0.10134405084392095</x:v>
      </x:c>
      <x:c r="L221" s="14" t="n">
        <x:v>0.048235937606500245</x:v>
      </x:c>
      <x:c r="M221" s="14" t="n">
        <x:v>-0.004288267098710441</x:v>
      </x:c>
      <x:c r="N221" t="n">
        <x:v>34</x:v>
      </x:c>
      <x:c r="O221" t="n">
        <x:v>0</x:v>
      </x:c>
      <x:c r="P221" s="14" t="n">
        <x:v>0</x:v>
      </x:c>
      <x:c r="Q221" s="14" t="n">
        <x:v>0.17647058823529413</x:v>
      </x:c>
      <x:c r="R221" s="14" t="n">
        <x:v>0.0625</x:v>
      </x:c>
      <x:c r="S221" t="n">
        <x:v>27333</x:v>
      </x:c>
      <x:c r="T221" t="n">
        <x:v>627.6882800748642</x:v>
      </x:c>
      <x:c r="U221" s="14" t="n">
        <x:v>0.8978605297032586</x:v>
      </x:c>
      <x:c r="V221" s="14" t="n">
        <x:v>0.2937989940203019</x:v>
      </x:c>
      <x:c r="W221" s="14" t="n">
        <x:v>0.3330047839485571</x:v>
      </x:c>
      <x:c r="X221" s="14" t="n">
        <x:v>0.3170844710489404</x:v>
      </x:c>
      <x:c r="Y221" s="16" t="n">
        <x:v>91.96428571428571</x:v>
      </x:c>
      <x:c r="Z221" s="16" t="n">
        <x:v>73.14814814814815</x:v>
      </x:c>
      <x:c r="AA221" s="16" t="n">
        <x:v>78.68852459016394</x:v>
      </x:c>
      <x:c r="AB221" s="16" t="n">
        <x:v>40.625</x:v>
      </x:c>
      <x:c r="AC221" s="16" t="n">
        <x:v>81.10119047619048</x:v>
      </x:c>
      <x:c r="AD221" s="16" t="n">
        <x:v>93.17073170731707</x:v>
      </x:c>
      <x:c r="AE221" s="16" t="n">
        <x:v>77.48281395113912</x:v>
      </x:c>
      <x:c r="AF221" t="str">
        <x:v>검토</x:v>
      </x:c>
      <x:c r="AG221" t="str">
        <x:v>직장수요·수요 강점 / 경쟁여건 상대적 약점</x:v>
      </x:c>
    </x:row>
    <x:row r="222">
      <x:c r="A222" t="str">
        <x:v>3120178</x:v>
      </x:c>
      <x:c r="B222" t="str">
        <x:v>신사역</x:v>
      </x:c>
      <x:c r="C222" t="str">
        <x:v>발달상권</x:v>
      </x:c>
      <x:c r="D222" t="str">
        <x:v>서초구</x:v>
      </x:c>
      <x:c r="E222" t="str">
        <x:v>잠원동</x:v>
      </x:c>
      <x:c r="F222" t="str">
        <x:v>CS300029</x:v>
      </x:c>
      <x:c r="G222" t="str">
        <x:v>애완동물</x:v>
      </x:c>
      <x:c r="H222" t="n">
        <x:v>139854206</x:v>
      </x:c>
      <x:c r="I222" t="n">
        <x:v>885</x:v>
      </x:c>
      <x:c r="J222" t="n">
        <x:v>158027.3514124294</x:v>
      </x:c>
      <x:c r="K222" s="14" t="n">
        <x:v>0.11447256516160964</x:v>
      </x:c>
      <x:c r="L222" s="14" t="n">
        <x:v>0.041190648357217086</x:v>
      </x:c>
      <x:c r="M222" s="14" t="n">
        <x:v>-0.09713695399403299</x:v>
      </x:c>
      <x:c r="N222" t="n">
        <x:v>7</x:v>
      </x:c>
      <x:c r="O222" t="n">
        <x:v>0</x:v>
      </x:c>
      <x:c r="P222" s="14" t="n">
        <x:v>0</x:v>
      </x:c>
      <x:c r="Q222" s="14" t="n">
        <x:v>0</x:v>
      </x:c>
      <x:c r="R222" s="14" t="n">
        <x:v>0.3999999999999999</x:v>
      </x:c>
      <x:c r="S222" t="n">
        <x:v>19438</x:v>
      </x:c>
      <x:c r="T222" t="n">
        <x:v>550.5486226371273</x:v>
      </x:c>
      <x:c r="U222" s="14" t="n">
        <x:v>0.8076328144181806</x:v>
      </x:c>
      <x:c r="V222" s="14" t="n">
        <x:v>0.14375528326977882</x:v>
      </x:c>
      <x:c r="W222" s="14" t="n">
        <x:v>0.47929666841768065</x:v>
      </x:c>
      <x:c r="X222" s="14" t="n">
        <x:v>0.5633565786358975</x:v>
      </x:c>
      <x:c r="Y222" s="16" t="n">
        <x:v>83.09859154929578</x:v>
      </x:c>
      <x:c r="Z222" s="16" t="n">
        <x:v>72.3076923076923</x:v>
      </x:c>
      <x:c r="AA222" s="16" t="n">
        <x:v>77.04918032786885</x:v>
      </x:c>
      <x:c r="AB222" s="16" t="n">
        <x:v>76.05633802816902</x:v>
      </x:c>
      <x:c r="AC222" s="16" t="n">
        <x:v>64.08450704225352</x:v>
      </x:c>
      <x:c r="AD222" s="16" t="n">
        <x:v>91.03658536585365</x:v>
      </x:c>
      <x:c r="AE222" s="16" t="n">
        <x:v>77.47215322971569</x:v>
      </x:c>
      <x:c r="AF222" t="str">
        <x:v>검토</x:v>
      </x:c>
      <x:c r="AG222" t="str">
        <x:v>직장수요·수요 강점 / 안정성 상대적 약점</x:v>
      </x:c>
    </x:row>
    <x:row r="223">
      <x:c r="A223" t="str">
        <x:v>3130195</x:v>
      </x:c>
      <x:c r="B223" t="str">
        <x:v>도화동 상점가</x:v>
      </x:c>
      <x:c r="C223" t="str">
        <x:v>전통시장</x:v>
      </x:c>
      <x:c r="D223" t="str">
        <x:v>마포구</x:v>
      </x:c>
      <x:c r="E223" t="str">
        <x:v>도화동</x:v>
      </x:c>
      <x:c r="F223" t="str">
        <x:v>CS200028</x:v>
      </x:c>
      <x:c r="G223" t="str">
        <x:v>미용실</x:v>
      </x:c>
      <x:c r="H223" t="n">
        <x:v>356414887</x:v>
      </x:c>
      <x:c r="I223" t="n">
        <x:v>7542</x:v>
      </x:c>
      <x:c r="J223" t="n">
        <x:v>47257.34380800849</x:v>
      </x:c>
      <x:c r="K223" s="14" t="n">
        <x:v>0.0672985183862218</x:v>
      </x:c>
      <x:c r="L223" s="14" t="n">
        <x:v>0.02168887159425803</x:v>
      </x:c>
      <x:c r="M223" s="14" t="n">
        <x:v>-0.013481964371473865</x:v>
      </x:c>
      <x:c r="N223" t="n">
        <x:v>43</x:v>
      </x:c>
      <x:c r="O223" t="n">
        <x:v>0</x:v>
      </x:c>
      <x:c r="P223" s="14" t="n">
        <x:v>0</x:v>
      </x:c>
      <x:c r="Q223" s="14" t="n">
        <x:v>0.18604651162790697</x:v>
      </x:c>
      <x:c r="R223" s="14" t="n">
        <x:v>0.10256410256410264</x:v>
      </x:c>
      <x:c r="S223" t="n">
        <x:v>2623</x:v>
      </x:c>
      <x:c r="T223" t="n">
        <x:v>257.4597565763644</x:v>
      </x:c>
      <x:c r="U223" s="14" t="n">
        <x:v>0.6666875112879334</x:v>
      </x:c>
      <x:c r="V223" s="14" t="n">
        <x:v>0.34851417976825416</x:v>
      </x:c>
      <x:c r="W223" s="14" t="n">
        <x:v>0.27690069522825517</x:v>
      </x:c>
      <x:c r="X223" s="14" t="n">
        <x:v>0.5420982148818043</x:v>
      </x:c>
      <x:c r="Y223" s="16" t="n">
        <x:v>88.89883616830797</x:v>
      </x:c>
      <x:c r="Z223" s="16" t="n">
        <x:v>75.80935251798562</x:v>
      </x:c>
      <x:c r="AA223" s="16" t="n">
        <x:v>57.377049180327866</x:v>
      </x:c>
      <x:c r="AB223" s="16" t="n">
        <x:v>73.14234556848702</x:v>
      </x:c>
      <x:c r="AC223" s="16" t="n">
        <x:v>75.60429722470904</x:v>
      </x:c>
      <x:c r="AD223" s="16" t="n">
        <x:v>81.09756097560975</x:v>
      </x:c>
      <x:c r="AE223" s="16" t="n">
        <x:v>77.46968014607853</x:v>
      </x:c>
      <x:c r="AF223" t="str">
        <x:v>검토</x:v>
      </x:c>
      <x:c r="AG223" t="str">
        <x:v>수요·직장수요 강점 / 서울 업종추세 상대적 약점</x:v>
      </x:c>
    </x:row>
    <x:row r="224">
      <x:c r="A224" t="str">
        <x:v>3130153</x:v>
      </x:c>
      <x:c r="B224" t="str">
        <x:v>창동역상점가</x:v>
      </x:c>
      <x:c r="C224" t="str">
        <x:v>전통시장</x:v>
      </x:c>
      <x:c r="D224" t="str">
        <x:v>도봉구</x:v>
      </x:c>
      <x:c r="E224" t="str">
        <x:v>창4동</x:v>
      </x:c>
      <x:c r="F224" t="str">
        <x:v>CS100001</x:v>
      </x:c>
      <x:c r="G224" t="str">
        <x:v>한식음식점</x:v>
      </x:c>
      <x:c r="H224" t="n">
        <x:v>5522291695</x:v>
      </x:c>
      <x:c r="I224" t="n">
        <x:v>142573</x:v>
      </x:c>
      <x:c r="J224" t="n">
        <x:v>38733.08196502844</x:v>
      </x:c>
      <x:c r="K224" s="14" t="n">
        <x:v>0.11619459460428905</x:v>
      </x:c>
      <x:c r="L224" s="14" t="n">
        <x:v>-0.0018259958518723751</x:v>
      </x:c>
      <x:c r="M224" s="14" t="n">
        <x:v>0.06341040875687098</x:v>
      </x:c>
      <x:c r="N224" t="n">
        <x:v>96</x:v>
      </x:c>
      <x:c r="O224" t="n">
        <x:v>2</x:v>
      </x:c>
      <x:c r="P224" s="14" t="n">
        <x:v>0.019801980198019802</x:v>
      </x:c>
      <x:c r="Q224" s="14" t="n">
        <x:v>0.17708333333333334</x:v>
      </x:c>
      <x:c r="R224" s="14" t="n">
        <x:v>0.09090909090909083</x:v>
      </x:c>
      <x:c r="S224" t="n">
        <x:v>694</x:v>
      </x:c>
      <x:c r="T224" t="n">
        <x:v>206.37563934816225</x:v>
      </x:c>
      <x:c r="U224" s="14" t="n">
        <x:v>0.7283717675837115</x:v>
      </x:c>
      <x:c r="V224" s="14" t="n">
        <x:v>0.6426977378274836</x:v>
      </x:c>
      <x:c r="W224" s="14" t="n">
        <x:v>0.189796597841614</x:v>
      </x:c>
      <x:c r="X224" s="14" t="n">
        <x:v>0.28728907157085626</x:v>
      </x:c>
      <x:c r="Y224" s="16" t="n">
        <x:v>87.40213523131672</x:v>
      </x:c>
      <x:c r="Z224" s="16" t="n">
        <x:v>91.42244460328806</x:v>
      </x:c>
      <x:c r="AA224" s="16" t="n">
        <x:v>40.98360655737705</x:v>
      </x:c>
      <x:c r="AB224" s="16" t="n">
        <x:v>72.20640569395017</x:v>
      </x:c>
      <x:c r="AC224" s="16" t="n">
        <x:v>77.65124555160142</x:v>
      </x:c>
      <x:c r="AD224" s="16" t="n">
        <x:v>76.95121951219512</x:v>
      </x:c>
      <x:c r="AE224" s="16" t="n">
        <x:v>77.46642362008744</x:v>
      </x:c>
      <x:c r="AF224" t="str">
        <x:v>검토</x:v>
      </x:c>
      <x:c r="AG224" t="str">
        <x:v>상권 모멘텀·수요 강점 / 서울 업종추세 상대적 약점</x:v>
      </x:c>
    </x:row>
    <x:row r="225">
      <x:c r="A225" t="str">
        <x:v>3120032</x:v>
      </x:c>
      <x:c r="B225" t="str">
        <x:v>충무로역</x:v>
      </x:c>
      <x:c r="C225" t="str">
        <x:v>발달상권</x:v>
      </x:c>
      <x:c r="D225" t="str">
        <x:v>중구</x:v>
      </x:c>
      <x:c r="E225" t="str">
        <x:v>필동</x:v>
      </x:c>
      <x:c r="F225" t="str">
        <x:v>CS200030</x:v>
      </x:c>
      <x:c r="G225" t="str">
        <x:v>피부관리실</x:v>
      </x:c>
      <x:c r="H225" t="n">
        <x:v>71933246</x:v>
      </x:c>
      <x:c r="I225" t="n">
        <x:v>1672</x:v>
      </x:c>
      <x:c r="J225" t="n">
        <x:v>43022.27631578947</x:v>
      </x:c>
      <x:c r="K225" s="14" t="n">
        <x:v>0.125954523315021</x:v>
      </x:c>
      <x:c r="L225" s="14" t="n">
        <x:v>0.11857168683779085</x:v>
      </x:c>
      <x:c r="M225" s="14" t="n">
        <x:v>0.0314283578178467</x:v>
      </x:c>
      <x:c r="N225" t="n">
        <x:v>10</x:v>
      </x:c>
      <x:c r="O225" t="n">
        <x:v>0</x:v>
      </x:c>
      <x:c r="P225" s="14" t="n">
        <x:v>0</x:v>
      </x:c>
      <x:c r="Q225" s="14" t="n">
        <x:v>0</x:v>
      </x:c>
      <x:c r="R225" s="14" t="n">
        <x:v>1.5</x:v>
      </x:c>
      <x:c r="S225" t="n">
        <x:v>12883</x:v>
      </x:c>
      <x:c r="T225" t="n">
        <x:v>544.6988787227925</x:v>
      </x:c>
      <x:c r="U225" s="14" t="n">
        <x:v>0.5863158740257599</x:v>
      </x:c>
      <x:c r="V225" s="14" t="n">
        <x:v>0.22125128344687794</x:v>
      </x:c>
      <x:c r="W225" s="14" t="n">
        <x:v>0.7211118347140903</x:v>
      </x:c>
      <x:c r="X225" s="14" t="n">
        <x:v>0.9037835717854301</x:v>
      </x:c>
      <x:c r="Y225" s="16" t="n">
        <x:v>70.47146401985111</x:v>
      </x:c>
      <x:c r="Z225" s="16" t="n">
        <x:v>64.9867374005305</x:v>
      </x:c>
      <x:c r="AA225" s="16" t="n">
        <x:v>91.80327868852459</x:v>
      </x:c>
      <x:c r="AB225" s="16" t="n">
        <x:v>90.44665012406948</x:v>
      </x:c>
      <x:c r="AC225" s="16" t="n">
        <x:v>79.15632754342431</x:v>
      </x:c>
      <x:c r="AD225" s="16" t="n">
        <x:v>90.91463414634147</x:v>
      </x:c>
      <x:c r="AE225" s="16" t="n">
        <x:v>77.46121367060259</x:v>
      </x:c>
      <x:c r="AF225" t="str">
        <x:v>검토</x:v>
      </x:c>
      <x:c r="AG225" t="str">
        <x:v>서울 업종추세·직장수요 강점 / 상권 모멘텀 상대적 약점</x:v>
      </x:c>
    </x:row>
    <x:row r="226">
      <x:c r="A226" t="str">
        <x:v>3120153</x:v>
      </x:c>
      <x:c r="B226" t="str">
        <x:v>노량진역(노량진)</x:v>
      </x:c>
      <x:c r="C226" t="str">
        <x:v>발달상권</x:v>
      </x:c>
      <x:c r="D226" t="str">
        <x:v>동작구</x:v>
      </x:c>
      <x:c r="E226" t="str">
        <x:v>노량진1동</x:v>
      </x:c>
      <x:c r="F226" t="str">
        <x:v>CS300009</x:v>
      </x:c>
      <x:c r="G226" t="str">
        <x:v>청과상</x:v>
      </x:c>
      <x:c r="H226" t="n">
        <x:v>30039000000</x:v>
      </x:c>
      <x:c r="I226" t="n">
        <x:v>349498</x:v>
      </x:c>
      <x:c r="J226" t="n">
        <x:v>85948.98969378938</x:v>
      </x:c>
      <x:c r="K226" s="14" t="n">
        <x:v>0.06744668149761956</x:v>
      </x:c>
      <x:c r="L226" s="14" t="n">
        <x:v>0.19728256051488424</x:v>
      </x:c>
      <x:c r="M226" s="14" t="n">
        <x:v>0.09797365727115581</x:v>
      </x:c>
      <x:c r="N226" t="n">
        <x:v>12</x:v>
      </x:c>
      <x:c r="O226" t="n">
        <x:v>1</x:v>
      </x:c>
      <x:c r="P226" s="14" t="n">
        <x:v>0.058823529411764705</x:v>
      </x:c>
      <x:c r="Q226" s="14" t="n">
        <x:v>0</x:v>
      </x:c>
      <x:c r="R226" s="14" t="n">
        <x:v>0</x:v>
      </x:c>
      <x:c r="S226" t="n">
        <x:v>5349</x:v>
      </x:c>
      <x:c r="T226" t="n">
        <x:v>120.5202038636763</x:v>
      </x:c>
      <x:c r="U226" s="14" t="n">
        <x:v>0.6122070081560638</x:v>
      </x:c>
      <x:c r="V226" s="14" t="n">
        <x:v>0.34441172685508836</x:v>
      </x:c>
      <x:c r="W226" s="14" t="n">
        <x:v>0.216657484603349</x:v>
      </x:c>
      <x:c r="X226" s="14" t="n">
        <x:v>0.31865551146842436</x:v>
      </x:c>
      <x:c r="Y226" s="16" t="n">
        <x:v>96.7032967032967</x:v>
      </x:c>
      <x:c r="Z226" s="16" t="n">
        <x:v>67.17557251908397</x:v>
      </x:c>
      <x:c r="AA226" s="16" t="n">
        <x:v>95.08196721311475</x:v>
      </x:c>
      <x:c r="AB226" s="16" t="n">
        <x:v>76.55677655677655</x:v>
      </x:c>
      <x:c r="AC226" s="16" t="n">
        <x:v>12.087912087912088</x:v>
      </x:c>
      <x:c r="AD226" s="16" t="n">
        <x:v>63.96341463414634</x:v>
      </x:c>
      <x:c r="AE226" s="16" t="n">
        <x:v>77.43404185595286</x:v>
      </x:c>
      <x:c r="AF226" t="str">
        <x:v>검토</x:v>
      </x:c>
      <x:c r="AG226" t="str">
        <x:v>수요·서울 업종추세 강점 / 안정성 상대적 약점</x:v>
      </x:c>
    </x:row>
    <x:row r="227">
      <x:c r="A227" t="str">
        <x:v>3110067</x:v>
      </x:c>
      <x:c r="B227" t="str">
        <x:v>배문고등학교</x:v>
      </x:c>
      <x:c r="C227" t="str">
        <x:v>골목상권</x:v>
      </x:c>
      <x:c r="D227" t="str">
        <x:v>용산구</x:v>
      </x:c>
      <x:c r="E227" t="str">
        <x:v>청파동</x:v>
      </x:c>
      <x:c r="F227" t="str">
        <x:v>CS200025</x:v>
      </x:c>
      <x:c r="G227" t="str">
        <x:v>자동차수리</x:v>
      </x:c>
      <x:c r="H227" t="n">
        <x:v>2456348979</x:v>
      </x:c>
      <x:c r="I227" t="n">
        <x:v>10286</x:v>
      </x:c>
      <x:c r="J227" t="n">
        <x:v>238805.07281742175</x:v>
      </x:c>
      <x:c r="K227" s="14" t="n">
        <x:v>0.15296930672464604</x:v>
      </x:c>
      <x:c r="L227" s="14" t="n">
        <x:v>0.02213950283587751</x:v>
      </x:c>
      <x:c r="M227" s="14" t="n">
        <x:v>0.024356161917000962</x:v>
      </x:c>
      <x:c r="N227" t="n">
        <x:v>10</x:v>
      </x:c>
      <x:c r="O227" t="n">
        <x:v>0</x:v>
      </x:c>
      <x:c r="P227" s="14" t="n">
        <x:v>0</x:v>
      </x:c>
      <x:c r="Q227" s="14" t="n">
        <x:v>0.3</x:v>
      </x:c>
      <x:c r="R227" s="14" t="n">
        <x:v>0</x:v>
      </x:c>
      <x:c r="S227" t="n">
        <x:v>705</x:v>
      </x:c>
      <x:c r="T227" t="n">
        <x:v>34.400983721747274</x:v>
      </x:c>
      <x:c r="U227" s="14" t="n">
        <x:v>0.8430158848369403</x:v>
      </x:c>
      <x:c r="V227" s="14" t="n">
        <x:v>0.22105990827942532</x:v>
      </x:c>
      <x:c r="W227" s="14" t="n">
        <x:v>0.22771731980352292</x:v>
      </x:c>
      <x:c r="X227" s="14" t="n">
        <x:v>0.1597950858594185</x:v>
      </x:c>
      <x:c r="Y227" s="16" t="n">
        <x:v>97.31903485254692</x:v>
      </x:c>
      <x:c r="Z227" s="16" t="n">
        <x:v>79.23497267759562</x:v>
      </x:c>
      <x:c r="AA227" s="16" t="n">
        <x:v>59.01639344262295</x:v>
      </x:c>
      <x:c r="AB227" s="16" t="n">
        <x:v>77.95698924731182</x:v>
      </x:c>
      <x:c r="AC227" s="16" t="n">
        <x:v>56.98924731182796</x:v>
      </x:c>
      <x:c r="AD227" s="16" t="n">
        <x:v>25.24390243902439</x:v>
      </x:c>
      <x:c r="AE227" s="16" t="n">
        <x:v>77.41578399053478</x:v>
      </x:c>
      <x:c r="AF227" t="str">
        <x:v>검토</x:v>
      </x:c>
      <x:c r="AG227" t="str">
        <x:v>수요·상권 모멘텀 강점 / 직장수요 상대적 약점</x:v>
      </x:c>
    </x:row>
    <x:row r="228">
      <x:c r="A228" t="str">
        <x:v>3120189</x:v>
      </x:c>
      <x:c r="B228" t="str">
        <x:v>강남역</x:v>
      </x:c>
      <x:c r="C228" t="str">
        <x:v>발달상권</x:v>
      </x:c>
      <x:c r="D228" t="str">
        <x:v>서초구</x:v>
      </x:c>
      <x:c r="E228" t="str">
        <x:v>서초2동</x:v>
      </x:c>
      <x:c r="F228" t="str">
        <x:v>CS200016</x:v>
      </x:c>
      <x:c r="G228" t="str">
        <x:v>당구장</x:v>
      </x:c>
      <x:c r="H228" t="n">
        <x:v>651570389</x:v>
      </x:c>
      <x:c r="I228" t="n">
        <x:v>24685</x:v>
      </x:c>
      <x:c r="J228" t="n">
        <x:v>26395.397569374112</x:v>
      </x:c>
      <x:c r="K228" s="14" t="n">
        <x:v>0.10844539246873786</x:v>
      </x:c>
      <x:c r="L228" s="14" t="n">
        <x:v>0.052763611334009974</x:v>
      </x:c>
      <x:c r="M228" s="14" t="n">
        <x:v>0.07602781601598463</x:v>
      </x:c>
      <x:c r="N228" t="n">
        <x:v>23</x:v>
      </x:c>
      <x:c r="O228" t="n">
        <x:v>0</x:v>
      </x:c>
      <x:c r="P228" s="14" t="n">
        <x:v>0</x:v>
      </x:c>
      <x:c r="Q228" s="14" t="n">
        <x:v>0</x:v>
      </x:c>
      <x:c r="R228" s="14" t="n">
        <x:v>0.2777777777777777</x:v>
      </x:c>
      <x:c r="S228" t="n">
        <x:v>87191</x:v>
      </x:c>
      <x:c r="T228" t="n">
        <x:v>1411.89253611466</x:v>
      </x:c>
      <x:c r="U228" s="14" t="n">
        <x:v>0.6732530305332829</x:v>
      </x:c>
      <x:c r="V228" s="14" t="n">
        <x:v>0.6138409629293329</x:v>
      </x:c>
      <x:c r="W228" s="14" t="n">
        <x:v>0.45944218929199987</x:v>
      </x:c>
      <x:c r="X228" s="14" t="n">
        <x:v>0.27107059034875813</x:v>
      </x:c>
      <x:c r="Y228" s="16" t="n">
        <x:v>99.11504424778761</x:v>
      </x:c>
      <x:c r="Z228" s="16" t="n">
        <x:v>82.71604938271605</x:v>
      </x:c>
      <x:c r="AA228" s="16" t="n">
        <x:v>80.32786885245902</x:v>
      </x:c>
      <x:c r="AB228" s="16" t="n">
        <x:v>15.339233038348084</x:v>
      </x:c>
      <x:c r="AC228" s="16" t="n">
        <x:v>69.32153392330383</x:v>
      </x:c>
      <x:c r="AD228" s="16" t="n">
        <x:v>97.92682926829268</x:v>
      </x:c>
      <x:c r="AE228" s="16" t="n">
        <x:v>77.41203550263494</x:v>
      </x:c>
      <x:c r="AF228" t="str">
        <x:v>검토</x:v>
      </x:c>
      <x:c r="AG228" t="str">
        <x:v>수요·직장수요 강점 / 경쟁여건 상대적 약점</x:v>
      </x:c>
    </x:row>
    <x:row r="229">
      <x:c r="A229" t="str">
        <x:v>3120245</x:v>
      </x:c>
      <x:c r="B229" t="str">
        <x:v>둔촌역</x:v>
      </x:c>
      <x:c r="C229" t="str">
        <x:v>발달상권</x:v>
      </x:c>
      <x:c r="D229" t="str">
        <x:v>강동구</x:v>
      </x:c>
      <x:c r="E229" t="str">
        <x:v>성내3동</x:v>
      </x:c>
      <x:c r="F229" t="str">
        <x:v>CS300001</x:v>
      </x:c>
      <x:c r="G229" t="str">
        <x:v>슈퍼마켓</x:v>
      </x:c>
      <x:c r="H229" t="n">
        <x:v>5681633595</x:v>
      </x:c>
      <x:c r="I229" t="n">
        <x:v>257304</x:v>
      </x:c>
      <x:c r="J229" t="n">
        <x:v>22081.404078444175</x:v>
      </x:c>
      <x:c r="K229" s="14" t="n">
        <x:v>0.12090104728871709</x:v>
      </x:c>
      <x:c r="L229" s="14" t="n">
        <x:v>-0.02979620222776047</x:v>
      </x:c>
      <x:c r="M229" s="14" t="n">
        <x:v>-0.03099912402160654</x:v>
      </x:c>
      <x:c r="N229" t="n">
        <x:v>31</x:v>
      </x:c>
      <x:c r="O229" t="n">
        <x:v>0</x:v>
      </x:c>
      <x:c r="P229" s="14" t="n">
        <x:v>0</x:v>
      </x:c>
      <x:c r="Q229" s="14" t="n">
        <x:v>0.3225806451612903</x:v>
      </x:c>
      <x:c r="R229" s="14" t="n">
        <x:v>0.06896551724137923</x:v>
      </x:c>
      <x:c r="S229" t="n">
        <x:v>2095</x:v>
      </x:c>
      <x:c r="T229" t="n">
        <x:v>126.64732196832306</x:v>
      </x:c>
      <x:c r="U229" s="14" t="n">
        <x:v>0.6860519135606103</x:v>
      </x:c>
      <x:c r="V229" s="14" t="n">
        <x:v>0.30218088711509034</x:v>
      </x:c>
      <x:c r="W229" s="14" t="n">
        <x:v>0.08891830536988368</x:v>
      </x:c>
      <x:c r="X229" s="14" t="n">
        <x:v>0.6003685573814268</x:v>
      </x:c>
      <x:c r="Y229" s="16" t="n">
        <x:v>98.53438556933483</x:v>
      </x:c>
      <x:c r="Z229" s="16" t="n">
        <x:v>91.95804195804196</x:v>
      </x:c>
      <x:c r="AA229" s="16" t="n">
        <x:v>31.147540983606557</x:v>
      </x:c>
      <x:c r="AB229" s="16" t="n">
        <x:v>58.0608793686584</x:v>
      </x:c>
      <x:c r="AC229" s="16" t="n">
        <x:v>78.80496054114994</x:v>
      </x:c>
      <x:c r="AD229" s="16" t="n">
        <x:v>65.3048780487805</x:v>
      </x:c>
      <x:c r="AE229" s="16" t="n">
        <x:v>77.40564635026935</x:v>
      </x:c>
      <x:c r="AF229" t="str">
        <x:v>검토</x:v>
      </x:c>
      <x:c r="AG229" t="str">
        <x:v>수요·상권 모멘텀 강점 / 서울 업종추세 상대적 약점</x:v>
      </x:c>
    </x:row>
    <x:row r="230">
      <x:c r="A230" t="str">
        <x:v>3110606</x:v>
      </x:c>
      <x:c r="B230" t="str">
        <x:v>신한은행 신월동지점</x:v>
      </x:c>
      <x:c r="C230" t="str">
        <x:v>골목상권</x:v>
      </x:c>
      <x:c r="D230" t="str">
        <x:v>양천구</x:v>
      </x:c>
      <x:c r="E230" t="str">
        <x:v>신월4동</x:v>
      </x:c>
      <x:c r="F230" t="str">
        <x:v>CS200030</x:v>
      </x:c>
      <x:c r="G230" t="str">
        <x:v>피부관리실</x:v>
      </x:c>
      <x:c r="H230" t="n">
        <x:v>51352007</x:v>
      </x:c>
      <x:c r="I230" t="n">
        <x:v>99</x:v>
      </x:c>
      <x:c r="J230" t="n">
        <x:v>518707.1414141414</x:v>
      </x:c>
      <x:c r="K230" s="14" t="n">
        <x:v>1.5352775995939454</x:v>
      </x:c>
      <x:c r="L230" s="14" t="n">
        <x:v>0.11857168683779085</x:v>
      </x:c>
      <x:c r="M230" s="14" t="n">
        <x:v>0.0314283578178467</x:v>
      </x:c>
      <x:c r="N230" t="n">
        <x:v>12</x:v>
      </x:c>
      <x:c r="O230" t="n">
        <x:v>0</x:v>
      </x:c>
      <x:c r="P230" s="14" t="n">
        <x:v>0</x:v>
      </x:c>
      <x:c r="Q230" s="14" t="n">
        <x:v>0.08333333333333333</x:v>
      </x:c>
      <x:c r="R230" s="14" t="n">
        <x:v>1.4</x:v>
      </x:c>
      <x:c r="S230" t="n">
        <x:v>506</x:v>
      </x:c>
      <x:c r="T230" t="n">
        <x:v>31.88224990391219</x:v>
      </x:c>
      <x:c r="U230" s="14" t="n">
        <x:v>0.9825472838870738</x:v>
      </x:c>
      <x:c r="V230" s="14" t="n">
        <x:v>0.9342869890168071</x:v>
      </x:c>
      <x:c r="W230" s="14" t="n">
        <x:v>0.028360644210069532</x:v>
      </x:c>
      <x:c r="X230" s="14" t="n">
        <x:v>0.9061916703664572</x:v>
      </x:c>
      <x:c r="Y230" s="16" t="n">
        <x:v>63.27543424317618</x:v>
      </x:c>
      <x:c r="Z230" s="16" t="n">
        <x:v>97.34748010610079</x:v>
      </x:c>
      <x:c r="AA230" s="16" t="n">
        <x:v>91.80327868852459</x:v>
      </x:c>
      <x:c r="AB230" s="16" t="n">
        <x:v>86.22828784119106</x:v>
      </x:c>
      <x:c r="AC230" s="16" t="n">
        <x:v>79.15632754342431</x:v>
      </x:c>
      <x:c r="AD230" s="16" t="n">
        <x:v>22.865853658536587</x:v>
      </x:c>
      <x:c r="AE230" s="16" t="n">
        <x:v>77.37955842305841</x:v>
      </x:c>
      <x:c r="AF230" t="str">
        <x:v>검토</x:v>
      </x:c>
      <x:c r="AG230" t="str">
        <x:v>상권 모멘텀·서울 업종추세 강점 / 직장수요 상대적 약점</x:v>
      </x:c>
    </x:row>
    <x:row r="231">
      <x:c r="A231" t="str">
        <x:v>3001491</x:v>
      </x:c>
      <x:c r="B231" t="str">
        <x:v>이태원 관광특구</x:v>
      </x:c>
      <x:c r="C231" t="str">
        <x:v>관광특구</x:v>
      </x:c>
      <x:c r="D231" t="str">
        <x:v>용산구</x:v>
      </x:c>
      <x:c r="E231" t="str">
        <x:v>이태원1동</x:v>
      </x:c>
      <x:c r="F231" t="str">
        <x:v>CS100008</x:v>
      </x:c>
      <x:c r="G231" t="str">
        <x:v>분식전문점</x:v>
      </x:c>
      <x:c r="H231" t="n">
        <x:v>497434971</x:v>
      </x:c>
      <x:c r="I231" t="n">
        <x:v>27999</x:v>
      </x:c>
      <x:c r="J231" t="n">
        <x:v>17766.169184613736</x:v>
      </x:c>
      <x:c r="K231" s="14" t="n">
        <x:v>0.34116409329252173</x:v>
      </x:c>
      <x:c r="L231" s="14" t="n">
        <x:v>-0.021494731595524064</x:v>
      </x:c>
      <x:c r="M231" s="14" t="n">
        <x:v>0.009923521656473921</x:v>
      </x:c>
      <x:c r="N231" t="n">
        <x:v>20</x:v>
      </x:c>
      <x:c r="O231" t="n">
        <x:v>0</x:v>
      </x:c>
      <x:c r="P231" s="14" t="n">
        <x:v>0</x:v>
      </x:c>
      <x:c r="Q231" s="14" t="n">
        <x:v>0.1</x:v>
      </x:c>
      <x:c r="R231" s="14" t="n">
        <x:v>-0.04761904761904767</x:v>
      </x:c>
      <x:c r="S231" t="n">
        <x:v>35826</x:v>
      </x:c>
      <x:c r="T231" t="n">
        <x:v>961.6040154067075</x:v>
      </x:c>
      <x:c r="U231" s="14" t="n">
        <x:v>0.6124997592901444</x:v>
      </x:c>
      <x:c r="V231" s="14" t="n">
        <x:v>0.5183967433604503</x:v>
      </x:c>
      <x:c r="W231" s="14" t="n">
        <x:v>0.6079994886406971</x:v>
      </x:c>
      <x:c r="X231" s="14" t="n">
        <x:v>0.4124419350484307</x:v>
      </x:c>
      <x:c r="Y231" s="16" t="n">
        <x:v>80.99489795918367</x:v>
      </x:c>
      <x:c r="Z231" s="16" t="n">
        <x:v>95.30026109660574</x:v>
      </x:c>
      <x:c r="AA231" s="16" t="n">
        <x:v>34.42622950819672</x:v>
      </x:c>
      <x:c r="AB231" s="16" t="n">
        <x:v>77.93367346938776</x:v>
      </x:c>
      <x:c r="AC231" s="16" t="n">
        <x:v>82.71683673469389</x:v>
      </x:c>
      <x:c r="AD231" s="16" t="n">
        <x:v>96.76829268292683</x:v>
      </x:c>
      <x:c r="AE231" s="16" t="n">
        <x:v>77.37235025928884</x:v>
      </x:c>
      <x:c r="AF231" t="str">
        <x:v>검토</x:v>
      </x:c>
      <x:c r="AG231" t="str">
        <x:v>직장수요·상권 모멘텀 강점 / 서울 업종추세 상대적 약점</x:v>
      </x:c>
    </x:row>
    <x:row r="232">
      <x:c r="A232" t="str">
        <x:v>3120157</x:v>
      </x:c>
      <x:c r="B232" t="str">
        <x:v>신림역(신림)</x:v>
      </x:c>
      <x:c r="C232" t="str">
        <x:v>발달상권</x:v>
      </x:c>
      <x:c r="D232" t="str">
        <x:v>관악구</x:v>
      </x:c>
      <x:c r="E232" t="str">
        <x:v>신림동</x:v>
      </x:c>
      <x:c r="F232" t="str">
        <x:v>CS300007</x:v>
      </x:c>
      <x:c r="G232" t="str">
        <x:v>육류판매</x:v>
      </x:c>
      <x:c r="H232" t="n">
        <x:v>1049252249</x:v>
      </x:c>
      <x:c r="I232" t="n">
        <x:v>70939</x:v>
      </x:c>
      <x:c r="J232" t="n">
        <x:v>14790.90837198156</x:v>
      </x:c>
      <x:c r="K232" s="14" t="n">
        <x:v>1.3012438990119364</x:v>
      </x:c>
      <x:c r="L232" s="14" t="n">
        <x:v>0.23518223683931017</x:v>
      </x:c>
      <x:c r="M232" s="14" t="n">
        <x:v>0.00863079289162072</x:v>
      </x:c>
      <x:c r="N232" t="n">
        <x:v>14</x:v>
      </x:c>
      <x:c r="O232" t="n">
        <x:v>0</x:v>
      </x:c>
      <x:c r="P232" s="14" t="n">
        <x:v>0</x:v>
      </x:c>
      <x:c r="Q232" s="14" t="n">
        <x:v>0</x:v>
      </x:c>
      <x:c r="R232" s="14" t="n">
        <x:v>0.16666666666666674</x:v>
      </x:c>
      <x:c r="S232" t="n">
        <x:v>1622</x:v>
      </x:c>
      <x:c r="T232" t="n">
        <x:v>68.17560893596452</x:v>
      </x:c>
      <x:c r="U232" s="14" t="n">
        <x:v>0.6702292634304375</x:v>
      </x:c>
      <x:c r="V232" s="14" t="n">
        <x:v>0.5083952409998599</x:v>
      </x:c>
      <x:c r="W232" s="14" t="n">
        <x:v>0.3807905023608865</x:v>
      </x:c>
      <x:c r="X232" s="14" t="n">
        <x:v>0.5269687089324504</x:v>
      </x:c>
      <x:c r="Y232" s="16" t="n">
        <x:v>71.53465346534654</x:v>
      </x:c>
      <x:c r="Z232" s="16" t="n">
        <x:v>99.22077922077922</x:v>
      </x:c>
      <x:c r="AA232" s="16" t="n">
        <x:v>100</x:v>
      </x:c>
      <x:c r="AB232" s="16" t="n">
        <x:v>56.43564356435643</x:v>
      </x:c>
      <x:c r="AC232" s="16" t="n">
        <x:v>66.83168316831683</x:v>
      </x:c>
      <x:c r="AD232" s="16" t="n">
        <x:v>46.76829268292683</x:v>
      </x:c>
      <x:c r="AE232" s="16" t="n">
        <x:v>77.36821404265862</x:v>
      </x:c>
      <x:c r="AF232" t="str">
        <x:v>검토</x:v>
      </x:c>
      <x:c r="AG232" t="str">
        <x:v>서울 업종추세·상권 모멘텀 강점 / 직장수요 상대적 약점</x:v>
      </x:c>
    </x:row>
    <x:row r="233">
      <x:c r="A233" t="str">
        <x:v>3110749</x:v>
      </x:c>
      <x:c r="B233" t="str">
        <x:v>금산초등학교(금천고등학교)</x:v>
      </x:c>
      <x:c r="C233" t="str">
        <x:v>골목상권</x:v>
      </x:c>
      <x:c r="D233" t="str">
        <x:v>금천구</x:v>
      </x:c>
      <x:c r="E233" t="str">
        <x:v>시흥3동</x:v>
      </x:c>
      <x:c r="F233" t="str">
        <x:v>CS300007</x:v>
      </x:c>
      <x:c r="G233" t="str">
        <x:v>육류판매</x:v>
      </x:c>
      <x:c r="H233" t="n">
        <x:v>1436458401</x:v>
      </x:c>
      <x:c r="I233" t="n">
        <x:v>49686</x:v>
      </x:c>
      <x:c r="J233" t="n">
        <x:v>28910.72738799662</x:v>
      </x:c>
      <x:c r="K233" s="14" t="n">
        <x:v>0.10189092442077996</x:v>
      </x:c>
      <x:c r="L233" s="14" t="n">
        <x:v>0.23518223683931017</x:v>
      </x:c>
      <x:c r="M233" s="14" t="n">
        <x:v>0.00863079289162072</x:v>
      </x:c>
      <x:c r="N233" t="n">
        <x:v>13</x:v>
      </x:c>
      <x:c r="O233" t="n">
        <x:v>0</x:v>
      </x:c>
      <x:c r="P233" s="14" t="n">
        <x:v>0</x:v>
      </x:c>
      <x:c r="Q233" s="14" t="n">
        <x:v>0</x:v>
      </x:c>
      <x:c r="R233" s="14" t="n">
        <x:v>-0.1875</x:v>
      </x:c>
      <x:c r="S233" t="n">
        <x:v>774</x:v>
      </x:c>
      <x:c r="T233" t="n">
        <x:v>53.14948464227101</x:v>
      </x:c>
      <x:c r="U233" s="14" t="n">
        <x:v>0.7156192377616928</x:v>
      </x:c>
      <x:c r="V233" s="14" t="n">
        <x:v>0.3284513318809293</x:v>
      </x:c>
      <x:c r="W233" s="14" t="n">
        <x:v>0.14003705840695627</x:v>
      </x:c>
      <x:c r="X233" s="14" t="n">
        <x:v>0.5735733603050577</x:v>
      </x:c>
      <x:c r="Y233" s="16" t="n">
        <x:v>80.1980198019802</x:v>
      </x:c>
      <x:c r="Z233" s="16" t="n">
        <x:v>82.85714285714286</x:v>
      </x:c>
      <x:c r="AA233" s="16" t="n">
        <x:v>100</x:v>
      </x:c>
      <x:c r="AB233" s="16" t="n">
        <x:v>60.89108910891089</x:v>
      </x:c>
      <x:c r="AC233" s="16" t="n">
        <x:v>66.83168316831683</x:v>
      </x:c>
      <x:c r="AD233" s="16" t="n">
        <x:v>37.926829268292686</x:v>
      </x:c>
      <x:c r="AE233" s="16" t="n">
        <x:v>77.35390864870459</x:v>
      </x:c>
      <x:c r="AF233" t="str">
        <x:v>검토</x:v>
      </x:c>
      <x:c r="AG233" t="str">
        <x:v>서울 업종추세·상권 모멘텀 강점 / 직장수요 상대적 약점</x:v>
      </x:c>
    </x:row>
    <x:row r="234">
      <x:c r="A234" t="str">
        <x:v>3130198</x:v>
      </x:c>
      <x:c r="B234" t="str">
        <x:v>아현시장</x:v>
      </x:c>
      <x:c r="C234" t="str">
        <x:v>전통시장</x:v>
      </x:c>
      <x:c r="D234" t="str">
        <x:v>마포구</x:v>
      </x:c>
      <x:c r="E234" t="str">
        <x:v>아현동</x:v>
      </x:c>
      <x:c r="F234" t="str">
        <x:v>CS300007</x:v>
      </x:c>
      <x:c r="G234" t="str">
        <x:v>육류판매</x:v>
      </x:c>
      <x:c r="H234" t="n">
        <x:v>1751720067</x:v>
      </x:c>
      <x:c r="I234" t="n">
        <x:v>44511</x:v>
      </x:c>
      <x:c r="J234" t="n">
        <x:v>39354.76774280515</x:v>
      </x:c>
      <x:c r="K234" s="14" t="n">
        <x:v>0.04072956057926436</x:v>
      </x:c>
      <x:c r="L234" s="14" t="n">
        <x:v>0.23518223683931017</x:v>
      </x:c>
      <x:c r="M234" s="14" t="n">
        <x:v>0.00863079289162072</x:v>
      </x:c>
      <x:c r="N234" t="n">
        <x:v>11</x:v>
      </x:c>
      <x:c r="O234" t="n">
        <x:v>0</x:v>
      </x:c>
      <x:c r="P234" s="14" t="n">
        <x:v>0</x:v>
      </x:c>
      <x:c r="Q234" s="14" t="n">
        <x:v>0</x:v>
      </x:c>
      <x:c r="R234" s="14" t="n">
        <x:v>-0.15384615384615385</x:v>
      </x:c>
      <x:c r="S234" t="n">
        <x:v>564</x:v>
      </x:c>
      <x:c r="T234" t="n">
        <x:v>203.8234975244841</x:v>
      </x:c>
      <x:c r="U234" s="14" t="n">
        <x:v>0.7146881654122194</x:v>
      </x:c>
      <x:c r="V234" s="14" t="n">
        <x:v>0.21376066647525593</x:v>
      </x:c>
      <x:c r="W234" s="14" t="n">
        <x:v>0.13138350946344443</x:v>
      </x:c>
      <x:c r="X234" s="14" t="n">
        <x:v>0.5615394420209037</x:v>
      </x:c>
      <x:c r="Y234" s="16" t="n">
        <x:v>82.42574257425743</x:v>
      </x:c>
      <x:c r="Z234" s="16" t="n">
        <x:v>58.701298701298704</x:v>
      </x:c>
      <x:c r="AA234" s="16" t="n">
        <x:v>100</x:v>
      </x:c>
      <x:c r="AB234" s="16" t="n">
        <x:v>75</x:v>
      </x:c>
      <x:c r="AC234" s="16" t="n">
        <x:v>66.83168316831683</x:v>
      </x:c>
      <x:c r="AD234" s="16" t="n">
        <x:v>76.52439024390245</x:v>
      </x:c>
      <x:c r="AE234" s="16" t="n">
        <x:v>77.34865747027665</x:v>
      </x:c>
      <x:c r="AF234" t="str">
        <x:v>검토</x:v>
      </x:c>
      <x:c r="AG234" t="str">
        <x:v>서울 업종추세·수요 강점 / 상권 모멘텀 상대적 약점</x:v>
      </x:c>
    </x:row>
    <x:row r="235">
      <x:c r="A235" t="str">
        <x:v>3120187</x:v>
      </x:c>
      <x:c r="B235" t="str">
        <x:v>신논현역</x:v>
      </x:c>
      <x:c r="C235" t="str">
        <x:v>발달상권</x:v>
      </x:c>
      <x:c r="D235" t="str">
        <x:v>강남구</x:v>
      </x:c>
      <x:c r="E235" t="str">
        <x:v>논현1동</x:v>
      </x:c>
      <x:c r="F235" t="str">
        <x:v>CS300028</x:v>
      </x:c>
      <x:c r="G235" t="str">
        <x:v>화초</x:v>
      </x:c>
      <x:c r="H235" t="n">
        <x:v>489813924</x:v>
      </x:c>
      <x:c r="I235" t="n">
        <x:v>4692</x:v>
      </x:c>
      <x:c r="J235" t="n">
        <x:v>104393.41943734016</x:v>
      </x:c>
      <x:c r="K235" s="14" t="n">
        <x:v>0.20704780342197227</x:v>
      </x:c>
      <x:c r="L235" s="14" t="n">
        <x:v>0.028008199294863756</x:v>
      </x:c>
      <x:c r="M235" s="14" t="n">
        <x:v>-0.0030123365554672876</x:v>
      </x:c>
      <x:c r="N235" t="n">
        <x:v>38</x:v>
      </x:c>
      <x:c r="O235" t="n">
        <x:v>0</x:v>
      </x:c>
      <x:c r="P235" s="14" t="n">
        <x:v>0</x:v>
      </x:c>
      <x:c r="Q235" s="14" t="n">
        <x:v>0</x:v>
      </x:c>
      <x:c r="R235" s="14" t="n">
        <x:v>0.1515151515151516</x:v>
      </x:c>
      <x:c r="S235" t="n">
        <x:v>25051</x:v>
      </x:c>
      <x:c r="T235" t="n">
        <x:v>655.1130776794494</x:v>
      </x:c>
      <x:c r="U235" s="14" t="n">
        <x:v>0.9379117670815744</x:v>
      </x:c>
      <x:c r="V235" s="14" t="n">
        <x:v>0.5805824009200686</x:v>
      </x:c>
      <x:c r="W235" s="14" t="n">
        <x:v>0.15753688537445498</x:v>
      </x:c>
      <x:c r="X235" s="14" t="n">
        <x:v>0.2818349259503697</x:v>
      </x:c>
      <x:c r="Y235" s="16" t="n">
        <x:v>94.63087248322148</x:v>
      </x:c>
      <x:c r="Z235" s="16" t="n">
        <x:v>91.78082191780823</x:v>
      </x:c>
      <x:c r="AA235" s="16" t="n">
        <x:v>73.77049180327869</x:v>
      </x:c>
      <x:c r="AB235" s="16" t="n">
        <x:v>22.986577181208048</x:v>
      </x:c>
      <x:c r="AC235" s="16" t="n">
        <x:v>66.7785234899329</x:v>
      </x:c>
      <x:c r="AD235" s="16" t="n">
        <x:v>93.53658536585365</x:v>
      </x:c>
      <x:c r="AE235" s="16" t="n">
        <x:v>77.34521171764813</x:v>
      </x:c>
      <x:c r="AF235" t="str">
        <x:v>검토</x:v>
      </x:c>
      <x:c r="AG235" t="str">
        <x:v>수요·직장수요 강점 / 경쟁여건 상대적 약점</x:v>
      </x:c>
    </x:row>
    <x:row r="236">
      <x:c r="A236" t="str">
        <x:v>3110309</x:v>
      </x:c>
      <x:c r="B236" t="str">
        <x:v>대광초등학교</x:v>
      </x:c>
      <x:c r="C236" t="str">
        <x:v>골목상권</x:v>
      </x:c>
      <x:c r="D236" t="str">
        <x:v>성북구</x:v>
      </x:c>
      <x:c r="E236" t="str">
        <x:v>안암동</x:v>
      </x:c>
      <x:c r="F236" t="str">
        <x:v>CS300011</x:v>
      </x:c>
      <x:c r="G236" t="str">
        <x:v>일반의류</x:v>
      </x:c>
      <x:c r="H236" t="n">
        <x:v>664178971</x:v>
      </x:c>
      <x:c r="I236" t="n">
        <x:v>6144</x:v>
      </x:c>
      <x:c r="J236" t="n">
        <x:v>108102.04606119792</x:v>
      </x:c>
      <x:c r="K236" s="14" t="n">
        <x:v>1.8080308063721446</x:v>
      </x:c>
      <x:c r="L236" s="14" t="n">
        <x:v>0.06726691045630595</x:v>
      </x:c>
      <x:c r="M236" s="14" t="n">
        <x:v>0.00788849516466894</x:v>
      </x:c>
      <x:c r="N236" t="n">
        <x:v>65</x:v>
      </x:c>
      <x:c r="O236" t="n">
        <x:v>0</x:v>
      </x:c>
      <x:c r="P236" s="14" t="n">
        <x:v>0</x:v>
      </x:c>
      <x:c r="Q236" s="14" t="n">
        <x:v>0</x:v>
      </x:c>
      <x:c r="R236" s="14" t="n">
        <x:v>0.015625</x:v>
      </x:c>
      <x:c r="S236" t="n">
        <x:v>266</x:v>
      </x:c>
      <x:c r="T236" t="n">
        <x:v>36.59979636203528</x:v>
      </x:c>
      <x:c r="U236" s="14" t="n">
        <x:v>0.6671704771574287</x:v>
      </x:c>
      <x:c r="V236" s="14" t="n">
        <x:v>0.03012718239162679</x:v>
      </x:c>
      <x:c r="W236" s="14" t="n">
        <x:v>0.8915033249373986</x:v>
      </x:c>
      <x:c r="X236" s="14" t="n">
        <x:v>0.6514599842698121</x:v>
      </x:c>
      <x:c r="Y236" s="16" t="n">
        <x:v>79.38751472320376</x:v>
      </x:c>
      <x:c r="Z236" s="16" t="n">
        <x:v>98.55595667870035</x:v>
      </x:c>
      <x:c r="AA236" s="16" t="n">
        <x:v>81.9672131147541</x:v>
      </x:c>
      <x:c r="AB236" s="16" t="n">
        <x:v>50.53003533568904</x:v>
      </x:c>
      <x:c r="AC236" s="16" t="n">
        <x:v>86.33686690223793</x:v>
      </x:c>
      <x:c r="AD236" s="16" t="n">
        <x:v>26.646341463414632</x:v>
      </x:c>
      <x:c r="AE236" s="16" t="n">
        <x:v>77.33741251982238</x:v>
      </x:c>
      <x:c r="AF236" t="str">
        <x:v>검토</x:v>
      </x:c>
      <x:c r="AG236" t="str">
        <x:v>상권 모멘텀·안정성 강점 / 직장수요 상대적 약점</x:v>
      </x:c>
    </x:row>
    <x:row r="237">
      <x:c r="A237" t="str">
        <x:v>3110994</x:v>
      </x:c>
      <x:c r="B237" t="str">
        <x:v>개포고등학교</x:v>
      </x:c>
      <x:c r="C237" t="str">
        <x:v>골목상권</x:v>
      </x:c>
      <x:c r="D237" t="str">
        <x:v>강남구</x:v>
      </x:c>
      <x:c r="E237" t="str">
        <x:v>개포2동</x:v>
      </x:c>
      <x:c r="F237" t="str">
        <x:v>CS100001</x:v>
      </x:c>
      <x:c r="G237" t="str">
        <x:v>한식음식점</x:v>
      </x:c>
      <x:c r="H237" t="n">
        <x:v>3439769774</x:v>
      </x:c>
      <x:c r="I237" t="n">
        <x:v>88919</x:v>
      </x:c>
      <x:c r="J237" t="n">
        <x:v>38684.30564896142</x:v>
      </x:c>
      <x:c r="K237" s="14" t="n">
        <x:v>0.17374595197519271</x:v>
      </x:c>
      <x:c r="L237" s="14" t="n">
        <x:v>-0.0018259958518723751</x:v>
      </x:c>
      <x:c r="M237" s="14" t="n">
        <x:v>0.06341040875687098</x:v>
      </x:c>
      <x:c r="N237" t="n">
        <x:v>54</x:v>
      </x:c>
      <x:c r="O237" t="n">
        <x:v>2</x:v>
      </x:c>
      <x:c r="P237" s="14" t="n">
        <x:v>0.03389830508474576</x:v>
      </x:c>
      <x:c r="Q237" s="14" t="n">
        <x:v>0.1111111111111111</x:v>
      </x:c>
      <x:c r="R237" s="14" t="n">
        <x:v>-0.12903225806451613</x:v>
      </x:c>
      <x:c r="S237" t="n">
        <x:v>3211</x:v>
      </x:c>
      <x:c r="T237" t="n">
        <x:v>521.3593336472422</x:v>
      </x:c>
      <x:c r="U237" s="14" t="n">
        <x:v>0.6931045167675807</x:v>
      </x:c>
      <x:c r="V237" s="14" t="n">
        <x:v>0.5882756344029669</x:v>
      </x:c>
      <x:c r="W237" s="14" t="n">
        <x:v>0.11172465811661034</x:v>
      </x:c>
      <x:c r="X237" s="14" t="n">
        <x:v>0.25488153963876303</x:v>
      </x:c>
      <x:c r="Y237" s="16" t="n">
        <x:v>82.20640569395017</x:v>
      </x:c>
      <x:c r="Z237" s="16" t="n">
        <x:v>95.56826304503217</x:v>
      </x:c>
      <x:c r="AA237" s="16" t="n">
        <x:v>40.98360655737705</x:v>
      </x:c>
      <x:c r="AB237" s="16" t="n">
        <x:v>92.63345195729538</x:v>
      </x:c>
      <x:c r="AC237" s="16" t="n">
        <x:v>48.86120996441281</x:v>
      </x:c>
      <x:c r="AD237" s="16" t="n">
        <x:v>90.42682926829268</x:v>
      </x:c>
      <x:c r="AE237" s="16" t="n">
        <x:v>77.33591583894577</x:v>
      </x:c>
      <x:c r="AF237" t="str">
        <x:v>검토</x:v>
      </x:c>
      <x:c r="AG237" t="str">
        <x:v>상권 모멘텀·경쟁여건 강점 / 서울 업종추세 상대적 약점</x:v>
      </x:c>
    </x:row>
    <x:row r="238">
      <x:c r="A238" t="str">
        <x:v>3120164</x:v>
      </x:c>
      <x:c r="B238" t="str">
        <x:v>내방역</x:v>
      </x:c>
      <x:c r="C238" t="str">
        <x:v>발달상권</x:v>
      </x:c>
      <x:c r="D238" t="str">
        <x:v>서초구</x:v>
      </x:c>
      <x:c r="E238" t="str">
        <x:v>방배4동</x:v>
      </x:c>
      <x:c r="F238" t="str">
        <x:v>CS300009</x:v>
      </x:c>
      <x:c r="G238" t="str">
        <x:v>청과상</x:v>
      </x:c>
      <x:c r="H238" t="n">
        <x:v>3247549221</x:v>
      </x:c>
      <x:c r="I238" t="n">
        <x:v>124195</x:v>
      </x:c>
      <x:c r="J238" t="n">
        <x:v>26148.79198840533</x:v>
      </x:c>
      <x:c r="K238" s="14" t="n">
        <x:v>0.001104790791622845</x:v>
      </x:c>
      <x:c r="L238" s="14" t="n">
        <x:v>0.19728256051488424</x:v>
      </x:c>
      <x:c r="M238" s="14" t="n">
        <x:v>0.09797365727115581</x:v>
      </x:c>
      <x:c r="N238" t="n">
        <x:v>12</x:v>
      </x:c>
      <x:c r="O238" t="n">
        <x:v>0</x:v>
      </x:c>
      <x:c r="P238" s="14" t="n">
        <x:v>0</x:v>
      </x:c>
      <x:c r="Q238" s="14" t="n">
        <x:v>0</x:v>
      </x:c>
      <x:c r="R238" s="14" t="n">
        <x:v>0.09090909090909083</x:v>
      </x:c>
      <x:c r="S238" t="n">
        <x:v>12182</x:v>
      </x:c>
      <x:c r="T238" t="n">
        <x:v>573.1546087144719</x:v>
      </x:c>
      <x:c r="U238" s="14" t="n">
        <x:v>0.8324532827765877</x:v>
      </x:c>
      <x:c r="V238" s="14" t="n">
        <x:v>0.1963594244781425</x:v>
      </x:c>
      <x:c r="W238" s="14" t="n">
        <x:v>0.04274949494291283</x:v>
      </x:c>
      <x:c r="X238" s="14" t="n">
        <x:v>0.6032328435030669</x:v>
      </x:c>
      <x:c r="Y238" s="16" t="n">
        <x:v>89.74358974358974</x:v>
      </x:c>
      <x:c r="Z238" s="16" t="n">
        <x:v>43.12977099236641</x:v>
      </x:c>
      <x:c r="AA238" s="16" t="n">
        <x:v>95.08196721311475</x:v>
      </x:c>
      <x:c r="AB238" s="16" t="n">
        <x:v>76.55677655677655</x:v>
      </x:c>
      <x:c r="AC238" s="16" t="n">
        <x:v>69.5970695970696</x:v>
      </x:c>
      <x:c r="AD238" s="16" t="n">
        <x:v>91.70731707317073</x:v>
      </x:c>
      <x:c r="AE238" s="16" t="n">
        <x:v>77.32709498757887</x:v>
      </x:c>
      <x:c r="AF238" t="str">
        <x:v>검토</x:v>
      </x:c>
      <x:c r="AG238" t="str">
        <x:v>서울 업종추세·직장수요 강점 / 상권 모멘텀 상대적 약점</x:v>
      </x:c>
    </x:row>
    <x:row r="239">
      <x:c r="A239" t="str">
        <x:v>3130018</x:v>
      </x:c>
      <x:c r="B239" t="str">
        <x:v>동대문문구완구거리(동대문문구완구시장)</x:v>
      </x:c>
      <x:c r="C239" t="str">
        <x:v>전통시장</x:v>
      </x:c>
      <x:c r="D239" t="str">
        <x:v>종로구</x:v>
      </x:c>
      <x:c r="E239" t="str">
        <x:v>창신1동</x:v>
      </x:c>
      <x:c r="F239" t="str">
        <x:v>CS300024</x:v>
      </x:c>
      <x:c r="G239" t="str">
        <x:v>운동/경기용품</x:v>
      </x:c>
      <x:c r="H239" t="n">
        <x:v>1978132423</x:v>
      </x:c>
      <x:c r="I239" t="n">
        <x:v>20440</x:v>
      </x:c>
      <x:c r="J239" t="n">
        <x:v>96777.51580234834</x:v>
      </x:c>
      <x:c r="K239" s="14" t="n">
        <x:v>0.8063968225547808</x:v>
      </x:c>
      <x:c r="L239" s="14" t="n">
        <x:v>0.02391308801579517</x:v>
      </x:c>
      <x:c r="M239" s="14" t="n">
        <x:v>-0.0228667837393145</x:v>
      </x:c>
      <x:c r="N239" t="n">
        <x:v>16</x:v>
      </x:c>
      <x:c r="O239" t="n">
        <x:v>0</x:v>
      </x:c>
      <x:c r="P239" s="14" t="n">
        <x:v>0</x:v>
      </x:c>
      <x:c r="Q239" s="14" t="n">
        <x:v>0</x:v>
      </x:c>
      <x:c r="R239" s="14" t="n">
        <x:v>-0.05882352941176472</x:v>
      </x:c>
      <x:c r="S239" t="n">
        <x:v>318</x:v>
      </x:c>
      <x:c r="T239" t="n">
        <x:v>82.4133105271342</x:v>
      </x:c>
      <x:c r="U239" s="14" t="n">
        <x:v>0.782244761275014</x:v>
      </x:c>
      <x:c r="V239" s="14" t="n">
        <x:v>0.10714448968920216</x:v>
      </x:c>
      <x:c r="W239" s="14" t="n">
        <x:v>0.057335839441928</x:v>
      </x:c>
      <x:c r="X239" s="14" t="n">
        <x:v>0.138386335422803</x:v>
      </x:c>
      <x:c r="Y239" s="16" t="n">
        <x:v>85.38461538461539</x:v>
      </x:c>
      <x:c r="Z239" s="16" t="n">
        <x:v>93.4959349593496</x:v>
      </x:c>
      <x:c r="AA239" s="16" t="n">
        <x:v>65.57377049180327</x:v>
      </x:c>
      <x:c r="AB239" s="16" t="n">
        <x:v>63.84615384615385</x:v>
      </x:c>
      <x:c r="AC239" s="16" t="n">
        <x:v>66.53846153846155</x:v>
      </x:c>
      <x:c r="AD239" s="16" t="n">
        <x:v>53.41463414634146</x:v>
      </x:c>
      <x:c r="AE239" s="16" t="n">
        <x:v>77.3213688883421</x:v>
      </x:c>
      <x:c r="AF239" t="str">
        <x:v>검토</x:v>
      </x:c>
      <x:c r="AG239" t="str">
        <x:v>상권 모멘텀·수요 강점 / 직장수요 상대적 약점</x:v>
      </x:c>
    </x:row>
    <x:row r="240">
      <x:c r="A240" t="str">
        <x:v>3120171</x:v>
      </x:c>
      <x:c r="B240" t="str">
        <x:v>서초3동사거리</x:v>
      </x:c>
      <x:c r="C240" t="str">
        <x:v>발달상권</x:v>
      </x:c>
      <x:c r="D240" t="str">
        <x:v>서초구</x:v>
      </x:c>
      <x:c r="E240" t="str">
        <x:v>서초3동</x:v>
      </x:c>
      <x:c r="F240" t="str">
        <x:v>CS300007</x:v>
      </x:c>
      <x:c r="G240" t="str">
        <x:v>육류판매</x:v>
      </x:c>
      <x:c r="H240" t="n">
        <x:v>2196430146</x:v>
      </x:c>
      <x:c r="I240" t="n">
        <x:v>35673</x:v>
      </x:c>
      <x:c r="J240" t="n">
        <x:v>61571.220418804136</x:v>
      </x:c>
      <x:c r="K240" s="14" t="n">
        <x:v>0.07041264404409286</x:v>
      </x:c>
      <x:c r="L240" s="14" t="n">
        <x:v>0.23518223683931017</x:v>
      </x:c>
      <x:c r="M240" s="14" t="n">
        <x:v>0.00863079289162072</x:v>
      </x:c>
      <x:c r="N240" t="n">
        <x:v>17</x:v>
      </x:c>
      <x:c r="O240" t="n">
        <x:v>0</x:v>
      </x:c>
      <x:c r="P240" s="14" t="n">
        <x:v>0</x:v>
      </x:c>
      <x:c r="Q240" s="14" t="n">
        <x:v>0</x:v>
      </x:c>
      <x:c r="R240" s="14" t="n">
        <x:v>-0.05555555555555558</x:v>
      </x:c>
      <x:c r="S240" t="n">
        <x:v>11164</x:v>
      </x:c>
      <x:c r="T240" t="n">
        <x:v>474.89610052619713</x:v>
      </x:c>
      <x:c r="U240" s="14" t="n">
        <x:v>0.6863059705063801</x:v>
      </x:c>
      <x:c r="V240" s="14" t="n">
        <x:v>0.328232756827223</x:v>
      </x:c>
      <x:c r="W240" s="14" t="n">
        <x:v>0.06571839867654047</x:v>
      </x:c>
      <x:c r="X240" s="14" t="n">
        <x:v>0.5221375162276616</x:v>
      </x:c>
      <x:c r="Y240" s="16" t="n">
        <x:v>86.13861386138613</x:v>
      </x:c>
      <x:c r="Z240" s="16" t="n">
        <x:v>75.06493506493507</x:v>
      </x:c>
      <x:c r="AA240" s="16" t="n">
        <x:v>100</x:v>
      </x:c>
      <x:c r="AB240" s="16" t="n">
        <x:v>39.975247524752476</x:v>
      </x:c>
      <x:c r="AC240" s="16" t="n">
        <x:v>66.83168316831683</x:v>
      </x:c>
      <x:c r="AD240" s="16" t="n">
        <x:v>89.51219512195122</x:v>
      </x:c>
      <x:c r="AE240" s="16" t="n">
        <x:v>77.31656706611426</x:v>
      </x:c>
      <x:c r="AF240" t="str">
        <x:v>검토</x:v>
      </x:c>
      <x:c r="AG240" t="str">
        <x:v>서울 업종추세·직장수요 강점 / 경쟁여건 상대적 약점</x:v>
      </x:c>
    </x:row>
    <x:row r="241">
      <x:c r="A241" t="str">
        <x:v>3110244</x:v>
      </x:c>
      <x:c r="B241" t="str">
        <x:v>중화역 4번</x:v>
      </x:c>
      <x:c r="C241" t="str">
        <x:v>골목상권</x:v>
      </x:c>
      <x:c r="D241" t="str">
        <x:v>중랑구</x:v>
      </x:c>
      <x:c r="E241" t="str">
        <x:v>중화2동</x:v>
      </x:c>
      <x:c r="F241" t="str">
        <x:v>CS300010</x:v>
      </x:c>
      <x:c r="G241" t="str">
        <x:v>반찬가게</x:v>
      </x:c>
      <x:c r="H241" t="n">
        <x:v>6816144449</x:v>
      </x:c>
      <x:c r="I241" t="n">
        <x:v>19555</x:v>
      </x:c>
      <x:c r="J241" t="n">
        <x:v>348562.74349271285</x:v>
      </x:c>
      <x:c r="K241" s="14" t="n">
        <x:v>0.4618994055320036</x:v>
      </x:c>
      <x:c r="L241" s="14" t="n">
        <x:v>0.02346021551670452</x:v>
      </x:c>
      <x:c r="M241" s="14" t="n">
        <x:v>0.024589273784872745</x:v>
      </x:c>
      <x:c r="N241" t="n">
        <x:v>27</x:v>
      </x:c>
      <x:c r="O241" t="n">
        <x:v>0</x:v>
      </x:c>
      <x:c r="P241" s="14" t="n">
        <x:v>0</x:v>
      </x:c>
      <x:c r="Q241" s="14" t="n">
        <x:v>0</x:v>
      </x:c>
      <x:c r="R241" s="14" t="n">
        <x:v>0.3500000000000001</x:v>
      </x:c>
      <x:c r="S241" t="n">
        <x:v>176</x:v>
      </x:c>
      <x:c r="T241" t="n">
        <x:v>27.907271747058637</x:v>
      </x:c>
      <x:c r="U241" s="14" t="n">
        <x:v>0.4712218681737623</x:v>
      </x:c>
      <x:c r="V241" s="14" t="n">
        <x:v>0.011365640147395297</x:v>
      </x:c>
      <x:c r="W241" s="14" t="n">
        <x:v>0.08496740310205242</x:v>
      </x:c>
      <x:c r="X241" s="14" t="n">
        <x:v>0.6175437041416492</x:v>
      </x:c>
      <x:c r="Y241" s="16" t="n">
        <x:v>95.23809523809524</x:v>
      </x:c>
      <x:c r="Z241" s="16" t="n">
        <x:v>91.94444444444444</x:v>
      </x:c>
      <x:c r="AA241" s="16" t="n">
        <x:v>63.9344262295082</x:v>
      </x:c>
      <x:c r="AB241" s="16" t="n">
        <x:v>50.87719298245614</x:v>
      </x:c>
      <x:c r="AC241" s="16" t="n">
        <x:v>73.93483709273183</x:v>
      </x:c>
      <x:c r="AD241" s="16" t="n">
        <x:v>19.26829268292683</x:v>
      </x:c>
      <x:c r="AE241" s="16" t="n">
        <x:v>77.30086344743641</x:v>
      </x:c>
      <x:c r="AF241" t="str">
        <x:v>검토</x:v>
      </x:c>
      <x:c r="AG241" t="str">
        <x:v>수요·상권 모멘텀 강점 / 직장수요 상대적 약점</x:v>
      </x:c>
    </x:row>
    <x:row r="242">
      <x:c r="A242" t="str">
        <x:v>3130177</x:v>
      </x:c>
      <x:c r="B242" t="str">
        <x:v>인왕시장(홍제골목형상점가)</x:v>
      </x:c>
      <x:c r="C242" t="str">
        <x:v>전통시장</x:v>
      </x:c>
      <x:c r="D242" t="str">
        <x:v>서대문구</x:v>
      </x:c>
      <x:c r="E242" t="str">
        <x:v>홍제3동</x:v>
      </x:c>
      <x:c r="F242" t="str">
        <x:v>CS300007</x:v>
      </x:c>
      <x:c r="G242" t="str">
        <x:v>육류판매</x:v>
      </x:c>
      <x:c r="H242" t="n">
        <x:v>10696018227</x:v>
      </x:c>
      <x:c r="I242" t="n">
        <x:v>230068</x:v>
      </x:c>
      <x:c r="J242" t="n">
        <x:v>46490.682002712245</x:v>
      </x:c>
      <x:c r="K242" s="14" t="n">
        <x:v>0.05692631716309848</x:v>
      </x:c>
      <x:c r="L242" s="14" t="n">
        <x:v>0.23518223683931017</x:v>
      </x:c>
      <x:c r="M242" s="14" t="n">
        <x:v>0.00863079289162072</x:v>
      </x:c>
      <x:c r="N242" t="n">
        <x:v>18</x:v>
      </x:c>
      <x:c r="O242" t="n">
        <x:v>0</x:v>
      </x:c>
      <x:c r="P242" s="14" t="n">
        <x:v>0</x:v>
      </x:c>
      <x:c r="Q242" s="14" t="n">
        <x:v>0</x:v>
      </x:c>
      <x:c r="R242" s="14" t="n">
        <x:v>-0.25</x:v>
      </x:c>
      <x:c r="S242" t="n">
        <x:v>131</x:v>
      </x:c>
      <x:c r="T242" t="n">
        <x:v>57.516684229012995</x:v>
      </x:c>
      <x:c r="U242" s="14" t="n">
        <x:v>0.6983866780577804</x:v>
      </x:c>
      <x:c r="V242" s="14" t="n">
        <x:v>0.21227873464804634</x:v>
      </x:c>
      <x:c r="W242" s="14" t="n">
        <x:v>0.061472575312207345</x:v>
      </x:c>
      <x:c r="X242" s="14" t="n">
        <x:v>0.6469246638466859</x:v>
      </x:c>
      <x:c r="Y242" s="16" t="n">
        <x:v>97.77227722772277</x:v>
      </x:c>
      <x:c r="Z242" s="16" t="n">
        <x:v>69.0909090909091</x:v>
      </x:c>
      <x:c r="AA242" s="16" t="n">
        <x:v>100</x:v>
      </x:c>
      <x:c r="AB242" s="16" t="n">
        <x:v>36.633663366336634</x:v>
      </x:c>
      <x:c r="AC242" s="16" t="n">
        <x:v>66.83168316831683</x:v>
      </x:c>
      <x:c r="AD242" s="16" t="n">
        <x:v>41.21951219512195</x:v>
      </x:c>
      <x:c r="AE242" s="16" t="n">
        <x:v>77.27767227942307</x:v>
      </x:c>
      <x:c r="AF242" t="str">
        <x:v>검토</x:v>
      </x:c>
      <x:c r="AG242" t="str">
        <x:v>서울 업종추세·수요 강점 / 경쟁여건 상대적 약점</x:v>
      </x:c>
    </x:row>
    <x:row r="243">
      <x:c r="A243" t="str">
        <x:v>3120049</x:v>
      </x:c>
      <x:c r="B243" t="str">
        <x:v>왕십리역(왕십리)</x:v>
      </x:c>
      <x:c r="C243" t="str">
        <x:v>발달상권</x:v>
      </x:c>
      <x:c r="D243" t="str">
        <x:v>성동구</x:v>
      </x:c>
      <x:c r="E243" t="str">
        <x:v>행당1동</x:v>
      </x:c>
      <x:c r="F243" t="str">
        <x:v>CS300028</x:v>
      </x:c>
      <x:c r="G243" t="str">
        <x:v>화초</x:v>
      </x:c>
      <x:c r="H243" t="n">
        <x:v>197699304</x:v>
      </x:c>
      <x:c r="I243" t="n">
        <x:v>3257</x:v>
      </x:c>
      <x:c r="J243" t="n">
        <x:v>60699.81700951796</x:v>
      </x:c>
      <x:c r="K243" s="14" t="n">
        <x:v>0.07482685880469875</x:v>
      </x:c>
      <x:c r="L243" s="14" t="n">
        <x:v>0.028008199294863756</x:v>
      </x:c>
      <x:c r="M243" s="14" t="n">
        <x:v>-0.0030123365554672876</x:v>
      </x:c>
      <x:c r="N243" t="n">
        <x:v>12</x:v>
      </x:c>
      <x:c r="O243" t="n">
        <x:v>0</x:v>
      </x:c>
      <x:c r="P243" s="14" t="n">
        <x:v>0</x:v>
      </x:c>
      <x:c r="Q243" s="14" t="n">
        <x:v>0</x:v>
      </x:c>
      <x:c r="R243" s="14" t="n">
        <x:v>0.5</x:v>
      </x:c>
      <x:c r="S243" t="n">
        <x:v>1450</x:v>
      </x:c>
      <x:c r="T243" t="n">
        <x:v>74.84836753129436</x:v>
      </x:c>
      <x:c r="U243" s="14" t="n">
        <x:v>0.9022476477711828</x:v>
      </x:c>
      <x:c r="V243" s="14" t="n">
        <x:v>0.18419951544189553</x:v>
      </x:c>
      <x:c r="W243" s="14" t="n">
        <x:v>0.1807556186439584</x:v>
      </x:c>
      <x:c r="X243" s="14" t="n">
        <x:v>0.19636201147172475</x:v>
      </x:c>
      <x:c r="Y243" s="16" t="n">
        <x:v>84.56375838926175</x:v>
      </x:c>
      <x:c r="Z243" s="16" t="n">
        <x:v>82.1917808219178</x:v>
      </x:c>
      <x:c r="AA243" s="16" t="n">
        <x:v>73.77049180327869</x:v>
      </x:c>
      <x:c r="AB243" s="16" t="n">
        <x:v>73.32214765100672</x:v>
      </x:c>
      <x:c r="AC243" s="16" t="n">
        <x:v>66.7785234899329</x:v>
      </x:c>
      <x:c r="AD243" s="16" t="n">
        <x:v>49.9390243902439</x:v>
      </x:c>
      <x:c r="AE243" s="16" t="n">
        <x:v>77.27437108727347</x:v>
      </x:c>
      <x:c r="AF243" t="str">
        <x:v>검토</x:v>
      </x:c>
      <x:c r="AG243" t="str">
        <x:v>수요·상권 모멘텀 강점 / 직장수요 상대적 약점</x:v>
      </x:c>
    </x:row>
    <x:row r="244">
      <x:c r="A244" t="str">
        <x:v>3001496</x:v>
      </x:c>
      <x:c r="B244" t="str">
        <x:v>강남 마이스 관광특구</x:v>
      </x:c>
      <x:c r="C244" t="str">
        <x:v>관광특구</x:v>
      </x:c>
      <x:c r="D244" t="str">
        <x:v>강남구</x:v>
      </x:c>
      <x:c r="E244" t="str">
        <x:v>삼성1동</x:v>
      </x:c>
      <x:c r="F244" t="str">
        <x:v>CS300028</x:v>
      </x:c>
      <x:c r="G244" t="str">
        <x:v>화초</x:v>
      </x:c>
      <x:c r="H244" t="n">
        <x:v>755551967</x:v>
      </x:c>
      <x:c r="I244" t="n">
        <x:v>6197</x:v>
      </x:c>
      <x:c r="J244" t="n">
        <x:v>121922.21510408261</x:v>
      </x:c>
      <x:c r="K244" s="14" t="n">
        <x:v>0.06803291703049696</x:v>
      </x:c>
      <x:c r="L244" s="14" t="n">
        <x:v>0.028008199294863756</x:v>
      </x:c>
      <x:c r="M244" s="14" t="n">
        <x:v>-0.0030123365554672876</x:v>
      </x:c>
      <x:c r="N244" t="n">
        <x:v>30</x:v>
      </x:c>
      <x:c r="O244" t="n">
        <x:v>0</x:v>
      </x:c>
      <x:c r="P244" s="14" t="n">
        <x:v>0</x:v>
      </x:c>
      <x:c r="Q244" s="14" t="n">
        <x:v>0.06666666666666667</x:v>
      </x:c>
      <x:c r="R244" s="14" t="n">
        <x:v>0.11111111111111116</x:v>
      </x:c>
      <x:c r="S244" t="n">
        <x:v>102032</x:v>
      </x:c>
      <x:c r="T244" t="n">
        <x:v>4289.005094748878</x:v>
      </x:c>
      <x:c r="U244" s="14" t="n">
        <x:v>0.9679657679985896</x:v>
      </x:c>
      <x:c r="V244" s="14" t="n">
        <x:v>0.2360456603774549</x:v>
      </x:c>
      <x:c r="W244" s="14" t="n">
        <x:v>0.060777783667658694</x:v>
      </x:c>
      <x:c r="X244" s="14" t="n">
        <x:v>0.05235738867449736</x:v>
      </x:c>
      <x:c r="Y244" s="16" t="n">
        <x:v>96.30872483221476</x:v>
      </x:c>
      <x:c r="Z244" s="16" t="n">
        <x:v>80.82191780821918</x:v>
      </x:c>
      <x:c r="AA244" s="16" t="n">
        <x:v>73.77049180327869</x:v>
      </x:c>
      <x:c r="AB244" s="16" t="n">
        <x:v>30.872483221476514</x:v>
      </x:c>
      <x:c r="AC244" s="16" t="n">
        <x:v>66.7785234899329</x:v>
      </x:c>
      <x:c r="AD244" s="16" t="n">
        <x:v>99.9390243902439</x:v>
      </x:c>
      <x:c r="AE244" s="16" t="n">
        <x:v>77.24368707513777</x:v>
      </x:c>
      <x:c r="AF244" t="str">
        <x:v>검토</x:v>
      </x:c>
      <x:c r="AG244" t="str">
        <x:v>직장수요·수요 강점 / 경쟁여건 상대적 약점</x:v>
      </x:c>
    </x:row>
    <x:row r="245">
      <x:c r="A245" t="str">
        <x:v>3120132</x:v>
      </x:c>
      <x:c r="B245" t="str">
        <x:v>독산동</x:v>
      </x:c>
      <x:c r="C245" t="str">
        <x:v>발달상권</x:v>
      </x:c>
      <x:c r="D245" t="str">
        <x:v>금천구</x:v>
      </x:c>
      <x:c r="E245" t="str">
        <x:v>독산1동</x:v>
      </x:c>
      <x:c r="F245" t="str">
        <x:v>CS300007</x:v>
      </x:c>
      <x:c r="G245" t="str">
        <x:v>육류판매</x:v>
      </x:c>
      <x:c r="H245" t="n">
        <x:v>5156219137</x:v>
      </x:c>
      <x:c r="I245" t="n">
        <x:v>5275</x:v>
      </x:c>
      <x:c r="J245" t="n">
        <x:v>977482.3008530806</x:v>
      </x:c>
      <x:c r="K245" s="14" t="n">
        <x:v>0.22927035475372048</x:v>
      </x:c>
      <x:c r="L245" s="14" t="n">
        <x:v>0.23518223683931017</x:v>
      </x:c>
      <x:c r="M245" s="14" t="n">
        <x:v>0.00863079289162072</x:v>
      </x:c>
      <x:c r="N245" t="n">
        <x:v>294</x:v>
      </x:c>
      <x:c r="O245" t="n">
        <x:v>0</x:v>
      </x:c>
      <x:c r="P245" s="14" t="n">
        <x:v>0</x:v>
      </x:c>
      <x:c r="Q245" s="14" t="n">
        <x:v>0</x:v>
      </x:c>
      <x:c r="R245" s="14" t="n">
        <x:v>-0.08125000000000004</x:v>
      </x:c>
      <x:c r="S245" t="n">
        <x:v>7998</x:v>
      </x:c>
      <x:c r="T245" t="n">
        <x:v>150.89968133338112</x:v>
      </x:c>
      <x:c r="U245" s="14" t="n">
        <x:v>0.5303617570045879</x:v>
      </x:c>
      <x:c r="V245" s="14" t="n">
        <x:v>0.006244616674444494</x:v>
      </x:c>
      <x:c r="W245" s="14" t="n">
        <x:v>0.002153316161512086</x:v>
      </x:c>
      <x:c r="X245" s="14" t="n">
        <x:v>0.9946167095962198</x:v>
      </x:c>
      <x:c r="Y245" s="16" t="n">
        <x:v>93.81188118811882</x:v>
      </x:c>
      <x:c r="Z245" s="16" t="n">
        <x:v>95.58441558441558</x:v>
      </x:c>
      <x:c r="AA245" s="16" t="n">
        <x:v>100</x:v>
      </x:c>
      <x:c r="AB245" s="16" t="n">
        <x:v>0.4950495049505008</x:v>
      </x:c>
      <x:c r="AC245" s="16" t="n">
        <x:v>66.83168316831683</x:v>
      </x:c>
      <x:c r="AD245" s="16" t="n">
        <x:v>70.3048780487805</x:v>
      </x:c>
      <x:c r="AE245" s="16" t="n">
        <x:v>77.22371117773798</x:v>
      </x:c>
      <x:c r="AF245" t="str">
        <x:v>검토</x:v>
      </x:c>
      <x:c r="AG245" t="str">
        <x:v>서울 업종추세·상권 모멘텀 강점 / 경쟁여건 상대적 약점</x:v>
      </x:c>
    </x:row>
    <x:row r="246">
      <x:c r="A246" t="str">
        <x:v>3120190</x:v>
      </x:c>
      <x:c r="B246" t="str">
        <x:v>강남을지병원</x:v>
      </x:c>
      <x:c r="C246" t="str">
        <x:v>발달상권</x:v>
      </x:c>
      <x:c r="D246" t="str">
        <x:v>강남구</x:v>
      </x:c>
      <x:c r="E246" t="str">
        <x:v>압구정동</x:v>
      </x:c>
      <x:c r="F246" t="str">
        <x:v>CS100007</x:v>
      </x:c>
      <x:c r="G246" t="str">
        <x:v>치킨전문점</x:v>
      </x:c>
      <x:c r="H246" t="n">
        <x:v>455258945</x:v>
      </x:c>
      <x:c r="I246" t="n">
        <x:v>6941</x:v>
      </x:c>
      <x:c r="J246" t="n">
        <x:v>65589.820631033</x:v>
      </x:c>
      <x:c r="K246" s="14" t="n">
        <x:v>0.18690789813248387</x:v>
      </x:c>
      <x:c r="L246" s="14" t="n">
        <x:v>-0.0724550541763268</x:v>
      </x:c>
      <x:c r="M246" s="14" t="n">
        <x:v>-0.037092372220345116</x:v>
      </x:c>
      <x:c r="N246" t="n">
        <x:v>11</x:v>
      </x:c>
      <x:c r="O246" t="n">
        <x:v>0</x:v>
      </x:c>
      <x:c r="P246" s="14" t="n">
        <x:v>0</x:v>
      </x:c>
      <x:c r="Q246" s="14" t="n">
        <x:v>0.6363636363636364</x:v>
      </x:c>
      <x:c r="R246" s="14" t="n">
        <x:v>-0.47619047619047616</x:v>
      </x:c>
      <x:c r="S246" t="n">
        <x:v>15495</x:v>
      </x:c>
      <x:c r="T246" t="n">
        <x:v>524.9072646894426</x:v>
      </x:c>
      <x:c r="U246" s="14" t="n">
        <x:v>0.6607849715067103</x:v>
      </x:c>
      <x:c r="V246" s="14" t="n">
        <x:v>0.7419714619775346</x:v>
      </x:c>
      <x:c r="W246" s="14" t="n">
        <x:v>0.2928171065370281</x:v>
      </x:c>
      <x:c r="X246" s="14" t="n">
        <x:v>0.26771889347500905</x:v>
      </x:c>
      <x:c r="Y246" s="16" t="n">
        <x:v>91.43426294820718</x:v>
      </x:c>
      <x:c r="Z246" s="16" t="n">
        <x:v>93.07535641547861</x:v>
      </x:c>
      <x:c r="AA246" s="16" t="n">
        <x:v>16.39344262295082</x:v>
      </x:c>
      <x:c r="AB246" s="16" t="n">
        <x:v>79.88047808764941</x:v>
      </x:c>
      <x:c r="AC246" s="16" t="n">
        <x:v>76.29482071713147</x:v>
      </x:c>
      <x:c r="AD246" s="16" t="n">
        <x:v>90.54878048780488</x:v>
      </x:c>
      <x:c r="AE246" s="16" t="n">
        <x:v>77.21507251766165</x:v>
      </x:c>
      <x:c r="AF246" t="str">
        <x:v>검토</x:v>
      </x:c>
      <x:c r="AG246" t="str">
        <x:v>상권 모멘텀·수요 강점 / 서울 업종추세 상대적 약점</x:v>
      </x:c>
    </x:row>
    <x:row r="247">
      <x:c r="A247" t="str">
        <x:v>3110752</x:v>
      </x:c>
      <x:c r="B247" t="str">
        <x:v>한울중학교</x:v>
      </x:c>
      <x:c r="C247" t="str">
        <x:v>골목상권</x:v>
      </x:c>
      <x:c r="D247" t="str">
        <x:v>금천구</x:v>
      </x:c>
      <x:c r="E247" t="str">
        <x:v>시흥4동</x:v>
      </x:c>
      <x:c r="F247" t="str">
        <x:v>CS300011</x:v>
      </x:c>
      <x:c r="G247" t="str">
        <x:v>일반의류</x:v>
      </x:c>
      <x:c r="H247" t="n">
        <x:v>312071214</x:v>
      </x:c>
      <x:c r="I247" t="n">
        <x:v>4102</x:v>
      </x:c>
      <x:c r="J247" t="n">
        <x:v>76077.81911262799</x:v>
      </x:c>
      <x:c r="K247" s="14" t="n">
        <x:v>0.2825594837920795</x:v>
      </x:c>
      <x:c r="L247" s="14" t="n">
        <x:v>0.06726691045630595</x:v>
      </x:c>
      <x:c r="M247" s="14" t="n">
        <x:v>0.00788849516466894</x:v>
      </x:c>
      <x:c r="N247" t="n">
        <x:v>15</x:v>
      </x:c>
      <x:c r="O247" t="n">
        <x:v>0</x:v>
      </x:c>
      <x:c r="P247" s="14" t="n">
        <x:v>0</x:v>
      </x:c>
      <x:c r="Q247" s="14" t="n">
        <x:v>0</x:v>
      </x:c>
      <x:c r="R247" s="14" t="n">
        <x:v>-0.25</x:v>
      </x:c>
      <x:c r="S247" t="n">
        <x:v>655</x:v>
      </x:c>
      <x:c r="T247" t="n">
        <x:v>40.71889045685974</x:v>
      </x:c>
      <x:c r="U247" s="14" t="n">
        <x:v>0.7501743143794095</x:v>
      </x:c>
      <x:c r="V247" s="14" t="n">
        <x:v>0.2599628846254304</x:v>
      </x:c>
      <x:c r="W247" s="14" t="n">
        <x:v>0.022657632882474063</x:v>
      </x:c>
      <x:c r="X247" s="14" t="n">
        <x:v>0.906530020420275</x:v>
      </x:c>
      <x:c r="Y247" s="16" t="n">
        <x:v>66.90223792697292</x:v>
      </x:c>
      <x:c r="Z247" s="16" t="n">
        <x:v>83.39350180505416</x:v>
      </x:c>
      <x:c r="AA247" s="16" t="n">
        <x:v>81.9672131147541</x:v>
      </x:c>
      <x:c r="AB247" s="16" t="n">
        <x:v>98.11542991755006</x:v>
      </x:c>
      <x:c r="AC247" s="16" t="n">
        <x:v>86.33686690223793</x:v>
      </x:c>
      <x:c r="AD247" s="16" t="n">
        <x:v>29.26829268292683</x:v>
      </x:c>
      <x:c r="AE247" s="16" t="n">
        <x:v>77.20398141466713</x:v>
      </x:c>
      <x:c r="AF247" t="str">
        <x:v>검토</x:v>
      </x:c>
      <x:c r="AG247" t="str">
        <x:v>경쟁여건·안정성 강점 / 직장수요 상대적 약점</x:v>
      </x:c>
    </x:row>
    <x:row r="248">
      <x:c r="A248" t="str">
        <x:v>3120227</x:v>
      </x:c>
      <x:c r="B248" t="str">
        <x:v>잠실역</x:v>
      </x:c>
      <x:c r="C248" t="str">
        <x:v>발달상권</x:v>
      </x:c>
      <x:c r="D248" t="str">
        <x:v>송파구</x:v>
      </x:c>
      <x:c r="E248" t="str">
        <x:v>잠실6동</x:v>
      </x:c>
      <x:c r="F248" t="str">
        <x:v>CS300017</x:v>
      </x:c>
      <x:c r="G248" t="str">
        <x:v>시계및귀금속</x:v>
      </x:c>
      <x:c r="H248" t="n">
        <x:v>17957112158</x:v>
      </x:c>
      <x:c r="I248" t="n">
        <x:v>15282</x:v>
      </x:c>
      <x:c r="J248" t="n">
        <x:v>1175049.8729223923</x:v>
      </x:c>
      <x:c r="K248" s="14" t="n">
        <x:v>0.2939114612005045</x:v>
      </x:c>
      <x:c r="L248" s="14" t="n">
        <x:v>0.09182238369060247</x:v>
      </x:c>
      <x:c r="M248" s="14" t="n">
        <x:v>0.00817160170707898</x:v>
      </x:c>
      <x:c r="N248" t="n">
        <x:v>42</x:v>
      </x:c>
      <x:c r="O248" t="n">
        <x:v>0</x:v>
      </x:c>
      <x:c r="P248" s="14" t="n">
        <x:v>0</x:v>
      </x:c>
      <x:c r="Q248" s="14" t="n">
        <x:v>0.07142857142857142</x:v>
      </x:c>
      <x:c r="R248" s="14" t="n">
        <x:v>-0.023255813953488413</x:v>
      </x:c>
      <x:c r="S248" t="n">
        <x:v>110575</x:v>
      </x:c>
      <x:c r="T248" t="n">
        <x:v>2098.727003209539</x:v>
      </x:c>
      <x:c r="U248" s="14" t="n">
        <x:v>0.789733574208486</x:v>
      </x:c>
      <x:c r="V248" s="14" t="n">
        <x:v>0.30349456037517947</x:v>
      </x:c>
      <x:c r="W248" s="14" t="n">
        <x:v>0.20184980714647938</x:v>
      </x:c>
      <x:c r="X248" s="14" t="n">
        <x:v>0.5245391783557851</x:v>
      </x:c>
      <x:c r="Y248" s="16" t="n">
        <x:v>97.76536312849161</x:v>
      </x:c>
      <x:c r="Z248" s="16" t="n">
        <x:v>81.87134502923976</x:v>
      </x:c>
      <x:c r="AA248" s="16" t="n">
        <x:v>86.88524590163935</x:v>
      </x:c>
      <x:c r="AB248" s="16" t="n">
        <x:v>16.29213483146067</x:v>
      </x:c>
      <x:c r="AC248" s="16" t="n">
        <x:v>61.79775280898876</x:v>
      </x:c>
      <x:c r="AD248" s="16" t="n">
        <x:v>98.90243902439025</x:v>
      </x:c>
      <x:c r="AE248" s="16" t="n">
        <x:v>77.19365044290342</x:v>
      </x:c>
      <x:c r="AF248" t="str">
        <x:v>검토</x:v>
      </x:c>
      <x:c r="AG248" t="str">
        <x:v>직장수요·수요 강점 / 경쟁여건 상대적 약점</x:v>
      </x:c>
    </x:row>
    <x:row r="249">
      <x:c r="A249" t="str">
        <x:v>3120038</x:v>
      </x:c>
      <x:c r="B249" t="str">
        <x:v>약수역</x:v>
      </x:c>
      <x:c r="C249" t="str">
        <x:v>발달상권</x:v>
      </x:c>
      <x:c r="D249" t="str">
        <x:v>중구</x:v>
      </x:c>
      <x:c r="E249" t="str">
        <x:v>다산동</x:v>
      </x:c>
      <x:c r="F249" t="str">
        <x:v>CS100001</x:v>
      </x:c>
      <x:c r="G249" t="str">
        <x:v>한식음식점</x:v>
      </x:c>
      <x:c r="H249" t="n">
        <x:v>7349589205</x:v>
      </x:c>
      <x:c r="I249" t="n">
        <x:v>186698</x:v>
      </x:c>
      <x:c r="J249" t="n">
        <x:v>39366.191416083726</x:v>
      </x:c>
      <x:c r="K249" s="14" t="n">
        <x:v>0.047457428875355534</x:v>
      </x:c>
      <x:c r="L249" s="14" t="n">
        <x:v>-0.0018259958518723751</x:v>
      </x:c>
      <x:c r="M249" s="14" t="n">
        <x:v>0.06341040875687098</x:v>
      </x:c>
      <x:c r="N249" t="n">
        <x:v>91</x:v>
      </x:c>
      <x:c r="O249" t="n">
        <x:v>1</x:v>
      </x:c>
      <x:c r="P249" s="14" t="n">
        <x:v>0.010416666666666666</x:v>
      </x:c>
      <x:c r="Q249" s="14" t="n">
        <x:v>0.12087912087912088</x:v>
      </x:c>
      <x:c r="R249" s="14" t="n">
        <x:v>-0.05208333333333337</x:v>
      </x:c>
      <x:c r="S249" t="n">
        <x:v>8665</x:v>
      </x:c>
      <x:c r="T249" t="n">
        <x:v>633.2351630041583</x:v>
      </x:c>
      <x:c r="U249" s="14" t="n">
        <x:v>0.7080770029241382</x:v>
      </x:c>
      <x:c r="V249" s="14" t="n">
        <x:v>0.5883701851061484</x:v>
      </x:c>
      <x:c r="W249" s="14" t="n">
        <x:v>0.27971628109519625</x:v>
      </x:c>
      <x:c r="X249" s="14" t="n">
        <x:v>0.3097546115164133</x:v>
      </x:c>
      <x:c r="Y249" s="16" t="n">
        <x:v>90.6049822064057</x:v>
      </x:c>
      <x:c r="Z249" s="16" t="n">
        <x:v>70.47891350964974</x:v>
      </x:c>
      <x:c r="AA249" s="16" t="n">
        <x:v>40.98360655737705</x:v>
      </x:c>
      <x:c r="AB249" s="16" t="n">
        <x:v>75.05338078291815</x:v>
      </x:c>
      <x:c r="AC249" s="16" t="n">
        <x:v>93.16725978647686</x:v>
      </x:c>
      <x:c r="AD249" s="16" t="n">
        <x:v>93.23170731707317</x:v>
      </x:c>
      <x:c r="AE249" s="16" t="n">
        <x:v>77.19138591971756</x:v>
      </x:c>
      <x:c r="AF249" t="str">
        <x:v>검토</x:v>
      </x:c>
      <x:c r="AG249" t="str">
        <x:v>직장수요·안정성 강점 / 서울 업종추세 상대적 약점</x:v>
      </x:c>
    </x:row>
    <x:row r="250">
      <x:c r="A250" t="str">
        <x:v>3130186</x:v>
      </x:c>
      <x:c r="B250" t="str">
        <x:v>망원시장</x:v>
      </x:c>
      <x:c r="C250" t="str">
        <x:v>전통시장</x:v>
      </x:c>
      <x:c r="D250" t="str">
        <x:v>마포구</x:v>
      </x:c>
      <x:c r="E250" t="str">
        <x:v>망원1동</x:v>
      </x:c>
      <x:c r="F250" t="str">
        <x:v>CS300007</x:v>
      </x:c>
      <x:c r="G250" t="str">
        <x:v>육류판매</x:v>
      </x:c>
      <x:c r="H250" t="n">
        <x:v>3875858499</x:v>
      </x:c>
      <x:c r="I250" t="n">
        <x:v>130531</x:v>
      </x:c>
      <x:c r="J250" t="n">
        <x:v>29693.011614099334</x:v>
      </x:c>
      <x:c r="K250" s="14" t="n">
        <x:v>0.02995355360484875</x:v>
      </x:c>
      <x:c r="L250" s="14" t="n">
        <x:v>0.23518223683931017</x:v>
      </x:c>
      <x:c r="M250" s="14" t="n">
        <x:v>0.00863079289162072</x:v>
      </x:c>
      <x:c r="N250" t="n">
        <x:v>11</x:v>
      </x:c>
      <x:c r="O250" t="n">
        <x:v>0</x:v>
      </x:c>
      <x:c r="P250" s="14" t="n">
        <x:v>0</x:v>
      </x:c>
      <x:c r="Q250" s="14" t="n">
        <x:v>0</x:v>
      </x:c>
      <x:c r="R250" s="14" t="n">
        <x:v>-0.08333333333333337</x:v>
      </x:c>
      <x:c r="S250" t="n">
        <x:v>329</x:v>
      </x:c>
      <x:c r="T250" t="n">
        <x:v>76.66138503122379</x:v>
      </x:c>
      <x:c r="U250" s="14" t="n">
        <x:v>0.6437099121765436</x:v>
      </x:c>
      <x:c r="V250" s="14" t="n">
        <x:v>0.2980462548614833</x:v>
      </x:c>
      <x:c r="W250" s="14" t="n">
        <x:v>0.16536956552086965</x:v>
      </x:c>
      <x:c r="X250" s="14" t="n">
        <x:v>0.6115609219509848</x:v>
      </x:c>
      <x:c r="Y250" s="16" t="n">
        <x:v>91.83168316831683</x:v>
      </x:c>
      <x:c r="Z250" s="16" t="n">
        <x:v>47.79220779220779</x:v>
      </x:c>
      <x:c r="AA250" s="16" t="n">
        <x:v>100</x:v>
      </x:c>
      <x:c r="AB250" s="16" t="n">
        <x:v>75</x:v>
      </x:c>
      <x:c r="AC250" s="16" t="n">
        <x:v>66.83168316831683</x:v>
      </x:c>
      <x:c r="AD250" s="16" t="n">
        <x:v>50.548780487804876</x:v>
      </x:c>
      <x:c r="AE250" s="16" t="n">
        <x:v>77.16013800857438</x:v>
      </x:c>
      <x:c r="AF250" t="str">
        <x:v>검토</x:v>
      </x:c>
      <x:c r="AG250" t="str">
        <x:v>서울 업종추세·수요 강점 / 상권 모멘텀 상대적 약점</x:v>
      </x:c>
    </x:row>
    <x:row r="251">
      <x:c r="A251" t="str">
        <x:v>3110591</x:v>
      </x:c>
      <x:c r="B251" t="str">
        <x:v>충정로역 6번</x:v>
      </x:c>
      <x:c r="C251" t="str">
        <x:v>골목상권</x:v>
      </x:c>
      <x:c r="D251" t="str">
        <x:v>중구</x:v>
      </x:c>
      <x:c r="E251" t="str">
        <x:v>중림동</x:v>
      </x:c>
      <x:c r="F251" t="str">
        <x:v>CS300031</x:v>
      </x:c>
      <x:c r="G251" t="str">
        <x:v>가구</x:v>
      </x:c>
      <x:c r="H251" t="n">
        <x:v>3786701700</x:v>
      </x:c>
      <x:c r="I251" t="n">
        <x:v>3352</x:v>
      </x:c>
      <x:c r="J251" t="n">
        <x:v>1129684.2780429595</x:v>
      </x:c>
      <x:c r="K251" s="14" t="n">
        <x:v>0.2447147690664897</x:v>
      </x:c>
      <x:c r="L251" s="14" t="n">
        <x:v>0.007439212551848762</x:v>
      </x:c>
      <x:c r="M251" s="14" t="n">
        <x:v>-0.09845567001162137</x:v>
      </x:c>
      <x:c r="N251" t="n">
        <x:v>5</x:v>
      </x:c>
      <x:c r="O251" t="n">
        <x:v>0</x:v>
      </x:c>
      <x:c r="P251" s="14" t="n">
        <x:v>0</x:v>
      </x:c>
      <x:c r="Q251" s="14" t="n">
        <x:v>0</x:v>
      </x:c>
      <x:c r="R251" s="14" t="n">
        <x:v>-0.375</x:v>
      </x:c>
      <x:c r="S251" t="n">
        <x:v>212</x:v>
      </x:c>
      <x:c r="T251" t="n">
        <x:v>41.53767780869157</x:v>
      </x:c>
      <x:c r="U251" s="14" t="n">
        <x:v>0.6167904131450334</x:v>
      </x:c>
      <x:c r="V251" s="14" t="n">
        <x:v>0.22999513560838447</x:v>
      </x:c>
      <x:c r="W251" s="14" t="n">
        <x:v>0.22623894483159315</x:v>
      </x:c>
      <x:c r="X251" s="14" t="n">
        <x:v>0.4618107412580188</x:v>
      </x:c>
      <x:c r="Y251" s="16" t="n">
        <x:v>91.48936170212765</x:v>
      </x:c>
      <x:c r="Z251" s="16" t="n">
        <x:v>82.41758241758242</x:v>
      </x:c>
      <x:c r="AA251" s="16" t="n">
        <x:v>49.18032786885246</x:v>
      </x:c>
      <x:c r="AB251" s="16" t="n">
        <x:v>90.42553191489361</x:v>
      </x:c>
      <x:c r="AC251" s="16" t="n">
        <x:v>62.234042553191486</x:v>
      </x:c>
      <x:c r="AD251" s="16" t="n">
        <x:v>29.75609756097561</x:v>
      </x:c>
      <x:c r="AE251" s="16" t="n">
        <x:v>77.156881180191</x:v>
      </x:c>
      <x:c r="AF251" t="str">
        <x:v>검토</x:v>
      </x:c>
      <x:c r="AG251" t="str">
        <x:v>수요·경쟁여건 강점 / 직장수요 상대적 약점</x:v>
      </x:c>
    </x:row>
    <x:row r="252">
      <x:c r="A252" t="str">
        <x:v>3120080</x:v>
      </x:c>
      <x:c r="B252" t="str">
        <x:v>마들역</x:v>
      </x:c>
      <x:c r="C252" t="str">
        <x:v>발달상권</x:v>
      </x:c>
      <x:c r="D252" t="str">
        <x:v>노원구</x:v>
      </x:c>
      <x:c r="E252" t="str">
        <x:v>상계9동</x:v>
      </x:c>
      <x:c r="F252" t="str">
        <x:v>CS100005</x:v>
      </x:c>
      <x:c r="G252" t="str">
        <x:v>제과점</x:v>
      </x:c>
      <x:c r="H252" t="n">
        <x:v>1041835049</x:v>
      </x:c>
      <x:c r="I252" t="n">
        <x:v>98148</x:v>
      </x:c>
      <x:c r="J252" t="n">
        <x:v>10614.939163304398</x:v>
      </x:c>
      <x:c r="K252" s="14" t="n">
        <x:v>0.03353483000867952</x:v>
      </x:c>
      <x:c r="L252" s="14" t="n">
        <x:v>0.015772977300780644</x:v>
      </x:c>
      <x:c r="M252" s="14" t="n">
        <x:v>-0.01180050626373963</x:v>
      </x:c>
      <x:c r="N252" t="n">
        <x:v>7</x:v>
      </x:c>
      <x:c r="O252" t="n">
        <x:v>0</x:v>
      </x:c>
      <x:c r="P252" s="14" t="n">
        <x:v>0</x:v>
      </x:c>
      <x:c r="Q252" s="14" t="n">
        <x:v>0.14285714285714285</x:v>
      </x:c>
      <x:c r="R252" s="14" t="n">
        <x:v>1.3333333333333335</x:v>
      </x:c>
      <x:c r="S252" t="n">
        <x:v>1635</x:v>
      </x:c>
      <x:c r="T252" t="n">
        <x:v>419.4889162561576</x:v>
      </x:c>
      <x:c r="U252" s="14" t="n">
        <x:v>0.7097783355530017</x:v>
      </x:c>
      <x:c r="V252" s="14" t="n">
        <x:v>0.35982254519064466</x:v>
      </x:c>
      <x:c r="W252" s="14" t="n">
        <x:v>0.27137415397127806</x:v>
      </x:c>
      <x:c r="X252" s="14" t="n">
        <x:v>0.5784485169494428</x:v>
      </x:c>
      <x:c r="Y252" s="16" t="n">
        <x:v>89.27738927738928</x:v>
      </x:c>
      <x:c r="Z252" s="16" t="n">
        <x:v>59.30521091811414</x:v>
      </x:c>
      <x:c r="AA252" s="16" t="n">
        <x:v>52.459016393442624</x:v>
      </x:c>
      <x:c r="AB252" s="16" t="n">
        <x:v>96.15384615384616</x:v>
      </x:c>
      <x:c r="AC252" s="16" t="n">
        <x:v>73.54312354312354</x:v>
      </x:c>
      <x:c r="AD252" s="16" t="n">
        <x:v>87.98780487804878</x:v>
      </x:c>
      <x:c r="AE252" s="16" t="n">
        <x:v>77.15376041101719</x:v>
      </x:c>
      <x:c r="AF252" t="str">
        <x:v>검토</x:v>
      </x:c>
      <x:c r="AG252" t="str">
        <x:v>경쟁여건·수요 강점 / 서울 업종추세 상대적 약점</x:v>
      </x:c>
    </x:row>
    <x:row r="253">
      <x:c r="A253" t="str">
        <x:v>3120173</x:v>
      </x:c>
      <x:c r="B253" t="str">
        <x:v>교대역(법원.검찰청)</x:v>
      </x:c>
      <x:c r="C253" t="str">
        <x:v>발달상권</x:v>
      </x:c>
      <x:c r="D253" t="str">
        <x:v>서초구</x:v>
      </x:c>
      <x:c r="E253" t="str">
        <x:v>서초1동</x:v>
      </x:c>
      <x:c r="F253" t="str">
        <x:v>CS100002</x:v>
      </x:c>
      <x:c r="G253" t="str">
        <x:v>중식음식점</x:v>
      </x:c>
      <x:c r="H253" t="n">
        <x:v>4212932716</x:v>
      </x:c>
      <x:c r="I253" t="n">
        <x:v>97704</x:v>
      </x:c>
      <x:c r="J253" t="n">
        <x:v>43119.34737574715</x:v>
      </x:c>
      <x:c r="K253" s="14" t="n">
        <x:v>0.10468437717021573</x:v>
      </x:c>
      <x:c r="L253" s="14" t="n">
        <x:v>-0.02375238205614094</x:v>
      </x:c>
      <x:c r="M253" s="14" t="n">
        <x:v>0.025085263877023367</x:v>
      </x:c>
      <x:c r="N253" t="n">
        <x:v>20</x:v>
      </x:c>
      <x:c r="O253" t="n">
        <x:v>0</x:v>
      </x:c>
      <x:c r="P253" s="14" t="n">
        <x:v>0</x:v>
      </x:c>
      <x:c r="Q253" s="14" t="n">
        <x:v>0.1</x:v>
      </x:c>
      <x:c r="R253" s="14" t="n">
        <x:v>0.11111111111111116</x:v>
      </x:c>
      <x:c r="S253" t="n">
        <x:v>33675</x:v>
      </x:c>
      <x:c r="T253" t="n">
        <x:v>849.2400341965697</x:v>
      </x:c>
      <x:c r="U253" s="14" t="n">
        <x:v>0.8380582473085952</x:v>
      </x:c>
      <x:c r="V253" s="14" t="n">
        <x:v>0.4679047302401779</x:v>
      </x:c>
      <x:c r="W253" s="14" t="n">
        <x:v>0.1809989082199242</x:v>
      </x:c>
      <x:c r="X253" s="14" t="n">
        <x:v>0.1929708848452447</x:v>
      </x:c>
      <x:c r="Y253" s="16" t="n">
        <x:v>97.94050343249428</x:v>
      </x:c>
      <x:c r="Z253" s="16" t="n">
        <x:v>90.44289044289044</x:v>
      </x:c>
      <x:c r="AA253" s="16" t="n">
        <x:v>32.78688524590164</x:v>
      </x:c>
      <x:c r="AB253" s="16" t="n">
        <x:v>49.54233409610984</x:v>
      </x:c>
      <x:c r="AC253" s="16" t="n">
        <x:v>76.3157894736842</x:v>
      </x:c>
      <x:c r="AD253" s="16" t="n">
        <x:v>95.91463414634147</x:v>
      </x:c>
      <x:c r="AE253" s="16" t="n">
        <x:v>77.1444478459383</x:v>
      </x:c>
      <x:c r="AF253" t="str">
        <x:v>검토</x:v>
      </x:c>
      <x:c r="AG253" t="str">
        <x:v>수요·직장수요 강점 / 서울 업종추세 상대적 약점</x:v>
      </x:c>
    </x:row>
    <x:row r="254">
      <x:c r="A254" t="str">
        <x:v>3130204</x:v>
      </x:c>
      <x:c r="B254" t="str">
        <x:v>경창시장</x:v>
      </x:c>
      <x:c r="C254" t="str">
        <x:v>전통시장</x:v>
      </x:c>
      <x:c r="D254" t="str">
        <x:v>양천구</x:v>
      </x:c>
      <x:c r="E254" t="str">
        <x:v>신월2동</x:v>
      </x:c>
      <x:c r="F254" t="str">
        <x:v>CS300007</x:v>
      </x:c>
      <x:c r="G254" t="str">
        <x:v>육류판매</x:v>
      </x:c>
      <x:c r="H254" t="n">
        <x:v>1585996726</x:v>
      </x:c>
      <x:c r="I254" t="n">
        <x:v>52185</x:v>
      </x:c>
      <x:c r="J254" t="n">
        <x:v>30391.81232154834</x:v>
      </x:c>
      <x:c r="K254" s="14" t="n">
        <x:v>0.0875554983689093</x:v>
      </x:c>
      <x:c r="L254" s="14" t="n">
        <x:v>0.23518223683931017</x:v>
      </x:c>
      <x:c r="M254" s="14" t="n">
        <x:v>0.00863079289162072</x:v>
      </x:c>
      <x:c r="N254" t="n">
        <x:v>15</x:v>
      </x:c>
      <x:c r="O254" t="n">
        <x:v>0</x:v>
      </x:c>
      <x:c r="P254" s="14" t="n">
        <x:v>0</x:v>
      </x:c>
      <x:c r="Q254" s="14" t="n">
        <x:v>0</x:v>
      </x:c>
      <x:c r="R254" s="14" t="n">
        <x:v>-0.16666666666666663</x:v>
      </x:c>
      <x:c r="S254" t="n">
        <x:v>420</x:v>
      </x:c>
      <x:c r="T254" t="n">
        <x:v>135.10470614726412</x:v>
      </x:c>
      <x:c r="U254" s="14" t="n">
        <x:v>0.6920252457065917</x:v>
      </x:c>
      <x:c r="V254" s="14" t="n">
        <x:v>0.32389623608844703</x:v>
      </x:c>
      <x:c r="W254" s="14" t="n">
        <x:v>0.14753699434812073</x:v>
      </x:c>
      <x:c r="X254" s="14" t="n">
        <x:v>0.5741429058914715</x:v>
      </x:c>
      <x:c r="Y254" s="16" t="n">
        <x:v>81.43564356435644</x:v>
      </x:c>
      <x:c r="Z254" s="16" t="n">
        <x:v>79.74025974025975</x:v>
      </x:c>
      <x:c r="AA254" s="16" t="n">
        <x:v>100</x:v>
      </x:c>
      <x:c r="AB254" s="16" t="n">
        <x:v>50.99009900990099</x:v>
      </x:c>
      <x:c r="AC254" s="16" t="n">
        <x:v>66.83168316831683</x:v>
      </x:c>
      <x:c r="AD254" s="16" t="n">
        <x:v>67.1951219512195</x:v>
      </x:c>
      <x:c r="AE254" s="16" t="n">
        <x:v>77.14196646145452</x:v>
      </x:c>
      <x:c r="AF254" t="str">
        <x:v>검토</x:v>
      </x:c>
      <x:c r="AG254" t="str">
        <x:v>서울 업종추세·수요 강점 / 경쟁여건 상대적 약점</x:v>
      </x:c>
    </x:row>
    <x:row r="255">
      <x:c r="A255" t="str">
        <x:v>3110299</x:v>
      </x:c>
      <x:c r="B255" t="str">
        <x:v>정릉역 1번</x:v>
      </x:c>
      <x:c r="C255" t="str">
        <x:v>골목상권</x:v>
      </x:c>
      <x:c r="D255" t="str">
        <x:v>성북구</x:v>
      </x:c>
      <x:c r="E255" t="str">
        <x:v>정릉1동</x:v>
      </x:c>
      <x:c r="F255" t="str">
        <x:v>CS300033</x:v>
      </x:c>
      <x:c r="G255" t="str">
        <x:v>철물점</x:v>
      </x:c>
      <x:c r="H255" t="n">
        <x:v>1223039922</x:v>
      </x:c>
      <x:c r="I255" t="n">
        <x:v>38248</x:v>
      </x:c>
      <x:c r="J255" t="n">
        <x:v>31976.57189918427</x:v>
      </x:c>
      <x:c r="K255" s="14" t="n">
        <x:v>0.11109559139312908</x:v>
      </x:c>
      <x:c r="L255" s="14" t="n">
        <x:v>0.018800721364975237</x:v>
      </x:c>
      <x:c r="M255" s="14" t="n">
        <x:v>-0.020555839555512545</x:v>
      </x:c>
      <x:c r="N255" t="n">
        <x:v>4</x:v>
      </x:c>
      <x:c r="O255" t="n">
        <x:v>0</x:v>
      </x:c>
      <x:c r="P255" s="14" t="n">
        <x:v>0</x:v>
      </x:c>
      <x:c r="Q255" s="14" t="n">
        <x:v>0</x:v>
      </x:c>
      <x:c r="R255" s="14" t="n">
        <x:v>0</x:v>
      </x:c>
      <x:c r="S255" t="n">
        <x:v>584</x:v>
      </x:c>
      <x:c r="T255" t="n">
        <x:v>41.4448939039103</x:v>
      </x:c>
      <x:c r="U255" s="14" t="n">
        <x:v>0.892120559086705</x:v>
      </x:c>
      <x:c r="V255" s="14" t="n">
        <x:v>0.03156992041344011</x:v>
      </x:c>
      <x:c r="W255" s="14" t="n">
        <x:v>0.14068385169196465</x:v>
      </x:c>
      <x:c r="X255" s="14" t="n">
        <x:v>0.121401607036013</x:v>
      </x:c>
      <x:c r="Y255" s="16" t="n">
        <x:v>98.25581395348837</x:v>
      </x:c>
      <x:c r="Z255" s="16" t="n">
        <x:v>69.32515337423312</x:v>
      </x:c>
      <x:c r="AA255" s="16" t="n">
        <x:v>54.09836065573771</x:v>
      </x:c>
      <x:c r="AB255" s="16" t="n">
        <x:v>92.15116279069767</x:v>
      </x:c>
      <x:c r="AC255" s="16" t="n">
        <x:v>54.651162790697676</x:v>
      </x:c>
      <x:c r="AD255" s="16" t="n">
        <x:v>29.695121951219512</x:v>
      </x:c>
      <x:c r="AE255" s="16" t="n">
        <x:v>77.1418664521636</x:v>
      </x:c>
      <x:c r="AF255" t="str">
        <x:v>검토</x:v>
      </x:c>
      <x:c r="AG255" t="str">
        <x:v>수요·경쟁여건 강점 / 직장수요 상대적 약점</x:v>
      </x:c>
    </x:row>
    <x:row r="256">
      <x:c r="A256" t="str">
        <x:v>3130208</x:v>
      </x:c>
      <x:c r="B256" t="str">
        <x:v>목동깨비시장(목3동시장)</x:v>
      </x:c>
      <x:c r="C256" t="str">
        <x:v>전통시장</x:v>
      </x:c>
      <x:c r="D256" t="str">
        <x:v>양천구</x:v>
      </x:c>
      <x:c r="E256" t="str">
        <x:v>목3동</x:v>
      </x:c>
      <x:c r="F256" t="str">
        <x:v>CS300007</x:v>
      </x:c>
      <x:c r="G256" t="str">
        <x:v>육류판매</x:v>
      </x:c>
      <x:c r="H256" t="n">
        <x:v>2412166967</x:v>
      </x:c>
      <x:c r="I256" t="n">
        <x:v>78541</x:v>
      </x:c>
      <x:c r="J256" t="n">
        <x:v>30712.2008505112</x:v>
      </x:c>
      <x:c r="K256" s="14" t="n">
        <x:v>0.06569809035515717</x:v>
      </x:c>
      <x:c r="L256" s="14" t="n">
        <x:v>0.23518223683931017</x:v>
      </x:c>
      <x:c r="M256" s="14" t="n">
        <x:v>0.00863079289162072</x:v>
      </x:c>
      <x:c r="N256" t="n">
        <x:v>15</x:v>
      </x:c>
      <x:c r="O256" t="n">
        <x:v>0</x:v>
      </x:c>
      <x:c r="P256" s="14" t="n">
        <x:v>0</x:v>
      </x:c>
      <x:c r="Q256" s="14" t="n">
        <x:v>0</x:v>
      </x:c>
      <x:c r="R256" s="14" t="n">
        <x:v>0</x:v>
      </x:c>
      <x:c r="S256" t="n">
        <x:v>465</x:v>
      </x:c>
      <x:c r="T256" t="n">
        <x:v>88.55793402910032</x:v>
      </x:c>
      <x:c r="U256" s="14" t="n">
        <x:v>0.6676975097636348</x:v>
      </x:c>
      <x:c r="V256" s="14" t="n">
        <x:v>0.27610616558119877</x:v>
      </x:c>
      <x:c r="W256" s="14" t="n">
        <x:v>0.14637119313474123</x:v>
      </x:c>
      <x:c r="X256" s="14" t="n">
        <x:v>0.6111819033130802</x:v>
      </x:c>
      <x:c r="Y256" s="16" t="n">
        <x:v>87.37623762376238</x:v>
      </x:c>
      <x:c r="Z256" s="16" t="n">
        <x:v>71.94805194805195</x:v>
      </x:c>
      <x:c r="AA256" s="16" t="n">
        <x:v>100</x:v>
      </x:c>
      <x:c r="AB256" s="16" t="n">
        <x:v>50.99009900990099</x:v>
      </x:c>
      <x:c r="AC256" s="16" t="n">
        <x:v>66.83168316831683</x:v>
      </x:c>
      <x:c r="AD256" s="16" t="n">
        <x:v>55.792682926829265</x:v>
      </x:c>
      <x:c r="AE256" s="16" t="n">
        <x:v>77.09261087258552</x:v>
      </x:c>
      <x:c r="AF256" t="str">
        <x:v>검토</x:v>
      </x:c>
      <x:c r="AG256" t="str">
        <x:v>서울 업종추세·수요 강점 / 경쟁여건 상대적 약점</x:v>
      </x:c>
    </x:row>
    <x:row r="257">
      <x:c r="A257" t="str">
        <x:v>3120038</x:v>
      </x:c>
      <x:c r="B257" t="str">
        <x:v>약수역</x:v>
      </x:c>
      <x:c r="C257" t="str">
        <x:v>발달상권</x:v>
      </x:c>
      <x:c r="D257" t="str">
        <x:v>중구</x:v>
      </x:c>
      <x:c r="E257" t="str">
        <x:v>다산동</x:v>
      </x:c>
      <x:c r="F257" t="str">
        <x:v>CS200028</x:v>
      </x:c>
      <x:c r="G257" t="str">
        <x:v>미용실</x:v>
      </x:c>
      <x:c r="H257" t="n">
        <x:v>356330307</x:v>
      </x:c>
      <x:c r="I257" t="n">
        <x:v>8148</x:v>
      </x:c>
      <x:c r="J257" t="n">
        <x:v>43732.24189985272</x:v>
      </x:c>
      <x:c r="K257" s="14" t="n">
        <x:v>0.025386228946254752</x:v>
      </x:c>
      <x:c r="L257" s="14" t="n">
        <x:v>0.02168887159425803</x:v>
      </x:c>
      <x:c r="M257" s="14" t="n">
        <x:v>-0.013481964371473865</x:v>
      </x:c>
      <x:c r="N257" t="n">
        <x:v>22</x:v>
      </x:c>
      <x:c r="O257" t="n">
        <x:v>0</x:v>
      </x:c>
      <x:c r="P257" s="14" t="n">
        <x:v>0</x:v>
      </x:c>
      <x:c r="Q257" s="14" t="n">
        <x:v>0.045454545454545456</x:v>
      </x:c>
      <x:c r="R257" s="14" t="n">
        <x:v>0</x:v>
      </x:c>
      <x:c r="S257" t="n">
        <x:v>8665</x:v>
      </x:c>
      <x:c r="T257" t="n">
        <x:v>633.2351630041583</x:v>
      </x:c>
      <x:c r="U257" s="14" t="n">
        <x:v>0.6464547934172773</x:v>
      </x:c>
      <x:c r="V257" s="14" t="n">
        <x:v>0.4184247875384902</x:v>
      </x:c>
      <x:c r="W257" s="14" t="n">
        <x:v>0.2768601801810813</x:v>
      </x:c>
      <x:c r="X257" s="14" t="n">
        <x:v>0.4968402449135487</x:v>
      </x:c>
      <x:c r="Y257" s="16" t="n">
        <x:v>88.80931065353626</x:v>
      </x:c>
      <x:c r="Z257" s="16" t="n">
        <x:v>54.49640287769784</x:v>
      </x:c>
      <x:c r="AA257" s="16" t="n">
        <x:v>57.377049180327866</x:v>
      </x:c>
      <x:c r="AB257" s="16" t="n">
        <x:v>95.16562220232767</x:v>
      </x:c>
      <x:c r="AC257" s="16" t="n">
        <x:v>75.60429722470904</x:v>
      </x:c>
      <x:c r="AD257" s="16" t="n">
        <x:v>93.23170731707317</x:v>
      </x:c>
      <x:c r="AE257" s="16" t="n">
        <x:v>77.08595510000015</x:v>
      </x:c>
      <x:c r="AF257" t="str">
        <x:v>검토</x:v>
      </x:c>
      <x:c r="AG257" t="str">
        <x:v>경쟁여건·직장수요 강점 / 상권 모멘텀 상대적 약점</x:v>
      </x:c>
    </x:row>
    <x:row r="258">
      <x:c r="A258" t="str">
        <x:v>3120098</x:v>
      </x:c>
      <x:c r="B258" t="str">
        <x:v>DMC(디지털미디어시티)</x:v>
      </x:c>
      <x:c r="C258" t="str">
        <x:v>발달상권</x:v>
      </x:c>
      <x:c r="D258" t="str">
        <x:v>마포구</x:v>
      </x:c>
      <x:c r="E258" t="str">
        <x:v>상암동</x:v>
      </x:c>
      <x:c r="F258" t="str">
        <x:v>CS300011</x:v>
      </x:c>
      <x:c r="G258" t="str">
        <x:v>일반의류</x:v>
      </x:c>
      <x:c r="H258" t="n">
        <x:v>299705670</x:v>
      </x:c>
      <x:c r="I258" t="n">
        <x:v>3900</x:v>
      </x:c>
      <x:c r="J258" t="n">
        <x:v>76847.60769230769</x:v>
      </x:c>
      <x:c r="K258" s="14" t="n">
        <x:v>0.18921651964469866</x:v>
      </x:c>
      <x:c r="L258" s="14" t="n">
        <x:v>0.06726691045630595</x:v>
      </x:c>
      <x:c r="M258" s="14" t="n">
        <x:v>0.00788849516466894</x:v>
      </x:c>
      <x:c r="N258" t="n">
        <x:v>22</x:v>
      </x:c>
      <x:c r="O258" t="n">
        <x:v>0</x:v>
      </x:c>
      <x:c r="P258" s="14" t="n">
        <x:v>0</x:v>
      </x:c>
      <x:c r="Q258" s="14" t="n">
        <x:v>0</x:v>
      </x:c>
      <x:c r="R258" s="14" t="n">
        <x:v>-0.18518518518518523</x:v>
      </x:c>
      <x:c r="S258" t="n">
        <x:v>15261</x:v>
      </x:c>
      <x:c r="T258" t="n">
        <x:v>438.8396528620477</x:v>
      </x:c>
      <x:c r="U258" s="14" t="n">
        <x:v>0.772616380597671</x:v>
      </x:c>
      <x:c r="V258" s="14" t="n">
        <x:v>0.346662757498048</x:v>
      </x:c>
      <x:c r="W258" s="14" t="n">
        <x:v>0.30040151058870523</x:v>
      </x:c>
      <x:c r="X258" s="14" t="n">
        <x:v>0.8974573187087185</x:v>
      </x:c>
      <x:c r="Y258" s="16" t="n">
        <x:v>65.60659599528857</x:v>
      </x:c>
      <x:c r="Z258" s="16" t="n">
        <x:v>74.48856799037304</x:v>
      </x:c>
      <x:c r="AA258" s="16" t="n">
        <x:v>81.9672131147541</x:v>
      </x:c>
      <x:c r="AB258" s="16" t="n">
        <x:v>91.93168433451119</x:v>
      </x:c>
      <x:c r="AC258" s="16" t="n">
        <x:v>86.33686690223793</x:v>
      </x:c>
      <x:c r="AD258" s="16" t="n">
        <x:v>88.59756097560975</x:v>
      </x:c>
      <x:c r="AE258" s="16" t="n">
        <x:v>77.00842155281967</x:v>
      </x:c>
      <x:c r="AF258" t="str">
        <x:v>검토</x:v>
      </x:c>
      <x:c r="AG258" t="str">
        <x:v>경쟁여건·직장수요 강점 / 수요 상대적 약점</x:v>
      </x:c>
    </x:row>
    <x:row r="259">
      <x:c r="A259" t="str">
        <x:v>3120001</x:v>
      </x:c>
      <x:c r="B259" t="str">
        <x:v>서대문역</x:v>
      </x:c>
      <x:c r="C259" t="str">
        <x:v>발달상권</x:v>
      </x:c>
      <x:c r="D259" t="str">
        <x:v>종로구</x:v>
      </x:c>
      <x:c r="E259" t="str">
        <x:v>교남동</x:v>
      </x:c>
      <x:c r="F259" t="str">
        <x:v>CS100003</x:v>
      </x:c>
      <x:c r="G259" t="str">
        <x:v>일식음식점</x:v>
      </x:c>
      <x:c r="H259" t="n">
        <x:v>365588858</x:v>
      </x:c>
      <x:c r="I259" t="n">
        <x:v>6665</x:v>
      </x:c>
      <x:c r="J259" t="n">
        <x:v>54852.041710427606</x:v>
      </x:c>
      <x:c r="K259" s="14" t="n">
        <x:v>0.3643752379137446</x:v>
      </x:c>
      <x:c r="L259" s="14" t="n">
        <x:v>0.048235937606500245</x:v>
      </x:c>
      <x:c r="M259" s="14" t="n">
        <x:v>-0.004288267098710441</x:v>
      </x:c>
      <x:c r="N259" t="n">
        <x:v>5</x:v>
      </x:c>
      <x:c r="O259" t="n">
        <x:v>0</x:v>
      </x:c>
      <x:c r="P259" s="14" t="n">
        <x:v>0</x:v>
      </x:c>
      <x:c r="Q259" s="14" t="n">
        <x:v>0.4</x:v>
      </x:c>
      <x:c r="R259" s="14" t="n">
        <x:v>-0.16666666666666663</x:v>
      </x:c>
      <x:c r="S259" t="n">
        <x:v>4645</x:v>
      </x:c>
      <x:c r="T259" t="n">
        <x:v>313.23335041674534</x:v>
      </x:c>
      <x:c r="U259" s="14" t="n">
        <x:v>0.8900458394166925</x:v>
      </x:c>
      <x:c r="V259" s="14" t="n">
        <x:v>0.8077793525096982</x:v>
      </x:c>
      <x:c r="W259" s="14" t="n">
        <x:v>0.3031279470776432</x:v>
      </x:c>
      <x:c r="X259" s="14" t="n">
        <x:v>0.23141089819537114</x:v>
      </x:c>
      <x:c r="Y259" s="16" t="n">
        <x:v>55.95238095238095</x:v>
      </x:c>
      <x:c r="Z259" s="16" t="n">
        <x:v>93.51851851851852</x:v>
      </x:c>
      <x:c r="AA259" s="16" t="n">
        <x:v>78.68852459016394</x:v>
      </x:c>
      <x:c r="AB259" s="16" t="n">
        <x:v>97.17261904761905</x:v>
      </x:c>
      <x:c r="AC259" s="16" t="n">
        <x:v>81.10119047619048</x:v>
      </x:c>
      <x:c r="AD259" s="16" t="n">
        <x:v>84.39024390243902</x:v>
      </x:c>
      <x:c r="AE259" s="16" t="n">
        <x:v>76.99583982544549</x:v>
      </x:c>
      <x:c r="AF259" t="str">
        <x:v>검토</x:v>
      </x:c>
      <x:c r="AG259" t="str">
        <x:v>경쟁여건·상권 모멘텀 강점 / 수요 상대적 약점</x:v>
      </x:c>
    </x:row>
    <x:row r="260">
      <x:c r="A260" t="str">
        <x:v>3001494</x:v>
      </x:c>
      <x:c r="B260" t="str">
        <x:v>종로?청계 관광특구</x:v>
      </x:c>
      <x:c r="C260" t="str">
        <x:v>관광특구</x:v>
      </x:c>
      <x:c r="D260" t="str">
        <x:v>종로구</x:v>
      </x:c>
      <x:c r="E260" t="str">
        <x:v>종로1·2·3·4가동</x:v>
      </x:c>
      <x:c r="F260" t="str">
        <x:v>CS300029</x:v>
      </x:c>
      <x:c r="G260" t="str">
        <x:v>애완동물</x:v>
      </x:c>
      <x:c r="H260" t="n">
        <x:v>445406779</x:v>
      </x:c>
      <x:c r="I260" t="n">
        <x:v>10578</x:v>
      </x:c>
      <x:c r="J260" t="n">
        <x:v>42106.89913027037</x:v>
      </x:c>
      <x:c r="K260" s="14" t="n">
        <x:v>-0.12260935577055854</x:v>
      </x:c>
      <x:c r="L260" s="14" t="n">
        <x:v>0.041190648357217086</x:v>
      </x:c>
      <x:c r="M260" s="14" t="n">
        <x:v>-0.09713695399403299</x:v>
      </x:c>
      <x:c r="N260" t="n">
        <x:v>2</x:v>
      </x:c>
      <x:c r="O260" t="n">
        <x:v>0</x:v>
      </x:c>
      <x:c r="P260" s="14" t="n">
        <x:v>0</x:v>
      </x:c>
      <x:c r="Q260" s="14" t="n">
        <x:v>0.5</x:v>
      </x:c>
      <x:c r="R260" s="14"/>
      <x:c r="S260" t="n">
        <x:v>46516</x:v>
      </x:c>
      <x:c r="T260" t="n">
        <x:v>712.2045176512379</x:v>
      </x:c>
      <x:c r="U260" s="14" t="n">
        <x:v>0.7509644526537392</x:v>
      </x:c>
      <x:c r="V260" s="14" t="n">
        <x:v>0.046940116284130466</x:v>
      </x:c>
      <x:c r="W260" s="14" t="n">
        <x:v>0.13141941425188772</x:v>
      </x:c>
      <x:c r="X260" s="14" t="n">
        <x:v>0.39378417273707456</x:v>
      </x:c>
      <x:c r="Y260" s="16" t="n">
        <x:v>98.59154929577464</x:v>
      </x:c>
      <x:c r="Z260" s="16" t="n">
        <x:v>24.615384615384617</x:v>
      </x:c>
      <x:c r="AA260" s="16" t="n">
        <x:v>77.04918032786885</x:v>
      </x:c>
      <x:c r="AB260" s="16" t="n">
        <x:v>99.29577464788733</x:v>
      </x:c>
      <x:c r="AC260" s="16" t="n">
        <x:v>64.08450704225352</x:v>
      </x:c>
      <x:c r="AD260" s="16" t="n">
        <x:v>94.02439024390245</x:v>
      </x:c>
      <x:c r="AE260" s="16" t="n">
        <x:v>76.99153263938196</x:v>
      </x:c>
      <x:c r="AF260" t="str">
        <x:v>검토</x:v>
      </x:c>
      <x:c r="AG260" t="str">
        <x:v>경쟁여건·수요 강점 / 상권 모멘텀 상대적 약점</x:v>
      </x:c>
    </x:row>
    <x:row r="261">
      <x:c r="A261" t="str">
        <x:v>3120224</x:v>
      </x:c>
      <x:c r="B261" t="str">
        <x:v>수서역</x:v>
      </x:c>
      <x:c r="C261" t="str">
        <x:v>발달상권</x:v>
      </x:c>
      <x:c r="D261" t="str">
        <x:v>강남구</x:v>
      </x:c>
      <x:c r="E261" t="str">
        <x:v>수서동</x:v>
      </x:c>
      <x:c r="F261" t="str">
        <x:v>CS300002</x:v>
      </x:c>
      <x:c r="G261" t="str">
        <x:v>편의점</x:v>
      </x:c>
      <x:c r="H261" t="n">
        <x:v>8719593078</x:v>
      </x:c>
      <x:c r="I261" t="n">
        <x:v>1835063</x:v>
      </x:c>
      <x:c r="J261" t="n">
        <x:v>4751.658704905499</x:v>
      </x:c>
      <x:c r="K261" s="14" t="n">
        <x:v>0.03260950862536971</x:v>
      </x:c>
      <x:c r="L261" s="14" t="n">
        <x:v>-0.03570715280155945</x:v>
      </x:c>
      <x:c r="M261" s="14" t="n">
        <x:v>-0.014869839696300402</x:v>
      </x:c>
      <x:c r="N261" t="n">
        <x:v>15</x:v>
      </x:c>
      <x:c r="O261" t="n">
        <x:v>0</x:v>
      </x:c>
      <x:c r="P261" s="14" t="n">
        <x:v>0</x:v>
      </x:c>
      <x:c r="Q261" s="14" t="n">
        <x:v>0.6</x:v>
      </x:c>
      <x:c r="R261" s="14" t="n">
        <x:v>-0.21052631578947367</x:v>
      </x:c>
      <x:c r="S261" t="n">
        <x:v>19403</x:v>
      </x:c>
      <x:c r="T261" t="n">
        <x:v>3224.0001329279035</x:v>
      </x:c>
      <x:c r="U261" s="14" t="n">
        <x:v>0.7451616413607139</x:v>
      </x:c>
      <x:c r="V261" s="14" t="n">
        <x:v>0.3612996561672806</x:v>
      </x:c>
      <x:c r="W261" s="14" t="n">
        <x:v>0.4275034989195857</x:v>
      </x:c>
      <x:c r="X261" s="14" t="n">
        <x:v>0.43697694662076525</x:v>
      </x:c>
      <x:c r="Y261" s="16" t="n">
        <x:v>98.80597014925372</x:v>
      </x:c>
      <x:c r="Z261" s="16" t="n">
        <x:v>64.8936170212766</x:v>
      </x:c>
      <x:c r="AA261" s="16" t="n">
        <x:v>29.508196721311474</x:v>
      </x:c>
      <x:c r="AB261" s="16" t="n">
        <x:v>83.88059701492537</x:v>
      </x:c>
      <x:c r="AC261" s="16" t="n">
        <x:v>74.40298507462687</x:v>
      </x:c>
      <x:c r="AD261" s="16" t="n">
        <x:v>99.63414634146342</x:v>
      </x:c>
      <x:c r="AE261" s="16" t="n">
        <x:v>76.9911378414655</x:v>
      </x:c>
      <x:c r="AF261" t="str">
        <x:v>검토</x:v>
      </x:c>
      <x:c r="AG261" t="str">
        <x:v>직장수요·수요 강점 / 서울 업종추세 상대적 약점</x:v>
      </x:c>
    </x:row>
    <x:row r="262">
      <x:c r="A262" t="str">
        <x:v>3120047</x:v>
      </x:c>
      <x:c r="B262" t="str">
        <x:v>한남오거리</x:v>
      </x:c>
      <x:c r="C262" t="str">
        <x:v>발달상권</x:v>
      </x:c>
      <x:c r="D262" t="str">
        <x:v>용산구</x:v>
      </x:c>
      <x:c r="E262" t="str">
        <x:v>한남동</x:v>
      </x:c>
      <x:c r="F262" t="str">
        <x:v>CS100001</x:v>
      </x:c>
      <x:c r="G262" t="str">
        <x:v>한식음식점</x:v>
      </x:c>
      <x:c r="H262" t="n">
        <x:v>11897645045</x:v>
      </x:c>
      <x:c r="I262" t="n">
        <x:v>163136</x:v>
      </x:c>
      <x:c r="J262" t="n">
        <x:v>72930.83712362692</x:v>
      </x:c>
      <x:c r="K262" s="14" t="n">
        <x:v>0.09651843239445879</x:v>
      </x:c>
      <x:c r="L262" s="14" t="n">
        <x:v>-0.0018259958518723751</x:v>
      </x:c>
      <x:c r="M262" s="14" t="n">
        <x:v>0.06341040875687098</x:v>
      </x:c>
      <x:c r="N262" t="n">
        <x:v>174</x:v>
      </x:c>
      <x:c r="O262" t="n">
        <x:v>2</x:v>
      </x:c>
      <x:c r="P262" s="14" t="n">
        <x:v>0.0111731843575419</x:v>
      </x:c>
      <x:c r="Q262" s="14" t="n">
        <x:v>0.08045977011494253</x:v>
      </x:c>
      <x:c r="R262" s="14" t="n">
        <x:v>-0.11224489795918369</x:v>
      </x:c>
      <x:c r="S262" t="n">
        <x:v>13257</x:v>
      </x:c>
      <x:c r="T262" t="n">
        <x:v>848.6652583061264</x:v>
      </x:c>
      <x:c r="U262" s="14" t="n">
        <x:v>0.6851539412352674</x:v>
      </x:c>
      <x:c r="V262" s="14" t="n">
        <x:v>0.6587912631747201</x:v>
      </x:c>
      <x:c r="W262" s="14" t="n">
        <x:v>0.45644645175241905</x:v>
      </x:c>
      <x:c r="X262" s="14" t="n">
        <x:v>0.329819143717781</x:v>
      </x:c>
      <x:c r="Y262" s="16" t="n">
        <x:v>95.01779359430606</x:v>
      </x:c>
      <x:c r="Z262" s="16" t="n">
        <x:v>88.34882058613296</x:v>
      </x:c>
      <x:c r="AA262" s="16" t="n">
        <x:v>40.98360655737705</x:v>
      </x:c>
      <x:c r="AB262" s="16" t="n">
        <x:v>39.395017793594306</x:v>
      </x:c>
      <x:c r="AC262" s="16" t="n">
        <x:v>92.17081850533808</x:v>
      </x:c>
      <x:c r="AD262" s="16" t="n">
        <x:v>95.79268292682927</x:v>
      </x:c>
      <x:c r="AE262" s="16" t="n">
        <x:v>76.98950152475469</x:v>
      </x:c>
      <x:c r="AF262" t="str">
        <x:v>검토</x:v>
      </x:c>
      <x:c r="AG262" t="str">
        <x:v>직장수요·수요 강점 / 경쟁여건 상대적 약점</x:v>
      </x:c>
    </x:row>
    <x:row r="263">
      <x:c r="A263" t="str">
        <x:v>3120178</x:v>
      </x:c>
      <x:c r="B263" t="str">
        <x:v>신사역</x:v>
      </x:c>
      <x:c r="C263" t="str">
        <x:v>발달상권</x:v>
      </x:c>
      <x:c r="D263" t="str">
        <x:v>서초구</x:v>
      </x:c>
      <x:c r="E263" t="str">
        <x:v>잠원동</x:v>
      </x:c>
      <x:c r="F263" t="str">
        <x:v>CS200028</x:v>
      </x:c>
      <x:c r="G263" t="str">
        <x:v>미용실</x:v>
      </x:c>
      <x:c r="H263" t="n">
        <x:v>1196658271</x:v>
      </x:c>
      <x:c r="I263" t="n">
        <x:v>10736</x:v>
      </x:c>
      <x:c r="J263" t="n">
        <x:v>111462.20855067064</x:v>
      </x:c>
      <x:c r="K263" s="14" t="n">
        <x:v>0.1385522533388912</x:v>
      </x:c>
      <x:c r="L263" s="14" t="n">
        <x:v>0.02168887159425803</x:v>
      </x:c>
      <x:c r="M263" s="14" t="n">
        <x:v>-0.013481964371473865</x:v>
      </x:c>
      <x:c r="N263" t="n">
        <x:v>56</x:v>
      </x:c>
      <x:c r="O263" t="n">
        <x:v>1</x:v>
      </x:c>
      <x:c r="P263" s="14" t="n">
        <x:v>0.01639344262295082</x:v>
      </x:c>
      <x:c r="Q263" s="14" t="n">
        <x:v>0.16071428571428573</x:v>
      </x:c>
      <x:c r="R263" s="14" t="n">
        <x:v>0.33333333333333326</x:v>
      </x:c>
      <x:c r="S263" t="n">
        <x:v>19438</x:v>
      </x:c>
      <x:c r="T263" t="n">
        <x:v>550.5486226371273</x:v>
      </x:c>
      <x:c r="U263" s="14" t="n">
        <x:v>0.7155186938076159</x:v>
      </x:c>
      <x:c r="V263" s="14" t="n">
        <x:v>0.4109442536080545</x:v>
      </x:c>
      <x:c r="W263" s="14" t="n">
        <x:v>0.4096084102526543</x:v>
      </x:c>
      <x:c r="X263" s="14" t="n">
        <x:v>0.573978115260944</x:v>
      </x:c>
      <x:c r="Y263" s="16" t="n">
        <x:v>97.49328558639212</x:v>
      </x:c>
      <x:c r="Z263" s="16" t="n">
        <x:v>91.36690647482014</x:v>
      </x:c>
      <x:c r="AA263" s="16" t="n">
        <x:v>57.377049180327866</x:v>
      </x:c>
      <x:c r="AB263" s="16" t="n">
        <x:v>52.64100268576544</x:v>
      </x:c>
      <x:c r="AC263" s="16" t="n">
        <x:v>35.22829006266787</x:v>
      </x:c>
      <x:c r="AD263" s="16" t="n">
        <x:v>91.03658536585365</x:v>
      </x:c>
      <x:c r="AE263" s="16" t="n">
        <x:v>76.97339730467472</x:v>
      </x:c>
      <x:c r="AF263" t="str">
        <x:v>검토</x:v>
      </x:c>
      <x:c r="AG263" t="str">
        <x:v>수요·상권 모멘텀 강점 / 안정성 상대적 약점</x:v>
      </x:c>
    </x:row>
    <x:row r="264">
      <x:c r="A264" t="str">
        <x:v>3120230</x:v>
      </x:c>
      <x:c r="B264" t="str">
        <x:v>송파사거리(송파역)</x:v>
      </x:c>
      <x:c r="C264" t="str">
        <x:v>발달상권</x:v>
      </x:c>
      <x:c r="D264" t="str">
        <x:v>송파구</x:v>
      </x:c>
      <x:c r="E264" t="str">
        <x:v>석촌동</x:v>
      </x:c>
      <x:c r="F264" t="str">
        <x:v>CS300016</x:v>
      </x:c>
      <x:c r="G264" t="str">
        <x:v>안경</x:v>
      </x:c>
      <x:c r="H264" t="n">
        <x:v>555888661</x:v>
      </x:c>
      <x:c r="I264" t="n">
        <x:v>8252</x:v>
      </x:c>
      <x:c r="J264" t="n">
        <x:v>67364.11306349975</x:v>
      </x:c>
      <x:c r="K264" s="14" t="n">
        <x:v>0.09483570680737485</x:v>
      </x:c>
      <x:c r="L264" s="14" t="n">
        <x:v>0.02313988190963734</x:v>
      </x:c>
      <x:c r="M264" s="14" t="n">
        <x:v>0.009707725123368816</x:v>
      </x:c>
      <x:c r="N264" t="n">
        <x:v>5</x:v>
      </x:c>
      <x:c r="O264" t="n">
        <x:v>0</x:v>
      </x:c>
      <x:c r="P264" s="14" t="n">
        <x:v>0</x:v>
      </x:c>
      <x:c r="Q264" s="14" t="n">
        <x:v>0.2</x:v>
      </x:c>
      <x:c r="R264" s="14" t="n">
        <x:v>-0.2857142857142857</x:v>
      </x:c>
      <x:c r="S264" t="n">
        <x:v>2117</x:v>
      </x:c>
      <x:c r="T264" t="n">
        <x:v>206.85746670444885</x:v>
      </x:c>
      <x:c r="U264" s="14" t="n">
        <x:v>0.7094404305541321</x:v>
      </x:c>
      <x:c r="V264" s="14" t="n">
        <x:v>0.42752721664167925</x:v>
      </x:c>
      <x:c r="W264" s="14" t="n">
        <x:v>0.5341368062191864</x:v>
      </x:c>
      <x:c r="X264" s="14" t="n">
        <x:v>0.6751628020705391</x:v>
      </x:c>
      <x:c r="Y264" s="16" t="n">
        <x:v>76.81159420289855</x:v>
      </x:c>
      <x:c r="Z264" s="16" t="n">
        <x:v>90.73170731707317</x:v>
      </x:c>
      <x:c r="AA264" s="16" t="n">
        <x:v>62.295081967213115</x:v>
      </x:c>
      <x:c r="AB264" s="16" t="n">
        <x:v>86.6504854368932</x:v>
      </x:c>
      <x:c r="AC264" s="16" t="n">
        <x:v>57.28155339805825</x:v>
      </x:c>
      <x:c r="AD264" s="16" t="n">
        <x:v>77.07317073170732</x:v>
      </x:c>
      <x:c r="AE264" s="16" t="n">
        <x:v>76.95404842143627</x:v>
      </x:c>
      <x:c r="AF264" t="str">
        <x:v>검토</x:v>
      </x:c>
      <x:c r="AG264" t="str">
        <x:v>상권 모멘텀·경쟁여건 강점 / 안정성 상대적 약점</x:v>
      </x:c>
    </x:row>
    <x:row r="265">
      <x:c r="A265" t="str">
        <x:v>3120001</x:v>
      </x:c>
      <x:c r="B265" t="str">
        <x:v>서대문역</x:v>
      </x:c>
      <x:c r="C265" t="str">
        <x:v>발달상권</x:v>
      </x:c>
      <x:c r="D265" t="str">
        <x:v>종로구</x:v>
      </x:c>
      <x:c r="E265" t="str">
        <x:v>교남동</x:v>
      </x:c>
      <x:c r="F265" t="str">
        <x:v>CS300004</x:v>
      </x:c>
      <x:c r="G265" t="str">
        <x:v>핸드폰</x:v>
      </x:c>
      <x:c r="H265" t="n">
        <x:v>254333207</x:v>
      </x:c>
      <x:c r="I265" t="n">
        <x:v>1872</x:v>
      </x:c>
      <x:c r="J265" t="n">
        <x:v>135861.75587606838</x:v>
      </x:c>
      <x:c r="K265" s="14" t="n">
        <x:v>0.903862887254586</x:v>
      </x:c>
      <x:c r="L265" s="14" t="n">
        <x:v>0.021417847123978317</x:v>
      </x:c>
      <x:c r="M265" s="14" t="n">
        <x:v>-0.06496332404204874</x:v>
      </x:c>
      <x:c r="N265" t="n">
        <x:v>4</x:v>
      </x:c>
      <x:c r="O265" t="n">
        <x:v>0</x:v>
      </x:c>
      <x:c r="P265" s="14" t="n">
        <x:v>0</x:v>
      </x:c>
      <x:c r="Q265" s="14" t="n">
        <x:v>0</x:v>
      </x:c>
      <x:c r="R265" s="14" t="n">
        <x:v>-0.33333333333333337</x:v>
      </x:c>
      <x:c r="S265" t="n">
        <x:v>4645</x:v>
      </x:c>
      <x:c r="T265" t="n">
        <x:v>313.23335041674534</x:v>
      </x:c>
      <x:c r="U265" s="14" t="n">
        <x:v>0.9957039388883261</x:v>
      </x:c>
      <x:c r="V265" s="14" t="n">
        <x:v>0.003068612271302819</x:v>
      </x:c>
      <x:c r="W265" s="14" t="n">
        <x:v>0.01104700810854007</x:v>
      </x:c>
      <x:c r="X265" s="14" t="n">
        <x:v>0.030072423849867153</x:v>
      </x:c>
      <x:c r="Y265" s="16" t="n">
        <x:v>74.71264367816092</x:v>
      </x:c>
      <x:c r="Z265" s="16" t="n">
        <x:v>87.1951219512195</x:v>
      </x:c>
      <x:c r="AA265" s="16" t="n">
        <x:v>55.73770491803279</x:v>
      </x:c>
      <x:c r="AB265" s="16" t="n">
        <x:v>98.27586206896552</x:v>
      </x:c>
      <x:c r="AC265" s="16" t="n">
        <x:v>60.3448275862069</x:v>
      </x:c>
      <x:c r="AD265" s="16" t="n">
        <x:v>84.39024390243902</x:v>
      </x:c>
      <x:c r="AE265" s="16" t="n">
        <x:v>76.9444796793926</x:v>
      </x:c>
      <x:c r="AF265" t="str">
        <x:v>검토</x:v>
      </x:c>
      <x:c r="AG265" t="str">
        <x:v>경쟁여건·상권 모멘텀 강점 / 서울 업종추세 상대적 약점</x:v>
      </x:c>
    </x:row>
    <x:row r="266">
      <x:c r="A266" t="str">
        <x:v>3110458</x:v>
      </x:c>
      <x:c r="B266" t="str">
        <x:v>선일여고</x:v>
      </x:c>
      <x:c r="C266" t="str">
        <x:v>골목상권</x:v>
      </x:c>
      <x:c r="D266" t="str">
        <x:v>은평구</x:v>
      </x:c>
      <x:c r="E266" t="str">
        <x:v>갈현2동</x:v>
      </x:c>
      <x:c r="F266" t="str">
        <x:v>CS300028</x:v>
      </x:c>
      <x:c r="G266" t="str">
        <x:v>화초</x:v>
      </x:c>
      <x:c r="H266" t="n">
        <x:v>139160289</x:v>
      </x:c>
      <x:c r="I266" t="n">
        <x:v>1506</x:v>
      </x:c>
      <x:c r="J266" t="n">
        <x:v>92403.91035856574</x:v>
      </x:c>
      <x:c r="K266" s="14" t="n">
        <x:v>0.13420919362771522</x:v>
      </x:c>
      <x:c r="L266" s="14" t="n">
        <x:v>0.028008199294863756</x:v>
      </x:c>
      <x:c r="M266" s="14" t="n">
        <x:v>-0.0030123365554672876</x:v>
      </x:c>
      <x:c r="N266" t="n">
        <x:v>9</x:v>
      </x:c>
      <x:c r="O266" t="n">
        <x:v>0</x:v>
      </x:c>
      <x:c r="P266" s="14" t="n">
        <x:v>0</x:v>
      </x:c>
      <x:c r="Q266" s="14" t="n">
        <x:v>0</x:v>
      </x:c>
      <x:c r="R266" s="14" t="n">
        <x:v>0.2857142857142858</x:v>
      </x:c>
      <x:c r="S266" t="n">
        <x:v>381</x:v>
      </x:c>
      <x:c r="T266" t="n">
        <x:v>32.11152222100481</x:v>
      </x:c>
      <x:c r="U266" s="14" t="n">
        <x:v>0.9156939735875369</x:v>
      </x:c>
      <x:c r="V266" s="14" t="n">
        <x:v>0.10624554681687963</x:v>
      </x:c>
      <x:c r="W266" s="14" t="n">
        <x:v>0.09773056737471995</x:v>
      </x:c>
      <x:c r="X266" s="14" t="n">
        <x:v>0.10593869922187356</x:v>
      </x:c>
      <x:c r="Y266" s="16" t="n">
        <x:v>79.53020134228188</x:v>
      </x:c>
      <x:c r="Z266" s="16" t="n">
        <x:v>88.01369863013699</x:v>
      </x:c>
      <x:c r="AA266" s="16" t="n">
        <x:v>73.77049180327869</x:v>
      </x:c>
      <x:c r="AB266" s="16" t="n">
        <x:v>83.89261744966443</x:v>
      </x:c>
      <x:c r="AC266" s="16" t="n">
        <x:v>66.7785234899329</x:v>
      </x:c>
      <x:c r="AD266" s="16" t="n">
        <x:v>23.170731707317074</x:v>
      </x:c>
      <x:c r="AE266" s="16" t="n">
        <x:v>76.92416551812666</x:v>
      </x:c>
      <x:c r="AF266" t="str">
        <x:v>검토</x:v>
      </x:c>
      <x:c r="AG266" t="str">
        <x:v>상권 모멘텀·경쟁여건 강점 / 직장수요 상대적 약점</x:v>
      </x:c>
    </x:row>
    <x:row r="267">
      <x:c r="A267" t="str">
        <x:v>3120014</x:v>
      </x:c>
      <x:c r="B267" t="str">
        <x:v>종로5가역</x:v>
      </x:c>
      <x:c r="C267" t="str">
        <x:v>발달상권</x:v>
      </x:c>
      <x:c r="D267" t="str">
        <x:v>종로구</x:v>
      </x:c>
      <x:c r="E267" t="str">
        <x:v>종로5·6가동</x:v>
      </x:c>
      <x:c r="F267" t="str">
        <x:v>CS200028</x:v>
      </x:c>
      <x:c r="G267" t="str">
        <x:v>미용실</x:v>
      </x:c>
      <x:c r="H267" t="n">
        <x:v>177074860</x:v>
      </x:c>
      <x:c r="I267" t="n">
        <x:v>4476</x:v>
      </x:c>
      <x:c r="J267" t="n">
        <x:v>39560.960679177835</x:v>
      </x:c>
      <x:c r="K267" s="14" t="n">
        <x:v>0.07715459949583248</x:v>
      </x:c>
      <x:c r="L267" s="14" t="n">
        <x:v>0.02168887159425803</x:v>
      </x:c>
      <x:c r="M267" s="14" t="n">
        <x:v>-0.013481964371473865</x:v>
      </x:c>
      <x:c r="N267" t="n">
        <x:v>23</x:v>
      </x:c>
      <x:c r="O267" t="n">
        <x:v>0</x:v>
      </x:c>
      <x:c r="P267" s="14" t="n">
        <x:v>0</x:v>
      </x:c>
      <x:c r="Q267" s="14" t="n">
        <x:v>0.043478260869565216</x:v>
      </x:c>
      <x:c r="R267" s="14" t="n">
        <x:v>0.045454545454545414</x:v>
      </x:c>
      <x:c r="S267" t="n">
        <x:v>5154</x:v>
      </x:c>
      <x:c r="T267" t="n">
        <x:v>378.898151823916</x:v>
      </x:c>
      <x:c r="U267" s="14" t="n">
        <x:v>0.7780708339964238</x:v>
      </x:c>
      <x:c r="V267" s="14" t="n">
        <x:v>0.31543716595342786</x:v>
      </x:c>
      <x:c r="W267" s="14" t="n">
        <x:v>0.28148152143110544</x:v>
      </x:c>
      <x:c r="X267" s="14" t="n">
        <x:v>0.6287765581178492</x:v>
      </x:c>
      <x:c r="Y267" s="16" t="n">
        <x:v>75.47000895255148</x:v>
      </x:c>
      <x:c r="Z267" s="16" t="n">
        <x:v>79.04676258992805</x:v>
      </x:c>
      <x:c r="AA267" s="16" t="n">
        <x:v>57.377049180327866</x:v>
      </x:c>
      <x:c r="AB267" s="16" t="n">
        <x:v>94.6284691136974</x:v>
      </x:c>
      <x:c r="AC267" s="16" t="n">
        <x:v>75.60429722470904</x:v>
      </x:c>
      <x:c r="AD267" s="16" t="n">
        <x:v>86.76829268292683</x:v>
      </x:c>
      <x:c r="AE267" s="16" t="n">
        <x:v>76.92352775209966</x:v>
      </x:c>
      <x:c r="AF267" t="str">
        <x:v>검토</x:v>
      </x:c>
      <x:c r="AG267" t="str">
        <x:v>경쟁여건·직장수요 강점 / 서울 업종추세 상대적 약점</x:v>
      </x:c>
    </x:row>
    <x:row r="268">
      <x:c r="A268" t="str">
        <x:v>3120173</x:v>
      </x:c>
      <x:c r="B268" t="str">
        <x:v>교대역(법원.검찰청)</x:v>
      </x:c>
      <x:c r="C268" t="str">
        <x:v>발달상권</x:v>
      </x:c>
      <x:c r="D268" t="str">
        <x:v>서초구</x:v>
      </x:c>
      <x:c r="E268" t="str">
        <x:v>서초1동</x:v>
      </x:c>
      <x:c r="F268" t="str">
        <x:v>CS200037</x:v>
      </x:c>
      <x:c r="G268" t="str">
        <x:v>노래방</x:v>
      </x:c>
      <x:c r="H268" t="n">
        <x:v>1102207021</x:v>
      </x:c>
      <x:c r="I268" t="n">
        <x:v>8402</x:v>
      </x:c>
      <x:c r="J268" t="n">
        <x:v>131183.88728874078</x:v>
      </x:c>
      <x:c r="K268" s="14" t="n">
        <x:v>0.08609849452866336</x:v>
      </x:c>
      <x:c r="L268" s="14" t="n">
        <x:v>-0.038104861974415316</x:v>
      </x:c>
      <x:c r="M268" s="14" t="n">
        <x:v>0.05972019768270753</x:v>
      </x:c>
      <x:c r="N268" t="n">
        <x:v>8</x:v>
      </x:c>
      <x:c r="O268" t="n">
        <x:v>0</x:v>
      </x:c>
      <x:c r="P268" s="14" t="n">
        <x:v>0</x:v>
      </x:c>
      <x:c r="Q268" s="14" t="n">
        <x:v>0</x:v>
      </x:c>
      <x:c r="R268" s="14" t="n">
        <x:v>-0.4285714285714286</x:v>
      </x:c>
      <x:c r="S268" t="n">
        <x:v>33675</x:v>
      </x:c>
      <x:c r="T268" t="n">
        <x:v>849.2400341965697</x:v>
      </x:c>
      <x:c r="U268" s="14" t="n">
        <x:v>0.8140187840447444</x:v>
      </x:c>
      <x:c r="V268" s="14" t="n">
        <x:v>0.6595125127587079</x:v>
      </x:c>
      <x:c r="W268" s="14" t="n">
        <x:v>0.1065009655749598</x:v>
      </x:c>
      <x:c r="X268" s="14" t="n">
        <x:v>0.08128660160294877</x:v>
      </x:c>
      <x:c r="Y268" s="16" t="n">
        <x:v>98.00796812749005</x:v>
      </x:c>
      <x:c r="Z268" s="16" t="n">
        <x:v>68.4</x:v>
      </x:c>
      <x:c r="AA268" s="16" t="n">
        <x:v>27.868852459016395</x:v>
      </x:c>
      <x:c r="AB268" s="16" t="n">
        <x:v>84.9601593625498</x:v>
      </x:c>
      <x:c r="AC268" s="16" t="n">
        <x:v>72.11155378486056</x:v>
      </x:c>
      <x:c r="AD268" s="16" t="n">
        <x:v>95.91463414634147</x:v>
      </x:c>
      <x:c r="AE268" s="16" t="n">
        <x:v>76.91402770365957</x:v>
      </x:c>
      <x:c r="AF268" t="str">
        <x:v>검토</x:v>
      </x:c>
      <x:c r="AG268" t="str">
        <x:v>수요·직장수요 강점 / 서울 업종추세 상대적 약점</x:v>
      </x:c>
    </x:row>
    <x:row r="269">
      <x:c r="A269" t="str">
        <x:v>3110243</x:v>
      </x:c>
      <x:c r="B269" t="str">
        <x:v>중랑노인종합복지관</x:v>
      </x:c>
      <x:c r="C269" t="str">
        <x:v>골목상권</x:v>
      </x:c>
      <x:c r="D269" t="str">
        <x:v>중랑구</x:v>
      </x:c>
      <x:c r="E269" t="str">
        <x:v>면목2동</x:v>
      </x:c>
      <x:c r="F269" t="str">
        <x:v>CS200003</x:v>
      </x:c>
      <x:c r="G269" t="str">
        <x:v>예술학원</x:v>
      </x:c>
      <x:c r="H269" t="n">
        <x:v>407111064</x:v>
      </x:c>
      <x:c r="I269" t="n">
        <x:v>2676</x:v>
      </x:c>
      <x:c r="J269" t="n">
        <x:v>152134.1793721973</x:v>
      </x:c>
      <x:c r="K269" s="14" t="n">
        <x:v>0.06647492734483684</x:v>
      </x:c>
      <x:c r="L269" s="14" t="n">
        <x:v>0.09364146198394163</x:v>
      </x:c>
      <x:c r="M269" s="14" t="n">
        <x:v>0.053788091189524545</x:v>
      </x:c>
      <x:c r="N269" t="n">
        <x:v>15</x:v>
      </x:c>
      <x:c r="O269" t="n">
        <x:v>0</x:v>
      </x:c>
      <x:c r="P269" s="14" t="n">
        <x:v>0</x:v>
      </x:c>
      <x:c r="Q269" s="14" t="n">
        <x:v>0</x:v>
      </x:c>
      <x:c r="R269" s="14" t="n">
        <x:v>-0.11764705882352944</x:v>
      </x:c>
      <x:c r="S269" t="n">
        <x:v>190</x:v>
      </x:c>
      <x:c r="T269" t="n">
        <x:v>14.808810462814296</x:v>
      </x:c>
      <x:c r="U269" s="14" t="n">
        <x:v>1</x:v>
      </x:c>
      <x:c r="V269" s="14" t="n">
        <x:v>0.4404024770007233</x:v>
      </x:c>
      <x:c r="W269" s="14" t="n">
        <x:v>0.1125754789115729</x:v>
      </x:c>
      <x:c r="X269" s="14" t="n">
        <x:v>0.57772123333892</x:v>
      </x:c>
      <x:c r="Y269" s="16" t="n">
        <x:v>88.84462151394422</x:v>
      </x:c>
      <x:c r="Z269" s="16" t="n">
        <x:v>60.122699386503065</x:v>
      </x:c>
      <x:c r="AA269" s="16" t="n">
        <x:v>88.52459016393442</x:v>
      </x:c>
      <x:c r="AB269" s="16" t="n">
        <x:v>85.2589641434263</x:v>
      </x:c>
      <x:c r="AC269" s="16" t="n">
        <x:v>73.20717131474103</x:v>
      </x:c>
      <x:c r="AD269" s="16" t="n">
        <x:v>8.109756097560975</x:v>
      </x:c>
      <x:c r="AE269" s="16" t="n">
        <x:v>76.91389548963734</x:v>
      </x:c>
      <x:c r="AF269" t="str">
        <x:v>검토</x:v>
      </x:c>
      <x:c r="AG269" t="str">
        <x:v>수요·서울 업종추세 강점 / 직장수요 상대적 약점</x:v>
      </x:c>
    </x:row>
    <x:row r="270">
      <x:c r="A270" t="str">
        <x:v>3120205</x:v>
      </x:c>
      <x:c r="B270" t="str">
        <x:v>매봉역</x:v>
      </x:c>
      <x:c r="C270" t="str">
        <x:v>발달상권</x:v>
      </x:c>
      <x:c r="D270" t="str">
        <x:v>강남구</x:v>
      </x:c>
      <x:c r="E270" t="str">
        <x:v>도곡2동</x:v>
      </x:c>
      <x:c r="F270" t="str">
        <x:v>CS200037</x:v>
      </x:c>
      <x:c r="G270" t="str">
        <x:v>노래방</x:v>
      </x:c>
      <x:c r="H270" t="n">
        <x:v>408315674</x:v>
      </x:c>
      <x:c r="I270" t="n">
        <x:v>3023</x:v>
      </x:c>
      <x:c r="J270" t="n">
        <x:v>135069.69037380087</x:v>
      </x:c>
      <x:c r="K270" s="14" t="n">
        <x:v>0.17291048856204005</x:v>
      </x:c>
      <x:c r="L270" s="14" t="n">
        <x:v>-0.038104861974415316</x:v>
      </x:c>
      <x:c r="M270" s="14" t="n">
        <x:v>0.05972019768270753</x:v>
      </x:c>
      <x:c r="N270" t="n">
        <x:v>9</x:v>
      </x:c>
      <x:c r="O270" t="n">
        <x:v>0</x:v>
      </x:c>
      <x:c r="P270" s="14" t="n">
        <x:v>0</x:v>
      </x:c>
      <x:c r="Q270" s="14" t="n">
        <x:v>0</x:v>
      </x:c>
      <x:c r="R270" s="14" t="n">
        <x:v>-0.09999999999999998</x:v>
      </x:c>
      <x:c r="S270" t="n">
        <x:v>67744</x:v>
      </x:c>
      <x:c r="T270" t="n">
        <x:v>5532.696846696013</x:v>
      </x:c>
      <x:c r="U270" s="14" t="n">
        <x:v>0.7717686830704422</x:v>
      </x:c>
      <x:c r="V270" s="14" t="n">
        <x:v>0.585458421564292</x:v>
      </x:c>
      <x:c r="W270" s="14" t="n">
        <x:v>0.13607394361255895</x:v>
      </x:c>
      <x:c r="X270" s="14" t="n">
        <x:v>0.08261686030695946</x:v>
      </x:c>
      <x:c r="Y270" s="16" t="n">
        <x:v>87.25099601593625</x:v>
      </x:c>
      <x:c r="Z270" s="16" t="n">
        <x:v>89</x:v>
      </x:c>
      <x:c r="AA270" s="16" t="n">
        <x:v>27.868852459016395</x:v>
      </x:c>
      <x:c r="AB270" s="16" t="n">
        <x:v>81.17529880478088</x:v>
      </x:c>
      <x:c r="AC270" s="16" t="n">
        <x:v>72.11155378486056</x:v>
      </x:c>
      <x:c r="AD270" s="16" t="n">
        <x:v>100</x:v>
      </x:c>
      <x:c r="AE270" s="16" t="n">
        <x:v>76.90562667363334</x:v>
      </x:c>
      <x:c r="AF270" t="str">
        <x:v>검토</x:v>
      </x:c>
      <x:c r="AG270" t="str">
        <x:v>직장수요·상권 모멘텀 강점 / 서울 업종추세 상대적 약점</x:v>
      </x:c>
    </x:row>
    <x:row r="271">
      <x:c r="A271" t="str">
        <x:v>3120173</x:v>
      </x:c>
      <x:c r="B271" t="str">
        <x:v>교대역(법원.검찰청)</x:v>
      </x:c>
      <x:c r="C271" t="str">
        <x:v>발달상권</x:v>
      </x:c>
      <x:c r="D271" t="str">
        <x:v>서초구</x:v>
      </x:c>
      <x:c r="E271" t="str">
        <x:v>서초1동</x:v>
      </x:c>
      <x:c r="F271" t="str">
        <x:v>CS200030</x:v>
      </x:c>
      <x:c r="G271" t="str">
        <x:v>피부관리실</x:v>
      </x:c>
      <x:c r="H271" t="n">
        <x:v>502053642</x:v>
      </x:c>
      <x:c r="I271" t="n">
        <x:v>1370</x:v>
      </x:c>
      <x:c r="J271" t="n">
        <x:v>366462.5124087591</x:v>
      </x:c>
      <x:c r="K271" s="14" t="n">
        <x:v>0.2807268523713051</x:v>
      </x:c>
      <x:c r="L271" s="14" t="n">
        <x:v>0.11857168683779085</x:v>
      </x:c>
      <x:c r="M271" s="14" t="n">
        <x:v>0.0314283578178467</x:v>
      </x:c>
      <x:c r="N271" t="n">
        <x:v>35</x:v>
      </x:c>
      <x:c r="O271" t="n">
        <x:v>1</x:v>
      </x:c>
      <x:c r="P271" s="14" t="n">
        <x:v>0.025</x:v>
      </x:c>
      <x:c r="Q271" s="14" t="n">
        <x:v>0.05714285714285714</x:v>
      </x:c>
      <x:c r="R271" s="14" t="n">
        <x:v>0.5909090909090908</x:v>
      </x:c>
      <x:c r="S271" t="n">
        <x:v>33675</x:v>
      </x:c>
      <x:c r="T271" t="n">
        <x:v>849.2400341965697</x:v>
      </x:c>
      <x:c r="U271" s="14" t="n">
        <x:v>0.6566149080938247</x:v>
      </x:c>
      <x:c r="V271" s="14" t="n">
        <x:v>0.43987241905118973</x:v>
      </x:c>
      <x:c r="W271" s="14" t="n">
        <x:v>0.24042494248054871</x:v>
      </x:c>
      <x:c r="X271" s="14" t="n">
        <x:v>0.6944384719750724</x:v>
      </x:c>
      <x:c r="Y271" s="16" t="n">
        <x:v>93.30024813895781</x:v>
      </x:c>
      <x:c r="Z271" s="16" t="n">
        <x:v>80.37135278514589</x:v>
      </x:c>
      <x:c r="AA271" s="16" t="n">
        <x:v>91.80327868852459</x:v>
      </x:c>
      <x:c r="AB271" s="16" t="n">
        <x:v>40.32258064516129</x:v>
      </x:c>
      <x:c r="AC271" s="16" t="n">
        <x:v>35.60794044665012</x:v>
      </x:c>
      <x:c r="AD271" s="16" t="n">
        <x:v>95.91463414634147</x:v>
      </x:c>
      <x:c r="AE271" s="16" t="n">
        <x:v>76.90476205769939</x:v>
      </x:c>
      <x:c r="AF271" t="str">
        <x:v>검토</x:v>
      </x:c>
      <x:c r="AG271" t="str">
        <x:v>직장수요·수요 강점 / 안정성 상대적 약점</x:v>
      </x:c>
    </x:row>
    <x:row r="272">
      <x:c r="A272" t="str">
        <x:v>3120162</x:v>
      </x:c>
      <x:c r="B272" t="str">
        <x:v>방배동카페골목</x:v>
      </x:c>
      <x:c r="C272" t="str">
        <x:v>발달상권</x:v>
      </x:c>
      <x:c r="D272" t="str">
        <x:v>서초구</x:v>
      </x:c>
      <x:c r="E272" t="str">
        <x:v>방배본동</x:v>
      </x:c>
      <x:c r="F272" t="str">
        <x:v>CS200028</x:v>
      </x:c>
      <x:c r="G272" t="str">
        <x:v>미용실</x:v>
      </x:c>
      <x:c r="H272" t="n">
        <x:v>359488716</x:v>
      </x:c>
      <x:c r="I272" t="n">
        <x:v>6592</x:v>
      </x:c>
      <x:c r="J272" t="n">
        <x:v>54534.08919902913</x:v>
      </x:c>
      <x:c r="K272" s="14" t="n">
        <x:v>0.08561586499644913</x:v>
      </x:c>
      <x:c r="L272" s="14" t="n">
        <x:v>0.02168887159425803</x:v>
      </x:c>
      <x:c r="M272" s="14" t="n">
        <x:v>-0.013481964371473865</x:v>
      </x:c>
      <x:c r="N272" t="n">
        <x:v>54</x:v>
      </x:c>
      <x:c r="O272" t="n">
        <x:v>0</x:v>
      </x:c>
      <x:c r="P272" s="14" t="n">
        <x:v>0</x:v>
      </x:c>
      <x:c r="Q272" s="14" t="n">
        <x:v>0.037037037037037035</x:v>
      </x:c>
      <x:c r="R272" s="14" t="n">
        <x:v>0.018867924528301883</x:v>
      </x:c>
      <x:c r="S272" t="n">
        <x:v>7381</x:v>
      </x:c>
      <x:c r="T272" t="n">
        <x:v>772.6692209450831</x:v>
      </x:c>
      <x:c r="U272" s="14" t="n">
        <x:v>0.6614895222469236</x:v>
      </x:c>
      <x:c r="V272" s="14" t="n">
        <x:v>0.28973675769005225</x:v>
      </x:c>
      <x:c r="W272" s="14" t="n">
        <x:v>0.1337521704019216</x:v>
      </x:c>
      <x:c r="X272" s="14" t="n">
        <x:v>0.5455927161841708</x:v>
      </x:c>
      <x:c r="Y272" s="16" t="n">
        <x:v>89.07788719785138</x:v>
      </x:c>
      <x:c r="Z272" s="16" t="n">
        <x:v>82.55395683453237</x:v>
      </x:c>
      <x:c r="AA272" s="16" t="n">
        <x:v>57.377049180327866</x:v>
      </x:c>
      <x:c r="AB272" s="16" t="n">
        <x:v>55.41629364368845</x:v>
      </x:c>
      <x:c r="AC272" s="16" t="n">
        <x:v>75.60429722470904</x:v>
      </x:c>
      <x:c r="AD272" s="16" t="n">
        <x:v>94.63414634146342</x:v>
      </x:c>
      <x:c r="AE272" s="16" t="n">
        <x:v>76.89919034930098</x:v>
      </x:c>
      <x:c r="AF272" t="str">
        <x:v>검토</x:v>
      </x:c>
      <x:c r="AG272" t="str">
        <x:v>직장수요·수요 강점 / 경쟁여건 상대적 약점</x:v>
      </x:c>
    </x:row>
    <x:row r="273">
      <x:c r="A273" t="str">
        <x:v>3120209</x:v>
      </x:c>
      <x:c r="B273" t="str">
        <x:v>강남구청(청담역_8번, 강남세무서)</x:v>
      </x:c>
      <x:c r="C273" t="str">
        <x:v>발달상권</x:v>
      </x:c>
      <x:c r="D273" t="str">
        <x:v>강남구</x:v>
      </x:c>
      <x:c r="E273" t="str">
        <x:v>청담동</x:v>
      </x:c>
      <x:c r="F273" t="str">
        <x:v>CS200025</x:v>
      </x:c>
      <x:c r="G273" t="str">
        <x:v>자동차수리</x:v>
      </x:c>
      <x:c r="H273" t="n">
        <x:v>1611187681</x:v>
      </x:c>
      <x:c r="I273" t="n">
        <x:v>6603</x:v>
      </x:c>
      <x:c r="J273" t="n">
        <x:v>244008.4326821142</x:v>
      </x:c>
      <x:c r="K273" s="14" t="n">
        <x:v>0.19041190416036669</x:v>
      </x:c>
      <x:c r="L273" s="14" t="n">
        <x:v>0.02213950283587751</x:v>
      </x:c>
      <x:c r="M273" s="14" t="n">
        <x:v>0.024356161917000962</x:v>
      </x:c>
      <x:c r="N273" t="n">
        <x:v>8</x:v>
      </x:c>
      <x:c r="O273" t="n">
        <x:v>1</x:v>
      </x:c>
      <x:c r="P273" s="14" t="n">
        <x:v>0.07692307692307693</x:v>
      </x:c>
      <x:c r="Q273" s="14" t="n">
        <x:v>0</x:v>
      </x:c>
      <x:c r="R273" s="14" t="n">
        <x:v>0</x:v>
      </x:c>
      <x:c r="S273" t="n">
        <x:v>8856</x:v>
      </x:c>
      <x:c r="T273" t="n">
        <x:v>660.1663833974417</x:v>
      </x:c>
      <x:c r="U273" s="14" t="n">
        <x:v>0.9268555697205582</x:v>
      </x:c>
      <x:c r="V273" s="14" t="n">
        <x:v>0.16243907155345239</x:v>
      </x:c>
      <x:c r="W273" s="14" t="n">
        <x:v>0.07691836119494262</x:v>
      </x:c>
      <x:c r="X273" s="14" t="n">
        <x:v>0.10414199784339091</x:v>
      </x:c>
      <x:c r="Y273" s="16" t="n">
        <x:v>95.44235924932975</x:v>
      </x:c>
      <x:c r="Z273" s="16" t="n">
        <x:v>85.79234972677595</x:v>
      </x:c>
      <x:c r="AA273" s="16" t="n">
        <x:v>59.01639344262295</x:v>
      </x:c>
      <x:c r="AB273" s="16" t="n">
        <x:v>84.81182795698925</x:v>
      </x:c>
      <x:c r="AC273" s="16" t="n">
        <x:v>0.5376344086021447</x:v>
      </x:c>
      <x:c r="AD273" s="16" t="n">
        <x:v>93.59756097560975</x:v>
      </x:c>
      <x:c r="AE273" s="16" t="n">
        <x:v>76.87117038220313</x:v>
      </x:c>
      <x:c r="AF273" t="str">
        <x:v>검토</x:v>
      </x:c>
      <x:c r="AG273" t="str">
        <x:v>수요·직장수요 강점 / 안정성 상대적 약점</x:v>
      </x:c>
    </x:row>
    <x:row r="274">
      <x:c r="A274" t="str">
        <x:v>3120085</x:v>
      </x:c>
      <x:c r="B274" t="str">
        <x:v>은행사거리</x:v>
      </x:c>
      <x:c r="C274" t="str">
        <x:v>발달상권</x:v>
      </x:c>
      <x:c r="D274" t="str">
        <x:v>노원구</x:v>
      </x:c>
      <x:c r="E274" t="str">
        <x:v>중계본동</x:v>
      </x:c>
      <x:c r="F274" t="str">
        <x:v>CS300018</x:v>
      </x:c>
      <x:c r="G274" t="str">
        <x:v>의약품</x:v>
      </x:c>
      <x:c r="H274" t="n">
        <x:v>2416174725</x:v>
      </x:c>
      <x:c r="I274" t="n">
        <x:v>207541</x:v>
      </x:c>
      <x:c r="J274" t="n">
        <x:v>11641.915211934027</x:v>
      </x:c>
      <x:c r="K274" s="14" t="n">
        <x:v>0.04696911670500792</x:v>
      </x:c>
      <x:c r="L274" s="14" t="n">
        <x:v>0.027829225601598617</x:v>
      </x:c>
      <x:c r="M274" s="14" t="n">
        <x:v>0.02632929521123617</x:v>
      </x:c>
      <x:c r="N274" t="n">
        <x:v>12</x:v>
      </x:c>
      <x:c r="O274" t="n">
        <x:v>0</x:v>
      </x:c>
      <x:c r="P274" s="14" t="n">
        <x:v>0</x:v>
      </x:c>
      <x:c r="Q274" s="14" t="n">
        <x:v>0</x:v>
      </x:c>
      <x:c r="R274" s="14" t="n">
        <x:v>0.19999999999999996</x:v>
      </x:c>
      <x:c r="S274" t="n">
        <x:v>1811</x:v>
      </x:c>
      <x:c r="T274" t="n">
        <x:v>294.05556367415204</x:v>
      </x:c>
      <x:c r="U274" s="14" t="n">
        <x:v>0.794932403326088</x:v>
      </x:c>
      <x:c r="V274" s="14" t="n">
        <x:v>0.2059073426488227</x:v>
      </x:c>
      <x:c r="W274" s="14" t="n">
        <x:v>0.13297592333683567</x:v>
      </x:c>
      <x:c r="X274" s="14" t="n">
        <x:v>0.5472991780426807</x:v>
      </x:c>
      <x:c r="Y274" s="16" t="n">
        <x:v>72.85223367697594</x:v>
      </x:c>
      <x:c r="Z274" s="16" t="n">
        <x:v>83.21678321678321</x:v>
      </x:c>
      <x:c r="AA274" s="16" t="n">
        <x:v>72.1311475409836</x:v>
      </x:c>
      <x:c r="AB274" s="16" t="n">
        <x:v>87.37113402061856</x:v>
      </x:c>
      <x:c r="AC274" s="16" t="n">
        <x:v>66.32302405498282</x:v>
      </x:c>
      <x:c r="AD274" s="16" t="n">
        <x:v>83.41463414634147</x:v>
      </x:c>
      <x:c r="AE274" s="16" t="n">
        <x:v>76.8700147773539</x:v>
      </x:c>
      <x:c r="AF274" t="str">
        <x:v>검토</x:v>
      </x:c>
      <x:c r="AG274" t="str">
        <x:v>경쟁여건·직장수요 강점 / 안정성 상대적 약점</x:v>
      </x:c>
    </x:row>
    <x:row r="275">
      <x:c r="A275" t="str">
        <x:v>3130139</x:v>
      </x:c>
      <x:c r="B275" t="str">
        <x:v>강북종합전통시장(강북종합골목시장)</x:v>
      </x:c>
      <x:c r="C275" t="str">
        <x:v>전통시장</x:v>
      </x:c>
      <x:c r="D275" t="str">
        <x:v>강북구</x:v>
      </x:c>
      <x:c r="E275" t="str">
        <x:v>수유3동</x:v>
      </x:c>
      <x:c r="F275" t="str">
        <x:v>CS300009</x:v>
      </x:c>
      <x:c r="G275" t="str">
        <x:v>청과상</x:v>
      </x:c>
      <x:c r="H275" t="n">
        <x:v>4213614512</x:v>
      </x:c>
      <x:c r="I275" t="n">
        <x:v>249215</x:v>
      </x:c>
      <x:c r="J275" t="n">
        <x:v>16907.547747928496</x:v>
      </x:c>
      <x:c r="K275" s="14" t="n">
        <x:v>0.8006857089776056</x:v>
      </x:c>
      <x:c r="L275" s="14" t="n">
        <x:v>0.19728256051488424</x:v>
      </x:c>
      <x:c r="M275" s="14" t="n">
        <x:v>0.09797365727115581</x:v>
      </x:c>
      <x:c r="N275" t="n">
        <x:v>36</x:v>
      </x:c>
      <x:c r="O275" t="n">
        <x:v>0</x:v>
      </x:c>
      <x:c r="P275" s="14" t="n">
        <x:v>0</x:v>
      </x:c>
      <x:c r="Q275" s="14" t="n">
        <x:v>0</x:v>
      </x:c>
      <x:c r="R275" s="14" t="n">
        <x:v>0</x:v>
      </x:c>
      <x:c r="S275" t="n">
        <x:v>278</x:v>
      </x:c>
      <x:c r="T275" t="n">
        <x:v>37.1156593369915</x:v>
      </x:c>
      <x:c r="U275" s="14" t="n">
        <x:v>0.7713333466419389</x:v>
      </x:c>
      <x:c r="V275" s="14" t="n">
        <x:v>0.22883176860484478</x:v>
      </x:c>
      <x:c r="W275" s="14" t="n">
        <x:v>0.16684719164456874</x:v>
      </x:c>
      <x:c r="X275" s="14" t="n">
        <x:v>0.6584151943892869</x:v>
      </x:c>
      <x:c r="Y275" s="16" t="n">
        <x:v>91.20879120879121</x:v>
      </x:c>
      <x:c r="Z275" s="16" t="n">
        <x:v>97.70992366412214</x:v>
      </x:c>
      <x:c r="AA275" s="16" t="n">
        <x:v>95.08196721311475</x:v>
      </x:c>
      <x:c r="AB275" s="16" t="n">
        <x:v>18.86446886446886</x:v>
      </x:c>
      <x:c r="AC275" s="16" t="n">
        <x:v>69.5970695970696</x:v>
      </x:c>
      <x:c r="AD275" s="16" t="n">
        <x:v>26.951219512195124</x:v>
      </x:c>
      <x:c r="AE275" s="16" t="n">
        <x:v>76.86429500285561</x:v>
      </x:c>
      <x:c r="AF275" t="str">
        <x:v>검토</x:v>
      </x:c>
      <x:c r="AG275" t="str">
        <x:v>상권 모멘텀·서울 업종추세 강점 / 경쟁여건 상대적 약점</x:v>
      </x:c>
    </x:row>
    <x:row r="276">
      <x:c r="A276" t="str">
        <x:v>3120017</x:v>
      </x:c>
      <x:c r="B276" t="str">
        <x:v>동묘앞역(동묘)</x:v>
      </x:c>
      <x:c r="C276" t="str">
        <x:v>발달상권</x:v>
      </x:c>
      <x:c r="D276" t="str">
        <x:v>종로구</x:v>
      </x:c>
      <x:c r="E276" t="str">
        <x:v>창신1동</x:v>
      </x:c>
      <x:c r="F276" t="str">
        <x:v>CS200028</x:v>
      </x:c>
      <x:c r="G276" t="str">
        <x:v>미용실</x:v>
      </x:c>
      <x:c r="H276" t="n">
        <x:v>246972018</x:v>
      </x:c>
      <x:c r="I276" t="n">
        <x:v>7416</x:v>
      </x:c>
      <x:c r="J276" t="n">
        <x:v>33302.59142394822</x:v>
      </x:c>
      <x:c r="K276" s="14" t="n">
        <x:v>0.056195983018507034</x:v>
      </x:c>
      <x:c r="L276" s="14" t="n">
        <x:v>0.02168887159425803</x:v>
      </x:c>
      <x:c r="M276" s="14" t="n">
        <x:v>-0.013481964371473865</x:v>
      </x:c>
      <x:c r="N276" t="n">
        <x:v>17</x:v>
      </x:c>
      <x:c r="O276" t="n">
        <x:v>0</x:v>
      </x:c>
      <x:c r="P276" s="14" t="n">
        <x:v>0</x:v>
      </x:c>
      <x:c r="Q276" s="14" t="n">
        <x:v>0</x:v>
      </x:c>
      <x:c r="R276" s="14" t="n">
        <x:v>0.3076923076923077</x:v>
      </x:c>
      <x:c r="S276" t="n">
        <x:v>705</x:v>
      </x:c>
      <x:c r="T276" t="n">
        <x:v>99.01963538301638</x:v>
      </x:c>
      <x:c r="U276" s="14" t="n">
        <x:v>0.7115173590232396</x:v>
      </x:c>
      <x:c r="V276" s="14" t="n">
        <x:v>0.4293313058647802</x:v>
      </x:c>
      <x:c r="W276" s="14" t="n">
        <x:v>0.5099025712297496</x:v>
      </x:c>
      <x:c r="X276" s="14" t="n">
        <x:v>0.4942376144005107</x:v>
      </x:c>
      <x:c r="Y276" s="16" t="n">
        <x:v>82.8111011638317</x:v>
      </x:c>
      <x:c r="Z276" s="16" t="n">
        <x:v>70.50359712230215</x:v>
      </x:c>
      <x:c r="AA276" s="16" t="n">
        <x:v>57.377049180327866</x:v>
      </x:c>
      <x:c r="AB276" s="16" t="n">
        <x:v>97.7170993733214</x:v>
      </x:c>
      <x:c r="AC276" s="16" t="n">
        <x:v>75.60429722470904</x:v>
      </x:c>
      <x:c r="AD276" s="16" t="n">
        <x:v>59.02439024390244</x:v>
      </x:c>
      <x:c r="AE276" s="16" t="n">
        <x:v>76.86037634951494</x:v>
      </x:c>
      <x:c r="AF276" t="str">
        <x:v>검토</x:v>
      </x:c>
      <x:c r="AG276" t="str">
        <x:v>경쟁여건·수요 강점 / 서울 업종추세 상대적 약점</x:v>
      </x:c>
    </x:row>
    <x:row r="277">
      <x:c r="A277" t="str">
        <x:v>3110128</x:v>
      </x:c>
      <x:c r="B277" t="str">
        <x:v>성원중학교</x:v>
      </x:c>
      <x:c r="C277" t="str">
        <x:v>골목상권</x:v>
      </x:c>
      <x:c r="D277" t="str">
        <x:v>성동구</x:v>
      </x:c>
      <x:c r="E277" t="str">
        <x:v>성수1가1동</x:v>
      </x:c>
      <x:c r="F277" t="str">
        <x:v>CS200028</x:v>
      </x:c>
      <x:c r="G277" t="str">
        <x:v>미용실</x:v>
      </x:c>
      <x:c r="H277" t="n">
        <x:v>303100966</x:v>
      </x:c>
      <x:c r="I277" t="n">
        <x:v>6482</x:v>
      </x:c>
      <x:c r="J277" t="n">
        <x:v>46760.40820734341</x:v>
      </x:c>
      <x:c r="K277" s="14" t="n">
        <x:v>0.19098965098055176</x:v>
      </x:c>
      <x:c r="L277" s="14" t="n">
        <x:v>0.02168887159425803</x:v>
      </x:c>
      <x:c r="M277" s="14" t="n">
        <x:v>-0.013481964371473865</x:v>
      </x:c>
      <x:c r="N277" t="n">
        <x:v>49</x:v>
      </x:c>
      <x:c r="O277" t="n">
        <x:v>0</x:v>
      </x:c>
      <x:c r="P277" s="14" t="n">
        <x:v>0</x:v>
      </x:c>
      <x:c r="Q277" s="14" t="n">
        <x:v>0.16326530612244897</x:v>
      </x:c>
      <x:c r="R277" s="14" t="n">
        <x:v>0.3999999999999999</x:v>
      </x:c>
      <x:c r="S277" t="n">
        <x:v>1406</x:v>
      </x:c>
      <x:c r="T277" t="n">
        <x:v>56.84482898035093</x:v>
      </x:c>
      <x:c r="U277" s="14" t="n">
        <x:v>0.630799896559881</x:v>
      </x:c>
      <x:c r="V277" s="14" t="n">
        <x:v>0.4082336049037864</x:v>
      </x:c>
      <x:c r="W277" s="14" t="n">
        <x:v>0.27516640115228136</x:v>
      </x:c>
      <x:c r="X277" s="14" t="n">
        <x:v>0.67437103120285</x:v>
      </x:c>
      <x:c r="Y277" s="16" t="n">
        <x:v>86.66069829901522</x:v>
      </x:c>
      <x:c r="Z277" s="16" t="n">
        <x:v>94.42446043165468</x:v>
      </x:c>
      <x:c r="AA277" s="16" t="n">
        <x:v>57.377049180327866</x:v>
      </x:c>
      <x:c r="AB277" s="16" t="n">
        <x:v>62.89167412712623</x:v>
      </x:c>
      <x:c r="AC277" s="16" t="n">
        <x:v>75.60429722470904</x:v>
      </x:c>
      <x:c r="AD277" s="16" t="n">
        <x:v>40.548780487804876</x:v>
      </x:c>
      <x:c r="AE277" s="16" t="n">
        <x:v>76.84431373396552</x:v>
      </x:c>
      <x:c r="AF277" t="str">
        <x:v>검토</x:v>
      </x:c>
      <x:c r="AG277" t="str">
        <x:v>상권 모멘텀·수요 강점 / 직장수요 상대적 약점</x:v>
      </x:c>
    </x:row>
    <x:row r="278">
      <x:c r="A278" t="str">
        <x:v>3120045</x:v>
      </x:c>
      <x:c r="B278" t="str">
        <x:v>남영동 먹자골목</x:v>
      </x:c>
      <x:c r="C278" t="str">
        <x:v>발달상권</x:v>
      </x:c>
      <x:c r="D278" t="str">
        <x:v>용산구</x:v>
      </x:c>
      <x:c r="E278" t="str">
        <x:v>남영동</x:v>
      </x:c>
      <x:c r="F278" t="str">
        <x:v>CS200037</x:v>
      </x:c>
      <x:c r="G278" t="str">
        <x:v>노래방</x:v>
      </x:c>
      <x:c r="H278" t="n">
        <x:v>436837085</x:v>
      </x:c>
      <x:c r="I278" t="n">
        <x:v>9919</x:v>
      </x:c>
      <x:c r="J278" t="n">
        <x:v>44040.43603185805</x:v>
      </x:c>
      <x:c r="K278" s="14" t="n">
        <x:v>0.18561138849690573</x:v>
      </x:c>
      <x:c r="L278" s="14" t="n">
        <x:v>-0.038104861974415316</x:v>
      </x:c>
      <x:c r="M278" s="14" t="n">
        <x:v>0.05972019768270753</x:v>
      </x:c>
      <x:c r="N278" t="n">
        <x:v>10</x:v>
      </x:c>
      <x:c r="O278" t="n">
        <x:v>0</x:v>
      </x:c>
      <x:c r="P278" s="14" t="n">
        <x:v>0</x:v>
      </x:c>
      <x:c r="Q278" s="14" t="n">
        <x:v>0.1</x:v>
      </x:c>
      <x:c r="R278" s="14" t="n">
        <x:v>-0.23076923076923073</x:v>
      </x:c>
      <x:c r="S278" t="n">
        <x:v>3277</x:v>
      </x:c>
      <x:c r="T278" t="n">
        <x:v>490.05533123971884</x:v>
      </x:c>
      <x:c r="U278" s="14" t="n">
        <x:v>0.6242310883472725</x:v>
      </x:c>
      <x:c r="V278" s="14" t="n">
        <x:v>0.630602898561142</x:v>
      </x:c>
      <x:c r="W278" s="14" t="n">
        <x:v>0.4757025928785327</x:v>
      </x:c>
      <x:c r="X278" s="14" t="n">
        <x:v>0.2134192430113849</x:v>
      </x:c>
      <x:c r="Y278" s="16" t="n">
        <x:v>89.04382470119522</x:v>
      </x:c>
      <x:c r="Z278" s="16" t="n">
        <x:v>90</x:v>
      </x:c>
      <x:c r="AA278" s="16" t="n">
        <x:v>27.868852459016395</x:v>
      </x:c>
      <x:c r="AB278" s="16" t="n">
        <x:v>78.58565737051794</x:v>
      </x:c>
      <x:c r="AC278" s="16" t="n">
        <x:v>72.11155378486056</x:v>
      </x:c>
      <x:c r="AD278" s="16" t="n">
        <x:v>89.8780487804878</x:v>
      </x:c>
      <x:c r="AE278" s="16" t="n">
        <x:v>76.83857293735892</x:v>
      </x:c>
      <x:c r="AF278" t="str">
        <x:v>검토</x:v>
      </x:c>
      <x:c r="AG278" t="str">
        <x:v>상권 모멘텀·직장수요 강점 / 서울 업종추세 상대적 약점</x:v>
      </x:c>
    </x:row>
    <x:row r="279">
      <x:c r="A279" t="str">
        <x:v>3120160</x:v>
      </x:c>
      <x:c r="B279" t="str">
        <x:v>사당역(사당)</x:v>
      </x:c>
      <x:c r="C279" t="str">
        <x:v>발달상권</x:v>
      </x:c>
      <x:c r="D279" t="str">
        <x:v>서초구</x:v>
      </x:c>
      <x:c r="E279" t="str">
        <x:v>방배2동</x:v>
      </x:c>
      <x:c r="F279" t="str">
        <x:v>CS300011</x:v>
      </x:c>
      <x:c r="G279" t="str">
        <x:v>일반의류</x:v>
      </x:c>
      <x:c r="H279" t="n">
        <x:v>1596826942</x:v>
      </x:c>
      <x:c r="I279" t="n">
        <x:v>22252</x:v>
      </x:c>
      <x:c r="J279" t="n">
        <x:v>71761.05257954341</x:v>
      </x:c>
      <x:c r="K279" s="14" t="n">
        <x:v>0.03495361775173156</x:v>
      </x:c>
      <x:c r="L279" s="14" t="n">
        <x:v>0.06726691045630595</x:v>
      </x:c>
      <x:c r="M279" s="14" t="n">
        <x:v>0.00788849516466894</x:v>
      </x:c>
      <x:c r="N279" t="n">
        <x:v>30</x:v>
      </x:c>
      <x:c r="O279" t="n">
        <x:v>0</x:v>
      </x:c>
      <x:c r="P279" s="14" t="n">
        <x:v>0</x:v>
      </x:c>
      <x:c r="Q279" s="14" t="n">
        <x:v>0</x:v>
      </x:c>
      <x:c r="R279" s="14" t="n">
        <x:v>-0.2682926829268293</x:v>
      </x:c>
      <x:c r="S279" t="n">
        <x:v>12897</x:v>
      </x:c>
      <x:c r="T279" t="n">
        <x:v>507.2426717848476</x:v>
      </x:c>
      <x:c r="U279" s="14" t="n">
        <x:v>0.738007050735245</x:v>
      </x:c>
      <x:c r="V279" s="14" t="n">
        <x:v>0.2981960232983093</x:v>
      </x:c>
      <x:c r="W279" s="14" t="n">
        <x:v>0.07839990653163717</x:v>
      </x:c>
      <x:c r="X279" s="14" t="n">
        <x:v>0.8725366771773819</x:v>
      </x:c>
      <x:c r="Y279" s="16" t="n">
        <x:v>87.04358068315665</x:v>
      </x:c>
      <x:c r="Z279" s="16" t="n">
        <x:v>42.35860409145608</x:v>
      </x:c>
      <x:c r="AA279" s="16" t="n">
        <x:v>81.9672131147541</x:v>
      </x:c>
      <x:c r="AB279" s="16" t="n">
        <x:v>83.03886925795052</x:v>
      </x:c>
      <x:c r="AC279" s="16" t="n">
        <x:v>86.33686690223793</x:v>
      </x:c>
      <x:c r="AD279" s="16" t="n">
        <x:v>90.1829268292683</x:v>
      </x:c>
      <x:c r="AE279" s="16" t="n">
        <x:v>76.83071944498894</x:v>
      </x:c>
      <x:c r="AF279" t="str">
        <x:v>검토</x:v>
      </x:c>
      <x:c r="AG279" t="str">
        <x:v>직장수요·수요 강점 / 상권 모멘텀 상대적 약점</x:v>
      </x:c>
    </x:row>
    <x:row r="280">
      <x:c r="A280" t="str">
        <x:v>3130066</x:v>
      </x:c>
      <x:c r="B280" t="str">
        <x:v>행당시장상점가</x:v>
      </x:c>
      <x:c r="C280" t="str">
        <x:v>전통시장</x:v>
      </x:c>
      <x:c r="D280" t="str">
        <x:v>성동구</x:v>
      </x:c>
      <x:c r="E280" t="str">
        <x:v>행당1동</x:v>
      </x:c>
      <x:c r="F280" t="str">
        <x:v>CS200030</x:v>
      </x:c>
      <x:c r="G280" t="str">
        <x:v>피부관리실</x:v>
      </x:c>
      <x:c r="H280" t="n">
        <x:v>98666595</x:v>
      </x:c>
      <x:c r="I280" t="n">
        <x:v>268</x:v>
      </x:c>
      <x:c r="J280" t="n">
        <x:v>368158.9365671642</x:v>
      </x:c>
      <x:c r="K280" s="14" t="n">
        <x:v>0.25446737823196597</x:v>
      </x:c>
      <x:c r="L280" s="14" t="n">
        <x:v>0.11857168683779085</x:v>
      </x:c>
      <x:c r="M280" s="14" t="n">
        <x:v>0.0314283578178467</x:v>
      </x:c>
      <x:c r="N280" t="n">
        <x:v>20</x:v>
      </x:c>
      <x:c r="O280" t="n">
        <x:v>0</x:v>
      </x:c>
      <x:c r="P280" s="14" t="n">
        <x:v>0</x:v>
      </x:c>
      <x:c r="Q280" s="14" t="n">
        <x:v>0.05</x:v>
      </x:c>
      <x:c r="R280" s="14" t="n">
        <x:v>0.33333333333333326</x:v>
      </x:c>
      <x:c r="S280" t="n">
        <x:v>625</x:v>
      </x:c>
      <x:c r="T280" t="n">
        <x:v>77.15287379024294</x:v>
      </x:c>
      <x:c r="U280" s="14" t="n">
        <x:v>0.8867454481428086</x:v>
      </x:c>
      <x:c r="V280" s="14" t="n">
        <x:v>0.4081798201306126</x:v>
      </x:c>
      <x:c r="W280" s="14" t="n">
        <x:v>0.8959501541529836</x:v>
      </x:c>
      <x:c r="X280" s="14" t="n">
        <x:v>0.9394455235837418</x:v>
      </x:c>
      <x:c r="Y280" s="16" t="n">
        <x:v>75.68238213399503</x:v>
      </x:c>
      <x:c r="Z280" s="16" t="n">
        <x:v>77.71883289124668</x:v>
      </x:c>
      <x:c r="AA280" s="16" t="n">
        <x:v>91.80327868852459</x:v>
      </x:c>
      <x:c r="AB280" s="16" t="n">
        <x:v>70.47146401985111</x:v>
      </x:c>
      <x:c r="AC280" s="16" t="n">
        <x:v>79.15632754342431</x:v>
      </x:c>
      <x:c r="AD280" s="16" t="n">
        <x:v>50.73170731707317</x:v>
      </x:c>
      <x:c r="AE280" s="16" t="n">
        <x:v>76.82602985160003</x:v>
      </x:c>
      <x:c r="AF280" t="str">
        <x:v>검토</x:v>
      </x:c>
      <x:c r="AG280" t="str">
        <x:v>서울 업종추세·안정성 강점 / 직장수요 상대적 약점</x:v>
      </x:c>
    </x:row>
    <x:row r="281">
      <x:c r="A281" t="str">
        <x:v>3110997</x:v>
      </x:c>
      <x:c r="B281" t="str">
        <x:v>대청초등학교</x:v>
      </x:c>
      <x:c r="C281" t="str">
        <x:v>골목상권</x:v>
      </x:c>
      <x:c r="D281" t="str">
        <x:v>강남구</x:v>
      </x:c>
      <x:c r="E281" t="str">
        <x:v>일원1동</x:v>
      </x:c>
      <x:c r="F281" t="str">
        <x:v>CS100008</x:v>
      </x:c>
      <x:c r="G281" t="str">
        <x:v>분식전문점</x:v>
      </x:c>
      <x:c r="H281" t="n">
        <x:v>748262104</x:v>
      </x:c>
      <x:c r="I281" t="n">
        <x:v>55489</x:v>
      </x:c>
      <x:c r="J281" t="n">
        <x:v>13484.872749553966</x:v>
      </x:c>
      <x:c r="K281" s="14" t="n">
        <x:v>0.13814966145666663</x:v>
      </x:c>
      <x:c r="L281" s="14" t="n">
        <x:v>-0.021494731595524064</x:v>
      </x:c>
      <x:c r="M281" s="14" t="n">
        <x:v>0.009923521656473921</x:v>
      </x:c>
      <x:c r="N281" t="n">
        <x:v>16</x:v>
      </x:c>
      <x:c r="O281" t="n">
        <x:v>0</x:v>
      </x:c>
      <x:c r="P281" s="14" t="n">
        <x:v>0</x:v>
      </x:c>
      <x:c r="Q281" s="14" t="n">
        <x:v>0.125</x:v>
      </x:c>
      <x:c r="R281" s="14" t="n">
        <x:v>0.06666666666666665</x:v>
      </x:c>
      <x:c r="S281" t="n">
        <x:v>1822</x:v>
      </x:c>
      <x:c r="T281" t="n">
        <x:v>76.88931652065293</x:v>
      </x:c>
      <x:c r="U281" s="14" t="n">
        <x:v>0.8009426319951651</x:v>
      </x:c>
      <x:c r="V281" s="14" t="n">
        <x:v>0.30291264088926784</x:v>
      </x:c>
      <x:c r="W281" s="14" t="n">
        <x:v>0.1973355141342291</x:v>
      </x:c>
      <x:c r="X281" s="14" t="n">
        <x:v>0.41550804101660077</x:v>
      </x:c>
      <x:c r="Y281" s="16" t="n">
        <x:v>87.5</x:v>
      </x:c>
      <x:c r="Z281" s="16" t="n">
        <x:v>85.77023498694517</x:v>
      </x:c>
      <x:c r="AA281" s="16" t="n">
        <x:v>34.42622950819672</x:v>
      </x:c>
      <x:c r="AB281" s="16" t="n">
        <x:v>87.1811224489796</x:v>
      </x:c>
      <x:c r="AC281" s="16" t="n">
        <x:v>82.71683673469389</x:v>
      </x:c>
      <x:c r="AD281" s="16" t="n">
        <x:v>50.670731707317074</x:v>
      </x:c>
      <x:c r="AE281" s="16" t="n">
        <x:v>76.82537004980071</x:v>
      </x:c>
      <x:c r="AF281" t="str">
        <x:v>검토</x:v>
      </x:c>
      <x:c r="AG281" t="str">
        <x:v>수요·경쟁여건 강점 / 서울 업종추세 상대적 약점</x:v>
      </x:c>
    </x:row>
    <x:row r="282">
      <x:c r="A282" t="str">
        <x:v>3120215</x:v>
      </x:c>
      <x:c r="B282" t="str">
        <x:v>포스코사거리</x:v>
      </x:c>
      <x:c r="C282" t="str">
        <x:v>발달상권</x:v>
      </x:c>
      <x:c r="D282" t="str">
        <x:v>강남구</x:v>
      </x:c>
      <x:c r="E282" t="str">
        <x:v>삼성2동</x:v>
      </x:c>
      <x:c r="F282" t="str">
        <x:v>CS100002</x:v>
      </x:c>
      <x:c r="G282" t="str">
        <x:v>중식음식점</x:v>
      </x:c>
      <x:c r="H282" t="n">
        <x:v>4385950423</x:v>
      </x:c>
      <x:c r="I282" t="n">
        <x:v>51813</x:v>
      </x:c>
      <x:c r="J282" t="n">
        <x:v>84649.61347538262</x:v>
      </x:c>
      <x:c r="K282" s="14" t="n">
        <x:v>0.13454155240064347</x:v>
      </x:c>
      <x:c r="L282" s="14" t="n">
        <x:v>-0.02375238205614094</x:v>
      </x:c>
      <x:c r="M282" s="14" t="n">
        <x:v>0.025085263877023367</x:v>
      </x:c>
      <x:c r="N282" t="n">
        <x:v>10</x:v>
      </x:c>
      <x:c r="O282" t="n">
        <x:v>1</x:v>
      </x:c>
      <x:c r="P282" s="14" t="n">
        <x:v>0.06666666666666667</x:v>
      </x:c>
      <x:c r="Q282" s="14" t="n">
        <x:v>0</x:v>
      </x:c>
      <x:c r="R282" s="14" t="n">
        <x:v>-0.33333333333333337</x:v>
      </x:c>
      <x:c r="S282" t="n">
        <x:v>94741</x:v>
      </x:c>
      <x:c r="T282" t="n">
        <x:v>2973.4233866664995</x:v>
      </x:c>
      <x:c r="U282" s="14" t="n">
        <x:v>0.8246970444608694</x:v>
      </x:c>
      <x:c r="V282" s="14" t="n">
        <x:v>0.5521021820724762</x:v>
      </x:c>
      <x:c r="W282" s="14" t="n">
        <x:v>0.19354769505564928</x:v>
      </x:c>
      <x:c r="X282" s="14" t="n">
        <x:v>0.16839279443902644</x:v>
      </x:c>
      <x:c r="Y282" s="16" t="n">
        <x:v>98.16933638443936</x:v>
      </x:c>
      <x:c r="Z282" s="16" t="n">
        <x:v>94.17249417249417</x:v>
      </x:c>
      <x:c r="AA282" s="16" t="n">
        <x:v>32.78688524590164</x:v>
      </x:c>
      <x:c r="AB282" s="16" t="n">
        <x:v>82.837528604119</x:v>
      </x:c>
      <x:c r="AC282" s="16" t="n">
        <x:v>12.92906178489703</x:v>
      </x:c>
      <x:c r="AD282" s="16" t="n">
        <x:v>99.45121951219512</x:v>
      </x:c>
      <x:c r="AE282" s="16" t="n">
        <x:v>76.80289580065516</x:v>
      </x:c>
      <x:c r="AF282" t="str">
        <x:v>검토</x:v>
      </x:c>
      <x:c r="AG282" t="str">
        <x:v>직장수요·수요 강점 / 안정성 상대적 약점</x:v>
      </x:c>
    </x:row>
    <x:row r="283">
      <x:c r="A283" t="str">
        <x:v>3130056</x:v>
      </x:c>
      <x:c r="B283" t="str">
        <x:v>용산용문시장</x:v>
      </x:c>
      <x:c r="C283" t="str">
        <x:v>전통시장</x:v>
      </x:c>
      <x:c r="D283" t="str">
        <x:v>용산구</x:v>
      </x:c>
      <x:c r="E283" t="str">
        <x:v>용문동</x:v>
      </x:c>
      <x:c r="F283" t="str">
        <x:v>CS300007</x:v>
      </x:c>
      <x:c r="G283" t="str">
        <x:v>육류판매</x:v>
      </x:c>
      <x:c r="H283" t="n">
        <x:v>1777479252</x:v>
      </x:c>
      <x:c r="I283" t="n">
        <x:v>53904</x:v>
      </x:c>
      <x:c r="J283" t="n">
        <x:v>32974.90449688335</x:v>
      </x:c>
      <x:c r="K283" s="14" t="n">
        <x:v>0.05663434741536566</x:v>
      </x:c>
      <x:c r="L283" s="14" t="n">
        <x:v>0.23518223683931017</x:v>
      </x:c>
      <x:c r="M283" s="14" t="n">
        <x:v>0.00863079289162072</x:v>
      </x:c>
      <x:c r="N283" t="n">
        <x:v>14</x:v>
      </x:c>
      <x:c r="O283" t="n">
        <x:v>0</x:v>
      </x:c>
      <x:c r="P283" s="14" t="n">
        <x:v>0</x:v>
      </x:c>
      <x:c r="Q283" s="14" t="n">
        <x:v>0</x:v>
      </x:c>
      <x:c r="R283" s="14" t="n">
        <x:v>0</x:v>
      </x:c>
      <x:c r="S283" t="n">
        <x:v>909</x:v>
      </x:c>
      <x:c r="T283" t="n">
        <x:v>225.86095512597524</x:v>
      </x:c>
      <x:c r="U283" s="14" t="n">
        <x:v>0.78776687627969</x:v>
      </x:c>
      <x:c r="V283" s="14" t="n">
        <x:v>0.1975864841206034</x:v>
      </x:c>
      <x:c r="W283" s="14" t="n">
        <x:v>0.07940020669225792</x:v>
      </x:c>
      <x:c r="X283" s="14" t="n">
        <x:v>0.5978863515870733</x:v>
      </x:c>
      <x:c r="Y283" s="16" t="n">
        <x:v>82.67326732673267</x:v>
      </x:c>
      <x:c r="Z283" s="16" t="n">
        <x:v>68.83116883116882</x:v>
      </x:c>
      <x:c r="AA283" s="16" t="n">
        <x:v>100</x:v>
      </x:c>
      <x:c r="AB283" s="16" t="n">
        <x:v>56.43564356435643</x:v>
      </x:c>
      <x:c r="AC283" s="16" t="n">
        <x:v>66.83168316831683</x:v>
      </x:c>
      <x:c r="AD283" s="16" t="n">
        <x:v>78.78048780487805</x:v>
      </x:c>
      <x:c r="AE283" s="16" t="n">
        <x:v>76.78941657231925</x:v>
      </x:c>
      <x:c r="AF283" t="str">
        <x:v>검토</x:v>
      </x:c>
      <x:c r="AG283" t="str">
        <x:v>서울 업종추세·수요 강점 / 경쟁여건 상대적 약점</x:v>
      </x:c>
    </x:row>
    <x:row r="284">
      <x:c r="A284" t="str">
        <x:v>3130261</x:v>
      </x:c>
      <x:c r="B284" t="str">
        <x:v>성대전통시장(성대시장)</x:v>
      </x:c>
      <x:c r="C284" t="str">
        <x:v>전통시장</x:v>
      </x:c>
      <x:c r="D284" t="str">
        <x:v>동작구</x:v>
      </x:c>
      <x:c r="E284" t="str">
        <x:v>상도3동</x:v>
      </x:c>
      <x:c r="F284" t="str">
        <x:v>CS300010</x:v>
      </x:c>
      <x:c r="G284" t="str">
        <x:v>반찬가게</x:v>
      </x:c>
      <x:c r="H284" t="n">
        <x:v>1284664909</x:v>
      </x:c>
      <x:c r="I284" t="n">
        <x:v>78719</x:v>
      </x:c>
      <x:c r="J284" t="n">
        <x:v>16319.6294287275</x:v>
      </x:c>
      <x:c r="K284" s="14" t="n">
        <x:v>0.12601645327125333</x:v>
      </x:c>
      <x:c r="L284" s="14" t="n">
        <x:v>0.02346021551670452</x:v>
      </x:c>
      <x:c r="M284" s="14" t="n">
        <x:v>0.024589273784872745</x:v>
      </x:c>
      <x:c r="N284" t="n">
        <x:v>12</x:v>
      </x:c>
      <x:c r="O284" t="n">
        <x:v>0</x:v>
      </x:c>
      <x:c r="P284" s="14" t="n">
        <x:v>0</x:v>
      </x:c>
      <x:c r="Q284" s="14" t="n">
        <x:v>0</x:v>
      </x:c>
      <x:c r="R284" s="14" t="n">
        <x:v>0.19999999999999996</x:v>
      </x:c>
      <x:c r="S284" t="n">
        <x:v>389</x:v>
      </x:c>
      <x:c r="T284" t="n">
        <x:v>73.26904241693664</x:v>
      </x:c>
      <x:c r="U284" s="14" t="n">
        <x:v>0.6631311854412923</x:v>
      </x:c>
      <x:c r="V284" s="14" t="n">
        <x:v>0.32729964993540583</x:v>
      </x:c>
      <x:c r="W284" s="14" t="n">
        <x:v>0.052034966108037435</x:v>
      </x:c>
      <x:c r="X284" s="14" t="n">
        <x:v>0.618176895341663</x:v>
      </x:c>
      <x:c r="Y284" s="16" t="n">
        <x:v>81.203007518797</x:v>
      </x:c>
      <x:c r="Z284" s="16" t="n">
        <x:v>77.22222222222223</x:v>
      </x:c>
      <x:c r="AA284" s="16" t="n">
        <x:v>63.9344262295082</x:v>
      </x:c>
      <x:c r="AB284" s="16" t="n">
        <x:v>89.84962406015038</x:v>
      </x:c>
      <x:c r="AC284" s="16" t="n">
        <x:v>73.93483709273183</x:v>
      </x:c>
      <x:c r="AD284" s="16" t="n">
        <x:v>48.96341463414634</x:v>
      </x:c>
      <x:c r="AE284" s="16" t="n">
        <x:v>76.77475906045268</x:v>
      </x:c>
      <x:c r="AF284" t="str">
        <x:v>검토</x:v>
      </x:c>
      <x:c r="AG284" t="str">
        <x:v>경쟁여건·수요 강점 / 직장수요 상대적 약점</x:v>
      </x:c>
    </x:row>
    <x:row r="285">
      <x:c r="A285" t="str">
        <x:v>3001495</x:v>
      </x:c>
      <x:c r="B285" t="str">
        <x:v>잠실 관광특구</x:v>
      </x:c>
      <x:c r="C285" t="str">
        <x:v>관광특구</x:v>
      </x:c>
      <x:c r="D285" t="str">
        <x:v>송파구</x:v>
      </x:c>
      <x:c r="E285" t="str">
        <x:v>방이2동</x:v>
      </x:c>
      <x:c r="F285" t="str">
        <x:v>CS200028</x:v>
      </x:c>
      <x:c r="G285" t="str">
        <x:v>미용실</x:v>
      </x:c>
      <x:c r="H285" t="n">
        <x:v>3962190284</x:v>
      </x:c>
      <x:c r="I285" t="n">
        <x:v>30387</x:v>
      </x:c>
      <x:c r="J285" t="n">
        <x:v>130390.96600519959</x:v>
      </x:c>
      <x:c r="K285" s="14" t="n">
        <x:v>0.07543522173463235</x:v>
      </x:c>
      <x:c r="L285" s="14" t="n">
        <x:v>0.02168887159425803</x:v>
      </x:c>
      <x:c r="M285" s="14" t="n">
        <x:v>-0.013481964371473865</x:v>
      </x:c>
      <x:c r="N285" t="n">
        <x:v>68</x:v>
      </x:c>
      <x:c r="O285" t="n">
        <x:v>0</x:v>
      </x:c>
      <x:c r="P285" s="14" t="n">
        <x:v>0</x:v>
      </x:c>
      <x:c r="Q285" s="14" t="n">
        <x:v>0.04411764705882353</x:v>
      </x:c>
      <x:c r="R285" s="14" t="n">
        <x:v>0.33333333333333326</x:v>
      </x:c>
      <x:c r="S285" t="n">
        <x:v>137602</x:v>
      </x:c>
      <x:c r="T285" t="n">
        <x:v>558.7367535430136</x:v>
      </x:c>
      <x:c r="U285" s="14" t="n">
        <x:v>0.5868403530212685</x:v>
      </x:c>
      <x:c r="V285" s="14" t="n">
        <x:v>0.28880430190868644</x:v>
      </x:c>
      <x:c r="W285" s="14" t="n">
        <x:v>0.2505894986945559</x:v>
      </x:c>
      <x:c r="X285" s="14" t="n">
        <x:v>0.616593910914754</x:v>
      </x:c>
      <x:c r="Y285" s="16" t="n">
        <x:v>99.46284691136974</x:v>
      </x:c>
      <x:c r="Z285" s="16" t="n">
        <x:v>78.3273381294964</x:v>
      </x:c>
      <x:c r="AA285" s="16" t="n">
        <x:v>57.377049180327866</x:v>
      </x:c>
      <x:c r="AB285" s="16" t="n">
        <x:v>37.063563115487916</x:v>
      </x:c>
      <x:c r="AC285" s="16" t="n">
        <x:v>75.60429722470904</x:v>
      </x:c>
      <x:c r="AD285" s="16" t="n">
        <x:v>91.34146341463415</x:v>
      </x:c>
      <x:c r="AE285" s="16" t="n">
        <x:v>76.77105878245365</x:v>
      </x:c>
      <x:c r="AF285" t="str">
        <x:v>검토</x:v>
      </x:c>
      <x:c r="AG285" t="str">
        <x:v>수요·직장수요 강점 / 경쟁여건 상대적 약점</x:v>
      </x:c>
    </x:row>
    <x:row r="286">
      <x:c r="A286" t="str">
        <x:v>3110404</x:v>
      </x:c>
      <x:c r="B286" t="str">
        <x:v>신창초등학교</x:v>
      </x:c>
      <x:c r="C286" t="str">
        <x:v>골목상권</x:v>
      </x:c>
      <x:c r="D286" t="str">
        <x:v>도봉구</x:v>
      </x:c>
      <x:c r="E286" t="str">
        <x:v>창3동</x:v>
      </x:c>
      <x:c r="F286" t="str">
        <x:v>CS300006</x:v>
      </x:c>
      <x:c r="G286" t="str">
        <x:v>미곡판매</x:v>
      </x:c>
      <x:c r="H286" t="n">
        <x:v>2147556069</x:v>
      </x:c>
      <x:c r="I286" t="n">
        <x:v>3865</x:v>
      </x:c>
      <x:c r="J286" t="n">
        <x:v>555641.9324708927</x:v>
      </x:c>
      <x:c r="K286" s="14" t="n">
        <x:v>0.7570176350582785</x:v>
      </x:c>
      <x:c r="L286" s="14" t="n">
        <x:v>0.004010265746541286</x:v>
      </x:c>
      <x:c r="M286" s="14" t="n">
        <x:v>-0.03215157263211299</x:v>
      </x:c>
      <x:c r="N286" t="n">
        <x:v>4</x:v>
      </x:c>
      <x:c r="O286" t="n">
        <x:v>0</x:v>
      </x:c>
      <x:c r="P286" s="14" t="n">
        <x:v>0</x:v>
      </x:c>
      <x:c r="Q286" s="14" t="n">
        <x:v>0</x:v>
      </x:c>
      <x:c r="R286" s="14" t="n">
        <x:v>0.33333333333333326</x:v>
      </x:c>
      <x:c r="S286" t="n">
        <x:v>390</x:v>
      </x:c>
      <x:c r="T286" t="n">
        <x:v>13.125037860686136</x:v>
      </x:c>
      <x:c r="U286" s="14" t="n">
        <x:v>1</x:v>
      </x:c>
      <x:c r="V286" s="14" t="n">
        <x:v>0.0003257926580356026</x:v>
      </x:c>
      <x:c r="W286" s="14" t="n">
        <x:v>0.0005972868501623275</x:v>
      </x:c>
      <x:c r="X286" s="14" t="n">
        <x:v>0.7220814121617236</x:v>
      </x:c>
      <x:c r="Y286" s="16" t="n">
        <x:v>85.71428571428571</x:v>
      </x:c>
      <x:c r="Z286" s="16" t="n">
        <x:v>94.23076923076923</x:v>
      </x:c>
      <x:c r="AA286" s="16" t="n">
        <x:v>45.90163934426229</x:v>
      </x:c>
      <x:c r="AB286" s="16" t="n">
        <x:v>94.64285714285714</x:v>
      </x:c>
      <x:c r="AC286" s="16" t="n">
        <x:v>65.17857142857143</x:v>
      </x:c>
      <x:c r="AD286" s="16" t="n">
        <x:v>6.463414634146342</x:v>
      </x:c>
      <x:c r="AE286" s="16" t="n">
        <x:v>76.76885619378622</x:v>
      </x:c>
      <x:c r="AF286" t="str">
        <x:v>검토</x:v>
      </x:c>
      <x:c r="AG286" t="str">
        <x:v>경쟁여건·상권 모멘텀 강점 / 직장수요 상대적 약점</x:v>
      </x:c>
    </x:row>
    <x:row r="287">
      <x:c r="A287" t="str">
        <x:v>3110997</x:v>
      </x:c>
      <x:c r="B287" t="str">
        <x:v>대청초등학교</x:v>
      </x:c>
      <x:c r="C287" t="str">
        <x:v>골목상권</x:v>
      </x:c>
      <x:c r="D287" t="str">
        <x:v>강남구</x:v>
      </x:c>
      <x:c r="E287" t="str">
        <x:v>일원1동</x:v>
      </x:c>
      <x:c r="F287" t="str">
        <x:v>CS100001</x:v>
      </x:c>
      <x:c r="G287" t="str">
        <x:v>한식음식점</x:v>
      </x:c>
      <x:c r="H287" t="n">
        <x:v>7008495171</x:v>
      </x:c>
      <x:c r="I287" t="n">
        <x:v>162784</x:v>
      </x:c>
      <x:c r="J287" t="n">
        <x:v>43053.955984617656</x:v>
      </x:c>
      <x:c r="K287" s="14" t="n">
        <x:v>0.05969534765473705</x:v>
      </x:c>
      <x:c r="L287" s="14" t="n">
        <x:v>-0.0018259958518723751</x:v>
      </x:c>
      <x:c r="M287" s="14" t="n">
        <x:v>0.06341040875687098</x:v>
      </x:c>
      <x:c r="N287" t="n">
        <x:v>81</x:v>
      </x:c>
      <x:c r="O287" t="n">
        <x:v>1</x:v>
      </x:c>
      <x:c r="P287" s="14" t="n">
        <x:v>0.011627906976744186</x:v>
      </x:c>
      <x:c r="Q287" s="14" t="n">
        <x:v>0.1728395061728395</x:v>
      </x:c>
      <x:c r="R287" s="14" t="n">
        <x:v>0</x:v>
      </x:c>
      <x:c r="S287" t="n">
        <x:v>1822</x:v>
      </x:c>
      <x:c r="T287" t="n">
        <x:v>76.88931652065293</x:v>
      </x:c>
      <x:c r="U287" s="14" t="n">
        <x:v>0.7419497758258496</x:v>
      </x:c>
      <x:c r="V287" s="14" t="n">
        <x:v>0.6648883589563938</x:v>
      </x:c>
      <x:c r="W287" s="14" t="n">
        <x:v>0.2389611652912131</x:v>
      </x:c>
      <x:c r="X287" s="14" t="n">
        <x:v>0.26683539752416846</x:v>
      </x:c>
      <x:c r="Y287" s="16" t="n">
        <x:v>90.1779359430605</x:v>
      </x:c>
      <x:c r="Z287" s="16" t="n">
        <x:v>76.76912080057184</x:v>
      </x:c>
      <x:c r="AA287" s="16" t="n">
        <x:v>40.98360655737705</x:v>
      </x:c>
      <x:c r="AB287" s="16" t="n">
        <x:v>80.14234875444839</x:v>
      </x:c>
      <x:c r="AC287" s="16" t="n">
        <x:v>91.49466192170819</x:v>
      </x:c>
      <x:c r="AD287" s="16" t="n">
        <x:v>50.670731707317074</x:v>
      </x:c>
      <x:c r="AE287" s="16" t="n">
        <x:v>76.76799781449603</x:v>
      </x:c>
      <x:c r="AF287" t="str">
        <x:v>검토</x:v>
      </x:c>
      <x:c r="AG287" t="str">
        <x:v>안정성·수요 강점 / 서울 업종추세 상대적 약점</x:v>
      </x:c>
    </x:row>
    <x:row r="288">
      <x:c r="A288" t="str">
        <x:v>3120063</x:v>
      </x:c>
      <x:c r="B288" t="str">
        <x:v>청량리역(청량리)</x:v>
      </x:c>
      <x:c r="C288" t="str">
        <x:v>발달상권</x:v>
      </x:c>
      <x:c r="D288" t="str">
        <x:v>동대문구</x:v>
      </x:c>
      <x:c r="E288" t="str">
        <x:v>전농1동</x:v>
      </x:c>
      <x:c r="F288" t="str">
        <x:v>CS200006</x:v>
      </x:c>
      <x:c r="G288" t="str">
        <x:v>일반의원</x:v>
      </x:c>
      <x:c r="H288" t="n">
        <x:v>10628022497</x:v>
      </x:c>
      <x:c r="I288" t="n">
        <x:v>257308</x:v>
      </x:c>
      <x:c r="J288" t="n">
        <x:v>41304.6718213192</x:v>
      </x:c>
      <x:c r="K288" s="14" t="n">
        <x:v>0.11592948729037089</x:v>
      </x:c>
      <x:c r="L288" s="14" t="n">
        <x:v>0.09973642051122278</x:v>
      </x:c>
      <x:c r="M288" s="14" t="n">
        <x:v>0.06942273842247415</x:v>
      </x:c>
      <x:c r="N288" t="n">
        <x:v>36</x:v>
      </x:c>
      <x:c r="O288" t="n">
        <x:v>0</x:v>
      </x:c>
      <x:c r="P288" s="14" t="n">
        <x:v>0</x:v>
      </x:c>
      <x:c r="Q288" s="14" t="n">
        <x:v>0</x:v>
      </x:c>
      <x:c r="R288" s="14" t="n">
        <x:v>0.5652173913043479</x:v>
      </x:c>
      <x:c r="S288" t="n">
        <x:v>1560</x:v>
      </x:c>
      <x:c r="T288" t="n">
        <x:v>49.221759804122634</x:v>
      </x:c>
      <x:c r="U288" s="14" t="n">
        <x:v>0.8374212122257234</x:v>
      </x:c>
      <x:c r="V288" s="14" t="n">
        <x:v>0.17912370984699846</x:v>
      </x:c>
      <x:c r="W288" s="14" t="n">
        <x:v>0.3310499708664664</x:v>
      </x:c>
      <x:c r="X288" s="14" t="n">
        <x:v>0.541423008242998</x:v>
      </x:c>
      <x:c r="Y288" s="16" t="n">
        <x:v>94.00386847195358</x:v>
      </x:c>
      <x:c r="Z288" s="16" t="n">
        <x:v>85.46511627906976</x:v>
      </x:c>
      <x:c r="AA288" s="16" t="n">
        <x:v>90.1639344262295</x:v>
      </x:c>
      <x:c r="AB288" s="16" t="n">
        <x:v>34.883720930232556</x:v>
      </x:c>
      <x:c r="AC288" s="16" t="n">
        <x:v>62.5</x:v>
      </x:c>
      <x:c r="AD288" s="16" t="n">
        <x:v>34.9390243902439</x:v>
      </x:c>
      <x:c r="AE288" s="16" t="n">
        <x:v>76.74847674397921</x:v>
      </x:c>
      <x:c r="AF288" t="str">
        <x:v>검토</x:v>
      </x:c>
      <x:c r="AG288" t="str">
        <x:v>수요·서울 업종추세 강점 / 경쟁여건 상대적 약점</x:v>
      </x:c>
    </x:row>
    <x:row r="289">
      <x:c r="A289" t="str">
        <x:v>3120122</x:v>
      </x:c>
      <x:c r="B289" t="str">
        <x:v>강서구청</x:v>
      </x:c>
      <x:c r="C289" t="str">
        <x:v>발달상권</x:v>
      </x:c>
      <x:c r="D289" t="str">
        <x:v>강서구</x:v>
      </x:c>
      <x:c r="E289" t="str">
        <x:v>화곡6동</x:v>
      </x:c>
      <x:c r="F289" t="str">
        <x:v>CS200006</x:v>
      </x:c>
      <x:c r="G289" t="str">
        <x:v>일반의원</x:v>
      </x:c>
      <x:c r="H289" t="n">
        <x:v>2045414810</x:v>
      </x:c>
      <x:c r="I289" t="n">
        <x:v>64438</x:v>
      </x:c>
      <x:c r="J289" t="n">
        <x:v>31742.36956454266</x:v>
      </x:c>
      <x:c r="K289" s="14" t="n">
        <x:v>0.3045449587033602</x:v>
      </x:c>
      <x:c r="L289" s="14" t="n">
        <x:v>0.09973642051122278</x:v>
      </x:c>
      <x:c r="M289" s="14" t="n">
        <x:v>0.06942273842247415</x:v>
      </x:c>
      <x:c r="N289" t="n">
        <x:v>15</x:v>
      </x:c>
      <x:c r="O289" t="n">
        <x:v>0</x:v>
      </x:c>
      <x:c r="P289" s="14" t="n">
        <x:v>0</x:v>
      </x:c>
      <x:c r="Q289" s="14" t="n">
        <x:v>0</x:v>
      </x:c>
      <x:c r="R289" s="14" t="n">
        <x:v>0.0714285714285714</x:v>
      </x:c>
      <x:c r="S289" t="n">
        <x:v>5982</x:v>
      </x:c>
      <x:c r="T289" t="n">
        <x:v>266.4398082987404</x:v>
      </x:c>
      <x:c r="U289" s="14" t="n">
        <x:v>0.8902818719690408</x:v>
      </x:c>
      <x:c r="V289" s="14" t="n">
        <x:v>0.18482248889162975</x:v>
      </x:c>
      <x:c r="W289" s="14" t="n">
        <x:v>0.1762392817523405</x:v>
      </x:c>
      <x:c r="X289" s="14" t="n">
        <x:v>0.5038927389989907</x:v>
      </x:c>
      <x:c r="Y289" s="16" t="n">
        <x:v>61.50870406189555</x:v>
      </x:c>
      <x:c r="Z289" s="16" t="n">
        <x:v>96.70542635658914</x:v>
      </x:c>
      <x:c r="AA289" s="16" t="n">
        <x:v>90.1639344262295</x:v>
      </x:c>
      <x:c r="AB289" s="16" t="n">
        <x:v>80.03875968992247</x:v>
      </x:c>
      <x:c r="AC289" s="16" t="n">
        <x:v>62.5</x:v>
      </x:c>
      <x:c r="AD289" s="16" t="n">
        <x:v>81.82926829268293</x:v>
      </x:c>
      <x:c r="AE289" s="16" t="n">
        <x:v>76.74099922503822</x:v>
      </x:c>
      <x:c r="AF289" t="str">
        <x:v>검토</x:v>
      </x:c>
      <x:c r="AG289" t="str">
        <x:v>상권 모멘텀·서울 업종추세 강점 / 수요 상대적 약점</x:v>
      </x:c>
    </x:row>
    <x:row r="290">
      <x:c r="A290" t="str">
        <x:v>3110622</x:v>
      </x:c>
      <x:c r="B290" t="str">
        <x:v>달마을공원</x:v>
      </x:c>
      <x:c r="C290" t="str">
        <x:v>골목상권</x:v>
      </x:c>
      <x:c r="D290" t="str">
        <x:v>양천구</x:v>
      </x:c>
      <x:c r="E290" t="str">
        <x:v>목2동</x:v>
      </x:c>
      <x:c r="F290" t="str">
        <x:v>CS200030</x:v>
      </x:c>
      <x:c r="G290" t="str">
        <x:v>피부관리실</x:v>
      </x:c>
      <x:c r="H290" t="n">
        <x:v>53349651</x:v>
      </x:c>
      <x:c r="I290" t="n">
        <x:v>192</x:v>
      </x:c>
      <x:c r="J290" t="n">
        <x:v>277862.765625</x:v>
      </x:c>
      <x:c r="K290" s="14" t="n">
        <x:v>1.0822890035511707</x:v>
      </x:c>
      <x:c r="L290" s="14" t="n">
        <x:v>0.11857168683779085</x:v>
      </x:c>
      <x:c r="M290" s="14" t="n">
        <x:v>0.0314283578178467</x:v>
      </x:c>
      <x:c r="N290" t="n">
        <x:v>17</x:v>
      </x:c>
      <x:c r="O290" t="n">
        <x:v>0</x:v>
      </x:c>
      <x:c r="P290" s="14" t="n">
        <x:v>0</x:v>
      </x:c>
      <x:c r="Q290" s="14" t="n">
        <x:v>0</x:v>
      </x:c>
      <x:c r="R290" s="14" t="n">
        <x:v>0.41666666666666674</x:v>
      </x:c>
      <x:c r="S290" t="n">
        <x:v>615</x:v>
      </x:c>
      <x:c r="T290" t="n">
        <x:v>68.05205152038242</x:v>
      </x:c>
      <x:c r="U290" s="14" t="n">
        <x:v>0.7565361205455683</x:v>
      </x:c>
      <x:c r="V290" s="14" t="n">
        <x:v>0.25291771824336773</x:v>
      </x:c>
      <x:c r="W290" s="14" t="n">
        <x:v>0.04022508038524938</x:v>
      </x:c>
      <x:c r="X290" s="14" t="n">
        <x:v>0.7461969713728774</x:v>
      </x:c>
      <x:c r="Y290" s="16" t="n">
        <x:v>63.77171215880893</x:v>
      </x:c>
      <x:c r="Z290" s="16" t="n">
        <x:v>94.6949602122016</x:v>
      </x:c>
      <x:c r="AA290" s="16" t="n">
        <x:v>91.80327868852459</x:v>
      </x:c>
      <x:c r="AB290" s="16" t="n">
        <x:v>76.30272952853598</x:v>
      </x:c>
      <x:c r="AC290" s="16" t="n">
        <x:v>79.15632754342431</x:v>
      </x:c>
      <x:c r="AD290" s="16" t="n">
        <x:v>46.707317073170735</x:v>
      </x:c>
      <x:c r="AE290" s="16" t="n">
        <x:v>76.72599113858348</x:v>
      </x:c>
      <x:c r="AF290" t="str">
        <x:v>검토</x:v>
      </x:c>
      <x:c r="AG290" t="str">
        <x:v>상권 모멘텀·서울 업종추세 강점 / 직장수요 상대적 약점</x:v>
      </x:c>
    </x:row>
    <x:row r="291">
      <x:c r="A291" t="str">
        <x:v>3110877</x:v>
      </x:c>
      <x:c r="B291" t="str">
        <x:v>신림역 8번</x:v>
      </x:c>
      <x:c r="C291" t="str">
        <x:v>골목상권</x:v>
      </x:c>
      <x:c r="D291" t="str">
        <x:v>관악구</x:v>
      </x:c>
      <x:c r="E291" t="str">
        <x:v>신림동</x:v>
      </x:c>
      <x:c r="F291" t="str">
        <x:v>CS200025</x:v>
      </x:c>
      <x:c r="G291" t="str">
        <x:v>자동차수리</x:v>
      </x:c>
      <x:c r="H291" t="n">
        <x:v>1280311737</x:v>
      </x:c>
      <x:c r="I291" t="n">
        <x:v>3859</x:v>
      </x:c>
      <x:c r="J291" t="n">
        <x:v>331772.9300336875</x:v>
      </x:c>
      <x:c r="K291" s="14" t="n">
        <x:v>0.12708045808738544</x:v>
      </x:c>
      <x:c r="L291" s="14" t="n">
        <x:v>0.02213950283587751</x:v>
      </x:c>
      <x:c r="M291" s="14" t="n">
        <x:v>0.024356161917000962</x:v>
      </x:c>
      <x:c r="N291" t="n">
        <x:v>7</x:v>
      </x:c>
      <x:c r="O291" t="n">
        <x:v>0</x:v>
      </x:c>
      <x:c r="P291" s="14" t="n">
        <x:v>0</x:v>
      </x:c>
      <x:c r="Q291" s="14" t="n">
        <x:v>0.14285714285714285</x:v>
      </x:c>
      <x:c r="R291" s="14" t="n">
        <x:v>-0.125</x:v>
      </x:c>
      <x:c r="S291" t="n">
        <x:v>557</x:v>
      </x:c>
      <x:c r="T291" t="n">
        <x:v>53.56902421666121</x:v>
      </x:c>
      <x:c r="U291" s="14" t="n">
        <x:v>0.8296158547205446</x:v>
      </x:c>
      <x:c r="V291" s="14" t="n">
        <x:v>0.2715459047611621</x:v>
      </x:c>
      <x:c r="W291" s="14" t="n">
        <x:v>0.21435304080165596</x:v>
      </x:c>
      <x:c r="X291" s="14" t="n">
        <x:v>0.1933913310676773</x:v>
      </x:c>
      <x:c r="Y291" s="16" t="n">
        <x:v>92.76139410187668</x:v>
      </x:c>
      <x:c r="Z291" s="16" t="n">
        <x:v>71.03825136612022</x:v>
      </x:c>
      <x:c r="AA291" s="16" t="n">
        <x:v>59.01639344262295</x:v>
      </x:c>
      <x:c r="AB291" s="16" t="n">
        <x:v>90.59139784946237</x:v>
      </x:c>
      <x:c r="AC291" s="16" t="n">
        <x:v>56.98924731182796</x:v>
      </x:c>
      <x:c r="AD291" s="16" t="n">
        <x:v>38.23170731707317</x:v>
      </x:c>
      <x:c r="AE291" s="16" t="n">
        <x:v>76.72581699973014</x:v>
      </x:c>
      <x:c r="AF291" t="str">
        <x:v>검토</x:v>
      </x:c>
      <x:c r="AG291" t="str">
        <x:v>수요·경쟁여건 강점 / 직장수요 상대적 약점</x:v>
      </x:c>
    </x:row>
    <x:row r="292">
      <x:c r="A292" t="str">
        <x:v>3130320</x:v>
      </x:c>
      <x:c r="B292" t="str">
        <x:v>암사종합시장</x:v>
      </x:c>
      <x:c r="C292" t="str">
        <x:v>전통시장</x:v>
      </x:c>
      <x:c r="D292" t="str">
        <x:v>강동구</x:v>
      </x:c>
      <x:c r="E292" t="str">
        <x:v>암사1동</x:v>
      </x:c>
      <x:c r="F292" t="str">
        <x:v>CS300019</x:v>
      </x:c>
      <x:c r="G292" t="str">
        <x:v>의료기기</x:v>
      </x:c>
      <x:c r="H292" t="n">
        <x:v>594048386</x:v>
      </x:c>
      <x:c r="I292" t="n">
        <x:v>1047</x:v>
      </x:c>
      <x:c r="J292" t="n">
        <x:v>567381.4574976122</x:v>
      </x:c>
      <x:c r="K292" s="14" t="n">
        <x:v>1.0197202367741522</x:v>
      </x:c>
      <x:c r="L292" s="14" t="n">
        <x:v>0.026268479822085578</x:v>
      </x:c>
      <x:c r="M292" s="14" t="n">
        <x:v>-0.00009912701459890982</x:v>
      </x:c>
      <x:c r="N292" t="n">
        <x:v>7</x:v>
      </x:c>
      <x:c r="O292" t="n">
        <x:v>0</x:v>
      </x:c>
      <x:c r="P292" s="14" t="n">
        <x:v>0</x:v>
      </x:c>
      <x:c r="Q292" s="14" t="n">
        <x:v>0</x:v>
      </x:c>
      <x:c r="R292" s="14" t="n">
        <x:v>-0.30000000000000004</x:v>
      </x:c>
      <x:c r="S292" t="n">
        <x:v>989</x:v>
      </x:c>
      <x:c r="T292" t="n">
        <x:v>265.85306846590146</x:v>
      </x:c>
      <x:c r="U292" s="14" t="n">
        <x:v>0.7644445312910925</x:v>
      </x:c>
      <x:c r="V292" s="14" t="n">
        <x:v>0.4728644242120708</x:v>
      </x:c>
      <x:c r="W292" s="14" t="n">
        <x:v>0</x:v>
      </x:c>
      <x:c r="X292" s="14" t="n">
        <x:v>0.17131586146587055</x:v>
      </x:c>
      <x:c r="Y292" s="16" t="n">
        <x:v>69.03225806451613</x:v>
      </x:c>
      <x:c r="Z292" s="16" t="n">
        <x:v>95.1048951048951</x:v>
      </x:c>
      <x:c r="AA292" s="16" t="n">
        <x:v>68.85245901639344</x:v>
      </x:c>
      <x:c r="AB292" s="16" t="n">
        <x:v>86.7741935483871</x:v>
      </x:c>
      <x:c r="AC292" s="16" t="n">
        <x:v>60.96774193548387</x:v>
      </x:c>
      <x:c r="AD292" s="16" t="n">
        <x:v>81.76829268292683</x:v>
      </x:c>
      <x:c r="AE292" s="16" t="n">
        <x:v>76.71145605597148</x:v>
      </x:c>
      <x:c r="AF292" t="str">
        <x:v>검토</x:v>
      </x:c>
      <x:c r="AG292" t="str">
        <x:v>상권 모멘텀·경쟁여건 강점 / 안정성 상대적 약점</x:v>
      </x:c>
    </x:row>
    <x:row r="293">
      <x:c r="A293" t="str">
        <x:v>3130177</x:v>
      </x:c>
      <x:c r="B293" t="str">
        <x:v>인왕시장(홍제골목형상점가)</x:v>
      </x:c>
      <x:c r="C293" t="str">
        <x:v>전통시장</x:v>
      </x:c>
      <x:c r="D293" t="str">
        <x:v>서대문구</x:v>
      </x:c>
      <x:c r="E293" t="str">
        <x:v>홍제3동</x:v>
      </x:c>
      <x:c r="F293" t="str">
        <x:v>CS300009</x:v>
      </x:c>
      <x:c r="G293" t="str">
        <x:v>청과상</x:v>
      </x:c>
      <x:c r="H293" t="n">
        <x:v>31556256204</x:v>
      </x:c>
      <x:c r="I293" t="n">
        <x:v>1141173</x:v>
      </x:c>
      <x:c r="J293" t="n">
        <x:v>27652.473554842254</x:v>
      </x:c>
      <x:c r="K293" s="14" t="n">
        <x:v>0.2991498859233348</x:v>
      </x:c>
      <x:c r="L293" s="14" t="n">
        <x:v>0.19728256051488424</x:v>
      </x:c>
      <x:c r="M293" s="14" t="n">
        <x:v>0.09797365727115581</x:v>
      </x:c>
      <x:c r="N293" t="n">
        <x:v>53</x:v>
      </x:c>
      <x:c r="O293" t="n">
        <x:v>0</x:v>
      </x:c>
      <x:c r="P293" s="14" t="n">
        <x:v>0</x:v>
      </x:c>
      <x:c r="Q293" s="14" t="n">
        <x:v>0</x:v>
      </x:c>
      <x:c r="R293" s="14" t="n">
        <x:v>0.06000000000000005</x:v>
      </x:c>
      <x:c r="S293" t="n">
        <x:v>131</x:v>
      </x:c>
      <x:c r="T293" t="n">
        <x:v>57.516684229012995</x:v>
      </x:c>
      <x:c r="U293" s="14" t="n">
        <x:v>0.8097419555669925</x:v>
      </x:c>
      <x:c r="V293" s="14" t="n">
        <x:v>0.15653634766008315</x:v>
      </x:c>
      <x:c r="W293" s="14" t="n">
        <x:v>0.06205011409914334</x:v>
      </x:c>
      <x:c r="X293" s="14" t="n">
        <x:v>0.6835442944675365</x:v>
      </x:c>
      <x:c r="Y293" s="16" t="n">
        <x:v>97.06959706959707</x:v>
      </x:c>
      <x:c r="Z293" s="16" t="n">
        <x:v>91.98473282442748</x:v>
      </x:c>
      <x:c r="AA293" s="16" t="n">
        <x:v>95.08196721311475</x:v>
      </x:c>
      <x:c r="AB293" s="16" t="n">
        <x:v>6.959706959706963</x:v>
      </x:c>
      <x:c r="AC293" s="16" t="n">
        <x:v>69.5970695970696</x:v>
      </x:c>
      <x:c r="AD293" s="16" t="n">
        <x:v>41.21951219512195</x:v>
      </x:c>
      <x:c r="AE293" s="16" t="n">
        <x:v>76.69823923463079</x:v>
      </x:c>
      <x:c r="AF293" t="str">
        <x:v>검토</x:v>
      </x:c>
      <x:c r="AG293" t="str">
        <x:v>수요·서울 업종추세 강점 / 경쟁여건 상대적 약점</x:v>
      </x:c>
    </x:row>
    <x:row r="294">
      <x:c r="A294" t="str">
        <x:v>3120220</x:v>
      </x:c>
      <x:c r="B294" t="str">
        <x:v>대치역</x:v>
      </x:c>
      <x:c r="C294" t="str">
        <x:v>발달상권</x:v>
      </x:c>
      <x:c r="D294" t="str">
        <x:v>강남구</x:v>
      </x:c>
      <x:c r="E294" t="str">
        <x:v>대치1동</x:v>
      </x:c>
      <x:c r="F294" t="str">
        <x:v>CS200030</x:v>
      </x:c>
      <x:c r="G294" t="str">
        <x:v>피부관리실</x:v>
      </x:c>
      <x:c r="H294" t="n">
        <x:v>80800306</x:v>
      </x:c>
      <x:c r="I294" t="n">
        <x:v>129</x:v>
      </x:c>
      <x:c r="J294" t="n">
        <x:v>626358.9612403101</x:v>
      </x:c>
      <x:c r="K294" s="14" t="n">
        <x:v>0.1051331118929999</x:v>
      </x:c>
      <x:c r="L294" s="14" t="n">
        <x:v>0.11857168683779085</x:v>
      </x:c>
      <x:c r="M294" s="14" t="n">
        <x:v>0.0314283578178467</x:v>
      </x:c>
      <x:c r="N294" t="n">
        <x:v>14</x:v>
      </x:c>
      <x:c r="O294" t="n">
        <x:v>0</x:v>
      </x:c>
      <x:c r="P294" s="14" t="n">
        <x:v>0</x:v>
      </x:c>
      <x:c r="Q294" s="14" t="n">
        <x:v>0.07142857142857142</x:v>
      </x:c>
      <x:c r="R294" s="14" t="n">
        <x:v>0.16666666666666674</x:v>
      </x:c>
      <x:c r="S294" t="n">
        <x:v>12518</x:v>
      </x:c>
      <x:c r="T294" t="n">
        <x:v>766.7852964417193</x:v>
      </x:c>
      <x:c r="U294" s="14" t="n">
        <x:v>0.8793604321250962</x:v>
      </x:c>
      <x:c r="V294" s="14" t="n">
        <x:v>0.29804413116950323</x:v>
      </x:c>
      <x:c r="W294" s="14" t="n">
        <x:v>0.1471640590074003</x:v>
      </x:c>
      <x:c r="X294" s="14" t="n">
        <x:v>0.8398532055064247</x:v>
      </x:c>
      <x:c r="Y294" s="16" t="n">
        <x:v>72.70471464019852</x:v>
      </x:c>
      <x:c r="Z294" s="16" t="n">
        <x:v>61.80371352785146</x:v>
      </x:c>
      <x:c r="AA294" s="16" t="n">
        <x:v>91.80327868852459</x:v>
      </x:c>
      <x:c r="AB294" s="16" t="n">
        <x:v>83.12655086848635</x:v>
      </x:c>
      <x:c r="AC294" s="16" t="n">
        <x:v>79.15632754342431</x:v>
      </x:c>
      <x:c r="AD294" s="16" t="n">
        <x:v>94.51219512195122</x:v>
      </x:c>
      <x:c r="AE294" s="16" t="n">
        <x:v>76.68810977363138</x:v>
      </x:c>
      <x:c r="AF294" t="str">
        <x:v>검토</x:v>
      </x:c>
      <x:c r="AG294" t="str">
        <x:v>직장수요·서울 업종추세 강점 / 상권 모멘텀 상대적 약점</x:v>
      </x:c>
    </x:row>
    <x:row r="295">
      <x:c r="A295" t="str">
        <x:v>3130015</x:v>
      </x:c>
      <x:c r="B295" t="str">
        <x:v>창신골목시장</x:v>
      </x:c>
      <x:c r="C295" t="str">
        <x:v>전통시장</x:v>
      </x:c>
      <x:c r="D295" t="str">
        <x:v>종로구</x:v>
      </x:c>
      <x:c r="E295" t="str">
        <x:v>창신2동</x:v>
      </x:c>
      <x:c r="F295" t="str">
        <x:v>CS300007</x:v>
      </x:c>
      <x:c r="G295" t="str">
        <x:v>육류판매</x:v>
      </x:c>
      <x:c r="H295" t="n">
        <x:v>1000089280</x:v>
      </x:c>
      <x:c r="I295" t="n">
        <x:v>17014</x:v>
      </x:c>
      <x:c r="J295" t="n">
        <x:v>58780.37380980369</x:v>
      </x:c>
      <x:c r="K295" s="14" t="n">
        <x:v>0.09328139383405243</x:v>
      </x:c>
      <x:c r="L295" s="14" t="n">
        <x:v>0.23518223683931017</x:v>
      </x:c>
      <x:c r="M295" s="14" t="n">
        <x:v>0.00863079289162072</x:v>
      </x:c>
      <x:c r="N295" t="n">
        <x:v>6</x:v>
      </x:c>
      <x:c r="O295" t="n">
        <x:v>0</x:v>
      </x:c>
      <x:c r="P295" s="14" t="n">
        <x:v>0</x:v>
      </x:c>
      <x:c r="Q295" s="14" t="n">
        <x:v>0</x:v>
      </x:c>
      <x:c r="R295" s="14" t="n">
        <x:v>0.19999999999999996</x:v>
      </x:c>
      <x:c r="S295" t="n">
        <x:v>18</x:v>
      </x:c>
      <x:c r="T295" t="n">
        <x:v>7.320644216691069</x:v>
      </x:c>
      <x:c r="U295" s="14" t="n">
        <x:v>0.7473355388830886</x:v>
      </x:c>
      <x:c r="V295" s="14" t="n">
        <x:v>0.5514858533430136</x:v>
      </x:c>
      <x:c r="W295" s="14" t="n">
        <x:v>0.05368246522950431</x:v>
      </x:c>
      <x:c r="X295" s="14" t="n">
        <x:v>0.5442789587745606</x:v>
      </x:c>
      <x:c r="Y295" s="16" t="n">
        <x:v>69.8019801980198</x:v>
      </x:c>
      <x:c r="Z295" s="16" t="n">
        <x:v>81.55844155844156</x:v>
      </x:c>
      <x:c r="AA295" s="16" t="n">
        <x:v>100</x:v>
      </x:c>
      <x:c r="AB295" s="16" t="n">
        <x:v>94.18316831683168</x:v>
      </x:c>
      <x:c r="AC295" s="16" t="n">
        <x:v>66.83168316831683</x:v>
      </x:c>
      <x:c r="AD295" s="16" t="n">
        <x:v>2.6219512195121952</x:v>
      </x:c>
      <x:c r="AE295" s="16" t="n">
        <x:v>76.68412250632728</x:v>
      </x:c>
      <x:c r="AF295" t="str">
        <x:v>검토</x:v>
      </x:c>
      <x:c r="AG295" t="str">
        <x:v>서울 업종추세·경쟁여건 강점 / 직장수요 상대적 약점</x:v>
      </x:c>
    </x:row>
    <x:row r="296">
      <x:c r="A296" t="str">
        <x:v>3120031</x:v>
      </x:c>
      <x:c r="B296" t="str">
        <x:v>을지로3가역</x:v>
      </x:c>
      <x:c r="C296" t="str">
        <x:v>발달상권</x:v>
      </x:c>
      <x:c r="D296" t="str">
        <x:v>중구</x:v>
      </x:c>
      <x:c r="E296" t="str">
        <x:v>을지로동</x:v>
      </x:c>
      <x:c r="F296" t="str">
        <x:v>CS100007</x:v>
      </x:c>
      <x:c r="G296" t="str">
        <x:v>치킨전문점</x:v>
      </x:c>
      <x:c r="H296" t="n">
        <x:v>447973702</x:v>
      </x:c>
      <x:c r="I296" t="n">
        <x:v>15573</x:v>
      </x:c>
      <x:c r="J296" t="n">
        <x:v>28766.050343543313</x:v>
      </x:c>
      <x:c r="K296" s="14" t="n">
        <x:v>0.09266685314787582</x:v>
      </x:c>
      <x:c r="L296" s="14" t="n">
        <x:v>-0.0724550541763268</x:v>
      </x:c>
      <x:c r="M296" s="14" t="n">
        <x:v>-0.037092372220345116</x:v>
      </x:c>
      <x:c r="N296" t="n">
        <x:v>8</x:v>
      </x:c>
      <x:c r="O296" t="n">
        <x:v>0</x:v>
      </x:c>
      <x:c r="P296" s="14" t="n">
        <x:v>0</x:v>
      </x:c>
      <x:c r="Q296" s="14" t="n">
        <x:v>0.75</x:v>
      </x:c>
      <x:c r="R296" s="14" t="n">
        <x:v>-0.19999999999999996</x:v>
      </x:c>
      <x:c r="S296" t="n">
        <x:v>13468</x:v>
      </x:c>
      <x:c r="T296" t="n">
        <x:v>528.6253699357078</x:v>
      </x:c>
      <x:c r="U296" s="14" t="n">
        <x:v>0.9049631199109988</x:v>
      </x:c>
      <x:c r="V296" s="14" t="n">
        <x:v>0.6379669715522721</x:v>
      </x:c>
      <x:c r="W296" s="14" t="n">
        <x:v>0.2571263569395866</x:v>
      </x:c>
      <x:c r="X296" s="14" t="n">
        <x:v>0.20185644290342739</x:v>
      </x:c>
      <x:c r="Y296" s="16" t="n">
        <x:v>91.23505976095618</x:v>
      </x:c>
      <x:c r="Z296" s="16" t="n">
        <x:v>81.26272912423626</x:v>
      </x:c>
      <x:c r="AA296" s="16" t="n">
        <x:v>16.39344262295082</x:v>
      </x:c>
      <x:c r="AB296" s="16" t="n">
        <x:v>92.33067729083665</x:v>
      </x:c>
      <x:c r="AC296" s="16" t="n">
        <x:v>76.29482071713147</x:v>
      </x:c>
      <x:c r="AD296" s="16" t="n">
        <x:v>90.73170731707317</x:v>
      </x:c>
      <x:c r="AE296" s="16" t="n">
        <x:v>76.65950216581683</x:v>
      </x:c>
      <x:c r="AF296" t="str">
        <x:v>검토</x:v>
      </x:c>
      <x:c r="AG296" t="str">
        <x:v>경쟁여건·수요 강점 / 서울 업종추세 상대적 약점</x:v>
      </x:c>
    </x:row>
    <x:row r="297">
      <x:c r="A297" t="str">
        <x:v>3130205</x:v>
      </x:c>
      <x:c r="B297" t="str">
        <x:v>신곡종합시장(신월6동 골목시장)</x:v>
      </x:c>
      <x:c r="C297" t="str">
        <x:v>전통시장</x:v>
      </x:c>
      <x:c r="D297" t="str">
        <x:v>양천구</x:v>
      </x:c>
      <x:c r="E297" t="str">
        <x:v>신월6동</x:v>
      </x:c>
      <x:c r="F297" t="str">
        <x:v>CS200028</x:v>
      </x:c>
      <x:c r="G297" t="str">
        <x:v>미용실</x:v>
      </x:c>
      <x:c r="H297" t="n">
        <x:v>206405359</x:v>
      </x:c>
      <x:c r="I297" t="n">
        <x:v>3757</x:v>
      </x:c>
      <x:c r="J297" t="n">
        <x:v>54938.876497205216</x:v>
      </x:c>
      <x:c r="K297" s="14" t="n">
        <x:v>0.08121685031469639</x:v>
      </x:c>
      <x:c r="L297" s="14" t="n">
        <x:v>0.02168887159425803</x:v>
      </x:c>
      <x:c r="M297" s="14" t="n">
        <x:v>-0.013481964371473865</x:v>
      </x:c>
      <x:c r="N297" t="n">
        <x:v>28</x:v>
      </x:c>
      <x:c r="O297" t="n">
        <x:v>0</x:v>
      </x:c>
      <x:c r="P297" s="14" t="n">
        <x:v>0</x:v>
      </x:c>
      <x:c r="Q297" s="14" t="n">
        <x:v>0.10714285714285714</x:v>
      </x:c>
      <x:c r="R297" s="14" t="n">
        <x:v>0.2727272727272727</x:v>
      </x:c>
      <x:c r="S297" t="n">
        <x:v>245</x:v>
      </x:c>
      <x:c r="T297" t="n">
        <x:v>117.96995377503852</x:v>
      </x:c>
      <x:c r="U297" s="14" t="n">
        <x:v>0.570652799765727</x:v>
      </x:c>
      <x:c r="V297" s="14" t="n">
        <x:v>0.4871595945335896</x:v>
      </x:c>
      <x:c r="W297" s="14" t="n">
        <x:v>0.4316423925795454</x:v>
      </x:c>
      <x:c r="X297" s="14" t="n">
        <x:v>0.6039141454655739</x:v>
      </x:c>
      <x:c r="Y297" s="16" t="n">
        <x:v>79.23008057296329</x:v>
      </x:c>
      <x:c r="Z297" s="16" t="n">
        <x:v>80.66546762589928</x:v>
      </x:c>
      <x:c r="AA297" s="16" t="n">
        <x:v>57.377049180327866</x:v>
      </x:c>
      <x:c r="AB297" s="16" t="n">
        <x:v>89.6598030438675</x:v>
      </x:c>
      <x:c r="AC297" s="16" t="n">
        <x:v>75.60429722470904</x:v>
      </x:c>
      <x:c r="AD297" s="16" t="n">
        <x:v>63.41463414634146</x:v>
      </x:c>
      <x:c r="AE297" s="16" t="n">
        <x:v>76.65031098913428</x:v>
      </x:c>
      <x:c r="AF297" t="str">
        <x:v>검토</x:v>
      </x:c>
      <x:c r="AG297" t="str">
        <x:v>경쟁여건·상권 모멘텀 강점 / 서울 업종추세 상대적 약점</x:v>
      </x:c>
    </x:row>
    <x:row r="298">
      <x:c r="A298" t="str">
        <x:v>3120049</x:v>
      </x:c>
      <x:c r="B298" t="str">
        <x:v>왕십리역(왕십리)</x:v>
      </x:c>
      <x:c r="C298" t="str">
        <x:v>발달상권</x:v>
      </x:c>
      <x:c r="D298" t="str">
        <x:v>성동구</x:v>
      </x:c>
      <x:c r="E298" t="str">
        <x:v>행당1동</x:v>
      </x:c>
      <x:c r="F298" t="str">
        <x:v>CS200030</x:v>
      </x:c>
      <x:c r="G298" t="str">
        <x:v>피부관리실</x:v>
      </x:c>
      <x:c r="H298" t="n">
        <x:v>275935451</x:v>
      </x:c>
      <x:c r="I298" t="n">
        <x:v>401</x:v>
      </x:c>
      <x:c r="J298" t="n">
        <x:v>688118.3316708229</x:v>
      </x:c>
      <x:c r="K298" s="14" t="n">
        <x:v>0.0752253988260081</x:v>
      </x:c>
      <x:c r="L298" s="14" t="n">
        <x:v>0.11857168683779085</x:v>
      </x:c>
      <x:c r="M298" s="14" t="n">
        <x:v>0.0314283578178467</x:v>
      </x:c>
      <x:c r="N298" t="n">
        <x:v>20</x:v>
      </x:c>
      <x:c r="O298" t="n">
        <x:v>0</x:v>
      </x:c>
      <x:c r="P298" s="14" t="n">
        <x:v>0</x:v>
      </x:c>
      <x:c r="Q298" s="14" t="n">
        <x:v>0.05</x:v>
      </x:c>
      <x:c r="R298" s="14" t="n">
        <x:v>0.33333333333333326</x:v>
      </x:c>
      <x:c r="S298" t="n">
        <x:v>1450</x:v>
      </x:c>
      <x:c r="T298" t="n">
        <x:v>74.84836753129436</x:v>
      </x:c>
      <x:c r="U298" s="14" t="n">
        <x:v>0.8090586192928142</x:v>
      </x:c>
      <x:c r="V298" s="14" t="n">
        <x:v>0.5224742072014517</x:v>
      </x:c>
      <x:c r="W298" s="14" t="n">
        <x:v>0.7613898947692662</x:v>
      </x:c>
      <x:c r="X298" s="14" t="n">
        <x:v>0.8333447774349226</x:v>
      </x:c>
      <x:c r="Y298" s="16" t="n">
        <x:v>87.59305210918114</x:v>
      </x:c>
      <x:c r="Z298" s="16" t="n">
        <x:v>55.96816976127321</x:v>
      </x:c>
      <x:c r="AA298" s="16" t="n">
        <x:v>91.80327868852459</x:v>
      </x:c>
      <x:c r="AB298" s="16" t="n">
        <x:v>70.47146401985111</x:v>
      </x:c>
      <x:c r="AC298" s="16" t="n">
        <x:v>79.15632754342431</x:v>
      </x:c>
      <x:c r="AD298" s="16" t="n">
        <x:v>49.9390243902439</x:v>
      </x:c>
      <x:c r="AE298" s="16" t="n">
        <x:v>76.60499757057902</x:v>
      </x:c>
      <x:c r="AF298" t="str">
        <x:v>검토</x:v>
      </x:c>
      <x:c r="AG298" t="str">
        <x:v>서울 업종추세·수요 강점 / 직장수요 상대적 약점</x:v>
      </x:c>
    </x:row>
    <x:row r="299">
      <x:c r="A299" t="str">
        <x:v>3120088</x:v>
      </x:c>
      <x:c r="B299" t="str">
        <x:v>구산역</x:v>
      </x:c>
      <x:c r="C299" t="str">
        <x:v>발달상권</x:v>
      </x:c>
      <x:c r="D299" t="str">
        <x:v>은평구</x:v>
      </x:c>
      <x:c r="E299" t="str">
        <x:v>갈현2동</x:v>
      </x:c>
      <x:c r="F299" t="str">
        <x:v>CS200003</x:v>
      </x:c>
      <x:c r="G299" t="str">
        <x:v>예술학원</x:v>
      </x:c>
      <x:c r="H299" t="n">
        <x:v>413790687</x:v>
      </x:c>
      <x:c r="I299" t="n">
        <x:v>1193</x:v>
      </x:c>
      <x:c r="J299" t="n">
        <x:v>346848.8575020956</x:v>
      </x:c>
      <x:c r="K299" s="14" t="n">
        <x:v>0.5571013096523889</x:v>
      </x:c>
      <x:c r="L299" s="14" t="n">
        <x:v>0.09364146198394163</x:v>
      </x:c>
      <x:c r="M299" s="14" t="n">
        <x:v>0.053788091189524545</x:v>
      </x:c>
      <x:c r="N299" t="n">
        <x:v>34</x:v>
      </x:c>
      <x:c r="O299" t="n">
        <x:v>1</x:v>
      </x:c>
      <x:c r="P299" s="14" t="n">
        <x:v>0.02564102564102564</x:v>
      </x:c>
      <x:c r="Q299" s="14" t="n">
        <x:v>0.14705882352941177</x:v>
      </x:c>
      <x:c r="R299" s="14" t="n">
        <x:v>-0.08108108108108103</x:v>
      </x:c>
      <x:c r="S299" t="n">
        <x:v>1239</x:v>
      </x:c>
      <x:c r="T299" t="n">
        <x:v>208.68422825574345</x:v>
      </x:c>
      <x:c r="U299" s="14" t="n">
        <x:v>0.9324674627101986</x:v>
      </x:c>
      <x:c r="V299" s="14" t="n">
        <x:v>0.7913873566709828</x:v>
      </x:c>
      <x:c r="W299" s="14" t="n">
        <x:v>0.28929896868365235</x:v>
      </x:c>
      <x:c r="X299" s="14" t="n">
        <x:v>0.5654491494150037</x:v>
      </x:c>
      <x:c r="Y299" s="16" t="n">
        <x:v>89.04382470119522</x:v>
      </x:c>
      <x:c r="Z299" s="16" t="n">
        <x:v>95.70552147239263</x:v>
      </x:c>
      <x:c r="AA299" s="16" t="n">
        <x:v>88.52459016393442</x:v>
      </x:c>
      <x:c r="AB299" s="16" t="n">
        <x:v>40.43824701195219</x:v>
      </x:c>
      <x:c r="AC299" s="16" t="n">
        <x:v>30.876494023904385</x:v>
      </x:c>
      <x:c r="AD299" s="16" t="n">
        <x:v>77.2560975609756</x:v>
      </x:c>
      <x:c r="AE299" s="16" t="n">
        <x:v>76.60132279671906</x:v>
      </x:c>
      <x:c r="AF299" t="str">
        <x:v>검토</x:v>
      </x:c>
      <x:c r="AG299" t="str">
        <x:v>상권 모멘텀·수요 강점 / 안정성 상대적 약점</x:v>
      </x:c>
    </x:row>
    <x:row r="300">
      <x:c r="A300" t="str">
        <x:v>3120012</x:v>
      </x:c>
      <x:c r="B300" t="str">
        <x:v>대학로(혜화역)</x:v>
      </x:c>
      <x:c r="C300" t="str">
        <x:v>발달상권</x:v>
      </x:c>
      <x:c r="D300" t="str">
        <x:v>종로구</x:v>
      </x:c>
      <x:c r="E300" t="str">
        <x:v>혜화동</x:v>
      </x:c>
      <x:c r="F300" t="str">
        <x:v>CS100003</x:v>
      </x:c>
      <x:c r="G300" t="str">
        <x:v>일식음식점</x:v>
      </x:c>
      <x:c r="H300" t="n">
        <x:v>4409580572</x:v>
      </x:c>
      <x:c r="I300" t="n">
        <x:v>125754</x:v>
      </x:c>
      <x:c r="J300" t="n">
        <x:v>35065.131701576094</x:v>
      </x:c>
      <x:c r="K300" s="14" t="n">
        <x:v>0.09433444874579733</x:v>
      </x:c>
      <x:c r="L300" s="14" t="n">
        <x:v>0.048235937606500245</x:v>
      </x:c>
      <x:c r="M300" s="14" t="n">
        <x:v>-0.004288267098710441</x:v>
      </x:c>
      <x:c r="N300" t="n">
        <x:v>43</x:v>
      </x:c>
      <x:c r="O300" t="n">
        <x:v>0</x:v>
      </x:c>
      <x:c r="P300" s="14" t="n">
        <x:v>0</x:v>
      </x:c>
      <x:c r="Q300" s="14" t="n">
        <x:v>0.23255813953488372</x:v>
      </x:c>
      <x:c r="R300" s="14" t="n">
        <x:v>0.19444444444444442</x:v>
      </x:c>
      <x:c r="S300" t="n">
        <x:v>2991</x:v>
      </x:c>
      <x:c r="T300" t="n">
        <x:v>116.4320637787674</x:v>
      </x:c>
      <x:c r="U300" s="14" t="n">
        <x:v>0.6697293549305849</x:v>
      </x:c>
      <x:c r="V300" s="14" t="n">
        <x:v>0.508157348167852</x:v>
      </x:c>
      <x:c r="W300" s="14" t="n">
        <x:v>0.5173540985929398</x:v>
      </x:c>
      <x:c r="X300" s="14" t="n">
        <x:v>0.47594581020391885</x:v>
      </x:c>
      <x:c r="Y300" s="16" t="n">
        <x:v>96.72619047619048</x:v>
      </x:c>
      <x:c r="Z300" s="16" t="n">
        <x:v>71.29629629629629</x:v>
      </x:c>
      <x:c r="AA300" s="16" t="n">
        <x:v>78.68852459016394</x:v>
      </x:c>
      <x:c r="AB300" s="16" t="n">
        <x:v>36.01190476190476</x:v>
      </x:c>
      <x:c r="AC300" s="16" t="n">
        <x:v>81.10119047619048</x:v>
      </x:c>
      <x:c r="AD300" s="16" t="n">
        <x:v>63.170731707317074</x:v>
      </x:c>
      <x:c r="AE300" s="16" t="n">
        <x:v>76.58714596172113</x:v>
      </x:c>
      <x:c r="AF300" t="str">
        <x:v>검토</x:v>
      </x:c>
      <x:c r="AG300" t="str">
        <x:v>수요·안정성 강점 / 경쟁여건 상대적 약점</x:v>
      </x:c>
    </x:row>
    <x:row r="301">
      <x:c r="A301" t="str">
        <x:v>3111089</x:v>
      </x:c>
      <x:c r="B301" t="str">
        <x:v>상일여고(상일초등학교)</x:v>
      </x:c>
      <x:c r="C301" t="str">
        <x:v>골목상권</x:v>
      </x:c>
      <x:c r="D301" t="str">
        <x:v>강동구</x:v>
      </x:c>
      <x:c r="E301" t="str">
        <x:v>상일동</x:v>
      </x:c>
      <x:c r="F301" t="str">
        <x:v>CS200030</x:v>
      </x:c>
      <x:c r="G301" t="str">
        <x:v>피부관리실</x:v>
      </x:c>
      <x:c r="H301" t="n">
        <x:v>112294118</x:v>
      </x:c>
      <x:c r="I301" t="n">
        <x:v>642</x:v>
      </x:c>
      <x:c r="J301" t="n">
        <x:v>174912.95638629285</x:v>
      </x:c>
      <x:c r="K301" s="14" t="n">
        <x:v>0.45286132934236534</x:v>
      </x:c>
      <x:c r="L301" s="14" t="n">
        <x:v>0.11857168683779085</x:v>
      </x:c>
      <x:c r="M301" s="14" t="n">
        <x:v>0.0314283578178467</x:v>
      </x:c>
      <x:c r="N301" t="n">
        <x:v>6</x:v>
      </x:c>
      <x:c r="O301" t="n">
        <x:v>1</x:v>
      </x:c>
      <x:c r="P301" s="14" t="n">
        <x:v>0.09090909090909091</x:v>
      </x:c>
      <x:c r="Q301" s="14" t="n">
        <x:v>0</x:v>
      </x:c>
      <x:c r="R301" s="14" t="n">
        <x:v>0</x:v>
      </x:c>
      <x:c r="S301" t="n">
        <x:v>1291</x:v>
      </x:c>
      <x:c r="T301" t="n">
        <x:v>101.69918782445664</x:v>
      </x:c>
      <x:c r="U301" s="14" t="n">
        <x:v>0.8180777999431813</x:v>
      </x:c>
      <x:c r="V301" s="14" t="n">
        <x:v>0.5196796327301845</x:v>
      </x:c>
      <x:c r="W301" s="14" t="n">
        <x:v>0.14096109646633495</x:v>
      </x:c>
      <x:c r="X301" s="14" t="n">
        <x:v>0.2745995475916201</x:v>
      </x:c>
      <x:c r="Y301" s="16" t="n">
        <x:v>78.1637717121588</x:v>
      </x:c>
      <x:c r="Z301" s="16" t="n">
        <x:v>88.06366047745358</x:v>
      </x:c>
      <x:c r="AA301" s="16" t="n">
        <x:v>91.80327868852459</x:v>
      </x:c>
      <x:c r="AB301" s="16" t="n">
        <x:v>97.39454094292805</x:v>
      </x:c>
      <x:c r="AC301" s="16" t="n">
        <x:v>2.605459057071954</x:v>
      </x:c>
      <x:c r="AD301" s="16" t="n">
        <x:v>59.451219512195124</x:v>
      </x:c>
      <x:c r="AE301" s="16" t="n">
        <x:v>76.58283202078114</x:v>
      </x:c>
      <x:c r="AF301" t="str">
        <x:v>검토</x:v>
      </x:c>
      <x:c r="AG301" t="str">
        <x:v>경쟁여건·서울 업종추세 강점 / 안정성 상대적 약점</x:v>
      </x:c>
    </x:row>
    <x:row r="302">
      <x:c r="A302" t="str">
        <x:v>3120046</x:v>
      </x:c>
      <x:c r="B302" t="str">
        <x:v>이태원(이태원역)</x:v>
      </x:c>
      <x:c r="C302" t="str">
        <x:v>발달상권</x:v>
      </x:c>
      <x:c r="D302" t="str">
        <x:v>용산구</x:v>
      </x:c>
      <x:c r="E302" t="str">
        <x:v>이태원1동</x:v>
      </x:c>
      <x:c r="F302" t="str">
        <x:v>CS100002</x:v>
      </x:c>
      <x:c r="G302" t="str">
        <x:v>중식음식점</x:v>
      </x:c>
      <x:c r="H302" t="n">
        <x:v>1834933151</x:v>
      </x:c>
      <x:c r="I302" t="n">
        <x:v>39105</x:v>
      </x:c>
      <x:c r="J302" t="n">
        <x:v>46923.23618463112</x:v>
      </x:c>
      <x:c r="K302" s="14" t="n">
        <x:v>0.06994428018178311</x:v>
      </x:c>
      <x:c r="L302" s="14" t="n">
        <x:v>-0.02375238205614094</x:v>
      </x:c>
      <x:c r="M302" s="14" t="n">
        <x:v>0.025085263877023367</x:v>
      </x:c>
      <x:c r="N302" t="n">
        <x:v>14</x:v>
      </x:c>
      <x:c r="O302" t="n">
        <x:v>0</x:v>
      </x:c>
      <x:c r="P302" s="14" t="n">
        <x:v>0</x:v>
      </x:c>
      <x:c r="Q302" s="14" t="n">
        <x:v>0.07142857142857142</x:v>
      </x:c>
      <x:c r="R302" s="14" t="n">
        <x:v>-0.125</x:v>
      </x:c>
      <x:c r="S302" t="n">
        <x:v>22140</x:v>
      </x:c>
      <x:c r="T302" t="n">
        <x:v>781.1480123769975</x:v>
      </x:c>
      <x:c r="U302" s="14" t="n">
        <x:v>0.6546721532309381</x:v>
      </x:c>
      <x:c r="V302" s="14" t="n">
        <x:v>0.6840103299218229</x:v>
      </x:c>
      <x:c r="W302" s="14" t="n">
        <x:v>0.6218033972399466</x:v>
      </x:c>
      <x:c r="X302" s="14" t="n">
        <x:v>0.37498545907517916</x:v>
      </x:c>
      <x:c r="Y302" s="16" t="n">
        <x:v>92.90617848970251</x:v>
      </x:c>
      <x:c r="Z302" s="16" t="n">
        <x:v>84.84848484848484</x:v>
      </x:c>
      <x:c r="AA302" s="16" t="n">
        <x:v>32.78688524590164</x:v>
      </x:c>
      <x:c r="AB302" s="16" t="n">
        <x:v>65.33180778032036</x:v>
      </x:c>
      <x:c r="AC302" s="16" t="n">
        <x:v>76.3157894736842</x:v>
      </x:c>
      <x:c r="AD302" s="16" t="n">
        <x:v>94.6951219512195</x:v>
      </x:c>
      <x:c r="AE302" s="16" t="n">
        <x:v>76.57099843995555</x:v>
      </x:c>
      <x:c r="AF302" t="str">
        <x:v>검토</x:v>
      </x:c>
      <x:c r="AG302" t="str">
        <x:v>직장수요·수요 강점 / 서울 업종추세 상대적 약점</x:v>
      </x:c>
    </x:row>
    <x:row r="303">
      <x:c r="A303" t="str">
        <x:v>3120101</x:v>
      </x:c>
      <x:c r="B303" t="str">
        <x:v>합정역</x:v>
      </x:c>
      <x:c r="C303" t="str">
        <x:v>발달상권</x:v>
      </x:c>
      <x:c r="D303" t="str">
        <x:v>마포구</x:v>
      </x:c>
      <x:c r="E303" t="str">
        <x:v>서교동</x:v>
      </x:c>
      <x:c r="F303" t="str">
        <x:v>CS300019</x:v>
      </x:c>
      <x:c r="G303" t="str">
        <x:v>의료기기</x:v>
      </x:c>
      <x:c r="H303" t="n">
        <x:v>8373000000</x:v>
      </x:c>
      <x:c r="I303" t="n">
        <x:v>1996</x:v>
      </x:c>
      <x:c r="J303" t="n">
        <x:v>4194889.779559119</x:v>
      </x:c>
      <x:c r="K303" s="14" t="n">
        <x:v>0.8275658983427407</x:v>
      </x:c>
      <x:c r="L303" s="14" t="n">
        <x:v>0.026268479822085578</x:v>
      </x:c>
      <x:c r="M303" s="14" t="n">
        <x:v>-0.00009912701459890982</x:v>
      </x:c>
      <x:c r="N303" t="n">
        <x:v>25</x:v>
      </x:c>
      <x:c r="O303" t="n">
        <x:v>0</x:v>
      </x:c>
      <x:c r="P303" s="14" t="n">
        <x:v>0</x:v>
      </x:c>
      <x:c r="Q303" s="14" t="n">
        <x:v>0</x:v>
      </x:c>
      <x:c r="R303" s="14" t="n">
        <x:v>-0.1071428571428571</x:v>
      </x:c>
      <x:c r="S303" t="n">
        <x:v>4035</x:v>
      </x:c>
      <x:c r="T303" t="n">
        <x:v>160.43035891074348</x:v>
      </x:c>
      <x:c r="U303" s="14" t="n">
        <x:v>0.9620342303833751</x:v>
      </x:c>
      <x:c r="V303" s="14" t="n">
        <x:v>0</x:v>
      </x:c>
      <x:c r="W303" s="14" t="n">
        <x:v>0.28559933166129226</x:v>
      </x:c>
      <x:c r="X303" s="14" t="n">
        <x:v>0.042478797324734266</x:v>
      </x:c>
      <x:c r="Y303" s="16" t="n">
        <x:v>97.41935483870968</x:v>
      </x:c>
      <x:c r="Z303" s="16" t="n">
        <x:v>93.00699300699301</x:v>
      </x:c>
      <x:c r="AA303" s="16" t="n">
        <x:v>68.85245901639344</x:v>
      </x:c>
      <x:c r="AB303" s="16" t="n">
        <x:v>25.80645161290323</x:v>
      </x:c>
      <x:c r="AC303" s="16" t="n">
        <x:v>60.96774193548387</x:v>
      </x:c>
      <x:c r="AD303" s="16" t="n">
        <x:v>71.46341463414635</x:v>
      </x:c>
      <x:c r="AE303" s="16" t="n">
        <x:v>76.5669543145972</x:v>
      </x:c>
      <x:c r="AF303" t="str">
        <x:v>검토</x:v>
      </x:c>
      <x:c r="AG303" t="str">
        <x:v>수요·상권 모멘텀 강점 / 경쟁여건 상대적 약점</x:v>
      </x:c>
    </x:row>
    <x:row r="304">
      <x:c r="A304" t="str">
        <x:v>3110459</x:v>
      </x:c>
      <x:c r="B304" t="str">
        <x:v>응암역 2번</x:v>
      </x:c>
      <x:c r="C304" t="str">
        <x:v>골목상권</x:v>
      </x:c>
      <x:c r="D304" t="str">
        <x:v>은평구</x:v>
      </x:c>
      <x:c r="E304" t="str">
        <x:v>신사1동</x:v>
      </x:c>
      <x:c r="F304" t="str">
        <x:v>CS200003</x:v>
      </x:c>
      <x:c r="G304" t="str">
        <x:v>예술학원</x:v>
      </x:c>
      <x:c r="H304" t="n">
        <x:v>236539569</x:v>
      </x:c>
      <x:c r="I304" t="n">
        <x:v>1174</x:v>
      </x:c>
      <x:c r="J304" t="n">
        <x:v>201481.74531516185</x:v>
      </x:c>
      <x:c r="K304" s="14" t="n">
        <x:v>0.4132461241501717</x:v>
      </x:c>
      <x:c r="L304" s="14" t="n">
        <x:v>0.09364146198394163</x:v>
      </x:c>
      <x:c r="M304" s="14" t="n">
        <x:v>0.053788091189524545</x:v>
      </x:c>
      <x:c r="N304" t="n">
        <x:v>15</x:v>
      </x:c>
      <x:c r="O304" t="n">
        <x:v>1</x:v>
      </x:c>
      <x:c r="P304" s="14" t="n">
        <x:v>0.05</x:v>
      </x:c>
      <x:c r="Q304" s="14" t="n">
        <x:v>0</x:v>
      </x:c>
      <x:c r="R304" s="14" t="n">
        <x:v>-0.21052631578947367</x:v>
      </x:c>
      <x:c r="S304" t="n">
        <x:v>616</x:v>
      </x:c>
      <x:c r="T304" t="n">
        <x:v>58.857252054270965</x:v>
      </x:c>
      <x:c r="U304" s="14" t="n">
        <x:v>0.9020839468934688</x:v>
      </x:c>
      <x:c r="V304" s="14" t="n">
        <x:v>0.22513513584697536</x:v>
      </x:c>
      <x:c r="W304" s="14" t="n">
        <x:v>0.0147794553561565</x:v>
      </x:c>
      <x:c r="X304" s="14" t="n">
        <x:v>0.4551192659017655</x:v>
      </x:c>
      <x:c r="Y304" s="16" t="n">
        <x:v>81.07569721115537</x:v>
      </x:c>
      <x:c r="Z304" s="16" t="n">
        <x:v>93.04703476482618</x:v>
      </x:c>
      <x:c r="AA304" s="16" t="n">
        <x:v>88.52459016393442</x:v>
      </x:c>
      <x:c r="AB304" s="16" t="n">
        <x:v>85.2589641434263</x:v>
      </x:c>
      <x:c r="AC304" s="16" t="n">
        <x:v>14.04382470119522</x:v>
      </x:c>
      <x:c r="AD304" s="16" t="n">
        <x:v>42.073170731707314</x:v>
      </x:c>
      <x:c r="AE304" s="16" t="n">
        <x:v>76.56147512967861</x:v>
      </x:c>
      <x:c r="AF304" t="str">
        <x:v>검토</x:v>
      </x:c>
      <x:c r="AG304" t="str">
        <x:v>상권 모멘텀·서울 업종추세 강점 / 안정성 상대적 약점</x:v>
      </x:c>
    </x:row>
    <x:row r="305">
      <x:c r="A305" t="str">
        <x:v>3120132</x:v>
      </x:c>
      <x:c r="B305" t="str">
        <x:v>독산동</x:v>
      </x:c>
      <x:c r="C305" t="str">
        <x:v>발달상권</x:v>
      </x:c>
      <x:c r="D305" t="str">
        <x:v>금천구</x:v>
      </x:c>
      <x:c r="E305" t="str">
        <x:v>독산1동</x:v>
      </x:c>
      <x:c r="F305" t="str">
        <x:v>CS300018</x:v>
      </x:c>
      <x:c r="G305" t="str">
        <x:v>의약품</x:v>
      </x:c>
      <x:c r="H305" t="n">
        <x:v>5207689090</x:v>
      </x:c>
      <x:c r="I305" t="n">
        <x:v>338064</x:v>
      </x:c>
      <x:c r="J305" t="n">
        <x:v>15404.447353163898</x:v>
      </x:c>
      <x:c r="K305" s="14" t="n">
        <x:v>0.1671603839158171</x:v>
      </x:c>
      <x:c r="L305" s="14" t="n">
        <x:v>0.027829225601598617</x:v>
      </x:c>
      <x:c r="M305" s="14" t="n">
        <x:v>0.02632929521123617</x:v>
      </x:c>
      <x:c r="N305" t="n">
        <x:v>31</x:v>
      </x:c>
      <x:c r="O305" t="n">
        <x:v>0</x:v>
      </x:c>
      <x:c r="P305" s="14" t="n">
        <x:v>0</x:v>
      </x:c>
      <x:c r="Q305" s="14" t="n">
        <x:v>0.06451612903225806</x:v>
      </x:c>
      <x:c r="R305" s="14" t="n">
        <x:v>0.14814814814814814</x:v>
      </x:c>
      <x:c r="S305" t="n">
        <x:v>7998</x:v>
      </x:c>
      <x:c r="T305" t="n">
        <x:v>150.89968133338112</x:v>
      </x:c>
      <x:c r="U305" s="14" t="n">
        <x:v>0.7745423801788444</x:v>
      </x:c>
      <x:c r="V305" s="14" t="n">
        <x:v>0.24523255477219744</x:v>
      </x:c>
      <x:c r="W305" s="14" t="n">
        <x:v>0.2649793553631674</x:v>
      </x:c>
      <x:c r="X305" s="14" t="n">
        <x:v>0.5401459740370176</x:v>
      </x:c>
      <x:c r="Y305" s="16" t="n">
        <x:v>89.34707903780068</x:v>
      </x:c>
      <x:c r="Z305" s="16" t="n">
        <x:v>96.67832167832168</x:v>
      </x:c>
      <x:c r="AA305" s="16" t="n">
        <x:v>72.1311475409836</x:v>
      </x:c>
      <x:c r="AB305" s="16" t="n">
        <x:v>33.24742268041237</x:v>
      </x:c>
      <x:c r="AC305" s="16" t="n">
        <x:v>66.32302405498282</x:v>
      </x:c>
      <x:c r="AD305" s="16" t="n">
        <x:v>70.3048780487805</x:v>
      </x:c>
      <x:c r="AE305" s="16" t="n">
        <x:v>76.56147384004127</x:v>
      </x:c>
      <x:c r="AF305" t="str">
        <x:v>검토</x:v>
      </x:c>
      <x:c r="AG305" t="str">
        <x:v>상권 모멘텀·수요 강점 / 경쟁여건 상대적 약점</x:v>
      </x:c>
    </x:row>
    <x:row r="306">
      <x:c r="A306" t="str">
        <x:v>3120220</x:v>
      </x:c>
      <x:c r="B306" t="str">
        <x:v>대치역</x:v>
      </x:c>
      <x:c r="C306" t="str">
        <x:v>발달상권</x:v>
      </x:c>
      <x:c r="D306" t="str">
        <x:v>강남구</x:v>
      </x:c>
      <x:c r="E306" t="str">
        <x:v>대치1동</x:v>
      </x:c>
      <x:c r="F306" t="str">
        <x:v>CS200024</x:v>
      </x:c>
      <x:c r="G306" t="str">
        <x:v>스포츠클럽</x:v>
      </x:c>
      <x:c r="H306" t="n">
        <x:v>2055008054</x:v>
      </x:c>
      <x:c r="I306" t="n">
        <x:v>2825</x:v>
      </x:c>
      <x:c r="J306" t="n">
        <x:v>727436.4792920355</x:v>
      </x:c>
      <x:c r="K306" s="14" t="n">
        <x:v>0.04945264456084719</x:v>
      </x:c>
      <x:c r="L306" s="14" t="n">
        <x:v>0.03927856170757105</x:v>
      </x:c>
      <x:c r="M306" s="14" t="n">
        <x:v>-0.042593628048716026</x:v>
      </x:c>
      <x:c r="N306" t="n">
        <x:v>11</x:v>
      </x:c>
      <x:c r="O306" t="n">
        <x:v>1</x:v>
      </x:c>
      <x:c r="P306" s="14" t="n">
        <x:v>0.0625</x:v>
      </x:c>
      <x:c r="Q306" s="14" t="n">
        <x:v>0</x:v>
      </x:c>
      <x:c r="R306" s="14" t="n">
        <x:v>-0.08333333333333337</x:v>
      </x:c>
      <x:c r="S306" t="n">
        <x:v>12518</x:v>
      </x:c>
      <x:c r="T306" t="n">
        <x:v>766.7852964417193</x:v>
      </x:c>
      <x:c r="U306" s="14" t="n">
        <x:v>0.8995234526706142</x:v>
      </x:c>
      <x:c r="V306" s="14" t="n">
        <x:v>0.5221868833609934</x:v>
      </x:c>
      <x:c r="W306" s="14" t="n">
        <x:v>0.048796468609850034</x:v>
      </x:c>
      <x:c r="X306" s="14" t="n">
        <x:v>0.47521874967795136</x:v>
      </x:c>
      <x:c r="Y306" s="16" t="n">
        <x:v>97.82608695652173</x:v>
      </x:c>
      <x:c r="Z306" s="16" t="n">
        <x:v>65.17857142857143</x:v>
      </x:c>
      <x:c r="AA306" s="16" t="n">
        <x:v>75.40983606557377</x:v>
      </x:c>
      <x:c r="AB306" s="16" t="n">
        <x:v>79.8913043478261</x:v>
      </x:c>
      <x:c r="AC306" s="16" t="n">
        <x:v>12.5</x:v>
      </x:c>
      <x:c r="AD306" s="16" t="n">
        <x:v>94.51219512195122</x:v>
      </x:c>
      <x:c r="AE306" s="16" t="n">
        <x:v>76.54562553860441</x:v>
      </x:c>
      <x:c r="AF306" t="str">
        <x:v>검토</x:v>
      </x:c>
      <x:c r="AG306" t="str">
        <x:v>수요·직장수요 강점 / 안정성 상대적 약점</x:v>
      </x:c>
    </x:row>
    <x:row r="307">
      <x:c r="A307" t="str">
        <x:v>3120241</x:v>
      </x:c>
      <x:c r="B307" t="str">
        <x:v>거여역</x:v>
      </x:c>
      <x:c r="C307" t="str">
        <x:v>발달상권</x:v>
      </x:c>
      <x:c r="D307" t="str">
        <x:v>송파구</x:v>
      </x:c>
      <x:c r="E307" t="str">
        <x:v>거여2동</x:v>
      </x:c>
      <x:c r="F307" t="str">
        <x:v>CS100006</x:v>
      </x:c>
      <x:c r="G307" t="str">
        <x:v>패스트푸드점</x:v>
      </x:c>
      <x:c r="H307" t="n">
        <x:v>449170718</x:v>
      </x:c>
      <x:c r="I307" t="n">
        <x:v>37192</x:v>
      </x:c>
      <x:c r="J307" t="n">
        <x:v>12077.078887932888</x:v>
      </x:c>
      <x:c r="K307" s="14" t="n">
        <x:v>0.0892022226476803</x:v>
      </x:c>
      <x:c r="L307" s="14" t="n">
        <x:v>0.0037102725933797487</x:v>
      </x:c>
      <x:c r="M307" s="14" t="n">
        <x:v>0.011474434125836375</x:v>
      </x:c>
      <x:c r="N307" t="n">
        <x:v>8</x:v>
      </x:c>
      <x:c r="O307" t="n">
        <x:v>0</x:v>
      </x:c>
      <x:c r="P307" s="14" t="n">
        <x:v>0</x:v>
      </x:c>
      <x:c r="Q307" s="14" t="n">
        <x:v>0.625</x:v>
      </x:c>
      <x:c r="R307" s="14" t="n">
        <x:v>0.1428571428571428</x:v>
      </x:c>
      <x:c r="S307" t="n">
        <x:v>2362</x:v>
      </x:c>
      <x:c r="T307" t="n">
        <x:v>248.75202729742824</x:v>
      </x:c>
      <x:c r="U307" s="14" t="n">
        <x:v>0.7109964812977858</x:v>
      </x:c>
      <x:c r="V307" s="14" t="n">
        <x:v>0.41111590003513987</x:v>
      </x:c>
      <x:c r="W307" s="14" t="n">
        <x:v>0.3661150391375245</x:v>
      </x:c>
      <x:c r="X307" s="14" t="n">
        <x:v>0.3834099933468949</x:v>
      </x:c>
      <x:c r="Y307" s="16" t="n">
        <x:v>78.55361596009975</x:v>
      </x:c>
      <x:c r="Z307" s="16" t="n">
        <x:v>85.63968668407311</x:v>
      </x:c>
      <x:c r="AA307" s="16" t="n">
        <x:v>44.26229508196721</x:v>
      </x:c>
      <x:c r="AB307" s="16" t="n">
        <x:v>89.40149625935162</x:v>
      </x:c>
      <x:c r="AC307" s="16" t="n">
        <x:v>78.30423940149626</x:v>
      </x:c>
      <x:c r="AD307" s="16" t="n">
        <x:v>80.60975609756098</x:v>
      </x:c>
      <x:c r="AE307" s="16" t="n">
        <x:v>76.53218336907504</x:v>
      </x:c>
      <x:c r="AF307" t="str">
        <x:v>검토</x:v>
      </x:c>
      <x:c r="AG307" t="str">
        <x:v>경쟁여건·상권 모멘텀 강점 / 서울 업종추세 상대적 약점</x:v>
      </x:c>
    </x:row>
    <x:row r="308">
      <x:c r="A308" t="str">
        <x:v>3130056</x:v>
      </x:c>
      <x:c r="B308" t="str">
        <x:v>용산용문시장</x:v>
      </x:c>
      <x:c r="C308" t="str">
        <x:v>전통시장</x:v>
      </x:c>
      <x:c r="D308" t="str">
        <x:v>용산구</x:v>
      </x:c>
      <x:c r="E308" t="str">
        <x:v>용문동</x:v>
      </x:c>
      <x:c r="F308" t="str">
        <x:v>CS300009</x:v>
      </x:c>
      <x:c r="G308" t="str">
        <x:v>청과상</x:v>
      </x:c>
      <x:c r="H308" t="n">
        <x:v>6262569136</x:v>
      </x:c>
      <x:c r="I308" t="n">
        <x:v>281016</x:v>
      </x:c>
      <x:c r="J308" t="n">
        <x:v>22285.453981267972</x:v>
      </x:c>
      <x:c r="K308" s="14" t="n">
        <x:v>0.03959819594987901</x:v>
      </x:c>
      <x:c r="L308" s="14" t="n">
        <x:v>0.19728256051488424</x:v>
      </x:c>
      <x:c r="M308" s="14" t="n">
        <x:v>0.09797365727115581</x:v>
      </x:c>
      <x:c r="N308" t="n">
        <x:v>20</x:v>
      </x:c>
      <x:c r="O308" t="n">
        <x:v>0</x:v>
      </x:c>
      <x:c r="P308" s="14" t="n">
        <x:v>0</x:v>
      </x:c>
      <x:c r="Q308" s="14" t="n">
        <x:v>0</x:v>
      </x:c>
      <x:c r="R308" s="14" t="n">
        <x:v>-0.04761904761904767</x:v>
      </x:c>
      <x:c r="S308" t="n">
        <x:v>909</x:v>
      </x:c>
      <x:c r="T308" t="n">
        <x:v>225.86095512597524</x:v>
      </x:c>
      <x:c r="U308" s="14" t="n">
        <x:v>0.7368528553997588</x:v>
      </x:c>
      <x:c r="V308" s="14" t="n">
        <x:v>0.2439040827860012</x:v>
      </x:c>
      <x:c r="W308" s="14" t="n">
        <x:v>0.08261742868845512</x:v>
      </x:c>
      <x:c r="X308" s="14" t="n">
        <x:v>0.5491264353843933</x:v>
      </x:c>
      <x:c r="Y308" s="16" t="n">
        <x:v>93.4065934065934</x:v>
      </x:c>
      <x:c r="Z308" s="16" t="n">
        <x:v>59.16030534351145</x:v>
      </x:c>
      <x:c r="AA308" s="16" t="n">
        <x:v>95.08196721311475</x:v>
      </x:c>
      <x:c r="AB308" s="16" t="n">
        <x:v>45.604395604395606</x:v>
      </x:c>
      <x:c r="AC308" s="16" t="n">
        <x:v>69.5970695970696</x:v>
      </x:c>
      <x:c r="AD308" s="16" t="n">
        <x:v>78.78048780487805</x:v>
      </x:c>
      <x:c r="AE308" s="16" t="n">
        <x:v>76.5260545335874</x:v>
      </x:c>
      <x:c r="AF308" t="str">
        <x:v>검토</x:v>
      </x:c>
      <x:c r="AG308" t="str">
        <x:v>서울 업종추세·수요 강점 / 경쟁여건 상대적 약점</x:v>
      </x:c>
    </x:row>
    <x:row r="309">
      <x:c r="A309" t="str">
        <x:v>3120221</x:v>
      </x:c>
      <x:c r="B309" t="str">
        <x:v>봉은사역</x:v>
      </x:c>
      <x:c r="C309" t="str">
        <x:v>발달상권</x:v>
      </x:c>
      <x:c r="D309" t="str">
        <x:v>강남구</x:v>
      </x:c>
      <x:c r="E309" t="str">
        <x:v>삼성1동</x:v>
      </x:c>
      <x:c r="F309" t="str">
        <x:v>CS200001</x:v>
      </x:c>
      <x:c r="G309" t="str">
        <x:v>일반교습학원</x:v>
      </x:c>
      <x:c r="H309" t="n">
        <x:v>636237637</x:v>
      </x:c>
      <x:c r="I309" t="n">
        <x:v>1084</x:v>
      </x:c>
      <x:c r="J309" t="n">
        <x:v>586935.0894833949</x:v>
      </x:c>
      <x:c r="K309" s="14" t="n">
        <x:v>0.23534986512155864</x:v>
      </x:c>
      <x:c r="L309" s="14" t="n">
        <x:v>0.026465986538897424</x:v>
      </x:c>
      <x:c r="M309" s="14" t="n">
        <x:v>0.05930632525283164</x:v>
      </x:c>
      <x:c r="N309" t="n">
        <x:v>55</x:v>
      </x:c>
      <x:c r="O309" t="n">
        <x:v>0</x:v>
      </x:c>
      <x:c r="P309" s="14" t="n">
        <x:v>0</x:v>
      </x:c>
      <x:c r="Q309" s="14" t="n">
        <x:v>0.05454545454545454</x:v>
      </x:c>
      <x:c r="R309" s="14" t="n">
        <x:v>0.25</x:v>
      </x:c>
      <x:c r="S309" t="n">
        <x:v>24393</x:v>
      </x:c>
      <x:c r="T309" t="n">
        <x:v>1952.5959367945825</x:v>
      </x:c>
      <x:c r="U309" s="14" t="n">
        <x:v>0.7171190424247096</x:v>
      </x:c>
      <x:c r="V309" s="14" t="n">
        <x:v>0.5092521695631785</x:v>
      </x:c>
      <x:c r="W309" s="14" t="n">
        <x:v>0</x:v>
      </x:c>
      <x:c r="X309" s="14" t="n">
        <x:v>0.6943966959942673</x:v>
      </x:c>
      <x:c r="Y309" s="16" t="n">
        <x:v>76.3975155279503</x:v>
      </x:c>
      <x:c r="Z309" s="16" t="n">
        <x:v>91.88311688311688</x:v>
      </x:c>
      <x:c r="AA309" s="16" t="n">
        <x:v>70.49180327868852</x:v>
      </x:c>
      <x:c r="AB309" s="16" t="n">
        <x:v>50.077639751552795</x:v>
      </x:c>
      <x:c r="AC309" s="16" t="n">
        <x:v>83.92857142857143</x:v>
      </x:c>
      <x:c r="AD309" s="16" t="n">
        <x:v>98.53658536585365</x:v>
      </x:c>
      <x:c r="AE309" s="16" t="n">
        <x:v>76.520856677092</x:v>
      </x:c>
      <x:c r="AF309" t="str">
        <x:v>검토</x:v>
      </x:c>
      <x:c r="AG309" t="str">
        <x:v>직장수요·상권 모멘텀 강점 / 경쟁여건 상대적 약점</x:v>
      </x:c>
    </x:row>
    <x:row r="310">
      <x:c r="A310" t="str">
        <x:v>3120159</x:v>
      </x:c>
      <x:c r="B310" t="str">
        <x:v>서울대입구역</x:v>
      </x:c>
      <x:c r="C310" t="str">
        <x:v>발달상권</x:v>
      </x:c>
      <x:c r="D310" t="str">
        <x:v>관악구</x:v>
      </x:c>
      <x:c r="E310" t="str">
        <x:v>청룡동</x:v>
      </x:c>
      <x:c r="F310" t="str">
        <x:v>CS200003</x:v>
      </x:c>
      <x:c r="G310" t="str">
        <x:v>예술학원</x:v>
      </x:c>
      <x:c r="H310" t="n">
        <x:v>245911207</x:v>
      </x:c>
      <x:c r="I310" t="n">
        <x:v>422</x:v>
      </x:c>
      <x:c r="J310" t="n">
        <x:v>582727.9786729858</x:v>
      </x:c>
      <x:c r="K310" s="14" t="n">
        <x:v>0.18139972268106086</x:v>
      </x:c>
      <x:c r="L310" s="14" t="n">
        <x:v>0.09364146198394163</x:v>
      </x:c>
      <x:c r="M310" s="14" t="n">
        <x:v>0.053788091189524545</x:v>
      </x:c>
      <x:c r="N310" t="n">
        <x:v>31</x:v>
      </x:c>
      <x:c r="O310" t="n">
        <x:v>0</x:v>
      </x:c>
      <x:c r="P310" s="14" t="n">
        <x:v>0</x:v>
      </x:c>
      <x:c r="Q310" s="14" t="n">
        <x:v>0.03225806451612903</x:v>
      </x:c>
      <x:c r="R310" s="14" t="n">
        <x:v>0.24</x:v>
      </x:c>
      <x:c r="S310" t="n">
        <x:v>6550</x:v>
      </x:c>
      <x:c r="T310" t="n">
        <x:v>278.2285126880697</x:v>
      </x:c>
      <x:c r="U310" s="14" t="n">
        <x:v>0.8538169836236866</x:v>
      </x:c>
      <x:c r="V310" s="14" t="n">
        <x:v>0.6222510062341323</x:v>
      </x:c>
      <x:c r="W310" s="14" t="n">
        <x:v>0.08648253676376774</x:v>
      </x:c>
      <x:c r="X310" s="14" t="n">
        <x:v>0.6999368475304991</x:v>
      </x:c>
      <x:c r="Y310" s="16" t="n">
        <x:v>81.87250996015936</x:v>
      </x:c>
      <x:c r="Z310" s="16" t="n">
        <x:v>80.57259713701431</x:v>
      </x:c>
      <x:c r="AA310" s="16" t="n">
        <x:v>88.52459016393442</x:v>
      </x:c>
      <x:c r="AB310" s="16" t="n">
        <x:v>46.613545816733065</x:v>
      </x:c>
      <x:c r="AC310" s="16" t="n">
        <x:v>73.20717131474103</x:v>
      </x:c>
      <x:c r="AD310" s="16" t="n">
        <x:v>82.8048780487805</x:v>
      </x:c>
      <x:c r="AE310" s="16" t="n">
        <x:v>76.50157934447188</x:v>
      </x:c>
      <x:c r="AF310" t="str">
        <x:v>검토</x:v>
      </x:c>
      <x:c r="AG310" t="str">
        <x:v>서울 업종추세·직장수요 강점 / 경쟁여건 상대적 약점</x:v>
      </x:c>
    </x:row>
    <x:row r="311">
      <x:c r="A311" t="str">
        <x:v>3120046</x:v>
      </x:c>
      <x:c r="B311" t="str">
        <x:v>이태원(이태원역)</x:v>
      </x:c>
      <x:c r="C311" t="str">
        <x:v>발달상권</x:v>
      </x:c>
      <x:c r="D311" t="str">
        <x:v>용산구</x:v>
      </x:c>
      <x:c r="E311" t="str">
        <x:v>이태원1동</x:v>
      </x:c>
      <x:c r="F311" t="str">
        <x:v>CS300001</x:v>
      </x:c>
      <x:c r="G311" t="str">
        <x:v>슈퍼마켓</x:v>
      </x:c>
      <x:c r="H311" t="n">
        <x:v>4650551874</x:v>
      </x:c>
      <x:c r="I311" t="n">
        <x:v>270098</x:v>
      </x:c>
      <x:c r="J311" t="n">
        <x:v>17218.016697643077</x:v>
      </x:c>
      <x:c r="K311" s="14" t="n">
        <x:v>0.03203585443695722</x:v>
      </x:c>
      <x:c r="L311" s="14" t="n">
        <x:v>-0.02979620222776047</x:v>
      </x:c>
      <x:c r="M311" s="14" t="n">
        <x:v>-0.03099912402160654</x:v>
      </x:c>
      <x:c r="N311" t="n">
        <x:v>26</x:v>
      </x:c>
      <x:c r="O311" t="n">
        <x:v>0</x:v>
      </x:c>
      <x:c r="P311" s="14" t="n">
        <x:v>0</x:v>
      </x:c>
      <x:c r="Q311" s="14" t="n">
        <x:v>0.23076923076923078</x:v>
      </x:c>
      <x:c r="R311" s="14" t="n">
        <x:v>-0.03703703703703709</x:v>
      </x:c>
      <x:c r="S311" t="n">
        <x:v>22140</x:v>
      </x:c>
      <x:c r="T311" t="n">
        <x:v>781.1480123769975</x:v>
      </x:c>
      <x:c r="U311" s="14" t="n">
        <x:v>0.7355995360734686</x:v>
      </x:c>
      <x:c r="V311" s="14" t="n">
        <x:v>0.5753832154759876</x:v>
      </x:c>
      <x:c r="W311" s="14" t="n">
        <x:v>0.3642679926808188</x:v>
      </x:c>
      <x:c r="X311" s="14" t="n">
        <x:v>0.4694502990506799</x:v>
      </x:c>
      <x:c r="Y311" s="16" t="n">
        <x:v>97.74520856820745</x:v>
      </x:c>
      <x:c r="Z311" s="16" t="n">
        <x:v>68.88111888111888</x:v>
      </x:c>
      <x:c r="AA311" s="16" t="n">
        <x:v>31.147540983606557</x:v>
      </x:c>
      <x:c r="AB311" s="16" t="n">
        <x:v>74.63359639233371</x:v>
      </x:c>
      <x:c r="AC311" s="16" t="n">
        <x:v>78.80496054114994</x:v>
      </x:c>
      <x:c r="AD311" s="16" t="n">
        <x:v>94.6951219512195</x:v>
      </x:c>
      <x:c r="AE311" s="16" t="n">
        <x:v>76.46946953316338</x:v>
      </x:c>
      <x:c r="AF311" t="str">
        <x:v>검토</x:v>
      </x:c>
      <x:c r="AG311" t="str">
        <x:v>수요·직장수요 강점 / 서울 업종추세 상대적 약점</x:v>
      </x:c>
    </x:row>
    <x:row r="312">
      <x:c r="A312" t="str">
        <x:v>3120167</x:v>
      </x:c>
      <x:c r="B312" t="str">
        <x:v>고속터미널(고속터미널역)</x:v>
      </x:c>
      <x:c r="C312" t="str">
        <x:v>발달상권</x:v>
      </x:c>
      <x:c r="D312" t="str">
        <x:v>서초구</x:v>
      </x:c>
      <x:c r="E312" t="str">
        <x:v>반포4동</x:v>
      </x:c>
      <x:c r="F312" t="str">
        <x:v>CS100001</x:v>
      </x:c>
      <x:c r="G312" t="str">
        <x:v>한식음식점</x:v>
      </x:c>
      <x:c r="H312" t="n">
        <x:v>5352144290</x:v>
      </x:c>
      <x:c r="I312" t="n">
        <x:v>96934</x:v>
      </x:c>
      <x:c r="J312" t="n">
        <x:v>55214.313759877856</x:v>
      </x:c>
      <x:c r="K312" s="14" t="n">
        <x:v>0.10275794446133801</x:v>
      </x:c>
      <x:c r="L312" s="14" t="n">
        <x:v>-0.0018259958518723751</x:v>
      </x:c>
      <x:c r="M312" s="14" t="n">
        <x:v>0.06341040875687098</x:v>
      </x:c>
      <x:c r="N312" t="n">
        <x:v>133</x:v>
      </x:c>
      <x:c r="O312" t="n">
        <x:v>2</x:v>
      </x:c>
      <x:c r="P312" s="14" t="n">
        <x:v>0.014492753623188406</x:v>
      </x:c>
      <x:c r="Q312" s="14" t="n">
        <x:v>0.2556390977443609</x:v>
      </x:c>
      <x:c r="R312" s="14" t="n">
        <x:v>-0.10135135135135132</x:v>
      </x:c>
      <x:c r="S312" t="n">
        <x:v>26897</x:v>
      </x:c>
      <x:c r="T312" t="n">
        <x:v>838.3959602886398</x:v>
      </x:c>
      <x:c r="U312" s="14" t="n">
        <x:v>0.7065059292338324</x:v>
      </x:c>
      <x:c r="V312" s="14" t="n">
        <x:v>0.7403090866595452</x:v>
      </x:c>
      <x:c r="W312" s="14" t="n">
        <x:v>0.2764802734793236</x:v>
      </x:c>
      <x:c r="X312" s="14" t="n">
        <x:v>0.34385702931039624</x:v>
      </x:c>
      <x:c r="Y312" s="16" t="n">
        <x:v>87.11743772241992</x:v>
      </x:c>
      <x:c r="Z312" s="16" t="n">
        <x:v>89.70693352394568</x:v>
      </x:c>
      <x:c r="AA312" s="16" t="n">
        <x:v>40.98360655737705</x:v>
      </x:c>
      <x:c r="AB312" s="16" t="n">
        <x:v>56.29893238434164</x:v>
      </x:c>
      <x:c r="AC312" s="16" t="n">
        <x:v>86.72597864768683</x:v>
      </x:c>
      <x:c r="AD312" s="16" t="n">
        <x:v>95.42682926829268</x:v>
      </x:c>
      <x:c r="AE312" s="16" t="n">
        <x:v>76.46881007707724</x:v>
      </x:c>
      <x:c r="AF312" t="str">
        <x:v>검토</x:v>
      </x:c>
      <x:c r="AG312" t="str">
        <x:v>직장수요·상권 모멘텀 강점 / 서울 업종추세 상대적 약점</x:v>
      </x:c>
    </x:row>
    <x:row r="313">
      <x:c r="A313" t="str">
        <x:v>3120012</x:v>
      </x:c>
      <x:c r="B313" t="str">
        <x:v>대학로(혜화역)</x:v>
      </x:c>
      <x:c r="C313" t="str">
        <x:v>발달상권</x:v>
      </x:c>
      <x:c r="D313" t="str">
        <x:v>종로구</x:v>
      </x:c>
      <x:c r="E313" t="str">
        <x:v>혜화동</x:v>
      </x:c>
      <x:c r="F313" t="str">
        <x:v>CS200003</x:v>
      </x:c>
      <x:c r="G313" t="str">
        <x:v>예술학원</x:v>
      </x:c>
      <x:c r="H313" t="n">
        <x:v>1065089257</x:v>
      </x:c>
      <x:c r="I313" t="n">
        <x:v>4618</x:v>
      </x:c>
      <x:c r="J313" t="n">
        <x:v>230638.64378518838</x:v>
      </x:c>
      <x:c r="K313" s="14" t="n">
        <x:v>0.04512425768671302</x:v>
      </x:c>
      <x:c r="L313" s="14" t="n">
        <x:v>0.09364146198394163</x:v>
      </x:c>
      <x:c r="M313" s="14" t="n">
        <x:v>0.053788091189524545</x:v>
      </x:c>
      <x:c r="N313" t="n">
        <x:v>27</x:v>
      </x:c>
      <x:c r="O313" t="n">
        <x:v>0</x:v>
      </x:c>
      <x:c r="P313" s="14" t="n">
        <x:v>0</x:v>
      </x:c>
      <x:c r="Q313" s="14" t="n">
        <x:v>0.1111111111111111</x:v>
      </x:c>
      <x:c r="R313" s="14" t="n">
        <x:v>0.08000000000000007</x:v>
      </x:c>
      <x:c r="S313" t="n">
        <x:v>2991</x:v>
      </x:c>
      <x:c r="T313" t="n">
        <x:v>116.4320637787674</x:v>
      </x:c>
      <x:c r="U313" s="14" t="n">
        <x:v>0.7441070377822805</x:v>
      </x:c>
      <x:c r="V313" s="14" t="n">
        <x:v>0.4048009029913631</x:v>
      </x:c>
      <x:c r="W313" s="14" t="n">
        <x:v>0.283999565305915</x:v>
      </x:c>
      <x:c r="X313" s="14" t="n">
        <x:v>0.6047592056409221</x:v>
      </x:c>
      <x:c r="Y313" s="16" t="n">
        <x:v>96.01593625498008</x:v>
      </x:c>
      <x:c r="Z313" s="16" t="n">
        <x:v>53.169734151329244</x:v>
      </x:c>
      <x:c r="AA313" s="16" t="n">
        <x:v>88.52459016393442</x:v>
      </x:c>
      <x:c r="AB313" s="16" t="n">
        <x:v>56.47410358565737</x:v>
      </x:c>
      <x:c r="AC313" s="16" t="n">
        <x:v>73.20717131474103</x:v>
      </x:c>
      <x:c r="AD313" s="16" t="n">
        <x:v>63.170731707317074</x:v>
      </x:c>
      <x:c r="AE313" s="16" t="n">
        <x:v>76.4685822987876</x:v>
      </x:c>
      <x:c r="AF313" t="str">
        <x:v>검토</x:v>
      </x:c>
      <x:c r="AG313" t="str">
        <x:v>수요·서울 업종추세 강점 / 상권 모멘텀 상대적 약점</x:v>
      </x:c>
    </x:row>
    <x:row r="314">
      <x:c r="A314" t="str">
        <x:v>3120175</x:v>
      </x:c>
      <x:c r="B314" t="str">
        <x:v>남부터미널역</x:v>
      </x:c>
      <x:c r="C314" t="str">
        <x:v>발달상권</x:v>
      </x:c>
      <x:c r="D314" t="str">
        <x:v>서초구</x:v>
      </x:c>
      <x:c r="E314" t="str">
        <x:v>서초1동</x:v>
      </x:c>
      <x:c r="F314" t="str">
        <x:v>CS300025</x:v>
      </x:c>
      <x:c r="G314" t="str">
        <x:v>자전거 및 기타운송장비</x:v>
      </x:c>
      <x:c r="H314" t="n">
        <x:v>449658852</x:v>
      </x:c>
      <x:c r="I314" t="n">
        <x:v>901</x:v>
      </x:c>
      <x:c r="J314" t="n">
        <x:v>499066.4284128746</x:v>
      </x:c>
      <x:c r="K314" s="14" t="n">
        <x:v>0.25546039981723734</x:v>
      </x:c>
      <x:c r="L314" s="14" t="n">
        <x:v>-0.045278474068117025</x:v>
      </x:c>
      <x:c r="M314" s="14" t="n">
        <x:v>-0.12426466780440637</x:v>
      </x:c>
      <x:c r="N314" t="n">
        <x:v>3</x:v>
      </x:c>
      <x:c r="O314" t="n">
        <x:v>0</x:v>
      </x:c>
      <x:c r="P314" s="14" t="n">
        <x:v>0</x:v>
      </x:c>
      <x:c r="Q314" s="14" t="n">
        <x:v>0</x:v>
      </x:c>
      <x:c r="R314" s="14" t="n">
        <x:v>0</x:v>
      </x:c>
      <x:c r="S314" t="n">
        <x:v>21560</x:v>
      </x:c>
      <x:c r="T314" t="n">
        <x:v>829.3870767952421</x:v>
      </x:c>
      <x:c r="U314" s="14" t="n">
        <x:v>0.24742681591866003</x:v>
      </x:c>
      <x:c r="V314" s="14" t="n">
        <x:v>0.04215554951423485</x:v>
      </x:c>
      <x:c r="W314" s="14" t="n">
        <x:v>0.2841061271935107</x:v>
      </x:c>
      <x:c r="X314" s="14" t="n">
        <x:v>0.012663073293617714</x:v>
      </x:c>
      <x:c r="Y314" s="16" t="n">
        <x:v>82.6086956521739</x:v>
      </x:c>
      <x:c r="Z314" s="16" t="n">
        <x:v>100</x:v>
      </x:c>
      <x:c r="AA314" s="16" t="n">
        <x:v>22.950819672131146</x:v>
      </x:c>
      <x:c r="AB314" s="16" t="n">
        <x:v>95.65217391304348</x:v>
      </x:c>
      <x:c r="AC314" s="16" t="n">
        <x:v>50</x:v>
      </x:c>
      <x:c r="AD314" s="16" t="n">
        <x:v>95.1219512195122</x:v>
      </x:c>
      <x:c r="AE314" s="16" t="n">
        <x:v>76.45959007701265</x:v>
      </x:c>
      <x:c r="AF314" t="str">
        <x:v>검토</x:v>
      </x:c>
      <x:c r="AG314" t="str">
        <x:v>상권 모멘텀·경쟁여건 강점 / 서울 업종추세 상대적 약점</x:v>
      </x:c>
    </x:row>
    <x:row r="315">
      <x:c r="A315" t="str">
        <x:v>3120173</x:v>
      </x:c>
      <x:c r="B315" t="str">
        <x:v>교대역(법원.검찰청)</x:v>
      </x:c>
      <x:c r="C315" t="str">
        <x:v>발달상권</x:v>
      </x:c>
      <x:c r="D315" t="str">
        <x:v>서초구</x:v>
      </x:c>
      <x:c r="E315" t="str">
        <x:v>서초1동</x:v>
      </x:c>
      <x:c r="F315" t="str">
        <x:v>CS300028</x:v>
      </x:c>
      <x:c r="G315" t="str">
        <x:v>화초</x:v>
      </x:c>
      <x:c r="H315" t="n">
        <x:v>459218287</x:v>
      </x:c>
      <x:c r="I315" t="n">
        <x:v>3108</x:v>
      </x:c>
      <x:c r="J315" t="n">
        <x:v>147753.6315958816</x:v>
      </x:c>
      <x:c r="K315" s="14" t="n">
        <x:v>0.14555592419719243</x:v>
      </x:c>
      <x:c r="L315" s="14" t="n">
        <x:v>0.028008199294863756</x:v>
      </x:c>
      <x:c r="M315" s="14" t="n">
        <x:v>-0.0030123365554672876</x:v>
      </x:c>
      <x:c r="N315" t="n">
        <x:v>38</x:v>
      </x:c>
      <x:c r="O315" t="n">
        <x:v>0</x:v>
      </x:c>
      <x:c r="P315" s="14" t="n">
        <x:v>0</x:v>
      </x:c>
      <x:c r="Q315" s="14" t="n">
        <x:v>0</x:v>
      </x:c>
      <x:c r="R315" s="14" t="n">
        <x:v>0.05555555555555558</x:v>
      </x:c>
      <x:c r="S315" t="n">
        <x:v>33675</x:v>
      </x:c>
      <x:c r="T315" t="n">
        <x:v>849.2400341965697</x:v>
      </x:c>
      <x:c r="U315" s="14" t="n">
        <x:v>0.9721006951101666</x:v>
      </x:c>
      <x:c r="V315" s="14" t="n">
        <x:v>0.7190630585667421</x:v>
      </x:c>
      <x:c r="W315" s="14" t="n">
        <x:v>0.08071222128834778</x:v>
      </x:c>
      <x:c r="X315" s="14" t="n">
        <x:v>0.6500758799267939</x:v>
      </x:c>
      <x:c r="Y315" s="16" t="n">
        <x:v>93.6241610738255</x:v>
      </x:c>
      <x:c r="Z315" s="16" t="n">
        <x:v>88.35616438356165</x:v>
      </x:c>
      <x:c r="AA315" s="16" t="n">
        <x:v>73.77049180327869</x:v>
      </x:c>
      <x:c r="AB315" s="16" t="n">
        <x:v>22.986577181208048</x:v>
      </x:c>
      <x:c r="AC315" s="16" t="n">
        <x:v>66.7785234899329</x:v>
      </x:c>
      <x:c r="AD315" s="16" t="n">
        <x:v>95.91463414634147</x:v>
      </x:c>
      <x:c r="AE315" s="16" t="n">
        <x:v>76.42683365653463</x:v>
      </x:c>
      <x:c r="AF315" t="str">
        <x:v>검토</x:v>
      </x:c>
      <x:c r="AG315" t="str">
        <x:v>직장수요·수요 강점 / 경쟁여건 상대적 약점</x:v>
      </x:c>
    </x:row>
    <x:row r="316">
      <x:c r="A316" t="str">
        <x:v>3120116</x:v>
      </x:c>
      <x:c r="B316" t="str">
        <x:v>송정역</x:v>
      </x:c>
      <x:c r="C316" t="str">
        <x:v>발달상권</x:v>
      </x:c>
      <x:c r="D316" t="str">
        <x:v>강서구</x:v>
      </x:c>
      <x:c r="E316" t="str">
        <x:v>공항동</x:v>
      </x:c>
      <x:c r="F316" t="str">
        <x:v>CS200028</x:v>
      </x:c>
      <x:c r="G316" t="str">
        <x:v>미용실</x:v>
      </x:c>
      <x:c r="H316" t="n">
        <x:v>273676570</x:v>
      </x:c>
      <x:c r="I316" t="n">
        <x:v>13689</x:v>
      </x:c>
      <x:c r="J316" t="n">
        <x:v>19992.444298341736</x:v>
      </x:c>
      <x:c r="K316" s="14" t="n">
        <x:v>0.10222854738989073</x:v>
      </x:c>
      <x:c r="L316" s="14" t="n">
        <x:v>0.02168887159425803</x:v>
      </x:c>
      <x:c r="M316" s="14" t="n">
        <x:v>-0.013481964371473865</x:v>
      </x:c>
      <x:c r="N316" t="n">
        <x:v>46</x:v>
      </x:c>
      <x:c r="O316" t="n">
        <x:v>0</x:v>
      </x:c>
      <x:c r="P316" s="14" t="n">
        <x:v>0</x:v>
      </x:c>
      <x:c r="Q316" s="14" t="n">
        <x:v>0.10869565217391304</x:v>
      </x:c>
      <x:c r="R316" s="14" t="n">
        <x:v>0.09523809523809534</x:v>
      </x:c>
      <x:c r="S316" t="n">
        <x:v>791</x:v>
      </x:c>
      <x:c r="T316" t="n">
        <x:v>129.41330453846405</x:v>
      </x:c>
      <x:c r="U316" s="14" t="n">
        <x:v>0.7081248058611667</x:v>
      </x:c>
      <x:c r="V316" s="14" t="n">
        <x:v>0.2458291588498058</x:v>
      </x:c>
      <x:c r="W316" s="14" t="n">
        <x:v>0.13094979961200187</x:v>
      </x:c>
      <x:c r="X316" s="14" t="n">
        <x:v>0.38599222067128364</x:v>
      </x:c>
      <x:c r="Y316" s="16" t="n">
        <x:v>84.78066248880931</x:v>
      </x:c>
      <x:c r="Z316" s="16" t="n">
        <x:v>85.61151079136691</x:v>
      </x:c>
      <x:c r="AA316" s="16" t="n">
        <x:v>57.377049180327866</x:v>
      </x:c>
      <x:c r="AB316" s="16" t="n">
        <x:v>67.59176365264099</x:v>
      </x:c>
      <x:c r="AC316" s="16" t="n">
        <x:v>75.60429722470904</x:v>
      </x:c>
      <x:c r="AD316" s="16" t="n">
        <x:v>65.97560975609755</x:v>
      </x:c>
      <x:c r="AE316" s="16" t="n">
        <x:v>76.40006616457774</x:v>
      </x:c>
      <x:c r="AF316" t="str">
        <x:v>검토</x:v>
      </x:c>
      <x:c r="AG316" t="str">
        <x:v>상권 모멘텀·수요 강점 / 서울 업종추세 상대적 약점</x:v>
      </x:c>
    </x:row>
    <x:row r="317">
      <x:c r="A317" t="str">
        <x:v>3120057</x:v>
      </x:c>
      <x:c r="B317" t="str">
        <x:v>아차산역</x:v>
      </x:c>
      <x:c r="C317" t="str">
        <x:v>발달상권</x:v>
      </x:c>
      <x:c r="D317" t="str">
        <x:v>광진구</x:v>
      </x:c>
      <x:c r="E317" t="str">
        <x:v>중곡2동</x:v>
      </x:c>
      <x:c r="F317" t="str">
        <x:v>CS200006</x:v>
      </x:c>
      <x:c r="G317" t="str">
        <x:v>일반의원</x:v>
      </x:c>
      <x:c r="H317" t="n">
        <x:v>6177264376</x:v>
      </x:c>
      <x:c r="I317" t="n">
        <x:v>138052</x:v>
      </x:c>
      <x:c r="J317" t="n">
        <x:v>44745.924550169504</x:v>
      </x:c>
      <x:c r="K317" s="14" t="n">
        <x:v>0.10875531143907557</x:v>
      </x:c>
      <x:c r="L317" s="14" t="n">
        <x:v>0.09973642051122278</x:v>
      </x:c>
      <x:c r="M317" s="14" t="n">
        <x:v>0.06942273842247415</x:v>
      </x:c>
      <x:c r="N317" t="n">
        <x:v>31</x:v>
      </x:c>
      <x:c r="O317" t="n">
        <x:v>0</x:v>
      </x:c>
      <x:c r="P317" s="14" t="n">
        <x:v>0</x:v>
      </x:c>
      <x:c r="Q317" s="14" t="n">
        <x:v>0</x:v>
      </x:c>
      <x:c r="R317" s="14" t="n">
        <x:v>0.06896551724137923</x:v>
      </x:c>
      <x:c r="S317" t="n">
        <x:v>2527</x:v>
      </x:c>
      <x:c r="T317" t="n">
        <x:v>125.5608500573893</x:v>
      </x:c>
      <x:c r="U317" s="14" t="n">
        <x:v>0.8171867528630443</x:v>
      </x:c>
      <x:c r="V317" s="14" t="n">
        <x:v>0.1711516330930629</x:v>
      </x:c>
      <x:c r="W317" s="14" t="n">
        <x:v>0.28089861699000074</x:v>
      </x:c>
      <x:c r="X317" s="14" t="n">
        <x:v>0.5203862145659929</x:v>
      </x:c>
      <x:c r="Y317" s="16" t="n">
        <x:v>86.26692456479691</x:v>
      </x:c>
      <x:c r="Z317" s="16" t="n">
        <x:v>83.91472868217055</x:v>
      </x:c>
      <x:c r="AA317" s="16" t="n">
        <x:v>90.1639344262295</x:v>
      </x:c>
      <x:c r="AB317" s="16" t="n">
        <x:v>42.53875968992248</x:v>
      </x:c>
      <x:c r="AC317" s="16" t="n">
        <x:v>62.5</x:v>
      </x:c>
      <x:c r="AD317" s="16" t="n">
        <x:v>65.1829268292683</x:v>
      </x:c>
      <x:c r="AE317" s="16" t="n">
        <x:v>76.39091979299926</x:v>
      </x:c>
      <x:c r="AF317" t="str">
        <x:v>검토</x:v>
      </x:c>
      <x:c r="AG317" t="str">
        <x:v>서울 업종추세·수요 강점 / 경쟁여건 상대적 약점</x:v>
      </x:c>
    </x:row>
    <x:row r="318">
      <x:c r="A318" t="str">
        <x:v>3120058</x:v>
      </x:c>
      <x:c r="B318" t="str">
        <x:v>구의사거리</x:v>
      </x:c>
      <x:c r="C318" t="str">
        <x:v>발달상권</x:v>
      </x:c>
      <x:c r="D318" t="str">
        <x:v>광진구</x:v>
      </x:c>
      <x:c r="E318" t="str">
        <x:v>구의1동</x:v>
      </x:c>
      <x:c r="F318" t="str">
        <x:v>CS200025</x:v>
      </x:c>
      <x:c r="G318" t="str">
        <x:v>자동차수리</x:v>
      </x:c>
      <x:c r="H318" t="n">
        <x:v>542245233</x:v>
      </x:c>
      <x:c r="I318" t="n">
        <x:v>2640</x:v>
      </x:c>
      <x:c r="J318" t="n">
        <x:v>205395.9215909091</x:v>
      </x:c>
      <x:c r="K318" s="14" t="n">
        <x:v>0.32490160583589334</x:v>
      </x:c>
      <x:c r="L318" s="14" t="n">
        <x:v>0.02213950283587751</x:v>
      </x:c>
      <x:c r="M318" s="14" t="n">
        <x:v>0.024356161917000962</x:v>
      </x:c>
      <x:c r="N318" t="n">
        <x:v>6</x:v>
      </x:c>
      <x:c r="O318" t="n">
        <x:v>0</x:v>
      </x:c>
      <x:c r="P318" s="14" t="n">
        <x:v>0</x:v>
      </x:c>
      <x:c r="Q318" s="14" t="n">
        <x:v>0.16666666666666666</x:v>
      </x:c>
      <x:c r="R318" s="14" t="n">
        <x:v>0</x:v>
      </x:c>
      <x:c r="S318" t="n">
        <x:v>1201</x:v>
      </x:c>
      <x:c r="T318" t="n">
        <x:v>129.61783783200406</x:v>
      </x:c>
      <x:c r="U318" s="14" t="n">
        <x:v>0.8192000832213863</x:v>
      </x:c>
      <x:c r="V318" s="14" t="n">
        <x:v>0.14184478409236656</x:v>
      </x:c>
      <x:c r="W318" s="14" t="n">
        <x:v>0.20766960619827154</x:v>
      </x:c>
      <x:c r="X318" s="14" t="n">
        <x:v>0.2163622303342591</x:v>
      </x:c>
      <x:c r="Y318" s="16" t="n">
        <x:v>72.92225201072387</x:v>
      </x:c>
      <x:c r="Z318" s="16" t="n">
        <x:v>93.98907103825137</x:v>
      </x:c>
      <x:c r="AA318" s="16" t="n">
        <x:v>59.01639344262295</x:v>
      </x:c>
      <x:c r="AB318" s="16" t="n">
        <x:v>94.6236559139785</x:v>
      </x:c>
      <x:c r="AC318" s="16" t="n">
        <x:v>56.98924731182796</x:v>
      </x:c>
      <x:c r="AD318" s="16" t="n">
        <x:v>66.03658536585365</x:v>
      </x:c>
      <x:c r="AE318" s="16" t="n">
        <x:v>76.36736381436931</x:v>
      </x:c>
      <x:c r="AF318" t="str">
        <x:v>검토</x:v>
      </x:c>
      <x:c r="AG318" t="str">
        <x:v>경쟁여건·상권 모멘텀 강점 / 안정성 상대적 약점</x:v>
      </x:c>
    </x:row>
    <x:row r="319">
      <x:c r="A319" t="str">
        <x:v>3120043</x:v>
      </x:c>
      <x:c r="B319" t="str">
        <x:v>서울역</x:v>
      </x:c>
      <x:c r="C319" t="str">
        <x:v>발달상권</x:v>
      </x:c>
      <x:c r="D319" t="str">
        <x:v>중구</x:v>
      </x:c>
      <x:c r="E319" t="str">
        <x:v>회현동</x:v>
      </x:c>
      <x:c r="F319" t="str">
        <x:v>CS200006</x:v>
      </x:c>
      <x:c r="G319" t="str">
        <x:v>일반의원</x:v>
      </x:c>
      <x:c r="H319" t="n">
        <x:v>7328967225</x:v>
      </x:c>
      <x:c r="I319" t="n">
        <x:v>78583</x:v>
      </x:c>
      <x:c r="J319" t="n">
        <x:v>93264.02943384701</x:v>
      </x:c>
      <x:c r="K319" s="14" t="n">
        <x:v>0.06984233565190134</x:v>
      </x:c>
      <x:c r="L319" s="14" t="n">
        <x:v>0.09973642051122278</x:v>
      </x:c>
      <x:c r="M319" s="14" t="n">
        <x:v>0.06942273842247415</x:v>
      </x:c>
      <x:c r="N319" t="n">
        <x:v>33</x:v>
      </x:c>
      <x:c r="O319" t="n">
        <x:v>0</x:v>
      </x:c>
      <x:c r="P319" s="14" t="n">
        <x:v>0</x:v>
      </x:c>
      <x:c r="Q319" s="14" t="n">
        <x:v>0</x:v>
      </x:c>
      <x:c r="R319" s="14" t="n">
        <x:v>0.10000000000000009</x:v>
      </x:c>
      <x:c r="S319" t="n">
        <x:v>27333</x:v>
      </x:c>
      <x:c r="T319" t="n">
        <x:v>627.6882800748642</x:v>
      </x:c>
      <x:c r="U319" s="14" t="n">
        <x:v>0.8955935238201315</x:v>
      </x:c>
      <x:c r="V319" s="14" t="n">
        <x:v>0.07831380389342647</x:v>
      </x:c>
      <x:c r="W319" s="14" t="n">
        <x:v>0.4303239194796645</x:v>
      </x:c>
      <x:c r="X319" s="14" t="n">
        <x:v>0.5565889745127084</x:v>
      </x:c>
      <x:c r="Y319" s="16" t="n">
        <x:v>89.16827852998065</x:v>
      </x:c>
      <x:c r="Z319" s="16" t="n">
        <x:v>73.06201550387597</x:v>
      </x:c>
      <x:c r="AA319" s="16" t="n">
        <x:v>90.1639344262295</x:v>
      </x:c>
      <x:c r="AB319" s="16" t="n">
        <x:v>40.69767441860465</x:v>
      </x:c>
      <x:c r="AC319" s="16" t="n">
        <x:v>62.5</x:v>
      </x:c>
      <x:c r="AD319" s="16" t="n">
        <x:v>93.17073170731707</x:v>
      </x:c>
      <x:c r="AE319" s="16" t="n">
        <x:v>76.3590784983594</x:v>
      </x:c>
      <x:c r="AF319" t="str">
        <x:v>검토</x:v>
      </x:c>
      <x:c r="AG319" t="str">
        <x:v>직장수요·서울 업종추세 강점 / 경쟁여건 상대적 약점</x:v>
      </x:c>
    </x:row>
    <x:row r="320">
      <x:c r="A320" t="str">
        <x:v>3120249</x:v>
      </x:c>
      <x:c r="B320" t="str">
        <x:v>고덕역</x:v>
      </x:c>
      <x:c r="C320" t="str">
        <x:v>발달상권</x:v>
      </x:c>
      <x:c r="D320" t="str">
        <x:v>강동구</x:v>
      </x:c>
      <x:c r="E320" t="str">
        <x:v>명일2동</x:v>
      </x:c>
      <x:c r="F320" t="str">
        <x:v>CS200006</x:v>
      </x:c>
      <x:c r="G320" t="str">
        <x:v>일반의원</x:v>
      </x:c>
      <x:c r="H320" t="n">
        <x:v>18403623711</x:v>
      </x:c>
      <x:c r="I320" t="n">
        <x:v>201776</x:v>
      </x:c>
      <x:c r="J320" t="n">
        <x:v>91208.18982931567</x:v>
      </x:c>
      <x:c r="K320" s="14" t="n">
        <x:v>0.05254669002747092</x:v>
      </x:c>
      <x:c r="L320" s="14" t="n">
        <x:v>0.09973642051122278</x:v>
      </x:c>
      <x:c r="M320" s="14" t="n">
        <x:v>0.06942273842247415</x:v>
      </x:c>
      <x:c r="N320" t="n">
        <x:v>35</x:v>
      </x:c>
      <x:c r="O320" t="n">
        <x:v>0</x:v>
      </x:c>
      <x:c r="P320" s="14" t="n">
        <x:v>0</x:v>
      </x:c>
      <x:c r="Q320" s="14" t="n">
        <x:v>0</x:v>
      </x:c>
      <x:c r="R320" s="14" t="n">
        <x:v>0.45833333333333326</x:v>
      </x:c>
      <x:c r="S320" t="n">
        <x:v>2311</x:v>
      </x:c>
      <x:c r="T320" t="n">
        <x:v>250.08927895072884</x:v>
      </x:c>
      <x:c r="U320" s="14" t="n">
        <x:v>0.8273599539474957</x:v>
      </x:c>
      <x:c r="V320" s="14" t="n">
        <x:v>0.18132442481995714</x:v>
      </x:c>
      <x:c r="W320" s="14" t="n">
        <x:v>0.2702172595513138</x:v>
      </x:c>
      <x:c r="X320" s="14" t="n">
        <x:v>0.6600039460022189</x:v>
      </x:c>
      <x:c r="Y320" s="16" t="n">
        <x:v>97.678916827853</x:v>
      </x:c>
      <x:c r="Z320" s="16" t="n">
        <x:v>64.34108527131782</x:v>
      </x:c>
      <x:c r="AA320" s="16" t="n">
        <x:v>90.1639344262295</x:v>
      </x:c>
      <x:c r="AB320" s="16" t="n">
        <x:v>36.627906976744185</x:v>
      </x:c>
      <x:c r="AC320" s="16" t="n">
        <x:v>62.5</x:v>
      </x:c>
      <x:c r="AD320" s="16" t="n">
        <x:v>80.67073170731707</x:v>
      </x:c>
      <x:c r="AE320" s="16" t="n">
        <x:v>76.35815073982403</x:v>
      </x:c>
      <x:c r="AF320" t="str">
        <x:v>검토</x:v>
      </x:c>
      <x:c r="AG320" t="str">
        <x:v>수요·서울 업종추세 강점 / 경쟁여건 상대적 약점</x:v>
      </x:c>
    </x:row>
    <x:row r="321">
      <x:c r="A321" t="str">
        <x:v>3120215</x:v>
      </x:c>
      <x:c r="B321" t="str">
        <x:v>포스코사거리</x:v>
      </x:c>
      <x:c r="C321" t="str">
        <x:v>발달상권</x:v>
      </x:c>
      <x:c r="D321" t="str">
        <x:v>강남구</x:v>
      </x:c>
      <x:c r="E321" t="str">
        <x:v>삼성2동</x:v>
      </x:c>
      <x:c r="F321" t="str">
        <x:v>CS200001</x:v>
      </x:c>
      <x:c r="G321" t="str">
        <x:v>일반교습학원</x:v>
      </x:c>
      <x:c r="H321" t="n">
        <x:v>2863685570</x:v>
      </x:c>
      <x:c r="I321" t="n">
        <x:v>402</x:v>
      </x:c>
      <x:c r="J321" t="n">
        <x:v>7123595.945273632</x:v>
      </x:c>
      <x:c r="K321" s="14" t="n">
        <x:v>2.2142776781807068</x:v>
      </x:c>
      <x:c r="L321" s="14" t="n">
        <x:v>0.026465986538897424</x:v>
      </x:c>
      <x:c r="M321" s="14" t="n">
        <x:v>0.05930632525283164</x:v>
      </x:c>
      <x:c r="N321" t="n">
        <x:v>122</x:v>
      </x:c>
      <x:c r="O321" t="n">
        <x:v>1</x:v>
      </x:c>
      <x:c r="P321" s="14" t="n">
        <x:v>0.007874015748031496</x:v>
      </x:c>
      <x:c r="Q321" s="14" t="n">
        <x:v>0.05737704918032787</x:v>
      </x:c>
      <x:c r="R321" s="14" t="n">
        <x:v>0.4878048780487805</x:v>
      </x:c>
      <x:c r="S321" t="n">
        <x:v>94741</x:v>
      </x:c>
      <x:c r="T321" t="n">
        <x:v>2973.4233866664995</x:v>
      </x:c>
      <x:c r="U321" s="14" t="n">
        <x:v>0.9803845221038007</x:v>
      </x:c>
      <x:c r="V321" s="14" t="n">
        <x:v>0.18383231578039486</x:v>
      </x:c>
      <x:c r="W321" s="14" t="n">
        <x:v>0.21266483142560935</x:v>
      </x:c>
      <x:c r="X321" s="14" t="n">
        <x:v>0.12344672149184312</x:v>
      </x:c>
      <x:c r="Y321" s="16" t="n">
        <x:v>92.70186335403727</x:v>
      </x:c>
      <x:c r="Z321" s="16" t="n">
        <x:v>99.83766233766234</x:v>
      </x:c>
      <x:c r="AA321" s="16" t="n">
        <x:v>70.49180327868852</x:v>
      </x:c>
      <x:c r="AB321" s="16" t="n">
        <x:v>11.413043478260875</x:v>
      </x:c>
      <x:c r="AC321" s="16" t="n">
        <x:v>66.53726708074535</x:v>
      </x:c>
      <x:c r="AD321" s="16" t="n">
        <x:v>99.45121951219512</x:v>
      </x:c>
      <x:c r="AE321" s="16" t="n">
        <x:v>76.3251993386722</x:v>
      </x:c>
      <x:c r="AF321" t="str">
        <x:v>검토</x:v>
      </x:c>
      <x:c r="AG321" t="str">
        <x:v>상권 모멘텀·직장수요 강점 / 경쟁여건 상대적 약점</x:v>
      </x:c>
    </x:row>
    <x:row r="322">
      <x:c r="A322" t="str">
        <x:v>3111027</x:v>
      </x:c>
      <x:c r="B322" t="str">
        <x:v>문정초등학교</x:v>
      </x:c>
      <x:c r="C322" t="str">
        <x:v>골목상권</x:v>
      </x:c>
      <x:c r="D322" t="str">
        <x:v>송파구</x:v>
      </x:c>
      <x:c r="E322" t="str">
        <x:v>문정1동</x:v>
      </x:c>
      <x:c r="F322" t="str">
        <x:v>CS200001</x:v>
      </x:c>
      <x:c r="G322" t="str">
        <x:v>일반교습학원</x:v>
      </x:c>
      <x:c r="H322" t="n">
        <x:v>1586041894</x:v>
      </x:c>
      <x:c r="I322" t="n">
        <x:v>6478</x:v>
      </x:c>
      <x:c r="J322" t="n">
        <x:v>244835.11793763508</x:v>
      </x:c>
      <x:c r="K322" s="14" t="n">
        <x:v>0.04611031485431982</x:v>
      </x:c>
      <x:c r="L322" s="14" t="n">
        <x:v>0.026465986538897424</x:v>
      </x:c>
      <x:c r="M322" s="14" t="n">
        <x:v>0.05930632525283164</x:v>
      </x:c>
      <x:c r="N322" t="n">
        <x:v>47</x:v>
      </x:c>
      <x:c r="O322" t="n">
        <x:v>0</x:v>
      </x:c>
      <x:c r="P322" s="14" t="n">
        <x:v>0</x:v>
      </x:c>
      <x:c r="Q322" s="14" t="n">
        <x:v>0.10638297872340426</x:v>
      </x:c>
      <x:c r="R322" s="14" t="n">
        <x:v>0.17500000000000004</x:v>
      </x:c>
      <x:c r="S322" t="n">
        <x:v>5720</x:v>
      </x:c>
      <x:c r="T322" t="n">
        <x:v>457.8600645166454</x:v>
      </x:c>
      <x:c r="U322" s="14" t="n">
        <x:v>0.907292550999917</x:v>
      </x:c>
      <x:c r="V322" s="14" t="n">
        <x:v>0.371162155443039</x:v>
      </x:c>
      <x:c r="W322" s="14" t="n">
        <x:v>0.0675297376476488</x:v>
      </x:c>
      <x:c r="X322" s="14" t="n">
        <x:v>0.6568734324996336</x:v>
      </x:c>
      <x:c r="Y322" s="16" t="n">
        <x:v>87.4223602484472</x:v>
      </x:c>
      <x:c r="Z322" s="16" t="n">
        <x:v>66.23376623376623</x:v>
      </x:c>
      <x:c r="AA322" s="16" t="n">
        <x:v>70.49180327868852</x:v>
      </x:c>
      <x:c r="AB322" s="16" t="n">
        <x:v>60.40372670807454</x:v>
      </x:c>
      <x:c r="AC322" s="16" t="n">
        <x:v>83.92857142857143</x:v>
      </x:c>
      <x:c r="AD322" s="16" t="n">
        <x:v>88.96341463414635</x:v>
      </x:c>
      <x:c r="AE322" s="16" t="n">
        <x:v>76.31993670628869</x:v>
      </x:c>
      <x:c r="AF322" t="str">
        <x:v>검토</x:v>
      </x:c>
      <x:c r="AG322" t="str">
        <x:v>직장수요·수요 강점 / 경쟁여건 상대적 약점</x:v>
      </x:c>
    </x:row>
    <x:row r="323">
      <x:c r="A323" t="str">
        <x:v>3130273</x:v>
      </x:c>
      <x:c r="B323" t="str">
        <x:v>남성사계시장(남성시장)</x:v>
      </x:c>
      <x:c r="C323" t="str">
        <x:v>전통시장</x:v>
      </x:c>
      <x:c r="D323" t="str">
        <x:v>동작구</x:v>
      </x:c>
      <x:c r="E323" t="str">
        <x:v>사당2동</x:v>
      </x:c>
      <x:c r="F323" t="str">
        <x:v>CS200006</x:v>
      </x:c>
      <x:c r="G323" t="str">
        <x:v>일반의원</x:v>
      </x:c>
      <x:c r="H323" t="n">
        <x:v>5985859839</x:v>
      </x:c>
      <x:c r="I323" t="n">
        <x:v>104762</x:v>
      </x:c>
      <x:c r="J323" t="n">
        <x:v>57137.70106527176</x:v>
      </x:c>
      <x:c r="K323" s="14" t="n">
        <x:v>0.3584676423560649</x:v>
      </x:c>
      <x:c r="L323" s="14" t="n">
        <x:v>0.09973642051122278</x:v>
      </x:c>
      <x:c r="M323" s="14" t="n">
        <x:v>0.06942273842247415</x:v>
      </x:c>
      <x:c r="N323" t="n">
        <x:v>39</x:v>
      </x:c>
      <x:c r="O323" t="n">
        <x:v>0</x:v>
      </x:c>
      <x:c r="P323" s="14" t="n">
        <x:v>0</x:v>
      </x:c>
      <x:c r="Q323" s="14" t="n">
        <x:v>0</x:v>
      </x:c>
      <x:c r="R323" s="14" t="n">
        <x:v>0.25806451612903225</x:v>
      </x:c>
      <x:c r="S323" t="n">
        <x:v>380</x:v>
      </x:c>
      <x:c r="T323" t="n">
        <x:v>88.35565476190476</x:v>
      </x:c>
      <x:c r="U323" s="14" t="n">
        <x:v>0.8034445121260047</x:v>
      </x:c>
      <x:c r="V323" s="14" t="n">
        <x:v>0.18438213484537289</x:v>
      </x:c>
      <x:c r="W323" s="14" t="n">
        <x:v>0.1822951696747873</x:v>
      </x:c>
      <x:c r="X323" s="14" t="n">
        <x:v>0.572940139970424</x:v>
      </x:c>
      <x:c r="Y323" s="16" t="n">
        <x:v>85.88007736943908</x:v>
      </x:c>
      <x:c r="Z323" s="16" t="n">
        <x:v>97.48062015503876</x:v>
      </x:c>
      <x:c r="AA323" s="16" t="n">
        <x:v>90.1639344262295</x:v>
      </x:c>
      <x:c r="AB323" s="16" t="n">
        <x:v>27.906976744186053</x:v>
      </x:c>
      <x:c r="AC323" s="16" t="n">
        <x:v>62.5</x:v>
      </x:c>
      <x:c r="AD323" s="16" t="n">
        <x:v>55.670731707317074</x:v>
      </x:c>
      <x:c r="AE323" s="16" t="n">
        <x:v>76.29832437123962</x:v>
      </x:c>
      <x:c r="AF323" t="str">
        <x:v>검토</x:v>
      </x:c>
      <x:c r="AG323" t="str">
        <x:v>상권 모멘텀·서울 업종추세 강점 / 경쟁여건 상대적 약점</x:v>
      </x:c>
    </x:row>
    <x:row r="324">
      <x:c r="A324" t="str">
        <x:v>3120162</x:v>
      </x:c>
      <x:c r="B324" t="str">
        <x:v>방배동카페골목</x:v>
      </x:c>
      <x:c r="C324" t="str">
        <x:v>발달상권</x:v>
      </x:c>
      <x:c r="D324" t="str">
        <x:v>서초구</x:v>
      </x:c>
      <x:c r="E324" t="str">
        <x:v>방배본동</x:v>
      </x:c>
      <x:c r="F324" t="str">
        <x:v>CS200030</x:v>
      </x:c>
      <x:c r="G324" t="str">
        <x:v>피부관리실</x:v>
      </x:c>
      <x:c r="H324" t="n">
        <x:v>166020488</x:v>
      </x:c>
      <x:c r="I324" t="n">
        <x:v>461</x:v>
      </x:c>
      <x:c r="J324" t="n">
        <x:v>360131.2104121475</x:v>
      </x:c>
      <x:c r="K324" s="14" t="n">
        <x:v>0.076578894913653</x:v>
      </x:c>
      <x:c r="L324" s="14" t="n">
        <x:v>0.11857168683779085</x:v>
      </x:c>
      <x:c r="M324" s="14" t="n">
        <x:v>0.0314283578178467</x:v>
      </x:c>
      <x:c r="N324" t="n">
        <x:v>23</x:v>
      </x:c>
      <x:c r="O324" t="n">
        <x:v>0</x:v>
      </x:c>
      <x:c r="P324" s="14" t="n">
        <x:v>0</x:v>
      </x:c>
      <x:c r="Q324" s="14" t="n">
        <x:v>0</x:v>
      </x:c>
      <x:c r="R324" s="14" t="n">
        <x:v>0.3529411764705883</x:v>
      </x:c>
      <x:c r="S324" t="n">
        <x:v>7381</x:v>
      </x:c>
      <x:c r="T324" t="n">
        <x:v>772.6692209450831</x:v>
      </x:c>
      <x:c r="U324" s="14" t="n">
        <x:v>0.6141448698789513</x:v>
      </x:c>
      <x:c r="V324" s="14" t="n">
        <x:v>0.4680834452191226</x:v>
      </x:c>
      <x:c r="W324" s="14" t="n">
        <x:v>0.3194426822790691</x:v>
      </x:c>
      <x:c r="X324" s="14" t="n">
        <x:v>0.6853916728638938</x:v>
      </x:c>
      <x:c r="Y324" s="16" t="n">
        <x:v>82.13399503722084</x:v>
      </x:c>
      <x:c r="Z324" s="16" t="n">
        <x:v>56.23342175066313</x:v>
      </x:c>
      <x:c r="AA324" s="16" t="n">
        <x:v>91.80327868852459</x:v>
      </x:c>
      <x:c r="AB324" s="16" t="n">
        <x:v>65.88089330024815</x:v>
      </x:c>
      <x:c r="AC324" s="16" t="n">
        <x:v>79.15632754342431</x:v>
      </x:c>
      <x:c r="AD324" s="16" t="n">
        <x:v>94.63414634146342</x:v>
      </x:c>
      <x:c r="AE324" s="16" t="n">
        <x:v>76.29354848289144</x:v>
      </x:c>
      <x:c r="AF324" t="str">
        <x:v>검토</x:v>
      </x:c>
      <x:c r="AG324" t="str">
        <x:v>직장수요·서울 업종추세 강점 / 상권 모멘텀 상대적 약점</x:v>
      </x:c>
    </x:row>
    <x:row r="325">
      <x:c r="A325" t="str">
        <x:v>3120134</x:v>
      </x:c>
      <x:c r="B325" t="str">
        <x:v>구로전화국</x:v>
      </x:c>
      <x:c r="C325" t="str">
        <x:v>발달상권</x:v>
      </x:c>
      <x:c r="D325" t="str">
        <x:v>금천구</x:v>
      </x:c>
      <x:c r="E325" t="str">
        <x:v>독산3동</x:v>
      </x:c>
      <x:c r="F325" t="str">
        <x:v>CS100006</x:v>
      </x:c>
      <x:c r="G325" t="str">
        <x:v>패스트푸드점</x:v>
      </x:c>
      <x:c r="H325" t="n">
        <x:v>376655748</x:v>
      </x:c>
      <x:c r="I325" t="n">
        <x:v>35285</x:v>
      </x:c>
      <x:c r="J325" t="n">
        <x:v>10674.670483208161</x:v>
      </x:c>
      <x:c r="K325" s="14" t="n">
        <x:v>0.7521323903017922</x:v>
      </x:c>
      <x:c r="L325" s="14" t="n">
        <x:v>0.0037102725933797487</x:v>
      </x:c>
      <x:c r="M325" s="14" t="n">
        <x:v>0.011474434125836375</x:v>
      </x:c>
      <x:c r="N325" t="n">
        <x:v>7</x:v>
      </x:c>
      <x:c r="O325" t="n">
        <x:v>0</x:v>
      </x:c>
      <x:c r="P325" s="14" t="n">
        <x:v>0</x:v>
      </x:c>
      <x:c r="Q325" s="14" t="n">
        <x:v>0.7142857142857143</x:v>
      </x:c>
      <x:c r="R325" s="14" t="n">
        <x:v>0.3999999999999999</x:v>
      </x:c>
      <x:c r="S325" t="n">
        <x:v>1630</x:v>
      </x:c>
      <x:c r="T325" t="n">
        <x:v>96.07336940505239</x:v>
      </x:c>
      <x:c r="U325" s="14" t="n">
        <x:v>0.6656294569544177</x:v>
      </x:c>
      <x:c r="V325" s="14" t="n">
        <x:v>0.4706021504814524</x:v>
      </x:c>
      <x:c r="W325" s="14" t="n">
        <x:v>0.4333496830108112</x:v>
      </x:c>
      <x:c r="X325" s="14" t="n">
        <x:v>0.44190345397304276</x:v>
      </x:c>
      <x:c r="Y325" s="16" t="n">
        <x:v>72.81795511221945</x:v>
      </x:c>
      <x:c r="Z325" s="16" t="n">
        <x:v>98.17232375979113</x:v>
      </x:c>
      <x:c r="AA325" s="16" t="n">
        <x:v>44.26229508196721</x:v>
      </x:c>
      <x:c r="AB325" s="16" t="n">
        <x:v>91.89526184538653</x:v>
      </x:c>
      <x:c r="AC325" s="16" t="n">
        <x:v>78.30423940149626</x:v>
      </x:c>
      <x:c r="AD325" s="16" t="n">
        <x:v>58.23170731707317</x:v>
      </x:c>
      <x:c r="AE325" s="16" t="n">
        <x:v>76.28639188634138</x:v>
      </x:c>
      <x:c r="AF325" t="str">
        <x:v>검토</x:v>
      </x:c>
      <x:c r="AG325" t="str">
        <x:v>상권 모멘텀·경쟁여건 강점 / 서울 업종추세 상대적 약점</x:v>
      </x:c>
    </x:row>
    <x:row r="326">
      <x:c r="A326" t="str">
        <x:v>3130261</x:v>
      </x:c>
      <x:c r="B326" t="str">
        <x:v>성대전통시장(성대시장)</x:v>
      </x:c>
      <x:c r="C326" t="str">
        <x:v>전통시장</x:v>
      </x:c>
      <x:c r="D326" t="str">
        <x:v>동작구</x:v>
      </x:c>
      <x:c r="E326" t="str">
        <x:v>상도3동</x:v>
      </x:c>
      <x:c r="F326" t="str">
        <x:v>CS200030</x:v>
      </x:c>
      <x:c r="G326" t="str">
        <x:v>피부관리실</x:v>
      </x:c>
      <x:c r="H326" t="n">
        <x:v>190303119</x:v>
      </x:c>
      <x:c r="I326" t="n">
        <x:v>1847</x:v>
      </x:c>
      <x:c r="J326" t="n">
        <x:v>103033.63237682729</x:v>
      </x:c>
      <x:c r="K326" s="14" t="n">
        <x:v>0.07399231813772245</x:v>
      </x:c>
      <x:c r="L326" s="14" t="n">
        <x:v>0.11857168683779085</x:v>
      </x:c>
      <x:c r="M326" s="14" t="n">
        <x:v>0.0314283578178467</x:v>
      </x:c>
      <x:c r="N326" t="n">
        <x:v>17</x:v>
      </x:c>
      <x:c r="O326" t="n">
        <x:v>0</x:v>
      </x:c>
      <x:c r="P326" s="14" t="n">
        <x:v>0</x:v>
      </x:c>
      <x:c r="Q326" s="14" t="n">
        <x:v>0</x:v>
      </x:c>
      <x:c r="R326" s="14" t="n">
        <x:v>1.125</x:v>
      </x:c>
      <x:c r="S326" t="n">
        <x:v>389</x:v>
      </x:c>
      <x:c r="T326" t="n">
        <x:v>73.26904241693664</x:v>
      </x:c>
      <x:c r="U326" s="14" t="n">
        <x:v>0.8747311440544493</x:v>
      </x:c>
      <x:c r="V326" s="14" t="n">
        <x:v>0.5311739373015741</x:v>
      </x:c>
      <x:c r="W326" s="14" t="n">
        <x:v>0.3349827335199903</x:v>
      </x:c>
      <x:c r="X326" s="14" t="n">
        <x:v>0.7370895271558844</x:v>
      </x:c>
      <x:c r="Y326" s="16" t="n">
        <x:v>84.61538461538461</x:v>
      </x:c>
      <x:c r="Z326" s="16" t="n">
        <x:v>55.43766578249337</x:v>
      </x:c>
      <x:c r="AA326" s="16" t="n">
        <x:v>91.80327868852459</x:v>
      </x:c>
      <x:c r="AB326" s="16" t="n">
        <x:v>76.30272952853598</x:v>
      </x:c>
      <x:c r="AC326" s="16" t="n">
        <x:v>79.15632754342431</x:v>
      </x:c>
      <x:c r="AD326" s="16" t="n">
        <x:v>48.96341463414634</x:v>
      </x:c>
      <x:c r="AE326" s="16" t="n">
        <x:v>76.28262249049212</x:v>
      </x:c>
      <x:c r="AF326" t="str">
        <x:v>검토</x:v>
      </x:c>
      <x:c r="AG326" t="str">
        <x:v>서울 업종추세·수요 강점 / 직장수요 상대적 약점</x:v>
      </x:c>
    </x:row>
    <x:row r="327">
      <x:c r="A327" t="str">
        <x:v>3120107</x:v>
      </x:c>
      <x:c r="B327" t="str">
        <x:v>공덕역(공덕오거리)</x:v>
      </x:c>
      <x:c r="C327" t="str">
        <x:v>발달상권</x:v>
      </x:c>
      <x:c r="D327" t="str">
        <x:v>마포구</x:v>
      </x:c>
      <x:c r="E327" t="str">
        <x:v>도화동</x:v>
      </x:c>
      <x:c r="F327" t="str">
        <x:v>CS200028</x:v>
      </x:c>
      <x:c r="G327" t="str">
        <x:v>미용실</x:v>
      </x:c>
      <x:c r="H327" t="n">
        <x:v>420464342</x:v>
      </x:c>
      <x:c r="I327" t="n">
        <x:v>6016</x:v>
      </x:c>
      <x:c r="J327" t="n">
        <x:v>69891.01429521276</x:v>
      </x:c>
      <x:c r="K327" s="14" t="n">
        <x:v>0.03792194880204569</x:v>
      </x:c>
      <x:c r="L327" s="14" t="n">
        <x:v>0.02168887159425803</x:v>
      </x:c>
      <x:c r="M327" s="14" t="n">
        <x:v>-0.013481964371473865</x:v>
      </x:c>
      <x:c r="N327" t="n">
        <x:v>43</x:v>
      </x:c>
      <x:c r="O327" t="n">
        <x:v>0</x:v>
      </x:c>
      <x:c r="P327" s="14" t="n">
        <x:v>0</x:v>
      </x:c>
      <x:c r="Q327" s="14" t="n">
        <x:v>0.18604651162790697</x:v>
      </x:c>
      <x:c r="R327" s="14" t="n">
        <x:v>0.10256410256410264</x:v>
      </x:c>
      <x:c r="S327" t="n">
        <x:v>16135</x:v>
      </x:c>
      <x:c r="T327" t="n">
        <x:v>839.4115015243109</x:v>
      </x:c>
      <x:c r="U327" s="14" t="n">
        <x:v>0.621748602405861</x:v>
      </x:c>
      <x:c r="V327" s="14" t="n">
        <x:v>0.3899271914953492</x:v>
      </x:c>
      <x:c r="W327" s="14" t="n">
        <x:v>0.3011755726957698</x:v>
      </x:c>
      <x:c r="X327" s="14" t="n">
        <x:v>0.5348152186470072</x:v>
      </x:c>
      <x:c r="Y327" s="16" t="n">
        <x:v>91.13697403760072</x:v>
      </x:c>
      <x:c r="Z327" s="16" t="n">
        <x:v>62.32014388489208</x:v>
      </x:c>
      <x:c r="AA327" s="16" t="n">
        <x:v>57.377049180327866</x:v>
      </x:c>
      <x:c r="AB327" s="16" t="n">
        <x:v>73.14234556848702</x:v>
      </x:c>
      <x:c r="AC327" s="16" t="n">
        <x:v>75.60429722470904</x:v>
      </x:c>
      <x:c r="AD327" s="16" t="n">
        <x:v>95.48780487804878</x:v>
      </x:c>
      <x:c r="AE327" s="16" t="n">
        <x:v>76.27469886883425</x:v>
      </x:c>
      <x:c r="AF327" t="str">
        <x:v>검토</x:v>
      </x:c>
      <x:c r="AG327" t="str">
        <x:v>직장수요·수요 강점 / 서울 업종추세 상대적 약점</x:v>
      </x:c>
    </x:row>
    <x:row r="328">
      <x:c r="A328" t="str">
        <x:v>3120052</x:v>
      </x:c>
      <x:c r="B328" t="str">
        <x:v>성수역</x:v>
      </x:c>
      <x:c r="C328" t="str">
        <x:v>발달상권</x:v>
      </x:c>
      <x:c r="D328" t="str">
        <x:v>성동구</x:v>
      </x:c>
      <x:c r="E328" t="str">
        <x:v>성수2가3동</x:v>
      </x:c>
      <x:c r="F328" t="str">
        <x:v>CS100007</x:v>
      </x:c>
      <x:c r="G328" t="str">
        <x:v>치킨전문점</x:v>
      </x:c>
      <x:c r="H328" t="n">
        <x:v>465676779</x:v>
      </x:c>
      <x:c r="I328" t="n">
        <x:v>8770</x:v>
      </x:c>
      <x:c r="J328" t="n">
        <x:v>53098.83454960091</x:v>
      </x:c>
      <x:c r="K328" s="14" t="n">
        <x:v>0.08797415107155815</x:v>
      </x:c>
      <x:c r="L328" s="14" t="n">
        <x:v>-0.0724550541763268</x:v>
      </x:c>
      <x:c r="M328" s="14" t="n">
        <x:v>-0.037092372220345116</x:v>
      </x:c>
      <x:c r="N328" t="n">
        <x:v>8</x:v>
      </x:c>
      <x:c r="O328" t="n">
        <x:v>0</x:v>
      </x:c>
      <x:c r="P328" s="14" t="n">
        <x:v>0</x:v>
      </x:c>
      <x:c r="Q328" s="14" t="n">
        <x:v>0.75</x:v>
      </x:c>
      <x:c r="R328" s="14" t="n">
        <x:v>-0.33333333333333337</x:v>
      </x:c>
      <x:c r="S328" t="n">
        <x:v>11354</x:v>
      </x:c>
      <x:c r="T328" t="n">
        <x:v>379.8099277779079</x:v>
      </x:c>
      <x:c r="U328" s="14" t="n">
        <x:v>0.8274619486663302</x:v>
      </x:c>
      <x:c r="V328" s="14" t="n">
        <x:v>0.9038990496882817</x:v>
      </x:c>
      <x:c r="W328" s="14" t="n">
        <x:v>0.35198803202510554</x:v>
      </x:c>
      <x:c r="X328" s="14" t="n">
        <x:v>0.25516709305361346</x:v>
      </x:c>
      <x:c r="Y328" s="16" t="n">
        <x:v>91.83266932270917</x:v>
      </x:c>
      <x:c r="Z328" s="16" t="n">
        <x:v>79.22606924643584</x:v>
      </x:c>
      <x:c r="AA328" s="16" t="n">
        <x:v>16.39344262295082</x:v>
      </x:c>
      <x:c r="AB328" s="16" t="n">
        <x:v>92.33067729083665</x:v>
      </x:c>
      <x:c r="AC328" s="16" t="n">
        <x:v>76.29482071713147</x:v>
      </x:c>
      <x:c r="AD328" s="16" t="n">
        <x:v>86.82926829268293</x:v>
      </x:c>
      <x:c r="AE328" s="16" t="n">
        <x:v>76.2662115856508</x:v>
      </x:c>
      <x:c r="AF328" t="str">
        <x:v>검토</x:v>
      </x:c>
      <x:c r="AG328" t="str">
        <x:v>경쟁여건·수요 강점 / 서울 업종추세 상대적 약점</x:v>
      </x:c>
    </x:row>
    <x:row r="329">
      <x:c r="A329" t="str">
        <x:v>3120032</x:v>
      </x:c>
      <x:c r="B329" t="str">
        <x:v>충무로역</x:v>
      </x:c>
      <x:c r="C329" t="str">
        <x:v>발달상권</x:v>
      </x:c>
      <x:c r="D329" t="str">
        <x:v>중구</x:v>
      </x:c>
      <x:c r="E329" t="str">
        <x:v>필동</x:v>
      </x:c>
      <x:c r="F329" t="str">
        <x:v>CS200037</x:v>
      </x:c>
      <x:c r="G329" t="str">
        <x:v>노래방</x:v>
      </x:c>
      <x:c r="H329" t="n">
        <x:v>338286344</x:v>
      </x:c>
      <x:c r="I329" t="n">
        <x:v>18209</x:v>
      </x:c>
      <x:c r="J329" t="n">
        <x:v>18577.974847602833</x:v>
      </x:c>
      <x:c r="K329" s="14" t="n">
        <x:v>0.2103752435834565</x:v>
      </x:c>
      <x:c r="L329" s="14" t="n">
        <x:v>-0.038104861974415316</x:v>
      </x:c>
      <x:c r="M329" s="14" t="n">
        <x:v>0.05972019768270753</x:v>
      </x:c>
      <x:c r="N329" t="n">
        <x:v>8</x:v>
      </x:c>
      <x:c r="O329" t="n">
        <x:v>0</x:v>
      </x:c>
      <x:c r="P329" s="14" t="n">
        <x:v>0</x:v>
      </x:c>
      <x:c r="Q329" s="14" t="n">
        <x:v>0</x:v>
      </x:c>
      <x:c r="R329" s="14" t="n">
        <x:v>-0.19999999999999996</x:v>
      </x:c>
      <x:c r="S329" t="n">
        <x:v>12883</x:v>
      </x:c>
      <x:c r="T329" t="n">
        <x:v>544.6988787227925</x:v>
      </x:c>
      <x:c r="U329" s="14" t="n">
        <x:v>0.5980951037148576</x:v>
      </x:c>
      <x:c r="V329" s="14" t="n">
        <x:v>0.3636099747496754</x:v>
      </x:c>
      <x:c r="W329" s="14" t="n">
        <x:v>0.17106929388790226</x:v>
      </x:c>
      <x:c r="X329" s="14" t="n">
        <x:v>0.08075001395858888</x:v>
      </x:c>
      <x:c r="Y329" s="16" t="n">
        <x:v>83.46613545816733</x:v>
      </x:c>
      <x:c r="Z329" s="16" t="n">
        <x:v>91.8</x:v>
      </x:c>
      <x:c r="AA329" s="16" t="n">
        <x:v>27.868852459016395</x:v>
      </x:c>
      <x:c r="AB329" s="16" t="n">
        <x:v>84.9601593625498</x:v>
      </x:c>
      <x:c r="AC329" s="16" t="n">
        <x:v>72.11155378486056</x:v>
      </x:c>
      <x:c r="AD329" s="16" t="n">
        <x:v>90.91463414634147</x:v>
      </x:c>
      <x:c r="AE329" s="16" t="n">
        <x:v>76.25438626939662</x:v>
      </x:c>
      <x:c r="AF329" t="str">
        <x:v>검토</x:v>
      </x:c>
      <x:c r="AG329" t="str">
        <x:v>상권 모멘텀·직장수요 강점 / 서울 업종추세 상대적 약점</x:v>
      </x:c>
    </x:row>
    <x:row r="330">
      <x:c r="A330" t="str">
        <x:v>3110551</x:v>
      </x:c>
      <x:c r="B330" t="str">
        <x:v>성서초등학교</x:v>
      </x:c>
      <x:c r="C330" t="str">
        <x:v>골목상권</x:v>
      </x:c>
      <x:c r="D330" t="str">
        <x:v>마포구</x:v>
      </x:c>
      <x:c r="E330" t="str">
        <x:v>성산1동</x:v>
      </x:c>
      <x:c r="F330" t="str">
        <x:v>CS200028</x:v>
      </x:c>
      <x:c r="G330" t="str">
        <x:v>미용실</x:v>
      </x:c>
      <x:c r="H330" t="n">
        <x:v>162892225</x:v>
      </x:c>
      <x:c r="I330" t="n">
        <x:v>2381</x:v>
      </x:c>
      <x:c r="J330" t="n">
        <x:v>68413.36623267534</x:v>
      </x:c>
      <x:c r="K330" s="14" t="n">
        <x:v>0.23590408092642012</x:v>
      </x:c>
      <x:c r="L330" s="14" t="n">
        <x:v>0.02168887159425803</x:v>
      </x:c>
      <x:c r="M330" s="14" t="n">
        <x:v>-0.013481964371473865</x:v>
      </x:c>
      <x:c r="N330" t="n">
        <x:v>28</x:v>
      </x:c>
      <x:c r="O330" t="n">
        <x:v>0</x:v>
      </x:c>
      <x:c r="P330" s="14" t="n">
        <x:v>0</x:v>
      </x:c>
      <x:c r="Q330" s="14" t="n">
        <x:v>0</x:v>
      </x:c>
      <x:c r="R330" s="14" t="n">
        <x:v>0.03703703703703698</x:v>
      </x:c>
      <x:c r="S330" t="n">
        <x:v>600</x:v>
      </x:c>
      <x:c r="T330" t="n">
        <x:v>58.45788109666985</x:v>
      </x:c>
      <x:c r="U330" s="14" t="n">
        <x:v>0.6849757132361597</x:v>
      </x:c>
      <x:c r="V330" s="14" t="n">
        <x:v>0.43825539862323076</x:v>
      </x:c>
      <x:c r="W330" s="14" t="n">
        <x:v>0.22423269741695775</x:v>
      </x:c>
      <x:c r="X330" s="14" t="n">
        <x:v>0.6018194484113653</x:v>
      </x:c>
      <x:c r="Y330" s="16" t="n">
        <x:v>72.33661593554163</x:v>
      </x:c>
      <x:c r="Z330" s="16" t="n">
        <x:v>96.13309352517986</x:v>
      </x:c>
      <x:c r="AA330" s="16" t="n">
        <x:v>57.377049180327866</x:v>
      </x:c>
      <x:c r="AB330" s="16" t="n">
        <x:v>89.6598030438675</x:v>
      </x:c>
      <x:c r="AC330" s="16" t="n">
        <x:v>75.60429722470904</x:v>
      </x:c>
      <x:c r="AD330" s="16" t="n">
        <x:v>41.829268292682926</x:v>
      </x:c>
      <x:c r="AE330" s="16" t="n">
        <x:v>76.2518552532099</x:v>
      </x:c>
      <x:c r="AF330" t="str">
        <x:v>검토</x:v>
      </x:c>
      <x:c r="AG330" t="str">
        <x:v>상권 모멘텀·경쟁여건 강점 / 직장수요 상대적 약점</x:v>
      </x:c>
    </x:row>
    <x:row r="331">
      <x:c r="A331" t="str">
        <x:v>3120153</x:v>
      </x:c>
      <x:c r="B331" t="str">
        <x:v>노량진역(노량진)</x:v>
      </x:c>
      <x:c r="C331" t="str">
        <x:v>발달상권</x:v>
      </x:c>
      <x:c r="D331" t="str">
        <x:v>동작구</x:v>
      </x:c>
      <x:c r="E331" t="str">
        <x:v>노량진1동</x:v>
      </x:c>
      <x:c r="F331" t="str">
        <x:v>CS300028</x:v>
      </x:c>
      <x:c r="G331" t="str">
        <x:v>화초</x:v>
      </x:c>
      <x:c r="H331" t="n">
        <x:v>80986683</x:v>
      </x:c>
      <x:c r="I331" t="n">
        <x:v>2497</x:v>
      </x:c>
      <x:c r="J331" t="n">
        <x:v>32433.59351221466</x:v>
      </x:c>
      <x:c r="K331" s="14" t="n">
        <x:v>0.10157380197973653</x:v>
      </x:c>
      <x:c r="L331" s="14" t="n">
        <x:v>0.028008199294863756</x:v>
      </x:c>
      <x:c r="M331" s="14" t="n">
        <x:v>-0.0030123365554672876</x:v>
      </x:c>
      <x:c r="N331" t="n">
        <x:v>4</x:v>
      </x:c>
      <x:c r="O331" t="n">
        <x:v>0</x:v>
      </x:c>
      <x:c r="P331" s="14" t="n">
        <x:v>0</x:v>
      </x:c>
      <x:c r="Q331" s="14" t="n">
        <x:v>0</x:v>
      </x:c>
      <x:c r="R331" s="14" t="n">
        <x:v>0</x:v>
      </x:c>
      <x:c r="S331" t="n">
        <x:v>5349</x:v>
      </x:c>
      <x:c r="T331" t="n">
        <x:v>120.5202038636763</x:v>
      </x:c>
      <x:c r="U331" s="14" t="n">
        <x:v>0.6489353070553587</x:v>
      </x:c>
      <x:c r="V331" s="14" t="n">
        <x:v>0.4536709572362656</x:v>
      </x:c>
      <x:c r="W331" s="14" t="n">
        <x:v>0.5850941444286587</x:v>
      </x:c>
      <x:c r="X331" s="14" t="n">
        <x:v>0.4647496551994851</x:v>
      </x:c>
      <x:c r="Y331" s="16" t="n">
        <x:v>67.78523489932886</x:v>
      </x:c>
      <x:c r="Z331" s="16" t="n">
        <x:v>84.93150684931507</x:v>
      </x:c>
      <x:c r="AA331" s="16" t="n">
        <x:v>73.77049180327869</x:v>
      </x:c>
      <x:c r="AB331" s="16" t="n">
        <x:v>97.31543624161074</x:v>
      </x:c>
      <x:c r="AC331" s="16" t="n">
        <x:v>66.7785234899329</x:v>
      </x:c>
      <x:c r="AD331" s="16" t="n">
        <x:v>63.96341463414634</x:v>
      </x:c>
      <x:c r="AE331" s="16" t="n">
        <x:v>76.25004587206213</x:v>
      </x:c>
      <x:c r="AF331" t="str">
        <x:v>검토</x:v>
      </x:c>
      <x:c r="AG331" t="str">
        <x:v>경쟁여건·상권 모멘텀 강점 / 직장수요 상대적 약점</x:v>
      </x:c>
    </x:row>
    <x:row r="332">
      <x:c r="A332" t="str">
        <x:v>3130219</x:v>
      </x:c>
      <x:c r="B332" t="str">
        <x:v>까치산시장</x:v>
      </x:c>
      <x:c r="C332" t="str">
        <x:v>전통시장</x:v>
      </x:c>
      <x:c r="D332" t="str">
        <x:v>강서구</x:v>
      </x:c>
      <x:c r="E332" t="str">
        <x:v>화곡8동</x:v>
      </x:c>
      <x:c r="F332" t="str">
        <x:v>CS300011</x:v>
      </x:c>
      <x:c r="G332" t="str">
        <x:v>일반의류</x:v>
      </x:c>
      <x:c r="H332" t="n">
        <x:v>1030967148</x:v>
      </x:c>
      <x:c r="I332" t="n">
        <x:v>80168</x:v>
      </x:c>
      <x:c r="J332" t="n">
        <x:v>12860.083175331803</x:v>
      </x:c>
      <x:c r="K332" s="14" t="n">
        <x:v>0.31813730176769717</x:v>
      </x:c>
      <x:c r="L332" s="14" t="n">
        <x:v>0.06726691045630595</x:v>
      </x:c>
      <x:c r="M332" s="14" t="n">
        <x:v>0.00788849516466894</x:v>
      </x:c>
      <x:c r="N332" t="n">
        <x:v>41</x:v>
      </x:c>
      <x:c r="O332" t="n">
        <x:v>1</x:v>
      </x:c>
      <x:c r="P332" s="14" t="n">
        <x:v>0.021739130434782608</x:v>
      </x:c>
      <x:c r="Q332" s="14" t="n">
        <x:v>0</x:v>
      </x:c>
      <x:c r="R332" s="14" t="n">
        <x:v>-0.06818181818181823</x:v>
      </x:c>
      <x:c r="S332" t="n">
        <x:v>519</x:v>
      </x:c>
      <x:c r="T332" t="n">
        <x:v>131.24620675703014</x:v>
      </x:c>
      <x:c r="U332" s="14" t="n">
        <x:v>0.7846726324590898</x:v>
      </x:c>
      <x:c r="V332" s="14" t="n">
        <x:v>0.42393057028816206</x:v>
      </x:c>
      <x:c r="W332" s="14" t="n">
        <x:v>0.19392788158949173</x:v>
      </x:c>
      <x:c r="X332" s="14" t="n">
        <x:v>0.746948091890121</x:v>
      </x:c>
      <x:c r="Y332" s="16" t="n">
        <x:v>84.09893992932862</x:v>
      </x:c>
      <x:c r="Z332" s="16" t="n">
        <x:v>84.47653429602889</x:v>
      </x:c>
      <x:c r="AA332" s="16" t="n">
        <x:v>81.9672131147541</x:v>
      </x:c>
      <x:c r="AB332" s="16" t="n">
        <x:v>71.43698468786808</x:v>
      </x:c>
      <x:c r="AC332" s="16" t="n">
        <x:v>35.630153121319196</x:v>
      </x:c>
      <x:c r="AD332" s="16" t="n">
        <x:v>66.46341463414635</x:v>
      </x:c>
      <x:c r="AE332" s="16" t="n">
        <x:v>76.22675154870336</x:v>
      </x:c>
      <x:c r="AF332" t="str">
        <x:v>검토</x:v>
      </x:c>
      <x:c r="AG332" t="str">
        <x:v>상권 모멘텀·수요 강점 / 안정성 상대적 약점</x:v>
      </x:c>
    </x:row>
    <x:row r="333">
      <x:c r="A333" t="str">
        <x:v>3110306</x:v>
      </x:c>
      <x:c r="B333" t="str">
        <x:v>미아초등학교</x:v>
      </x:c>
      <x:c r="C333" t="str">
        <x:v>골목상권</x:v>
      </x:c>
      <x:c r="D333" t="str">
        <x:v>성북구</x:v>
      </x:c>
      <x:c r="E333" t="str">
        <x:v>길음1동</x:v>
      </x:c>
      <x:c r="F333" t="str">
        <x:v>CS200003</x:v>
      </x:c>
      <x:c r="G333" t="str">
        <x:v>예술학원</x:v>
      </x:c>
      <x:c r="H333" t="n">
        <x:v>280518988</x:v>
      </x:c>
      <x:c r="I333" t="n">
        <x:v>1665</x:v>
      </x:c>
      <x:c r="J333" t="n">
        <x:v>168479.87267267267</x:v>
      </x:c>
      <x:c r="K333" s="14" t="n">
        <x:v>0.16731787956079014</x:v>
      </x:c>
      <x:c r="L333" s="14" t="n">
        <x:v>0.09364146198394163</x:v>
      </x:c>
      <x:c r="M333" s="14" t="n">
        <x:v>0.053788091189524545</x:v>
      </x:c>
      <x:c r="N333" t="n">
        <x:v>32</x:v>
      </x:c>
      <x:c r="O333" t="n">
        <x:v>0</x:v>
      </x:c>
      <x:c r="P333" s="14" t="n">
        <x:v>0</x:v>
      </x:c>
      <x:c r="Q333" s="14" t="n">
        <x:v>0.0625</x:v>
      </x:c>
      <x:c r="R333" s="14" t="n">
        <x:v>0.10344827586206895</x:v>
      </x:c>
      <x:c r="S333" t="n">
        <x:v>776</x:v>
      </x:c>
      <x:c r="T333" t="n">
        <x:v>237.8544061302682</x:v>
      </x:c>
      <x:c r="U333" s="14" t="n">
        <x:v>0.8907475097550259</x:v>
      </x:c>
      <x:c r="V333" s="14" t="n">
        <x:v>0.2549468273427537</x:v>
      </x:c>
      <x:c r="W333" s="14" t="n">
        <x:v>0.2218482051560802</x:v>
      </x:c>
      <x:c r="X333" s="14" t="n">
        <x:v>0.6929238351594225</x:v>
      </x:c>
      <x:c r="Y333" s="16" t="n">
        <x:v>84.06374501992032</x:v>
      </x:c>
      <x:c r="Z333" s="16" t="n">
        <x:v>77.70961145194273</x:v>
      </x:c>
      <x:c r="AA333" s="16" t="n">
        <x:v>88.52459016393442</x:v>
      </x:c>
      <x:c r="AB333" s="16" t="n">
        <x:v>44.42231075697211</x:v>
      </x:c>
      <x:c r="AC333" s="16" t="n">
        <x:v>73.20717131474103</x:v>
      </x:c>
      <x:c r="AD333" s="16" t="n">
        <x:v>79.6951219512195</x:v>
      </x:c>
      <x:c r="AE333" s="16" t="n">
        <x:v>76.2117414145317</x:v>
      </x:c>
      <x:c r="AF333" t="str">
        <x:v>검토</x:v>
      </x:c>
      <x:c r="AG333" t="str">
        <x:v>서울 업종추세·수요 강점 / 경쟁여건 상대적 약점</x:v>
      </x:c>
    </x:row>
    <x:row r="334">
      <x:c r="A334" t="str">
        <x:v>3130051</x:v>
      </x:c>
      <x:c r="B334" t="str">
        <x:v>동화동 골목형상점가</x:v>
      </x:c>
      <x:c r="C334" t="str">
        <x:v>전통시장</x:v>
      </x:c>
      <x:c r="D334" t="str">
        <x:v>중구</x:v>
      </x:c>
      <x:c r="E334" t="str">
        <x:v>동화동</x:v>
      </x:c>
      <x:c r="F334" t="str">
        <x:v>CS200028</x:v>
      </x:c>
      <x:c r="G334" t="str">
        <x:v>미용실</x:v>
      </x:c>
      <x:c r="H334" t="n">
        <x:v>241121913</x:v>
      </x:c>
      <x:c r="I334" t="n">
        <x:v>7596</x:v>
      </x:c>
      <x:c r="J334" t="n">
        <x:v>31743.27448657188</x:v>
      </x:c>
      <x:c r="K334" s="14" t="n">
        <x:v>0.05668889963893231</x:v>
      </x:c>
      <x:c r="L334" s="14" t="n">
        <x:v>0.02168887159425803</x:v>
      </x:c>
      <x:c r="M334" s="14" t="n">
        <x:v>-0.013481964371473865</x:v>
      </x:c>
      <x:c r="N334" t="n">
        <x:v>25</x:v>
      </x:c>
      <x:c r="O334" t="n">
        <x:v>0</x:v>
      </x:c>
      <x:c r="P334" s="14" t="n">
        <x:v>0</x:v>
      </x:c>
      <x:c r="Q334" s="14" t="n">
        <x:v>0.08</x:v>
      </x:c>
      <x:c r="R334" s="14" t="n">
        <x:v>-0.13793103448275867</x:v>
      </x:c>
      <x:c r="S334" t="n">
        <x:v>691</x:v>
      </x:c>
      <x:c r="T334" t="n">
        <x:v>114.77261402518022</x:v>
      </x:c>
      <x:c r="U334" s="14" t="n">
        <x:v>0.6561046569002628</x:v>
      </x:c>
      <x:c r="V334" s="14" t="n">
        <x:v>0.3316721902417886</x:v>
      </x:c>
      <x:c r="W334" s="14" t="n">
        <x:v>0.2420418255390998</x:v>
      </x:c>
      <x:c r="X334" s="14" t="n">
        <x:v>0.524903064285161</x:v>
      </x:c>
      <x:c r="Y334" s="16" t="n">
        <x:v>82.27394807520143</x:v>
      </x:c>
      <x:c r="Z334" s="16" t="n">
        <x:v>70.77338129496403</x:v>
      </x:c>
      <x:c r="AA334" s="16" t="n">
        <x:v>57.377049180327866</x:v>
      </x:c>
      <x:c r="AB334" s="16" t="n">
        <x:v>93.06177260519247</x:v>
      </x:c>
      <x:c r="AC334" s="16" t="n">
        <x:v>75.60429722470904</x:v>
      </x:c>
      <x:c r="AD334" s="16" t="n">
        <x:v>62.68292682926829</x:v>
      </x:c>
      <x:c r="AE334" s="16" t="n">
        <x:v>76.21095741707568</x:v>
      </x:c>
      <x:c r="AF334" t="str">
        <x:v>검토</x:v>
      </x:c>
      <x:c r="AG334" t="str">
        <x:v>경쟁여건·수요 강점 / 서울 업종추세 상대적 약점</x:v>
      </x:c>
    </x:row>
    <x:row r="335">
      <x:c r="A335" t="str">
        <x:v>3120055</x:v>
      </x:c>
      <x:c r="B335" t="str">
        <x:v>군자역</x:v>
      </x:c>
      <x:c r="C335" t="str">
        <x:v>발달상권</x:v>
      </x:c>
      <x:c r="D335" t="str">
        <x:v>광진구</x:v>
      </x:c>
      <x:c r="E335" t="str">
        <x:v>군자동</x:v>
      </x:c>
      <x:c r="F335" t="str">
        <x:v>CS200003</x:v>
      </x:c>
      <x:c r="G335" t="str">
        <x:v>예술학원</x:v>
      </x:c>
      <x:c r="H335" t="n">
        <x:v>381659627</x:v>
      </x:c>
      <x:c r="I335" t="n">
        <x:v>1084</x:v>
      </x:c>
      <x:c r="J335" t="n">
        <x:v>352084.5267527675</x:v>
      </x:c>
      <x:c r="K335" s="14" t="n">
        <x:v>0.041091284503653513</x:v>
      </x:c>
      <x:c r="L335" s="14" t="n">
        <x:v>0.09364146198394163</x:v>
      </x:c>
      <x:c r="M335" s="14" t="n">
        <x:v>0.053788091189524545</x:v>
      </x:c>
      <x:c r="N335" t="n">
        <x:v>21</x:v>
      </x:c>
      <x:c r="O335" t="n">
        <x:v>0</x:v>
      </x:c>
      <x:c r="P335" s="14" t="n">
        <x:v>0</x:v>
      </x:c>
      <x:c r="Q335" s="14" t="n">
        <x:v>0.047619047619047616</x:v>
      </x:c>
      <x:c r="R335" s="14" t="n">
        <x:v>0.23529411764705888</x:v>
      </x:c>
      <x:c r="S335" t="n">
        <x:v>3475</x:v>
      </x:c>
      <x:c r="T335" t="n">
        <x:v>120.37008171310008</x:v>
      </x:c>
      <x:c r="U335" s="14" t="n">
        <x:v>0.8013587038379619</x:v>
      </x:c>
      <x:c r="V335" s="14" t="n">
        <x:v>0.5463460718626129</x:v>
      </x:c>
      <x:c r="W335" s="14" t="n">
        <x:v>0.2841121940309395</x:v>
      </x:c>
      <x:c r="X335" s="14" t="n">
        <x:v>0.46971267411525297</x:v>
      </x:c>
      <x:c r="Y335" s="16" t="n">
        <x:v>88.44621513944223</x:v>
      </x:c>
      <x:c r="Z335" s="16" t="n">
        <x:v>52.556237218813905</x:v>
      </x:c>
      <x:c r="AA335" s="16" t="n">
        <x:v>88.52459016393442</x:v>
      </x:c>
      <x:c r="AB335" s="16" t="n">
        <x:v>72.90836653386454</x:v>
      </x:c>
      <x:c r="AC335" s="16" t="n">
        <x:v>73.20717131474103</x:v>
      </x:c>
      <x:c r="AD335" s="16" t="n">
        <x:v>63.90243902439025</x:v>
      </x:c>
      <x:c r="AE335" s="16" t="n">
        <x:v>76.19820532993103</x:v>
      </x:c>
      <x:c r="AF335" t="str">
        <x:v>검토</x:v>
      </x:c>
      <x:c r="AG335" t="str">
        <x:v>서울 업종추세·수요 강점 / 상권 모멘텀 상대적 약점</x:v>
      </x:c>
    </x:row>
    <x:row r="336">
      <x:c r="A336" t="str">
        <x:v>3110438</x:v>
      </x:c>
      <x:c r="B336" t="str">
        <x:v>경춘선숲길 우측</x:v>
      </x:c>
      <x:c r="C336" t="str">
        <x:v>골목상권</x:v>
      </x:c>
      <x:c r="D336" t="str">
        <x:v>노원구</x:v>
      </x:c>
      <x:c r="E336" t="str">
        <x:v>공릉2동</x:v>
      </x:c>
      <x:c r="F336" t="str">
        <x:v>CS300007</x:v>
      </x:c>
      <x:c r="G336" t="str">
        <x:v>육류판매</x:v>
      </x:c>
      <x:c r="H336" t="n">
        <x:v>1112011046</x:v>
      </x:c>
      <x:c r="I336" t="n">
        <x:v>13447</x:v>
      </x:c>
      <x:c r="J336" t="n">
        <x:v>82695.84635978285</x:v>
      </x:c>
      <x:c r="K336" s="14" t="n">
        <x:v>0.25191143485078316</x:v>
      </x:c>
      <x:c r="L336" s="14" t="n">
        <x:v>0.23518223683931017</x:v>
      </x:c>
      <x:c r="M336" s="14" t="n">
        <x:v>0.00863079289162072</x:v>
      </x:c>
      <x:c r="N336" t="n">
        <x:v>16</x:v>
      </x:c>
      <x:c r="O336" t="n">
        <x:v>0</x:v>
      </x:c>
      <x:c r="P336" s="14" t="n">
        <x:v>0</x:v>
      </x:c>
      <x:c r="Q336" s="14" t="n">
        <x:v>0.0625</x:v>
      </x:c>
      <x:c r="R336" s="14" t="n">
        <x:v>0</x:v>
      </x:c>
      <x:c r="S336" t="n">
        <x:v>798</x:v>
      </x:c>
      <x:c r="T336" t="n">
        <x:v>79.74338219863897</x:v>
      </x:c>
      <x:c r="U336" s="14" t="n">
        <x:v>0.8335451291910998</x:v>
      </x:c>
      <x:c r="V336" s="14" t="n">
        <x:v>0.2583572411743831</x:v>
      </x:c>
      <x:c r="W336" s="14" t="n">
        <x:v>0.30378860373298844</x:v>
      </x:c>
      <x:c r="X336" s="14" t="n">
        <x:v>0.47099052287651466</x:v>
      </x:c>
      <x:c r="Y336" s="16" t="n">
        <x:v>74.00990099009901</x:v>
      </x:c>
      <x:c r="Z336" s="16" t="n">
        <x:v>96.36363636363636</x:v>
      </x:c>
      <x:c r="AA336" s="16" t="n">
        <x:v>100</x:v>
      </x:c>
      <x:c r="AB336" s="16" t="n">
        <x:v>44.67821782178218</x:v>
      </x:c>
      <x:c r="AC336" s="16" t="n">
        <x:v>66.83168316831683</x:v>
      </x:c>
      <x:c r="AD336" s="16" t="n">
        <x:v>52.13414634146341</x:v>
      </x:c>
      <x:c r="AE336" s="16" t="n">
        <x:v>76.16780092643411</x:v>
      </x:c>
      <x:c r="AF336" t="str">
        <x:v>검토</x:v>
      </x:c>
      <x:c r="AG336" t="str">
        <x:v>서울 업종추세·상권 모멘텀 강점 / 경쟁여건 상대적 약점</x:v>
      </x:c>
    </x:row>
    <x:row r="337">
      <x:c r="A337" t="str">
        <x:v>3120090</x:v>
      </x:c>
      <x:c r="B337" t="str">
        <x:v>연신내역</x:v>
      </x:c>
      <x:c r="C337" t="str">
        <x:v>발달상권</x:v>
      </x:c>
      <x:c r="D337" t="str">
        <x:v>은평구</x:v>
      </x:c>
      <x:c r="E337" t="str">
        <x:v>불광1동</x:v>
      </x:c>
      <x:c r="F337" t="str">
        <x:v>CS200030</x:v>
      </x:c>
      <x:c r="G337" t="str">
        <x:v>피부관리실</x:v>
      </x:c>
      <x:c r="H337" t="n">
        <x:v>236829020</x:v>
      </x:c>
      <x:c r="I337" t="n">
        <x:v>503</x:v>
      </x:c>
      <x:c r="J337" t="n">
        <x:v>470833.041749503</x:v>
      </x:c>
      <x:c r="K337" s="14" t="n">
        <x:v>0.040160125897638066</x:v>
      </x:c>
      <x:c r="L337" s="14" t="n">
        <x:v>0.11857168683779085</x:v>
      </x:c>
      <x:c r="M337" s="14" t="n">
        <x:v>0.0314283578178467</x:v>
      </x:c>
      <x:c r="N337" t="n">
        <x:v>15</x:v>
      </x:c>
      <x:c r="O337" t="n">
        <x:v>0</x:v>
      </x:c>
      <x:c r="P337" s="14" t="n">
        <x:v>0</x:v>
      </x:c>
      <x:c r="Q337" s="14" t="n">
        <x:v>0</x:v>
      </x:c>
      <x:c r="R337" s="14" t="n">
        <x:v>0.15384615384615374</x:v>
      </x:c>
      <x:c r="S337" t="n">
        <x:v>1147</x:v>
      </x:c>
      <x:c r="T337" t="n">
        <x:v>85.33273816166351</x:v>
      </x:c>
      <x:c r="U337" s="14" t="n">
        <x:v>0.8097101318073266</x:v>
      </x:c>
      <x:c r="V337" s="14" t="n">
        <x:v>0.4748885672879109</x:v>
      </x:c>
      <x:c r="W337" s="14" t="n">
        <x:v>0.8207958509476584</x:v>
      </x:c>
      <x:c r="X337" s="14" t="n">
        <x:v>0.880922903789409</x:v>
      </x:c>
      <x:c r="Y337" s="16" t="n">
        <x:v>85.60794044665012</x:v>
      </x:c>
      <x:c r="Z337" s="16" t="n">
        <x:v>47.745358090185675</x:v>
      </x:c>
      <x:c r="AA337" s="16" t="n">
        <x:v>91.80327868852459</x:v>
      </x:c>
      <x:c r="AB337" s="16" t="n">
        <x:v>81.5136476426799</x:v>
      </x:c>
      <x:c r="AC337" s="16" t="n">
        <x:v>79.15632754342431</x:v>
      </x:c>
      <x:c r="AD337" s="16" t="n">
        <x:v>54.69512195121951</x:v>
      </x:c>
      <x:c r="AE337" s="16" t="n">
        <x:v>76.15977857594875</x:v>
      </x:c>
      <x:c r="AF337" t="str">
        <x:v>검토</x:v>
      </x:c>
      <x:c r="AG337" t="str">
        <x:v>서울 업종추세·수요 강점 / 상권 모멘텀 상대적 약점</x:v>
      </x:c>
    </x:row>
    <x:row r="338">
      <x:c r="A338" t="str">
        <x:v>3110460</x:v>
      </x:c>
      <x:c r="B338" t="str">
        <x:v>구산역 4번</x:v>
      </x:c>
      <x:c r="C338" t="str">
        <x:v>골목상권</x:v>
      </x:c>
      <x:c r="D338" t="str">
        <x:v>은평구</x:v>
      </x:c>
      <x:c r="E338" t="str">
        <x:v>갈현2동</x:v>
      </x:c>
      <x:c r="F338" t="str">
        <x:v>CS200024</x:v>
      </x:c>
      <x:c r="G338" t="str">
        <x:v>스포츠클럽</x:v>
      </x:c>
      <x:c r="H338" t="n">
        <x:v>275004214</x:v>
      </x:c>
      <x:c r="I338" t="n">
        <x:v>1375</x:v>
      </x:c>
      <x:c r="J338" t="n">
        <x:v>200003.06472727272</x:v>
      </x:c>
      <x:c r="K338" s="14" t="n">
        <x:v>0.7640446968080328</x:v>
      </x:c>
      <x:c r="L338" s="14" t="n">
        <x:v>0.03927856170757105</x:v>
      </x:c>
      <x:c r="M338" s="14" t="n">
        <x:v>-0.042593628048716026</x:v>
      </x:c>
      <x:c r="N338" t="n">
        <x:v>12</x:v>
      </x:c>
      <x:c r="O338" t="n">
        <x:v>0</x:v>
      </x:c>
      <x:c r="P338" s="14" t="n">
        <x:v>0</x:v>
      </x:c>
      <x:c r="Q338" s="14" t="n">
        <x:v>0</x:v>
      </x:c>
      <x:c r="R338" s="14" t="n">
        <x:v>0.5</x:v>
      </x:c>
      <x:c r="S338" t="n">
        <x:v>887</x:v>
      </x:c>
      <x:c r="T338" t="n">
        <x:v>59.48947700232056</x:v>
      </x:c>
      <x:c r="U338" s="14" t="n">
        <x:v>0.9042164859335574</x:v>
      </x:c>
      <x:c r="V338" s="14" t="n">
        <x:v>0.4939519435873081</x:v>
      </x:c>
      <x:c r="W338" s="14" t="n">
        <x:v>0.3523460771404761</x:v>
      </x:c>
      <x:c r="X338" s="14" t="n">
        <x:v>0.4662926983366153</x:v>
      </x:c>
      <x:c r="Y338" s="16" t="n">
        <x:v>73.91304347826087</x:v>
      </x:c>
      <x:c r="Z338" s="16" t="n">
        <x:v>92.85714285714286</x:v>
      </x:c>
      <x:c r="AA338" s="16" t="n">
        <x:v>75.40983606557377</x:v>
      </x:c>
      <x:c r="AB338" s="16" t="n">
        <x:v>75.90579710144928</x:v>
      </x:c>
      <x:c r="AC338" s="16" t="n">
        <x:v>68.84057971014492</x:v>
      </x:c>
      <x:c r="AD338" s="16" t="n">
        <x:v>42.74390243902439</x:v>
      </x:c>
      <x:c r="AE338" s="16" t="n">
        <x:v>76.15959185683904</x:v>
      </x:c>
      <x:c r="AF338" t="str">
        <x:v>검토</x:v>
      </x:c>
      <x:c r="AG338" t="str">
        <x:v>상권 모멘텀·경쟁여건 강점 / 직장수요 상대적 약점</x:v>
      </x:c>
    </x:row>
    <x:row r="339">
      <x:c r="A339" t="str">
        <x:v>3110431</x:v>
      </x:c>
      <x:c r="B339" t="str">
        <x:v>상계역</x:v>
      </x:c>
      <x:c r="C339" t="str">
        <x:v>골목상권</x:v>
      </x:c>
      <x:c r="D339" t="str">
        <x:v>노원구</x:v>
      </x:c>
      <x:c r="E339" t="str">
        <x:v>중계4동</x:v>
      </x:c>
      <x:c r="F339" t="str">
        <x:v>CS300011</x:v>
      </x:c>
      <x:c r="G339" t="str">
        <x:v>일반의류</x:v>
      </x:c>
      <x:c r="H339" t="n">
        <x:v>733420167</x:v>
      </x:c>
      <x:c r="I339" t="n">
        <x:v>9838</x:v>
      </x:c>
      <x:c r="J339" t="n">
        <x:v>74549.72219963407</x:v>
      </x:c>
      <x:c r="K339" s="14" t="n">
        <x:v>0.1776585003680633</x:v>
      </x:c>
      <x:c r="L339" s="14" t="n">
        <x:v>0.06726691045630595</x:v>
      </x:c>
      <x:c r="M339" s="14" t="n">
        <x:v>0.00788849516466894</x:v>
      </x:c>
      <x:c r="N339" t="n">
        <x:v>50</x:v>
      </x:c>
      <x:c r="O339" t="n">
        <x:v>0</x:v>
      </x:c>
      <x:c r="P339" s="14" t="n">
        <x:v>0</x:v>
      </x:c>
      <x:c r="Q339" s="14" t="n">
        <x:v>0</x:v>
      </x:c>
      <x:c r="R339" s="14" t="n">
        <x:v>-0.038461538461538436</x:v>
      </x:c>
      <x:c r="S339" t="n">
        <x:v>627</x:v>
      </x:c>
      <x:c r="T339" t="n">
        <x:v>112.55318003123486</x:v>
      </x:c>
      <x:c r="U339" s="14" t="n">
        <x:v>0.8587600932440681</x:v>
      </x:c>
      <x:c r="V339" s="14" t="n">
        <x:v>0.32062909854509086</x:v>
      </x:c>
      <x:c r="W339" s="14" t="n">
        <x:v>0.08864461863100091</x:v>
      </x:c>
      <x:c r="X339" s="14" t="n">
        <x:v>0.8921498200362412</x:v>
      </x:c>
      <x:c r="Y339" s="16" t="n">
        <x:v>80.44758539458186</x:v>
      </x:c>
      <x:c r="Z339" s="16" t="n">
        <x:v>73.40553549939831</x:v>
      </x:c>
      <x:c r="AA339" s="16" t="n">
        <x:v>81.9672131147541</x:v>
      </x:c>
      <x:c r="AB339" s="16" t="n">
        <x:v>61.83745583038869</x:v>
      </x:c>
      <x:c r="AC339" s="16" t="n">
        <x:v>86.33686690223793</x:v>
      </x:c>
      <x:c r="AD339" s="16" t="n">
        <x:v>62.01219512195122</x:v>
      </x:c>
      <x:c r="AE339" s="16" t="n">
        <x:v>76.14275877607608</x:v>
      </x:c>
      <x:c r="AF339" t="str">
        <x:v>검토</x:v>
      </x:c>
      <x:c r="AG339" t="str">
        <x:v>안정성·서울 업종추세 강점 / 경쟁여건 상대적 약점</x:v>
      </x:c>
    </x:row>
    <x:row r="340">
      <x:c r="A340" t="str">
        <x:v>3130137</x:v>
      </x:c>
      <x:c r="B340" t="str">
        <x:v>수유전통시장(수유시장, 수유골목시장)</x:v>
      </x:c>
      <x:c r="C340" t="str">
        <x:v>전통시장</x:v>
      </x:c>
      <x:c r="D340" t="str">
        <x:v>강북구</x:v>
      </x:c>
      <x:c r="E340" t="str">
        <x:v>수유1동</x:v>
      </x:c>
      <x:c r="F340" t="str">
        <x:v>CS300035</x:v>
      </x:c>
      <x:c r="G340" t="str">
        <x:v>인테리어</x:v>
      </x:c>
      <x:c r="H340" t="n">
        <x:v>1803000000</x:v>
      </x:c>
      <x:c r="I340" t="n">
        <x:v>12342</x:v>
      </x:c>
      <x:c r="J340" t="n">
        <x:v>146086.53378706853</x:v>
      </x:c>
      <x:c r="K340" s="14" t="n">
        <x:v>0.23673861557829157</x:v>
      </x:c>
      <x:c r="L340" s="14" t="n">
        <x:v>0.20213561276420866</x:v>
      </x:c>
      <x:c r="M340" s="14" t="n">
        <x:v>0.044160820891303576</x:v>
      </x:c>
      <x:c r="N340" t="n">
        <x:v>18</x:v>
      </x:c>
      <x:c r="O340" t="n">
        <x:v>0</x:v>
      </x:c>
      <x:c r="P340" s="14" t="n">
        <x:v>0</x:v>
      </x:c>
      <x:c r="Q340" s="14" t="n">
        <x:v>0</x:v>
      </x:c>
      <x:c r="R340" s="14" t="n">
        <x:v>0</x:v>
      </x:c>
      <x:c r="S340" t="n">
        <x:v>156</x:v>
      </x:c>
      <x:c r="T340" t="n">
        <x:v>42.1359695324528</x:v>
      </x:c>
      <x:c r="U340" s="14" t="n">
        <x:v>0.8475622479201331</x:v>
      </x:c>
      <x:c r="V340" s="14" t="n">
        <x:v>0.01745926511369939</x:v>
      </x:c>
      <x:c r="W340" s="14" t="n">
        <x:v>0.05623281031613977</x:v>
      </x:c>
      <x:c r="X340" s="14" t="n">
        <x:v>0.7706051641708264</x:v>
      </x:c>
      <x:c r="Y340" s="16" t="n">
        <x:v>97.28260869565217</x:v>
      </x:c>
      <x:c r="Z340" s="16" t="n">
        <x:v>73.2484076433121</x:v>
      </x:c>
      <x:c r="AA340" s="16" t="n">
        <x:v>98.36065573770492</x:v>
      </x:c>
      <x:c r="AB340" s="16" t="n">
        <x:v>34.23913043478261</x:v>
      </x:c>
      <x:c r="AC340" s="16" t="n">
        <x:v>60.32608695652174</x:v>
      </x:c>
      <x:c r="AD340" s="16" t="n">
        <x:v>30.426829268292682</x:v>
      </x:c>
      <x:c r="AE340" s="16" t="n">
        <x:v>76.14251265708062</x:v>
      </x:c>
      <x:c r="AF340" t="str">
        <x:v>검토</x:v>
      </x:c>
      <x:c r="AG340" t="str">
        <x:v>서울 업종추세·수요 강점 / 직장수요 상대적 약점</x:v>
      </x:c>
    </x:row>
    <x:row r="341">
      <x:c r="A341" t="str">
        <x:v>3120149</x:v>
      </x:c>
      <x:c r="B341" t="str">
        <x:v>여의도역(여의도)</x:v>
      </x:c>
      <x:c r="C341" t="str">
        <x:v>발달상권</x:v>
      </x:c>
      <x:c r="D341" t="str">
        <x:v>영등포구</x:v>
      </x:c>
      <x:c r="E341" t="str">
        <x:v>여의동</x:v>
      </x:c>
      <x:c r="F341" t="str">
        <x:v>CS200028</x:v>
      </x:c>
      <x:c r="G341" t="str">
        <x:v>미용실</x:v>
      </x:c>
      <x:c r="H341" t="n">
        <x:v>1243520667</x:v>
      </x:c>
      <x:c r="I341" t="n">
        <x:v>15880</x:v>
      </x:c>
      <x:c r="J341" t="n">
        <x:v>78307.3467884131</x:v>
      </x:c>
      <x:c r="K341" s="14" t="n">
        <x:v>0.10725898790582211</x:v>
      </x:c>
      <x:c r="L341" s="14" t="n">
        <x:v>0.02168887159425803</x:v>
      </x:c>
      <x:c r="M341" s="14" t="n">
        <x:v>-0.013481964371473865</x:v>
      </x:c>
      <x:c r="N341" t="n">
        <x:v>82</x:v>
      </x:c>
      <x:c r="O341" t="n">
        <x:v>0</x:v>
      </x:c>
      <x:c r="P341" s="14" t="n">
        <x:v>0</x:v>
      </x:c>
      <x:c r="Q341" s="14" t="n">
        <x:v>0.15853658536585366</x:v>
      </x:c>
      <x:c r="R341" s="14" t="n">
        <x:v>0.2615384615384615</x:v>
      </x:c>
      <x:c r="S341" t="n">
        <x:v>166492</x:v>
      </x:c>
      <x:c r="T341" t="n">
        <x:v>2781.087031326734</x:v>
      </x:c>
      <x:c r="U341" s="14" t="n">
        <x:v>0.676962838125472</x:v>
      </x:c>
      <x:c r="V341" s="14" t="n">
        <x:v>0.34954954713269754</x:v>
      </x:c>
      <x:c r="W341" s="14" t="n">
        <x:v>0.32221938294492375</x:v>
      </x:c>
      <x:c r="X341" s="14" t="n">
        <x:v>0.44890406714888964</x:v>
      </x:c>
      <x:c r="Y341" s="16" t="n">
        <x:v>97.76186213070726</x:v>
      </x:c>
      <x:c r="Z341" s="16" t="n">
        <x:v>86.69064748201438</x:v>
      </x:c>
      <x:c r="AA341" s="16" t="n">
        <x:v>57.377049180327866</x:v>
      </x:c>
      <x:c r="AB341" s="16" t="n">
        <x:v>22.82900626678604</x:v>
      </x:c>
      <x:c r="AC341" s="16" t="n">
        <x:v>75.60429722470904</x:v>
      </x:c>
      <x:c r="AD341" s="16" t="n">
        <x:v>99.39024390243902</x:v>
      </x:c>
      <x:c r="AE341" s="16" t="n">
        <x:v>76.11563147681035</x:v>
      </x:c>
      <x:c r="AF341" t="str">
        <x:v>검토</x:v>
      </x:c>
      <x:c r="AG341" t="str">
        <x:v>직장수요·수요 강점 / 경쟁여건 상대적 약점</x:v>
      </x:c>
    </x:row>
    <x:row r="342">
      <x:c r="A342" t="str">
        <x:v>3120062</x:v>
      </x:c>
      <x:c r="B342" t="str">
        <x:v>신설동역</x:v>
      </x:c>
      <x:c r="C342" t="str">
        <x:v>발달상권</x:v>
      </x:c>
      <x:c r="D342" t="str">
        <x:v>동대문구</x:v>
      </x:c>
      <x:c r="E342" t="str">
        <x:v>용신동</x:v>
      </x:c>
      <x:c r="F342" t="str">
        <x:v>CS200016</x:v>
      </x:c>
      <x:c r="G342" t="str">
        <x:v>당구장</x:v>
      </x:c>
      <x:c r="H342" t="n">
        <x:v>651134387</x:v>
      </x:c>
      <x:c r="I342" t="n">
        <x:v>7720</x:v>
      </x:c>
      <x:c r="J342" t="n">
        <x:v>84343.83251295336</x:v>
      </x:c>
      <x:c r="K342" s="14" t="n">
        <x:v>0.5753369903300549</x:v>
      </x:c>
      <x:c r="L342" s="14" t="n">
        <x:v>0.052763611334009974</x:v>
      </x:c>
      <x:c r="M342" s="14" t="n">
        <x:v>0.07602781601598463</x:v>
      </x:c>
      <x:c r="N342" t="n">
        <x:v>23</x:v>
      </x:c>
      <x:c r="O342" t="n">
        <x:v>1</x:v>
      </x:c>
      <x:c r="P342" s="14" t="n">
        <x:v>0.03571428571428571</x:v>
      </x:c>
      <x:c r="Q342" s="14" t="n">
        <x:v>0</x:v>
      </x:c>
      <x:c r="R342" s="14" t="n">
        <x:v>0.09523809523809534</x:v>
      </x:c>
      <x:c r="S342" t="n">
        <x:v>6339</x:v>
      </x:c>
      <x:c r="T342" t="n">
        <x:v>233.1371827877896</x:v>
      </x:c>
      <x:c r="U342" s="14" t="n">
        <x:v>0.44837013806798076</x:v>
      </x:c>
      <x:c r="V342" s="14" t="n">
        <x:v>0.4557726637158851</x:v>
      </x:c>
      <x:c r="W342" s="14" t="n">
        <x:v>0.1429954489563765</x:v>
      </x:c>
      <x:c r="X342" s="14" t="n">
        <x:v>0.6155549822006252</x:v>
      </x:c>
      <x:c r="Y342" s="16" t="n">
        <x:v>98.82005899705015</x:v>
      </x:c>
      <x:c r="Z342" s="16" t="n">
        <x:v>99.07407407407408</x:v>
      </x:c>
      <x:c r="AA342" s="16" t="n">
        <x:v>80.32786885245902</x:v>
      </x:c>
      <x:c r="AB342" s="16" t="n">
        <x:v>15.339233038348084</x:v>
      </x:c>
      <x:c r="AC342" s="16" t="n">
        <x:v>33.775811209439524</x:v>
      </x:c>
      <x:c r="AD342" s="16" t="n">
        <x:v>79.32926829268293</x:v>
      </x:c>
      <x:c r="AE342" s="16" t="n">
        <x:v>76.09594528298153</x:v>
      </x:c>
      <x:c r="AF342" t="str">
        <x:v>검토</x:v>
      </x:c>
      <x:c r="AG342" t="str">
        <x:v>상권 모멘텀·수요 강점 / 경쟁여건 상대적 약점</x:v>
      </x:c>
    </x:row>
    <x:row r="343">
      <x:c r="A343" t="str">
        <x:v>3110787</x:v>
      </x:c>
      <x:c r="B343" t="str">
        <x:v>신길3동주민센터</x:v>
      </x:c>
      <x:c r="C343" t="str">
        <x:v>골목상권</x:v>
      </x:c>
      <x:c r="D343" t="str">
        <x:v>영등포구</x:v>
      </x:c>
      <x:c r="E343" t="str">
        <x:v>신길3동</x:v>
      </x:c>
      <x:c r="F343" t="str">
        <x:v>CS200028</x:v>
      </x:c>
      <x:c r="G343" t="str">
        <x:v>미용실</x:v>
      </x:c>
      <x:c r="H343" t="n">
        <x:v>283208944</x:v>
      </x:c>
      <x:c r="I343" t="n">
        <x:v>13333</x:v>
      </x:c>
      <x:c r="J343" t="n">
        <x:v>21241.20183004575</x:v>
      </x:c>
      <x:c r="K343" s="14" t="n">
        <x:v>0.2932957134951779</x:v>
      </x:c>
      <x:c r="L343" s="14" t="n">
        <x:v>0.02168887159425803</x:v>
      </x:c>
      <x:c r="M343" s="14" t="n">
        <x:v>-0.013481964371473865</x:v>
      </x:c>
      <x:c r="N343" t="n">
        <x:v>48</x:v>
      </x:c>
      <x:c r="O343" t="n">
        <x:v>0</x:v>
      </x:c>
      <x:c r="P343" s="14" t="n">
        <x:v>0</x:v>
      </x:c>
      <x:c r="Q343" s="14" t="n">
        <x:v>0.041666666666666664</x:v>
      </x:c>
      <x:c r="R343" s="14" t="n">
        <x:v>0.09090909090909083</x:v>
      </x:c>
      <x:c r="S343" t="n">
        <x:v>270</x:v>
      </x:c>
      <x:c r="T343" t="n">
        <x:v>28.15961285747064</x:v>
      </x:c>
      <x:c r="U343" s="14" t="n">
        <x:v>0.6149977664547205</x:v>
      </x:c>
      <x:c r="V343" s="14" t="n">
        <x:v>0.23606615686544136</x:v>
      </x:c>
      <x:c r="W343" s="14" t="n">
        <x:v>0.13736992713054993</x:v>
      </x:c>
      <x:c r="X343" s="14" t="n">
        <x:v>0.5835787975679186</x:v>
      </x:c>
      <x:c r="Y343" s="16" t="n">
        <x:v>85.22829006266787</x:v>
      </x:c>
      <x:c r="Z343" s="16" t="n">
        <x:v>97.12230215827338</x:v>
      </x:c>
      <x:c r="AA343" s="16" t="n">
        <x:v>57.377049180327866</x:v>
      </x:c>
      <x:c r="AB343" s="16" t="n">
        <x:v>64.54789615040286</x:v>
      </x:c>
      <x:c r="AC343" s="16" t="n">
        <x:v>75.60429722470904</x:v>
      </x:c>
      <x:c r="AD343" s="16" t="n">
        <x:v>19.573170731707318</x:v>
      </x:c>
      <x:c r="AE343" s="16" t="n">
        <x:v>76.08219201225431</x:v>
      </x:c>
      <x:c r="AF343" t="str">
        <x:v>검토</x:v>
      </x:c>
      <x:c r="AG343" t="str">
        <x:v>상권 모멘텀·수요 강점 / 직장수요 상대적 약점</x:v>
      </x:c>
    </x:row>
    <x:row r="344">
      <x:c r="A344" t="str">
        <x:v>3110735</x:v>
      </x:c>
      <x:c r="B344" t="str">
        <x:v>말미고개</x:v>
      </x:c>
      <x:c r="C344" t="str">
        <x:v>골목상권</x:v>
      </x:c>
      <x:c r="D344" t="str">
        <x:v>금천구</x:v>
      </x:c>
      <x:c r="E344" t="str">
        <x:v>독산2동</x:v>
      </x:c>
      <x:c r="F344" t="str">
        <x:v>CS200025</x:v>
      </x:c>
      <x:c r="G344" t="str">
        <x:v>자동차수리</x:v>
      </x:c>
      <x:c r="H344" t="n">
        <x:v>1047026057</x:v>
      </x:c>
      <x:c r="I344" t="n">
        <x:v>4645</x:v>
      </x:c>
      <x:c r="J344" t="n">
        <x:v>225409.26953713672</x:v>
      </x:c>
      <x:c r="K344" s="14" t="n">
        <x:v>0.17058569365897913</x:v>
      </x:c>
      <x:c r="L344" s="14" t="n">
        <x:v>0.02213950283587751</x:v>
      </x:c>
      <x:c r="M344" s="14" t="n">
        <x:v>0.024356161917000962</x:v>
      </x:c>
      <x:c r="N344" t="n">
        <x:v>8</x:v>
      </x:c>
      <x:c r="O344" t="n">
        <x:v>0</x:v>
      </x:c>
      <x:c r="P344" s="14" t="n">
        <x:v>0</x:v>
      </x:c>
      <x:c r="Q344" s="14" t="n">
        <x:v>0.125</x:v>
      </x:c>
      <x:c r="R344" s="14" t="n">
        <x:v>-0.11111111111111116</x:v>
      </x:c>
      <x:c r="S344" t="n">
        <x:v>695</x:v>
      </x:c>
      <x:c r="T344" t="n">
        <x:v>38.59138662461408</x:v>
      </x:c>
      <x:c r="U344" s="14" t="n">
        <x:v>0.8864065701088851</x:v>
      </x:c>
      <x:c r="V344" s="14" t="n">
        <x:v>0.08592867999654759</x:v>
      </x:c>
      <x:c r="W344" s="14" t="n">
        <x:v>0.11151208340940076</x:v>
      </x:c>
      <x:c r="X344" s="14" t="n">
        <x:v>0.15870106086576602</x:v>
      </x:c>
      <x:c r="Y344" s="16" t="n">
        <x:v>88.47184986595174</x:v>
      </x:c>
      <x:c r="Z344" s="16" t="n">
        <x:v>82.24043715846994</x:v>
      </x:c>
      <x:c r="AA344" s="16" t="n">
        <x:v>59.01639344262295</x:v>
      </x:c>
      <x:c r="AB344" s="16" t="n">
        <x:v>84.81182795698925</x:v>
      </x:c>
      <x:c r="AC344" s="16" t="n">
        <x:v>56.98924731182796</x:v>
      </x:c>
      <x:c r="AD344" s="16" t="n">
        <x:v>27.804878048780488</x:v>
      </x:c>
      <x:c r="AE344" s="16" t="n">
        <x:v>76.07663672834074</x:v>
      </x:c>
      <x:c r="AF344" t="str">
        <x:v>검토</x:v>
      </x:c>
      <x:c r="AG344" t="str">
        <x:v>수요·경쟁여건 강점 / 직장수요 상대적 약점</x:v>
      </x:c>
    </x:row>
    <x:row r="345">
      <x:c r="A345" t="str">
        <x:v>3110446</x:v>
      </x:c>
      <x:c r="B345" t="str">
        <x:v>내를건너서숲으로도서관</x:v>
      </x:c>
      <x:c r="C345" t="str">
        <x:v>골목상권</x:v>
      </x:c>
      <x:c r="D345" t="str">
        <x:v>은평구</x:v>
      </x:c>
      <x:c r="E345" t="str">
        <x:v>신사2동</x:v>
      </x:c>
      <x:c r="F345" t="str">
        <x:v>CS300035</x:v>
      </x:c>
      <x:c r="G345" t="str">
        <x:v>인테리어</x:v>
      </x:c>
      <x:c r="H345" t="n">
        <x:v>102000000</x:v>
      </x:c>
      <x:c r="I345" t="n">
        <x:v>37</x:v>
      </x:c>
      <x:c r="J345" t="n">
        <x:v>2756756.756756757</x:v>
      </x:c>
      <x:c r="K345" s="14" t="n">
        <x:v>2.0565883440302386</x:v>
      </x:c>
      <x:c r="L345" s="14" t="n">
        <x:v>0.20213561276420866</x:v>
      </x:c>
      <x:c r="M345" s="14" t="n">
        <x:v>0.044160820891303576</x:v>
      </x:c>
      <x:c r="N345" t="n">
        <x:v>11</x:v>
      </x:c>
      <x:c r="O345" t="n">
        <x:v>0</x:v>
      </x:c>
      <x:c r="P345" s="14" t="n">
        <x:v>0</x:v>
      </x:c>
      <x:c r="Q345" s="14" t="n">
        <x:v>0</x:v>
      </x:c>
      <x:c r="R345" s="14" t="n">
        <x:v>-0.08333333333333337</x:v>
      </x:c>
      <x:c r="S345" t="n">
        <x:v>256</x:v>
      </x:c>
      <x:c r="T345" t="n">
        <x:v>42.8351515962787</x:v>
      </x:c>
      <x:c r="U345" s="14" t="n">
        <x:v>1</x:v>
      </x:c>
      <x:c r="V345" s="14" t="n">
        <x:v>0</x:v>
      </x:c>
      <x:c r="W345" s="14" t="n">
        <x:v>0</x:v>
      </x:c>
      <x:c r="X345" s="14" t="n">
        <x:v>1</x:v>
      </x:c>
      <x:c r="Y345" s="16" t="n">
        <x:v>68.47826086956522</x:v>
      </x:c>
      <x:c r="Z345" s="16" t="n">
        <x:v>96.81528662420382</x:v>
      </x:c>
      <x:c r="AA345" s="16" t="n">
        <x:v>98.36065573770492</x:v>
      </x:c>
      <x:c r="AB345" s="16" t="n">
        <x:v>69.29347826086956</x:v>
      </x:c>
      <x:c r="AC345" s="16" t="n">
        <x:v>60.32608695652174</x:v>
      </x:c>
      <x:c r="AD345" s="16" t="n">
        <x:v>31.158536585365855</x:v>
      </x:c>
      <x:c r="AE345" s="16" t="n">
        <x:v>76.06910425389523</x:v>
      </x:c>
      <x:c r="AF345" t="str">
        <x:v>검토</x:v>
      </x:c>
      <x:c r="AG345" t="str">
        <x:v>서울 업종추세·상권 모멘텀 강점 / 직장수요 상대적 약점</x:v>
      </x:c>
    </x:row>
    <x:row r="346">
      <x:c r="A346" t="str">
        <x:v>3130059</x:v>
      </x:c>
      <x:c r="B346" t="str">
        <x:v>후암시장</x:v>
      </x:c>
      <x:c r="C346" t="str">
        <x:v>전통시장</x:v>
      </x:c>
      <x:c r="D346" t="str">
        <x:v>용산구</x:v>
      </x:c>
      <x:c r="E346" t="str">
        <x:v>후암동</x:v>
      </x:c>
      <x:c r="F346" t="str">
        <x:v>CS200028</x:v>
      </x:c>
      <x:c r="G346" t="str">
        <x:v>미용실</x:v>
      </x:c>
      <x:c r="H346" t="n">
        <x:v>172903534</x:v>
      </x:c>
      <x:c r="I346" t="n">
        <x:v>3380</x:v>
      </x:c>
      <x:c r="J346" t="n">
        <x:v>51154.89171597633</x:v>
      </x:c>
      <x:c r="K346" s="14" t="n">
        <x:v>0.10895918103030366</x:v>
      </x:c>
      <x:c r="L346" s="14" t="n">
        <x:v>0.02168887159425803</x:v>
      </x:c>
      <x:c r="M346" s="14" t="n">
        <x:v>-0.013481964371473865</x:v>
      </x:c>
      <x:c r="N346" t="n">
        <x:v>21</x:v>
      </x:c>
      <x:c r="O346" t="n">
        <x:v>0</x:v>
      </x:c>
      <x:c r="P346" s="14" t="n">
        <x:v>0</x:v>
      </x:c>
      <x:c r="Q346" s="14" t="n">
        <x:v>0.14285714285714285</x:v>
      </x:c>
      <x:c r="R346" s="14" t="n">
        <x:v>-0.125</x:v>
      </x:c>
      <x:c r="S346" t="n">
        <x:v>200</x:v>
      </x:c>
      <x:c r="T346" t="n">
        <x:v>60.078101531991585</x:v>
      </x:c>
      <x:c r="U346" s="14" t="n">
        <x:v>0.5415894969503631</x:v>
      </x:c>
      <x:c r="V346" s="14" t="n">
        <x:v>0.268211232744381</x:v>
      </x:c>
      <x:c r="W346" s="14" t="n">
        <x:v>0.19910129772130628</x:v>
      </x:c>
      <x:c r="X346" s="14" t="n">
        <x:v>0.6054764675891471</x:v>
      </x:c>
      <x:c r="Y346" s="16" t="n">
        <x:v>74.30617726051925</x:v>
      </x:c>
      <x:c r="Z346" s="16" t="n">
        <x:v>86.96043165467626</x:v>
      </x:c>
      <x:c r="AA346" s="16" t="n">
        <x:v>57.377049180327866</x:v>
      </x:c>
      <x:c r="AB346" s="16" t="n">
        <x:v>95.65801253357206</x:v>
      </x:c>
      <x:c r="AC346" s="16" t="n">
        <x:v>75.60429722470904</x:v>
      </x:c>
      <x:c r="AD346" s="16" t="n">
        <x:v>42.926829268292686</x:v>
      </x:c>
      <x:c r="AE346" s="16" t="n">
        <x:v>76.0612788150875</x:v>
      </x:c>
      <x:c r="AF346" t="str">
        <x:v>검토</x:v>
      </x:c>
      <x:c r="AG346" t="str">
        <x:v>경쟁여건·상권 모멘텀 강점 / 직장수요 상대적 약점</x:v>
      </x:c>
    </x:row>
    <x:row r="347">
      <x:c r="A347" t="str">
        <x:v>3110866</x:v>
      </x:c>
      <x:c r="B347" t="str">
        <x:v>난우중학교</x:v>
      </x:c>
      <x:c r="C347" t="str">
        <x:v>골목상권</x:v>
      </x:c>
      <x:c r="D347" t="str">
        <x:v>관악구</x:v>
      </x:c>
      <x:c r="E347" t="str">
        <x:v>난곡동</x:v>
      </x:c>
      <x:c r="F347" t="str">
        <x:v>CS200025</x:v>
      </x:c>
      <x:c r="G347" t="str">
        <x:v>자동차수리</x:v>
      </x:c>
      <x:c r="H347" t="n">
        <x:v>1306081856</x:v>
      </x:c>
      <x:c r="I347" t="n">
        <x:v>6847</x:v>
      </x:c>
      <x:c r="J347" t="n">
        <x:v>190752.42529574997</x:v>
      </x:c>
      <x:c r="K347" s="14" t="n">
        <x:v>0.14910311913268393</x:v>
      </x:c>
      <x:c r="L347" s="14" t="n">
        <x:v>0.02213950283587751</x:v>
      </x:c>
      <x:c r="M347" s="14" t="n">
        <x:v>0.024356161917000962</x:v>
      </x:c>
      <x:c r="N347" t="n">
        <x:v>8</x:v>
      </x:c>
      <x:c r="O347" t="n">
        <x:v>0</x:v>
      </x:c>
      <x:c r="P347" s="14" t="n">
        <x:v>0</x:v>
      </x:c>
      <x:c r="Q347" s="14" t="n">
        <x:v>0</x:v>
      </x:c>
      <x:c r="R347" s="14" t="n">
        <x:v>0</x:v>
      </x:c>
      <x:c r="S347" t="n">
        <x:v>249</x:v>
      </x:c>
      <x:c r="T347" t="n">
        <x:v>17.861498070384343</x:v>
      </x:c>
      <x:c r="U347" s="14" t="n">
        <x:v>0.9108042321659815</x:v>
      </x:c>
      <x:c r="V347" s="14" t="n">
        <x:v>0.15752940755958256</x:v>
      </x:c>
      <x:c r="W347" s="14" t="n">
        <x:v>0.15741635874926357</x:v>
      </x:c>
      <x:c r="X347" s="14" t="n">
        <x:v>0.2040772335788424</x:v>
      </x:c>
      <x:c r="Y347" s="16" t="n">
        <x:v>93.5656836461126</x:v>
      </x:c>
      <x:c r="Z347" s="16" t="n">
        <x:v>77.59562841530055</x:v>
      </x:c>
      <x:c r="AA347" s="16" t="n">
        <x:v>59.01639344262295</x:v>
      </x:c>
      <x:c r="AB347" s="16" t="n">
        <x:v>84.81182795698925</x:v>
      </x:c>
      <x:c r="AC347" s="16" t="n">
        <x:v>56.98924731182796</x:v>
      </x:c>
      <x:c r="AD347" s="16" t="n">
        <x:v>10.060975609756097</x:v>
      </x:c>
      <x:c r="AE347" s="16" t="n">
        <x:v>76.04332168081194</x:v>
      </x:c>
      <x:c r="AF347" t="str">
        <x:v>검토</x:v>
      </x:c>
      <x:c r="AG347" t="str">
        <x:v>수요·경쟁여건 강점 / 직장수요 상대적 약점</x:v>
      </x:c>
    </x:row>
    <x:row r="348">
      <x:c r="A348" t="str">
        <x:v>3120095</x:v>
      </x:c>
      <x:c r="B348" t="str">
        <x:v>홍제역</x:v>
      </x:c>
      <x:c r="C348" t="str">
        <x:v>발달상권</x:v>
      </x:c>
      <x:c r="D348" t="str">
        <x:v>서대문구</x:v>
      </x:c>
      <x:c r="E348" t="str">
        <x:v>홍제1동</x:v>
      </x:c>
      <x:c r="F348" t="str">
        <x:v>CS300018</x:v>
      </x:c>
      <x:c r="G348" t="str">
        <x:v>의약품</x:v>
      </x:c>
      <x:c r="H348" t="n">
        <x:v>6932858674</x:v>
      </x:c>
      <x:c r="I348" t="n">
        <x:v>494956</x:v>
      </x:c>
      <x:c r="J348" t="n">
        <x:v>14007.020167449227</x:v>
      </x:c>
      <x:c r="K348" s="14" t="n">
        <x:v>0.05179428553025378</x:v>
      </x:c>
      <x:c r="L348" s="14" t="n">
        <x:v>0.027829225601598617</x:v>
      </x:c>
      <x:c r="M348" s="14" t="n">
        <x:v>0.02632929521123617</x:v>
      </x:c>
      <x:c r="N348" t="n">
        <x:v>13</x:v>
      </x:c>
      <x:c r="O348" t="n">
        <x:v>4</x:v>
      </x:c>
      <x:c r="P348" s="14" t="n">
        <x:v>0.2222222222222222</x:v>
      </x:c>
      <x:c r="Q348" s="14" t="n">
        <x:v>0.23076923076923078</x:v>
      </x:c>
      <x:c r="R348" s="14" t="n">
        <x:v>0</x:v>
      </x:c>
      <x:c r="S348" t="n">
        <x:v>988</x:v>
      </x:c>
      <x:c r="T348" t="n">
        <x:v>98.1970699902598</x:v>
      </x:c>
      <x:c r="U348" s="14" t="n">
        <x:v>0.826599567144155</x:v>
      </x:c>
      <x:c r="V348" s="14" t="n">
        <x:v>0.19711379017791875</x:v>
      </x:c>
      <x:c r="W348" s="14" t="n">
        <x:v>0.1660417899930784</x:v>
      </x:c>
      <x:c r="X348" s="14" t="n">
        <x:v>0.5684994631119463</x:v>
      </x:c>
      <x:c r="Y348" s="16" t="n">
        <x:v>93.29896907216495</x:v>
      </x:c>
      <x:c r="Z348" s="16" t="n">
        <x:v>85.31468531468532</x:v>
      </x:c>
      <x:c r="AA348" s="16" t="n">
        <x:v>72.1311475409836</x:v>
      </x:c>
      <x:c r="AB348" s="16" t="n">
        <x:v>83.76288659793815</x:v>
      </x:c>
      <x:c r="AC348" s="16" t="n">
        <x:v>0</x:v>
      </x:c>
      <x:c r="AD348" s="16" t="n">
        <x:v>58.65853658536585</x:v>
      </x:c>
      <x:c r="AE348" s="16" t="n">
        <x:v>76.03460818830135</x:v>
      </x:c>
      <x:c r="AF348" t="str">
        <x:v>검토</x:v>
      </x:c>
      <x:c r="AG348" t="str">
        <x:v>수요·상권 모멘텀 강점 / 안정성 상대적 약점</x:v>
      </x:c>
    </x:row>
    <x:row r="349">
      <x:c r="A349" t="str">
        <x:v>3110450</x:v>
      </x:c>
      <x:c r="B349" t="str">
        <x:v>시립서북병원</x:v>
      </x:c>
      <x:c r="C349" t="str">
        <x:v>골목상권</x:v>
      </x:c>
      <x:c r="D349" t="str">
        <x:v>은평구</x:v>
      </x:c>
      <x:c r="E349" t="str">
        <x:v>구산동</x:v>
      </x:c>
      <x:c r="F349" t="str">
        <x:v>CS300001</x:v>
      </x:c>
      <x:c r="G349" t="str">
        <x:v>슈퍼마켓</x:v>
      </x:c>
      <x:c r="H349" t="n">
        <x:v>1668431972</x:v>
      </x:c>
      <x:c r="I349" t="n">
        <x:v>91021</x:v>
      </x:c>
      <x:c r="J349" t="n">
        <x:v>18330.187231518</x:v>
      </x:c>
      <x:c r="K349" s="14" t="n">
        <x:v>0.4728660597336065</x:v>
      </x:c>
      <x:c r="L349" s="14" t="n">
        <x:v>-0.02979620222776047</x:v>
      </x:c>
      <x:c r="M349" s="14" t="n">
        <x:v>-0.03099912402160654</x:v>
      </x:c>
      <x:c r="N349" t="n">
        <x:v>22</x:v>
      </x:c>
      <x:c r="O349" t="n">
        <x:v>0</x:v>
      </x:c>
      <x:c r="P349" s="14" t="n">
        <x:v>0</x:v>
      </x:c>
      <x:c r="Q349" s="14" t="n">
        <x:v>0.2727272727272727</x:v>
      </x:c>
      <x:c r="R349" s="14" t="n">
        <x:v>-0.24137931034482762</x:v>
      </x:c>
      <x:c r="S349" t="n">
        <x:v>886</x:v>
      </x:c>
      <x:c r="T349" t="n">
        <x:v>45.20800273493109</x:v>
      </x:c>
      <x:c r="U349" s="14" t="n">
        <x:v>0.7195122816790519</x:v>
      </x:c>
      <x:c r="V349" s="14" t="n">
        <x:v>0.3851820678248187</x:v>
      </x:c>
      <x:c r="W349" s="14" t="n">
        <x:v>0.13345258046877084</x:v>
      </x:c>
      <x:c r="X349" s="14" t="n">
        <x:v>0.5143422215598731</x:v>
      </x:c>
      <x:c r="Y349" s="16" t="n">
        <x:v>84.32919954904172</x:v>
      </x:c>
      <x:c r="Z349" s="16" t="n">
        <x:v>98.13519813519814</x:v>
      </x:c>
      <x:c r="AA349" s="16" t="n">
        <x:v>31.147540983606557</x:v>
      </x:c>
      <x:c r="AB349" s="16" t="n">
        <x:v>84.6674182638106</x:v>
      </x:c>
      <x:c r="AC349" s="16" t="n">
        <x:v>78.80496054114994</x:v>
      </x:c>
      <x:c r="AD349" s="16" t="n">
        <x:v>32.5609756097561</x:v>
      </x:c>
      <x:c r="AE349" s="16" t="n">
        <x:v>76.0230481909196</x:v>
      </x:c>
      <x:c r="AF349" t="str">
        <x:v>검토</x:v>
      </x:c>
      <x:c r="AG349" t="str">
        <x:v>상권 모멘텀·경쟁여건 강점 / 서울 업종추세 상대적 약점</x:v>
      </x:c>
    </x:row>
    <x:row r="350">
      <x:c r="A350" t="str">
        <x:v>3120157</x:v>
      </x:c>
      <x:c r="B350" t="str">
        <x:v>신림역(신림)</x:v>
      </x:c>
      <x:c r="C350" t="str">
        <x:v>발달상권</x:v>
      </x:c>
      <x:c r="D350" t="str">
        <x:v>관악구</x:v>
      </x:c>
      <x:c r="E350" t="str">
        <x:v>신림동</x:v>
      </x:c>
      <x:c r="F350" t="str">
        <x:v>CS100003</x:v>
      </x:c>
      <x:c r="G350" t="str">
        <x:v>일식음식점</x:v>
      </x:c>
      <x:c r="H350" t="n">
        <x:v>1059663885</x:v>
      </x:c>
      <x:c r="I350" t="n">
        <x:v>32162</x:v>
      </x:c>
      <x:c r="J350" t="n">
        <x:v>32947.698681674025</x:v>
      </x:c>
      <x:c r="K350" s="14" t="n">
        <x:v>0.12515824449607482</x:v>
      </x:c>
      <x:c r="L350" s="14" t="n">
        <x:v>0.048235937606500245</x:v>
      </x:c>
      <x:c r="M350" s="14" t="n">
        <x:v>-0.004288267098710441</x:v>
      </x:c>
      <x:c r="N350" t="n">
        <x:v>18</x:v>
      </x:c>
      <x:c r="O350" t="n">
        <x:v>0</x:v>
      </x:c>
      <x:c r="P350" s="14" t="n">
        <x:v>0</x:v>
      </x:c>
      <x:c r="Q350" s="14" t="n">
        <x:v>0</x:v>
      </x:c>
      <x:c r="R350" s="14" t="n">
        <x:v>0</x:v>
      </x:c>
      <x:c r="S350" t="n">
        <x:v>1622</x:v>
      </x:c>
      <x:c r="T350" t="n">
        <x:v>68.17560893596452</x:v>
      </x:c>
      <x:c r="U350" s="14" t="n">
        <x:v>0.6194048342036306</x:v>
      </x:c>
      <x:c r="V350" s="14" t="n">
        <x:v>0.6177192619903245</x:v>
      </x:c>
      <x:c r="W350" s="14" t="n">
        <x:v>0.611877957886618</x:v>
      </x:c>
      <x:c r="X350" s="14" t="n">
        <x:v>0.4451411241593838</x:v>
      </x:c>
      <x:c r="Y350" s="16" t="n">
        <x:v>79.16666666666667</x:v>
      </x:c>
      <x:c r="Z350" s="16" t="n">
        <x:v>79.62962962962963</x:v>
      </x:c>
      <x:c r="AA350" s="16" t="n">
        <x:v>78.68852459016394</x:v>
      </x:c>
      <x:c r="AB350" s="16" t="n">
        <x:v>67.55952380952381</x:v>
      </x:c>
      <x:c r="AC350" s="16" t="n">
        <x:v>81.10119047619048</x:v>
      </x:c>
      <x:c r="AD350" s="16" t="n">
        <x:v>46.76829268292683</x:v>
      </x:c>
      <x:c r="AE350" s="16" t="n">
        <x:v>76.02000020097782</x:v>
      </x:c>
      <x:c r="AF350" t="str">
        <x:v>검토</x:v>
      </x:c>
      <x:c r="AG350" t="str">
        <x:v>안정성·상권 모멘텀 강점 / 직장수요 상대적 약점</x:v>
      </x:c>
    </x:row>
    <x:row r="351">
      <x:c r="A351" t="str">
        <x:v>3120224</x:v>
      </x:c>
      <x:c r="B351" t="str">
        <x:v>수서역</x:v>
      </x:c>
      <x:c r="C351" t="str">
        <x:v>발달상권</x:v>
      </x:c>
      <x:c r="D351" t="str">
        <x:v>강남구</x:v>
      </x:c>
      <x:c r="E351" t="str">
        <x:v>수서동</x:v>
      </x:c>
      <x:c r="F351" t="str">
        <x:v>CS100002</x:v>
      </x:c>
      <x:c r="G351" t="str">
        <x:v>중식음식점</x:v>
      </x:c>
      <x:c r="H351" t="n">
        <x:v>758527078</x:v>
      </x:c>
      <x:c r="I351" t="n">
        <x:v>24296</x:v>
      </x:c>
      <x:c r="J351" t="n">
        <x:v>31220.24522555153</x:v>
      </x:c>
      <x:c r="K351" s="14" t="n">
        <x:v>0.08262492141195521</x:v>
      </x:c>
      <x:c r="L351" s="14" t="n">
        <x:v>-0.02375238205614094</x:v>
      </x:c>
      <x:c r="M351" s="14" t="n">
        <x:v>0.025085263877023367</x:v>
      </x:c>
      <x:c r="N351" t="n">
        <x:v>10</x:v>
      </x:c>
      <x:c r="O351" t="n">
        <x:v>0</x:v>
      </x:c>
      <x:c r="P351" s="14" t="n">
        <x:v>0</x:v>
      </x:c>
      <x:c r="Q351" s="14" t="n">
        <x:v>0.1</x:v>
      </x:c>
      <x:c r="R351" s="14" t="n">
        <x:v>0.25</x:v>
      </x:c>
      <x:c r="S351" t="n">
        <x:v>19403</x:v>
      </x:c>
      <x:c r="T351" t="n">
        <x:v>3224.0001329279035</x:v>
      </x:c>
      <x:c r="U351" s="14" t="n">
        <x:v>0.793059875444552</x:v>
      </x:c>
      <x:c r="V351" s="14" t="n">
        <x:v>0.5036246141762655</x:v>
      </x:c>
      <x:c r="W351" s="14" t="n">
        <x:v>0.2535256493506485</x:v>
      </x:c>
      <x:c r="X351" s="14" t="n">
        <x:v>0.2426355819561131</x:v>
      </x:c>
      <x:c r="Y351" s="16" t="n">
        <x:v>82.15102974828375</x:v>
      </x:c>
      <x:c r="Z351" s="16" t="n">
        <x:v>86.48018648018648</x:v>
      </x:c>
      <x:c r="AA351" s="16" t="n">
        <x:v>32.78688524590164</x:v>
      </x:c>
      <x:c r="AB351" s="16" t="n">
        <x:v>82.837528604119</x:v>
      </x:c>
      <x:c r="AC351" s="16" t="n">
        <x:v>76.3157894736842</x:v>
      </x:c>
      <x:c r="AD351" s="16" t="n">
        <x:v>99.63414634146342</x:v>
      </x:c>
      <x:c r="AE351" s="16" t="n">
        <x:v>76.0058460498813</x:v>
      </x:c>
      <x:c r="AF351" t="str">
        <x:v>검토</x:v>
      </x:c>
      <x:c r="AG351" t="str">
        <x:v>직장수요·상권 모멘텀 강점 / 서울 업종추세 상대적 약점</x:v>
      </x:c>
    </x:row>
    <x:row r="352">
      <x:c r="A352" t="str">
        <x:v>3130261</x:v>
      </x:c>
      <x:c r="B352" t="str">
        <x:v>성대전통시장(성대시장)</x:v>
      </x:c>
      <x:c r="C352" t="str">
        <x:v>전통시장</x:v>
      </x:c>
      <x:c r="D352" t="str">
        <x:v>동작구</x:v>
      </x:c>
      <x:c r="E352" t="str">
        <x:v>상도3동</x:v>
      </x:c>
      <x:c r="F352" t="str">
        <x:v>CS200024</x:v>
      </x:c>
      <x:c r="G352" t="str">
        <x:v>스포츠클럽</x:v>
      </x:c>
      <x:c r="H352" t="n">
        <x:v>433101675</x:v>
      </x:c>
      <x:c r="I352" t="n">
        <x:v>1607</x:v>
      </x:c>
      <x:c r="J352" t="n">
        <x:v>269509.4430616055</x:v>
      </x:c>
      <x:c r="K352" s="14" t="n">
        <x:v>0.19726938731334154</x:v>
      </x:c>
      <x:c r="L352" s="14" t="n">
        <x:v>0.03927856170757105</x:v>
      </x:c>
      <x:c r="M352" s="14" t="n">
        <x:v>-0.042593628048716026</x:v>
      </x:c>
      <x:c r="N352" t="n">
        <x:v>14</x:v>
      </x:c>
      <x:c r="O352" t="n">
        <x:v>0</x:v>
      </x:c>
      <x:c r="P352" s="14" t="n">
        <x:v>0</x:v>
      </x:c>
      <x:c r="Q352" s="14" t="n">
        <x:v>0</x:v>
      </x:c>
      <x:c r="R352" s="14" t="n">
        <x:v>1.3333333333333335</x:v>
      </x:c>
      <x:c r="S352" t="n">
        <x:v>389</x:v>
      </x:c>
      <x:c r="T352" t="n">
        <x:v>73.26904241693664</x:v>
      </x:c>
      <x:c r="U352" s="14" t="n">
        <x:v>0.8495340476344267</x:v>
      </x:c>
      <x:c r="V352" s="14" t="n">
        <x:v>0.5782945217194092</x:v>
      </x:c>
      <x:c r="W352" s="14" t="n">
        <x:v>0.5878561725719486</x:v>
      </x:c>
      <x:c r="X352" s="14" t="n">
        <x:v>0.7018336144740147</x:v>
      </x:c>
      <x:c r="Y352" s="16" t="n">
        <x:v>83.33333333333333</x:v>
      </x:c>
      <x:c r="Z352" s="16" t="n">
        <x:v>79.01785714285714</x:v>
      </x:c>
      <x:c r="AA352" s="16" t="n">
        <x:v>75.40983606557377</x:v>
      </x:c>
      <x:c r="AB352" s="16" t="n">
        <x:v>69.20289855072464</x:v>
      </x:c>
      <x:c r="AC352" s="16" t="n">
        <x:v>68.84057971014492</x:v>
      </x:c>
      <x:c r="AD352" s="16" t="n">
        <x:v>48.96341463414634</x:v>
      </x:c>
      <x:c r="AE352" s="16" t="n">
        <x:v>75.99437699040466</x:v>
      </x:c>
      <x:c r="AF352" t="str">
        <x:v>검토</x:v>
      </x:c>
      <x:c r="AG352" t="str">
        <x:v>수요·상권 모멘텀 강점 / 직장수요 상대적 약점</x:v>
      </x:c>
    </x:row>
    <x:row r="353">
      <x:c r="A353" t="str">
        <x:v>3110550</x:v>
      </x:c>
      <x:c r="B353" t="str">
        <x:v>합정역 8번</x:v>
      </x:c>
      <x:c r="C353" t="str">
        <x:v>골목상권</x:v>
      </x:c>
      <x:c r="D353" t="str">
        <x:v>마포구</x:v>
      </x:c>
      <x:c r="E353" t="str">
        <x:v>합정동</x:v>
      </x:c>
      <x:c r="F353" t="str">
        <x:v>CS200001</x:v>
      </x:c>
      <x:c r="G353" t="str">
        <x:v>일반교습학원</x:v>
      </x:c>
      <x:c r="H353" t="n">
        <x:v>756689283</x:v>
      </x:c>
      <x:c r="I353" t="n">
        <x:v>3417</x:v>
      </x:c>
      <x:c r="J353" t="n">
        <x:v>221448.4293239684</x:v>
      </x:c>
      <x:c r="K353" s="14" t="n">
        <x:v>0.14343189554730373</x:v>
      </x:c>
      <x:c r="L353" s="14" t="n">
        <x:v>0.026465986538897424</x:v>
      </x:c>
      <x:c r="M353" s="14" t="n">
        <x:v>0.05930632525283164</x:v>
      </x:c>
      <x:c r="N353" t="n">
        <x:v>43</x:v>
      </x:c>
      <x:c r="O353" t="n">
        <x:v>0</x:v>
      </x:c>
      <x:c r="P353" s="14" t="n">
        <x:v>0</x:v>
      </x:c>
      <x:c r="Q353" s="14" t="n">
        <x:v>0.09302325581395349</x:v>
      </x:c>
      <x:c r="R353" s="14" t="n">
        <x:v>0.48275862068965525</x:v>
      </x:c>
      <x:c r="S353" t="n">
        <x:v>1073</x:v>
      </x:c>
      <x:c r="T353" t="n">
        <x:v>61.73656381075125</x:v>
      </x:c>
      <x:c r="U353" s="14" t="n">
        <x:v>0.9148190764055</x:v>
      </x:c>
      <x:c r="V353" s="14" t="n">
        <x:v>0.40860827547890616</x:v>
      </x:c>
      <x:c r="W353" s="14" t="n">
        <x:v>0.14081823727903914</x:v>
      </x:c>
      <x:c r="X353" s="14" t="n">
        <x:v>0.5990900415593702</x:v>
      </x:c>
      <x:c r="Y353" s="16" t="n">
        <x:v>79.96894409937889</x:v>
      </x:c>
      <x:c r="Z353" s="16" t="n">
        <x:v>84.90259740259741</x:v>
      </x:c>
      <x:c r="AA353" s="16" t="n">
        <x:v>70.49180327868852</x:v>
      </x:c>
      <x:c r="AB353" s="16" t="n">
        <x:v>65.6832298136646</x:v>
      </x:c>
      <x:c r="AC353" s="16" t="n">
        <x:v>83.92857142857143</x:v>
      </x:c>
      <x:c r="AD353" s="16" t="n">
        <x:v>43.84146341463415</x:v>
      </x:c>
      <x:c r="AE353" s="16" t="n">
        <x:v>75.98083519274391</x:v>
      </x:c>
      <x:c r="AF353" t="str">
        <x:v>검토</x:v>
      </x:c>
      <x:c r="AG353" t="str">
        <x:v>상권 모멘텀·안정성 강점 / 직장수요 상대적 약점</x:v>
      </x:c>
    </x:row>
    <x:row r="354">
      <x:c r="A354" t="str">
        <x:v>3120062</x:v>
      </x:c>
      <x:c r="B354" t="str">
        <x:v>신설동역</x:v>
      </x:c>
      <x:c r="C354" t="str">
        <x:v>발달상권</x:v>
      </x:c>
      <x:c r="D354" t="str">
        <x:v>동대문구</x:v>
      </x:c>
      <x:c r="E354" t="str">
        <x:v>용신동</x:v>
      </x:c>
      <x:c r="F354" t="str">
        <x:v>CS200001</x:v>
      </x:c>
      <x:c r="G354" t="str">
        <x:v>일반교습학원</x:v>
      </x:c>
      <x:c r="H354" t="n">
        <x:v>8116637778</x:v>
      </x:c>
      <x:c r="I354" t="n">
        <x:v>78626</x:v>
      </x:c>
      <x:c r="J354" t="n">
        <x:v>103230.96403225396</x:v>
      </x:c>
      <x:c r="K354" s="14" t="n">
        <x:v>0.00026887070333336816</x:v>
      </x:c>
      <x:c r="L354" s="14" t="n">
        <x:v>0.026465986538897424</x:v>
      </x:c>
      <x:c r="M354" s="14" t="n">
        <x:v>0.05930632525283164</x:v>
      </x:c>
      <x:c r="N354" t="n">
        <x:v>48</x:v>
      </x:c>
      <x:c r="O354" t="n">
        <x:v>0</x:v>
      </x:c>
      <x:c r="P354" s="14" t="n">
        <x:v>0</x:v>
      </x:c>
      <x:c r="Q354" s="14" t="n">
        <x:v>0.041666666666666664</x:v>
      </x:c>
      <x:c r="R354" s="14" t="n">
        <x:v>0.8461538461538463</x:v>
      </x:c>
      <x:c r="S354" t="n">
        <x:v>6339</x:v>
      </x:c>
      <x:c r="T354" t="n">
        <x:v>233.1371827877896</x:v>
      </x:c>
      <x:c r="U354" s="14" t="n">
        <x:v>0.9969512475883706</x:v>
      </x:c>
      <x:c r="V354" s="14" t="n">
        <x:v>0.026820699402165683</x:v>
      </x:c>
      <x:c r="W354" s="14" t="n">
        <x:v>0.2803230322988056</x:v>
      </x:c>
      <x:c r="X354" s="14" t="n">
        <x:v>0.59363814768968</x:v>
      </x:c>
      <x:c r="Y354" s="16" t="n">
        <x:v>97.67080745341615</x:v>
      </x:c>
      <x:c r="Z354" s="16" t="n">
        <x:v>50</x:v>
      </x:c>
      <x:c r="AA354" s="16" t="n">
        <x:v>70.49180327868852</x:v>
      </x:c>
      <x:c r="AB354" s="16" t="n">
        <x:v>59.08385093167702</x:v>
      </x:c>
      <x:c r="AC354" s="16" t="n">
        <x:v>83.92857142857143</x:v>
      </x:c>
      <x:c r="AD354" s="16" t="n">
        <x:v>79.32926829268293</x:v>
      </x:c>
      <x:c r="AE354" s="16" t="n">
        <x:v>75.98045129774177</x:v>
      </x:c>
      <x:c r="AF354" t="str">
        <x:v>검토</x:v>
      </x:c>
      <x:c r="AG354" t="str">
        <x:v>수요·안정성 강점 / 상권 모멘텀 상대적 약점</x:v>
      </x:c>
    </x:row>
    <x:row r="355">
      <x:c r="A355" t="str">
        <x:v>3110253</x:v>
      </x:c>
      <x:c r="B355" t="str">
        <x:v>중곡초등학교</x:v>
      </x:c>
      <x:c r="C355" t="str">
        <x:v>골목상권</x:v>
      </x:c>
      <x:c r="D355" t="str">
        <x:v>중랑구</x:v>
      </x:c>
      <x:c r="E355" t="str">
        <x:v>면목4동</x:v>
      </x:c>
      <x:c r="F355" t="str">
        <x:v>CS300033</x:v>
      </x:c>
      <x:c r="G355" t="str">
        <x:v>철물점</x:v>
      </x:c>
      <x:c r="H355" t="n">
        <x:v>386689968</x:v>
      </x:c>
      <x:c r="I355" t="n">
        <x:v>18564</x:v>
      </x:c>
      <x:c r="J355" t="n">
        <x:v>20830.099547511312</x:v>
      </x:c>
      <x:c r="K355" s="14" t="n">
        <x:v>0.2629226269195466</x:v>
      </x:c>
      <x:c r="L355" s="14" t="n">
        <x:v>0.018800721364975237</x:v>
      </x:c>
      <x:c r="M355" s="14" t="n">
        <x:v>-0.020555839555512545</x:v>
      </x:c>
      <x:c r="N355" t="n">
        <x:v>6</x:v>
      </x:c>
      <x:c r="O355" t="n">
        <x:v>0</x:v>
      </x:c>
      <x:c r="P355" s="14" t="n">
        <x:v>0</x:v>
      </x:c>
      <x:c r="Q355" s="14" t="n">
        <x:v>0</x:v>
      </x:c>
      <x:c r="R355" s="14" t="n">
        <x:v>0.19999999999999996</x:v>
      </x:c>
      <x:c r="S355" t="n">
        <x:v>446</x:v>
      </x:c>
      <x:c r="T355" t="n">
        <x:v>51.55890547148653</x:v>
      </x:c>
      <x:c r="U355" s="14" t="n">
        <x:v>0.835450080773753</x:v>
      </x:c>
      <x:c r="V355" s="14" t="n">
        <x:v>0.0851436854446661</x:v>
      </x:c>
      <x:c r="W355" s="14" t="n">
        <x:v>0.1587081385054189</x:v>
      </x:c>
      <x:c r="X355" s="14" t="n">
        <x:v>0.019066113967559667</x:v>
      </x:c>
      <x:c r="Y355" s="16" t="n">
        <x:v>91.86046511627907</x:v>
      </x:c>
      <x:c r="Z355" s="16" t="n">
        <x:v>87.11656441717791</x:v>
      </x:c>
      <x:c r="AA355" s="16" t="n">
        <x:v>54.09836065573771</x:v>
      </x:c>
      <x:c r="AB355" s="16" t="n">
        <x:v>72.96511627906978</x:v>
      </x:c>
      <x:c r="AC355" s="16" t="n">
        <x:v>54.651162790697676</x:v>
      </x:c>
      <x:c r="AD355" s="16" t="n">
        <x:v>37.073170731707314</x:v>
      </x:c>
      <x:c r="AE355" s="16" t="n">
        <x:v>75.95277203000951</x:v>
      </x:c>
      <x:c r="AF355" t="str">
        <x:v>검토</x:v>
      </x:c>
      <x:c r="AG355" t="str">
        <x:v>수요·상권 모멘텀 강점 / 직장수요 상대적 약점</x:v>
      </x:c>
    </x:row>
    <x:row r="356">
      <x:c r="A356" t="str">
        <x:v>3120166</x:v>
      </x:c>
      <x:c r="B356" t="str">
        <x:v>방배역</x:v>
      </x:c>
      <x:c r="C356" t="str">
        <x:v>발달상권</x:v>
      </x:c>
      <x:c r="D356" t="str">
        <x:v>서초구</x:v>
      </x:c>
      <x:c r="E356" t="str">
        <x:v>방배1동</x:v>
      </x:c>
      <x:c r="F356" t="str">
        <x:v>CS100005</x:v>
      </x:c>
      <x:c r="G356" t="str">
        <x:v>제과점</x:v>
      </x:c>
      <x:c r="H356" t="n">
        <x:v>1271254935</x:v>
      </x:c>
      <x:c r="I356" t="n">
        <x:v>93702</x:v>
      </x:c>
      <x:c r="J356" t="n">
        <x:v>13566.998943459052</x:v>
      </x:c>
      <x:c r="K356" s="14" t="n">
        <x:v>0.12483793042624258</x:v>
      </x:c>
      <x:c r="L356" s="14" t="n">
        <x:v>0.015772977300780644</x:v>
      </x:c>
      <x:c r="M356" s="14" t="n">
        <x:v>-0.01180050626373963</x:v>
      </x:c>
      <x:c r="N356" t="n">
        <x:v>23</x:v>
      </x:c>
      <x:c r="O356" t="n">
        <x:v>0</x:v>
      </x:c>
      <x:c r="P356" s="14" t="n">
        <x:v>0</x:v>
      </x:c>
      <x:c r="Q356" s="14" t="n">
        <x:v>0.2608695652173913</x:v>
      </x:c>
      <x:c r="R356" s="14" t="n">
        <x:v>0.3529411764705883</x:v>
      </x:c>
      <x:c r="S356" t="n">
        <x:v>10702</x:v>
      </x:c>
      <x:c r="T356" t="n">
        <x:v>552.7407200813979</x:v>
      </x:c>
      <x:c r="U356" s="14" t="n">
        <x:v>0.7563213565814004</x:v>
      </x:c>
      <x:c r="V356" s="14" t="n">
        <x:v>0.2446264045378121</x:v>
      </x:c>
      <x:c r="W356" s="14" t="n">
        <x:v>0.17406419193173084</x:v>
      </x:c>
      <x:c r="X356" s="14" t="n">
        <x:v>0.4811363284894544</x:v>
      </x:c>
      <x:c r="Y356" s="16" t="n">
        <x:v>91.60839160839161</x:v>
      </x:c>
      <x:c r="Z356" s="16" t="n">
        <x:v>89.08188585607941</x:v>
      </x:c>
      <x:c r="AA356" s="16" t="n">
        <x:v>52.459016393442624</x:v>
      </x:c>
      <x:c r="AB356" s="16" t="n">
        <x:v>41.95804195804196</x:v>
      </x:c>
      <x:c r="AC356" s="16" t="n">
        <x:v>73.54312354312354</x:v>
      </x:c>
      <x:c r="AD356" s="16" t="n">
        <x:v>91.09756097560975</x:v>
      </x:c>
      <x:c r="AE356" s="16" t="n">
        <x:v>75.95106338996848</x:v>
      </x:c>
      <x:c r="AF356" t="str">
        <x:v>검토</x:v>
      </x:c>
      <x:c r="AG356" t="str">
        <x:v>수요·직장수요 강점 / 경쟁여건 상대적 약점</x:v>
      </x:c>
    </x:row>
    <x:row r="357">
      <x:c r="A357" t="str">
        <x:v>3001491</x:v>
      </x:c>
      <x:c r="B357" t="str">
        <x:v>이태원 관광특구</x:v>
      </x:c>
      <x:c r="C357" t="str">
        <x:v>관광특구</x:v>
      </x:c>
      <x:c r="D357" t="str">
        <x:v>용산구</x:v>
      </x:c>
      <x:c r="E357" t="str">
        <x:v>이태원1동</x:v>
      </x:c>
      <x:c r="F357" t="str">
        <x:v>CS200031</x:v>
      </x:c>
      <x:c r="G357" t="str">
        <x:v>세탁소</x:v>
      </x:c>
      <x:c r="H357" t="n">
        <x:v>114000000</x:v>
      </x:c>
      <x:c r="I357" t="n">
        <x:v>5378</x:v>
      </x:c>
      <x:c r="J357" t="n">
        <x:v>21197.471178876905</x:v>
      </x:c>
      <x:c r="K357" s="14" t="n">
        <x:v>0.049179273303454396</x:v>
      </x:c>
      <x:c r="L357" s="14" t="n">
        <x:v>0.00038108013748794356</x:v>
      </x:c>
      <x:c r="M357" s="14" t="n">
        <x:v>0.043856378214214065</x:v>
      </x:c>
      <x:c r="N357" t="n">
        <x:v>6</x:v>
      </x:c>
      <x:c r="O357" t="n">
        <x:v>0</x:v>
      </x:c>
      <x:c r="P357" s="14" t="n">
        <x:v>0</x:v>
      </x:c>
      <x:c r="Q357" s="14" t="n">
        <x:v>0</x:v>
      </x:c>
      <x:c r="R357" s="14" t="n">
        <x:v>0.19999999999999996</x:v>
      </x:c>
      <x:c r="S357" t="n">
        <x:v>35826</x:v>
      </x:c>
      <x:c r="T357" t="n">
        <x:v>961.6040154067075</x:v>
      </x:c>
      <x:c r="U357" s="14" t="n">
        <x:v>0.9256283947368421</x:v>
      </x:c>
      <x:c r="V357" s="14" t="n">
        <x:v>0.39865889473684213</x:v>
      </x:c>
      <x:c r="W357" s="14" t="n">
        <x:v>0.49554865789473684</x:v>
      </x:c>
      <x:c r="X357" s="14" t="n">
        <x:v>0.4993875350877193</x:v>
      </x:c>
      <x:c r="Y357" s="16" t="n">
        <x:v>88.1118881118881</x:v>
      </x:c>
      <x:c r="Z357" s="16" t="n">
        <x:v>64.73429951690821</x:v>
      </x:c>
      <x:c r="AA357" s="16" t="n">
        <x:v>42.622950819672134</x:v>
      </x:c>
      <x:c r="AB357" s="16" t="n">
        <x:v>97.78554778554779</x:v>
      </x:c>
      <x:c r="AC357" s="16" t="n">
        <x:v>62.47086247086247</x:v>
      </x:c>
      <x:c r="AD357" s="16" t="n">
        <x:v>96.76829268292683</x:v>
      </x:c>
      <x:c r="AE357" s="16" t="n">
        <x:v>75.93279641455806</x:v>
      </x:c>
      <x:c r="AF357" t="str">
        <x:v>검토</x:v>
      </x:c>
      <x:c r="AG357" t="str">
        <x:v>경쟁여건·직장수요 강점 / 서울 업종추세 상대적 약점</x:v>
      </x:c>
    </x:row>
    <x:row r="358">
      <x:c r="A358" t="str">
        <x:v>3130147</x:v>
      </x:c>
      <x:c r="B358" t="str">
        <x:v>쌍문역동측상점가</x:v>
      </x:c>
      <x:c r="C358" t="str">
        <x:v>전통시장</x:v>
      </x:c>
      <x:c r="D358" t="str">
        <x:v>도봉구</x:v>
      </x:c>
      <x:c r="E358" t="str">
        <x:v>창1동</x:v>
      </x:c>
      <x:c r="F358" t="str">
        <x:v>CS100005</x:v>
      </x:c>
      <x:c r="G358" t="str">
        <x:v>제과점</x:v>
      </x:c>
      <x:c r="H358" t="n">
        <x:v>2647196445</x:v>
      </x:c>
      <x:c r="I358" t="n">
        <x:v>315424</x:v>
      </x:c>
      <x:c r="J358" t="n">
        <x:v>8392.501664426296</x:v>
      </x:c>
      <x:c r="K358" s="14" t="n">
        <x:v>0.5238182034693459</x:v>
      </x:c>
      <x:c r="L358" s="14" t="n">
        <x:v>0.015772977300780644</x:v>
      </x:c>
      <x:c r="M358" s="14" t="n">
        <x:v>-0.01180050626373963</x:v>
      </x:c>
      <x:c r="N358" t="n">
        <x:v>19</x:v>
      </x:c>
      <x:c r="O358" t="n">
        <x:v>1</x:v>
      </x:c>
      <x:c r="P358" s="14" t="n">
        <x:v>0.041666666666666664</x:v>
      </x:c>
      <x:c r="Q358" s="14" t="n">
        <x:v>0.10526315789473684</x:v>
      </x:c>
      <x:c r="R358" s="14" t="n">
        <x:v>0.3571428571428572</x:v>
      </x:c>
      <x:c r="S358" t="n">
        <x:v>403</x:v>
      </x:c>
      <x:c r="T358" t="n">
        <x:v>119.03003810142658</x:v>
      </x:c>
      <x:c r="U358" s="14" t="n">
        <x:v>0.7419529237090676</x:v>
      </x:c>
      <x:c r="V358" s="14" t="n">
        <x:v>0.3218328509805777</x:v>
      </x:c>
      <x:c r="W358" s="14" t="n">
        <x:v>0.23797149516042054</x:v>
      </x:c>
      <x:c r="X358" s="14" t="n">
        <x:v>0.6324162470685095</x:v>
      </x:c>
      <x:c r="Y358" s="16" t="n">
        <x:v>97.9020979020979</x:v>
      </x:c>
      <x:c r="Z358" s="16" t="n">
        <x:v>97.76674937965261</x:v>
      </x:c>
      <x:c r="AA358" s="16" t="n">
        <x:v>52.459016393442624</x:v>
      </x:c>
      <x:c r="AB358" s="16" t="n">
        <x:v>54.54545454545455</x:v>
      </x:c>
      <x:c r="AC358" s="16" t="n">
        <x:v>28.787878787878782</x:v>
      </x:c>
      <x:c r="AD358" s="16" t="n">
        <x:v>63.59756097560975</x:v>
      </x:c>
      <x:c r="AE358" s="16" t="n">
        <x:v>75.92842071006774</x:v>
      </x:c>
      <x:c r="AF358" t="str">
        <x:v>검토</x:v>
      </x:c>
      <x:c r="AG358" t="str">
        <x:v>수요·상권 모멘텀 강점 / 안정성 상대적 약점</x:v>
      </x:c>
    </x:row>
    <x:row r="359">
      <x:c r="A359" t="str">
        <x:v>3120129</x:v>
      </x:c>
      <x:c r="B359" t="str">
        <x:v>구로디지털단지</x:v>
      </x:c>
      <x:c r="C359" t="str">
        <x:v>발달상권</x:v>
      </x:c>
      <x:c r="D359" t="str">
        <x:v>구로구</x:v>
      </x:c>
      <x:c r="E359" t="str">
        <x:v>구로3동</x:v>
      </x:c>
      <x:c r="F359" t="str">
        <x:v>CS300028</x:v>
      </x:c>
      <x:c r="G359" t="str">
        <x:v>화초</x:v>
      </x:c>
      <x:c r="H359" t="n">
        <x:v>613695390</x:v>
      </x:c>
      <x:c r="I359" t="n">
        <x:v>11188</x:v>
      </x:c>
      <x:c r="J359" t="n">
        <x:v>54853.00232391848</x:v>
      </x:c>
      <x:c r="K359" s="14" t="n">
        <x:v>0.0165821675477118</x:v>
      </x:c>
      <x:c r="L359" s="14" t="n">
        <x:v>0.028008199294863756</x:v>
      </x:c>
      <x:c r="M359" s="14" t="n">
        <x:v>-0.0030123365554672876</x:v>
      </x:c>
      <x:c r="N359" t="n">
        <x:v>25</x:v>
      </x:c>
      <x:c r="O359" t="n">
        <x:v>0</x:v>
      </x:c>
      <x:c r="P359" s="14" t="n">
        <x:v>0</x:v>
      </x:c>
      <x:c r="Q359" s="14" t="n">
        <x:v>0</x:v>
      </x:c>
      <x:c r="R359" s="14" t="n">
        <x:v>0.04166666666666674</x:v>
      </x:c>
      <x:c r="S359" t="n">
        <x:v>56132</x:v>
      </x:c>
      <x:c r="T359" t="n">
        <x:v>1219.4947087590622</x:v>
      </x:c>
      <x:c r="U359" s="14" t="n">
        <x:v>0.9282090207651714</x:v>
      </x:c>
      <x:c r="V359" s="14" t="n">
        <x:v>0.2461371397950374</x:v>
      </x:c>
      <x:c r="W359" s="14" t="n">
        <x:v>0.23279026423841964</x:v>
      </x:c>
      <x:c r="X359" s="14" t="n">
        <x:v>0.24537098608480667</x:v>
      </x:c>
      <x:c r="Y359" s="16" t="n">
        <x:v>95.63758389261746</x:v>
      </x:c>
      <x:c r="Z359" s="16" t="n">
        <x:v>71.91780821917808</x:v>
      </x:c>
      <x:c r="AA359" s="16" t="n">
        <x:v>73.77049180327869</x:v>
      </x:c>
      <x:c r="AB359" s="16" t="n">
        <x:v>36.241610738255034</x:v>
      </x:c>
      <x:c r="AC359" s="16" t="n">
        <x:v>66.7785234899329</x:v>
      </x:c>
      <x:c r="AD359" s="16" t="n">
        <x:v>97.5609756097561</x:v>
      </x:c>
      <x:c r="AE359" s="16" t="n">
        <x:v>75.91443251696288</x:v>
      </x:c>
      <x:c r="AF359" t="str">
        <x:v>검토</x:v>
      </x:c>
      <x:c r="AG359" t="str">
        <x:v>직장수요·수요 강점 / 경쟁여건 상대적 약점</x:v>
      </x:c>
    </x:row>
    <x:row r="360">
      <x:c r="A360" t="str">
        <x:v>3120113</x:v>
      </x:c>
      <x:c r="B360" t="str">
        <x:v>오목교역</x:v>
      </x:c>
      <x:c r="C360" t="str">
        <x:v>발달상권</x:v>
      </x:c>
      <x:c r="D360" t="str">
        <x:v>양천구</x:v>
      </x:c>
      <x:c r="E360" t="str">
        <x:v>목1동</x:v>
      </x:c>
      <x:c r="F360" t="str">
        <x:v>CS200006</x:v>
      </x:c>
      <x:c r="G360" t="str">
        <x:v>일반의원</x:v>
      </x:c>
      <x:c r="H360" t="n">
        <x:v>8927310576</x:v>
      </x:c>
      <x:c r="I360" t="n">
        <x:v>157907</x:v>
      </x:c>
      <x:c r="J360" t="n">
        <x:v>56535.24274414687</x:v>
      </x:c>
      <x:c r="K360" s="14" t="n">
        <x:v>0.1416833264197026</x:v>
      </x:c>
      <x:c r="L360" s="14" t="n">
        <x:v>0.09973642051122278</x:v>
      </x:c>
      <x:c r="M360" s="14" t="n">
        <x:v>0.06942273842247415</x:v>
      </x:c>
      <x:c r="N360" t="n">
        <x:v>73</x:v>
      </x:c>
      <x:c r="O360" t="n">
        <x:v>0</x:v>
      </x:c>
      <x:c r="P360" s="14" t="n">
        <x:v>0</x:v>
      </x:c>
      <x:c r="Q360" s="14" t="n">
        <x:v>0</x:v>
      </x:c>
      <x:c r="R360" s="14" t="n">
        <x:v>0.43137254901960786</x:v>
      </x:c>
      <x:c r="S360" t="n">
        <x:v>5101</x:v>
      </x:c>
      <x:c r="T360" t="n">
        <x:v>362.4079060481837</x:v>
      </x:c>
      <x:c r="U360" s="14" t="n">
        <x:v>0.8151745595772358</x:v>
      </x:c>
      <x:c r="V360" s="14" t="n">
        <x:v>0.20427393261107935</x:v>
      </x:c>
      <x:c r="W360" s="14" t="n">
        <x:v>0.19354696078851866</x:v>
      </x:c>
      <x:c r="X360" s="14" t="n">
        <x:v>0.5872475002823292</x:v>
      </x:c>
      <x:c r="Y360" s="16" t="n">
        <x:v>91.8762088974855</x:v>
      </x:c>
      <x:c r="Z360" s="16" t="n">
        <x:v>90.11627906976744</x:v>
      </x:c>
      <x:c r="AA360" s="16" t="n">
        <x:v>90.1639344262295</x:v>
      </x:c>
      <x:c r="AB360" s="16" t="n">
        <x:v>10.75581395348837</x:v>
      </x:c>
      <x:c r="AC360" s="16" t="n">
        <x:v>62.5</x:v>
      </x:c>
      <x:c r="AD360" s="16" t="n">
        <x:v>86.21951219512195</x:v>
      </x:c>
      <x:c r="AE360" s="16" t="n">
        <x:v>75.8788667947872</x:v>
      </x:c>
      <x:c r="AF360" t="str">
        <x:v>검토</x:v>
      </x:c>
      <x:c r="AG360" t="str">
        <x:v>수요·서울 업종추세 강점 / 경쟁여건 상대적 약점</x:v>
      </x:c>
    </x:row>
    <x:row r="361">
      <x:c r="A361" t="str">
        <x:v>3120183</x:v>
      </x:c>
      <x:c r="B361" t="str">
        <x:v>양재천카페거리</x:v>
      </x:c>
      <x:c r="C361" t="str">
        <x:v>발달상권</x:v>
      </x:c>
      <x:c r="D361" t="str">
        <x:v>서초구</x:v>
      </x:c>
      <x:c r="E361" t="str">
        <x:v>양재1동</x:v>
      </x:c>
      <x:c r="F361" t="str">
        <x:v>CS200025</x:v>
      </x:c>
      <x:c r="G361" t="str">
        <x:v>자동차수리</x:v>
      </x:c>
      <x:c r="H361" t="n">
        <x:v>2680675299</x:v>
      </x:c>
      <x:c r="I361" t="n">
        <x:v>2414</x:v>
      </x:c>
      <x:c r="J361" t="n">
        <x:v>1110470.297845899</x:v>
      </x:c>
      <x:c r="K361" s="14" t="n">
        <x:v>0.3737649045748068</x:v>
      </x:c>
      <x:c r="L361" s="14" t="n">
        <x:v>0.02213950283587751</x:v>
      </x:c>
      <x:c r="M361" s="14" t="n">
        <x:v>0.024356161917000962</x:v>
      </x:c>
      <x:c r="N361" t="n">
        <x:v>28</x:v>
      </x:c>
      <x:c r="O361" t="n">
        <x:v>0</x:v>
      </x:c>
      <x:c r="P361" s="14" t="n">
        <x:v>0</x:v>
      </x:c>
      <x:c r="Q361" s="14" t="n">
        <x:v>0.03571428571428571</x:v>
      </x:c>
      <x:c r="R361" s="14" t="n">
        <x:v>-0.09677419354838712</x:v>
      </x:c>
      <x:c r="S361" t="n">
        <x:v>13817</x:v>
      </x:c>
      <x:c r="T361" t="n">
        <x:v>1153.252259846923</x:v>
      </x:c>
      <x:c r="U361" s="14" t="n">
        <x:v>0.9718341781161762</x:v>
      </x:c>
      <x:c r="V361" s="14" t="n">
        <x:v>0.1328495473259479</x:v>
      </x:c>
      <x:c r="W361" s="14" t="n">
        <x:v>0.08008876087308625</x:v>
      </x:c>
      <x:c r="X361" s="14" t="n">
        <x:v>0.0928526062417379</x:v>
      </x:c>
      <x:c r="Y361" s="16" t="n">
        <x:v>98.12332439678285</x:v>
      </x:c>
      <x:c r="Z361" s="16" t="n">
        <x:v>96.17486338797814</x:v>
      </x:c>
      <x:c r="AA361" s="16" t="n">
        <x:v>59.01639344262295</x:v>
      </x:c>
      <x:c r="AB361" s="16" t="n">
        <x:v>19.08602150537635</x:v>
      </x:c>
      <x:c r="AC361" s="16" t="n">
        <x:v>56.98924731182796</x:v>
      </x:c>
      <x:c r="AD361" s="16" t="n">
        <x:v>97.5</x:v>
      </x:c>
      <x:c r="AE361" s="16" t="n">
        <x:v>75.86742318985232</x:v>
      </x:c>
      <x:c r="AF361" t="str">
        <x:v>검토</x:v>
      </x:c>
      <x:c r="AG361" t="str">
        <x:v>수요·직장수요 강점 / 경쟁여건 상대적 약점</x:v>
      </x:c>
    </x:row>
    <x:row r="362">
      <x:c r="A362" t="str">
        <x:v>3120142</x:v>
      </x:c>
      <x:c r="B362" t="str">
        <x:v>대림역</x:v>
      </x:c>
      <x:c r="C362" t="str">
        <x:v>발달상권</x:v>
      </x:c>
      <x:c r="D362" t="str">
        <x:v>영등포구</x:v>
      </x:c>
      <x:c r="E362" t="str">
        <x:v>대림3동</x:v>
      </x:c>
      <x:c r="F362" t="str">
        <x:v>CS200019</x:v>
      </x:c>
      <x:c r="G362" t="str">
        <x:v>PC방</x:v>
      </x:c>
      <x:c r="H362" t="n">
        <x:v>544483842</x:v>
      </x:c>
      <x:c r="I362" t="n">
        <x:v>71941</x:v>
      </x:c>
      <x:c r="J362" t="n">
        <x:v>7568.477530198357</x:v>
      </x:c>
      <x:c r="K362" s="14" t="n">
        <x:v>0.4809569511986562</x:v>
      </x:c>
      <x:c r="L362" s="14" t="n">
        <x:v>0.007617357603377117</x:v>
      </x:c>
      <x:c r="M362" s="14" t="n">
        <x:v>-0.035308538695497105</x:v>
      </x:c>
      <x:c r="N362" t="n">
        <x:v>3</x:v>
      </x:c>
      <x:c r="O362" t="n">
        <x:v>0</x:v>
      </x:c>
      <x:c r="P362" s="14" t="n">
        <x:v>0</x:v>
      </x:c>
      <x:c r="Q362" s="14" t="n">
        <x:v>0.3333333333333333</x:v>
      </x:c>
      <x:c r="R362" s="14" t="n">
        <x:v>-0.75</x:v>
      </x:c>
      <x:c r="S362" t="n">
        <x:v>2012</x:v>
      </x:c>
      <x:c r="T362" t="n">
        <x:v>141.12266870541694</x:v>
      </x:c>
      <x:c r="U362" s="14" t="n">
        <x:v>0.634384145783338</x:v>
      </x:c>
      <x:c r="V362" s="14" t="n">
        <x:v>0.4231658613663691</x:v>
      </x:c>
      <x:c r="W362" s="14" t="n">
        <x:v>0.7052174708978783</x:v>
      </x:c>
      <x:c r="X362" s="14" t="n">
        <x:v>0.18872941871432064</x:v>
      </x:c>
      <x:c r="Y362" s="16" t="n">
        <x:v>78.84615384615384</x:v>
      </x:c>
      <x:c r="Z362" s="16" t="n">
        <x:v>95.78947368421052</x:v>
      </x:c>
      <x:c r="AA362" s="16" t="n">
        <x:v>50.81967213114754</x:v>
      </x:c>
      <x:c r="AB362" s="16" t="n">
        <x:v>81.25</x:v>
      </x:c>
      <x:c r="AC362" s="16" t="n">
        <x:v>58.65384615384615</x:v>
      </x:c>
      <x:c r="AD362" s="16" t="n">
        <x:v>68.35365853658537</x:v>
      </x:c>
      <x:c r="AE362" s="16" t="n">
        <x:v>75.84756694488196</x:v>
      </x:c>
      <x:c r="AF362" t="str">
        <x:v>검토</x:v>
      </x:c>
      <x:c r="AG362" t="str">
        <x:v>상권 모멘텀·경쟁여건 강점 / 서울 업종추세 상대적 약점</x:v>
      </x:c>
    </x:row>
    <x:row r="363">
      <x:c r="A363" t="str">
        <x:v>3120065</x:v>
      </x:c>
      <x:c r="B363" t="str">
        <x:v>회기역</x:v>
      </x:c>
      <x:c r="C363" t="str">
        <x:v>발달상권</x:v>
      </x:c>
      <x:c r="D363" t="str">
        <x:v>동대문구</x:v>
      </x:c>
      <x:c r="E363" t="str">
        <x:v>휘경1동</x:v>
      </x:c>
      <x:c r="F363" t="str">
        <x:v>CS200028</x:v>
      </x:c>
      <x:c r="G363" t="str">
        <x:v>미용실</x:v>
      </x:c>
      <x:c r="H363" t="n">
        <x:v>436897845</x:v>
      </x:c>
      <x:c r="I363" t="n">
        <x:v>12775</x:v>
      </x:c>
      <x:c r="J363" t="n">
        <x:v>34199.439921722114</x:v>
      </x:c>
      <x:c r="K363" s="14" t="n">
        <x:v>0.033962216647344556</x:v>
      </x:c>
      <x:c r="L363" s="14" t="n">
        <x:v>0.02168887159425803</x:v>
      </x:c>
      <x:c r="M363" s="14" t="n">
        <x:v>-0.013481964371473865</x:v>
      </x:c>
      <x:c r="N363" t="n">
        <x:v>28</x:v>
      </x:c>
      <x:c r="O363" t="n">
        <x:v>0</x:v>
      </x:c>
      <x:c r="P363" s="14" t="n">
        <x:v>0</x:v>
      </x:c>
      <x:c r="Q363" s="14" t="n">
        <x:v>0.07142857142857142</x:v>
      </x:c>
      <x:c r="R363" s="14" t="n">
        <x:v>0.07692307692307687</x:v>
      </x:c>
      <x:c r="S363" t="n">
        <x:v>814</x:v>
      </x:c>
      <x:c r="T363" t="n">
        <x:v>63.992201441789895</x:v>
      </x:c>
      <x:c r="U363" s="14" t="n">
        <x:v>0.6056344933447771</x:v>
      </x:c>
      <x:c r="V363" s="14" t="n">
        <x:v>0.38376485697703544</x:v>
      </x:c>
      <x:c r="W363" s="14" t="n">
        <x:v>0.42508490285641026</x:v>
      </x:c>
      <x:c r="X363" s="14" t="n">
        <x:v>0.41112326383756825</x:v>
      </x:c>
      <x:c r="Y363" s="16" t="n">
        <x:v>91.76365264100268</x:v>
      </x:c>
      <x:c r="Z363" s="16" t="n">
        <x:v>59.35251798561151</x:v>
      </x:c>
      <x:c r="AA363" s="16" t="n">
        <x:v>57.377049180327866</x:v>
      </x:c>
      <x:c r="AB363" s="16" t="n">
        <x:v>89.6598030438675</x:v>
      </x:c>
      <x:c r="AC363" s="16" t="n">
        <x:v>75.60429722470904</x:v>
      </x:c>
      <x:c r="AD363" s="16" t="n">
        <x:v>44.75609756097561</x:v>
      </x:c>
      <x:c r="AE363" s="16" t="n">
        <x:v>75.84154445562221</x:v>
      </x:c>
      <x:c r="AF363" t="str">
        <x:v>검토</x:v>
      </x:c>
      <x:c r="AG363" t="str">
        <x:v>수요·경쟁여건 강점 / 직장수요 상대적 약점</x:v>
      </x:c>
    </x:row>
    <x:row r="364">
      <x:c r="A364" t="str">
        <x:v>3120227</x:v>
      </x:c>
      <x:c r="B364" t="str">
        <x:v>잠실역</x:v>
      </x:c>
      <x:c r="C364" t="str">
        <x:v>발달상권</x:v>
      </x:c>
      <x:c r="D364" t="str">
        <x:v>송파구</x:v>
      </x:c>
      <x:c r="E364" t="str">
        <x:v>잠실6동</x:v>
      </x:c>
      <x:c r="F364" t="str">
        <x:v>CS200006</x:v>
      </x:c>
      <x:c r="G364" t="str">
        <x:v>일반의원</x:v>
      </x:c>
      <x:c r="H364" t="n">
        <x:v>17090879877</x:v>
      </x:c>
      <x:c r="I364" t="n">
        <x:v>125513</x:v>
      </x:c>
      <x:c r="J364" t="n">
        <x:v>136168.2047038952</x:v>
      </x:c>
      <x:c r="K364" s="14" t="n">
        <x:v>0.07159729202741216</x:v>
      </x:c>
      <x:c r="L364" s="14" t="n">
        <x:v>0.09973642051122278</x:v>
      </x:c>
      <x:c r="M364" s="14" t="n">
        <x:v>0.06942273842247415</x:v>
      </x:c>
      <x:c r="N364" t="n">
        <x:v>57</x:v>
      </x:c>
      <x:c r="O364" t="n">
        <x:v>0</x:v>
      </x:c>
      <x:c r="P364" s="14" t="n">
        <x:v>0</x:v>
      </x:c>
      <x:c r="Q364" s="14" t="n">
        <x:v>0</x:v>
      </x:c>
      <x:c r="R364" s="14" t="n">
        <x:v>0.2666666666666666</x:v>
      </x:c>
      <x:c r="S364" t="n">
        <x:v>110575</x:v>
      </x:c>
      <x:c r="T364" t="n">
        <x:v>2098.727003209539</x:v>
      </x:c>
      <x:c r="U364" s="14" t="n">
        <x:v>0.7958594935363608</x:v>
      </x:c>
      <x:c r="V364" s="14" t="n">
        <x:v>0.24803302764445495</x:v>
      </x:c>
      <x:c r="W364" s="14" t="n">
        <x:v>0.44388261216494185</x:v>
      </x:c>
      <x:c r="X364" s="14" t="n">
        <x:v>0.7205865450832342</x:v>
      </x:c>
      <x:c r="Y364" s="16" t="n">
        <x:v>96.5183752417795</x:v>
      </x:c>
      <x:c r="Z364" s="16" t="n">
        <x:v>73.44961240310077</x:v>
      </x:c>
      <x:c r="AA364" s="16" t="n">
        <x:v>90.1639344262295</x:v>
      </x:c>
      <x:c r="AB364" s="16" t="n">
        <x:v>17.538759689922486</x:v>
      </x:c>
      <x:c r="AC364" s="16" t="n">
        <x:v>62.5</x:v>
      </x:c>
      <x:c r="AD364" s="16" t="n">
        <x:v>98.90243902439025</x:v>
      </x:c>
      <x:c r="AE364" s="16" t="n">
        <x:v>75.82187988388529</x:v>
      </x:c>
      <x:c r="AF364" t="str">
        <x:v>검토</x:v>
      </x:c>
      <x:c r="AG364" t="str">
        <x:v>직장수요·수요 강점 / 경쟁여건 상대적 약점</x:v>
      </x:c>
    </x:row>
    <x:row r="365">
      <x:c r="A365" t="str">
        <x:v>3120090</x:v>
      </x:c>
      <x:c r="B365" t="str">
        <x:v>연신내역</x:v>
      </x:c>
      <x:c r="C365" t="str">
        <x:v>발달상권</x:v>
      </x:c>
      <x:c r="D365" t="str">
        <x:v>은평구</x:v>
      </x:c>
      <x:c r="E365" t="str">
        <x:v>불광1동</x:v>
      </x:c>
      <x:c r="F365" t="str">
        <x:v>CS300018</x:v>
      </x:c>
      <x:c r="G365" t="str">
        <x:v>의약품</x:v>
      </x:c>
      <x:c r="H365" t="n">
        <x:v>5758366594</x:v>
      </x:c>
      <x:c r="I365" t="n">
        <x:v>335206</x:v>
      </x:c>
      <x:c r="J365" t="n">
        <x:v>17178.590460791274</x:v>
      </x:c>
      <x:c r="K365" s="14" t="n">
        <x:v>0.050525585369911585</x:v>
      </x:c>
      <x:c r="L365" s="14" t="n">
        <x:v>0.027829225601598617</x:v>
      </x:c>
      <x:c r="M365" s="14" t="n">
        <x:v>0.02632929521123617</x:v>
      </x:c>
      <x:c r="N365" t="n">
        <x:v>24</x:v>
      </x:c>
      <x:c r="O365" t="n">
        <x:v>0</x:v>
      </x:c>
      <x:c r="P365" s="14" t="n">
        <x:v>0</x:v>
      </x:c>
      <x:c r="Q365" s="14" t="n">
        <x:v>0.041666666666666664</x:v>
      </x:c>
      <x:c r="R365" s="14" t="n">
        <x:v>0</x:v>
      </x:c>
      <x:c r="S365" t="n">
        <x:v>1147</x:v>
      </x:c>
      <x:c r="T365" t="n">
        <x:v>85.33273816166351</x:v>
      </x:c>
      <x:c r="U365" s="14" t="n">
        <x:v>0.826182401960496</x:v>
      </x:c>
      <x:c r="V365" s="14" t="n">
        <x:v>0.1833728080286234</x:v>
      </x:c>
      <x:c r="W365" s="14" t="n">
        <x:v>0.1934246237744828</x:v>
      </x:c>
      <x:c r="X365" s="14" t="n">
        <x:v>0.5679157753532911</x:v>
      </x:c>
      <x:c r="Y365" s="16" t="n">
        <x:v>90.03436426116839</x:v>
      </x:c>
      <x:c r="Z365" s="16" t="n">
        <x:v>84.96503496503496</x:v>
      </x:c>
      <x:c r="AA365" s="16" t="n">
        <x:v>72.1311475409836</x:v>
      </x:c>
      <x:c r="AB365" s="16" t="n">
        <x:v>47.508591065292094</x:v>
      </x:c>
      <x:c r="AC365" s="16" t="n">
        <x:v>66.32302405498282</x:v>
      </x:c>
      <x:c r="AD365" s="16" t="n">
        <x:v>54.69512195121951</x:v>
      </x:c>
      <x:c r="AE365" s="16" t="n">
        <x:v>75.81805377841654</x:v>
      </x:c>
      <x:c r="AF365" t="str">
        <x:v>검토</x:v>
      </x:c>
      <x:c r="AG365" t="str">
        <x:v>수요·상권 모멘텀 강점 / 경쟁여건 상대적 약점</x:v>
      </x:c>
    </x:row>
    <x:row r="366">
      <x:c r="A366" t="str">
        <x:v>3120244</x:v>
      </x:c>
      <x:c r="B366" t="str">
        <x:v>암사역</x:v>
      </x:c>
      <x:c r="C366" t="str">
        <x:v>발달상권</x:v>
      </x:c>
      <x:c r="D366" t="str">
        <x:v>강동구</x:v>
      </x:c>
      <x:c r="E366" t="str">
        <x:v>암사2동</x:v>
      </x:c>
      <x:c r="F366" t="str">
        <x:v>CS200028</x:v>
      </x:c>
      <x:c r="G366" t="str">
        <x:v>미용실</x:v>
      </x:c>
      <x:c r="H366" t="n">
        <x:v>406336651</x:v>
      </x:c>
      <x:c r="I366" t="n">
        <x:v>9620</x:v>
      </x:c>
      <x:c r="J366" t="n">
        <x:v>42238.73711018711</x:v>
      </x:c>
      <x:c r="K366" s="14" t="n">
        <x:v>0.04048310440655145</x:v>
      </x:c>
      <x:c r="L366" s="14" t="n">
        <x:v>0.02168887159425803</x:v>
      </x:c>
      <x:c r="M366" s="14" t="n">
        <x:v>-0.013481964371473865</x:v>
      </x:c>
      <x:c r="N366" t="n">
        <x:v>41</x:v>
      </x:c>
      <x:c r="O366" t="n">
        <x:v>0</x:v>
      </x:c>
      <x:c r="P366" s="14" t="n">
        <x:v>0</x:v>
      </x:c>
      <x:c r="Q366" s="14" t="n">
        <x:v>0.07317073170731707</x:v>
      </x:c>
      <x:c r="R366" s="14" t="n">
        <x:v>0.13888888888888884</x:v>
      </x:c>
      <x:c r="S366" t="n">
        <x:v>1399</x:v>
      </x:c>
      <x:c r="T366" t="n">
        <x:v>173.5624340921779</x:v>
      </x:c>
      <x:c r="U366" s="14" t="n">
        <x:v>0.5852304127987706</x:v>
      </x:c>
      <x:c r="V366" s="14" t="n">
        <x:v>0.3317438204706767</x:v>
      </x:c>
      <x:c r="W366" s="14" t="n">
        <x:v>0.40293115227747445</x:v>
      </x:c>
      <x:c r="X366" s="14" t="n">
        <x:v>0.5777933972291365</x:v>
      </x:c>
      <x:c r="Y366" s="16" t="n">
        <x:v>90.59982094897046</x:v>
      </x:c>
      <x:c r="Z366" s="16" t="n">
        <x:v>64.11870503597122</x:v>
      </x:c>
      <x:c r="AA366" s="16" t="n">
        <x:v>57.377049180327866</x:v>
      </x:c>
      <x:c r="AB366" s="16" t="n">
        <x:v>76.32050134288272</x:v>
      </x:c>
      <x:c r="AC366" s="16" t="n">
        <x:v>75.60429722470904</x:v>
      </x:c>
      <x:c r="AD366" s="16" t="n">
        <x:v>73.23170731707317</x:v>
      </x:c>
      <x:c r="AE366" s="16" t="n">
        <x:v>75.81032600614004</x:v>
      </x:c>
      <x:c r="AF366" t="str">
        <x:v>검토</x:v>
      </x:c>
      <x:c r="AG366" t="str">
        <x:v>수요·경쟁여건 강점 / 서울 업종추세 상대적 약점</x:v>
      </x:c>
    </x:row>
    <x:row r="367">
      <x:c r="A367" t="str">
        <x:v>3130293</x:v>
      </x:c>
      <x:c r="B367" t="str">
        <x:v>봉천중앙시장</x:v>
      </x:c>
      <x:c r="C367" t="str">
        <x:v>전통시장</x:v>
      </x:c>
      <x:c r="D367" t="str">
        <x:v>관악구</x:v>
      </x:c>
      <x:c r="E367" t="str">
        <x:v>중앙동</x:v>
      </x:c>
      <x:c r="F367" t="str">
        <x:v>CS300011</x:v>
      </x:c>
      <x:c r="G367" t="str">
        <x:v>일반의류</x:v>
      </x:c>
      <x:c r="H367" t="n">
        <x:v>274136114</x:v>
      </x:c>
      <x:c r="I367" t="n">
        <x:v>6164</x:v>
      </x:c>
      <x:c r="J367" t="n">
        <x:v>44473.73685918235</x:v>
      </x:c>
      <x:c r="K367" s="14" t="n">
        <x:v>0.19793841120171574</x:v>
      </x:c>
      <x:c r="L367" s="14" t="n">
        <x:v>0.06726691045630595</x:v>
      </x:c>
      <x:c r="M367" s="14" t="n">
        <x:v>0.00788849516466894</x:v>
      </x:c>
      <x:c r="N367" t="n">
        <x:v>15</x:v>
      </x:c>
      <x:c r="O367" t="n">
        <x:v>0</x:v>
      </x:c>
      <x:c r="P367" s="14" t="n">
        <x:v>0</x:v>
      </x:c>
      <x:c r="Q367" s="14" t="n">
        <x:v>0</x:v>
      </x:c>
      <x:c r="R367" s="14" t="n">
        <x:v>-0.31818181818181823</x:v>
      </x:c>
      <x:c r="S367" t="n">
        <x:v>127</x:v>
      </x:c>
      <x:c r="T367" t="n">
        <x:v>74.2646628852114</x:v>
      </x:c>
      <x:c r="U367" s="14" t="n">
        <x:v>0.7601356273694023</x:v>
      </x:c>
      <x:c r="V367" s="14" t="n">
        <x:v>0.25019863307758133</x:v>
      </x:c>
      <x:c r="W367" s="14" t="n">
        <x:v>0.031509799544324174</x:v>
      </x:c>
      <x:c r="X367" s="14" t="n">
        <x:v>0.6411455296254764</x:v>
      </x:c>
      <x:c r="Y367" s="16" t="n">
        <x:v>64.54652532391049</x:v>
      </x:c>
      <x:c r="Z367" s="16" t="n">
        <x:v>75.45126353790614</x:v>
      </x:c>
      <x:c r="AA367" s="16" t="n">
        <x:v>81.9672131147541</x:v>
      </x:c>
      <x:c r="AB367" s="16" t="n">
        <x:v>98.11542991755006</x:v>
      </x:c>
      <x:c r="AC367" s="16" t="n">
        <x:v>86.33686690223793</x:v>
      </x:c>
      <x:c r="AD367" s="16" t="n">
        <x:v>49.451219512195124</x:v>
      </x:c>
      <x:c r="AE367" s="16" t="n">
        <x:v>75.80018069162908</x:v>
      </x:c>
      <x:c r="AF367" t="str">
        <x:v>검토</x:v>
      </x:c>
      <x:c r="AG367" t="str">
        <x:v>경쟁여건·안정성 강점 / 직장수요 상대적 약점</x:v>
      </x:c>
    </x:row>
    <x:row r="368">
      <x:c r="A368" t="str">
        <x:v>3120031</x:v>
      </x:c>
      <x:c r="B368" t="str">
        <x:v>을지로3가역</x:v>
      </x:c>
      <x:c r="C368" t="str">
        <x:v>발달상권</x:v>
      </x:c>
      <x:c r="D368" t="str">
        <x:v>중구</x:v>
      </x:c>
      <x:c r="E368" t="str">
        <x:v>을지로동</x:v>
      </x:c>
      <x:c r="F368" t="str">
        <x:v>CS100003</x:v>
      </x:c>
      <x:c r="G368" t="str">
        <x:v>일식음식점</x:v>
      </x:c>
      <x:c r="H368" t="n">
        <x:v>1687567248</x:v>
      </x:c>
      <x:c r="I368" t="n">
        <x:v>46203</x:v>
      </x:c>
      <x:c r="J368" t="n">
        <x:v>36525.05785338614</x:v>
      </x:c>
      <x:c r="K368" s="14" t="n">
        <x:v>0.26119910919898714</x:v>
      </x:c>
      <x:c r="L368" s="14" t="n">
        <x:v>0.048235937606500245</x:v>
      </x:c>
      <x:c r="M368" s="14" t="n">
        <x:v>-0.004288267098710441</x:v>
      </x:c>
      <x:c r="N368" t="n">
        <x:v>38</x:v>
      </x:c>
      <x:c r="O368" t="n">
        <x:v>1</x:v>
      </x:c>
      <x:c r="P368" s="14" t="n">
        <x:v>0.023255813953488372</x:v>
      </x:c>
      <x:c r="Q368" s="14" t="n">
        <x:v>0.02631578947368421</x:v>
      </x:c>
      <x:c r="R368" s="14" t="n">
        <x:v>1</x:v>
      </x:c>
      <x:c r="S368" t="n">
        <x:v>13468</x:v>
      </x:c>
      <x:c r="T368" t="n">
        <x:v>528.6253699357078</x:v>
      </x:c>
      <x:c r="U368" s="14" t="n">
        <x:v>0.7371280821396932</x:v>
      </x:c>
      <x:c r="V368" s="14" t="n">
        <x:v>0.7199217396757631</x:v>
      </x:c>
      <x:c r="W368" s="14" t="n">
        <x:v>0.5452441910628975</x:v>
      </x:c>
      <x:c r="X368" s="14" t="n">
        <x:v>0.39529090931966226</x:v>
      </x:c>
      <x:c r="Y368" s="16" t="n">
        <x:v>86.01190476190476</x:v>
      </x:c>
      <x:c r="Z368" s="16" t="n">
        <x:v>89.81481481481481</x:v>
      </x:c>
      <x:c r="AA368" s="16" t="n">
        <x:v>78.68852459016394</x:v>
      </x:c>
      <x:c r="AB368" s="16" t="n">
        <x:v>38.839285714285715</x:v>
      </x:c>
      <x:c r="AC368" s="16" t="n">
        <x:v>55.654761904761905</x:v>
      </x:c>
      <x:c r="AD368" s="16" t="n">
        <x:v>90.73170731707317</x:v>
      </x:c>
      <x:c r="AE368" s="16" t="n">
        <x:v>75.79836273162692</x:v>
      </x:c>
      <x:c r="AF368" t="str">
        <x:v>검토</x:v>
      </x:c>
      <x:c r="AG368" t="str">
        <x:v>직장수요·상권 모멘텀 강점 / 경쟁여건 상대적 약점</x:v>
      </x:c>
    </x:row>
    <x:row r="369">
      <x:c r="A369" t="str">
        <x:v>3120156</x:v>
      </x:c>
      <x:c r="B369" t="str">
        <x:v>총신대입구역(이수, 총신대)</x:v>
      </x:c>
      <x:c r="C369" t="str">
        <x:v>발달상권</x:v>
      </x:c>
      <x:c r="D369" t="str">
        <x:v>동작구</x:v>
      </x:c>
      <x:c r="E369" t="str">
        <x:v>사당2동</x:v>
      </x:c>
      <x:c r="F369" t="str">
        <x:v>CS200030</x:v>
      </x:c>
      <x:c r="G369" t="str">
        <x:v>피부관리실</x:v>
      </x:c>
      <x:c r="H369" t="n">
        <x:v>284623116</x:v>
      </x:c>
      <x:c r="I369" t="n">
        <x:v>2645</x:v>
      </x:c>
      <x:c r="J369" t="n">
        <x:v>107607.98336483933</x:v>
      </x:c>
      <x:c r="K369" s="14" t="n">
        <x:v>0.31463846884821556</x:v>
      </x:c>
      <x:c r="L369" s="14" t="n">
        <x:v>0.11857168683779085</x:v>
      </x:c>
      <x:c r="M369" s="14" t="n">
        <x:v>0.0314283578178467</x:v>
      </x:c>
      <x:c r="N369" t="n">
        <x:v>31</x:v>
      </x:c>
      <x:c r="O369" t="n">
        <x:v>1</x:v>
      </x:c>
      <x:c r="P369" s="14" t="n">
        <x:v>0.027777777777777776</x:v>
      </x:c>
      <x:c r="Q369" s="14" t="n">
        <x:v>0</x:v>
      </x:c>
      <x:c r="R369" s="14" t="n">
        <x:v>0.4761904761904763</x:v>
      </x:c>
      <x:c r="S369" t="n">
        <x:v>7436</x:v>
      </x:c>
      <x:c r="T369" t="n">
        <x:v>301.0952969044197</x:v>
      </x:c>
      <x:c r="U369" s="14" t="n">
        <x:v>0.744973444110562</x:v>
      </x:c>
      <x:c r="V369" s="14" t="n">
        <x:v>0.24232017050927093</x:v>
      </x:c>
      <x:c r="W369" s="14" t="n">
        <x:v>0.34722399005708304</x:v>
      </x:c>
      <x:c r="X369" s="14" t="n">
        <x:v>0.7985797927951853</x:v>
      </x:c>
      <x:c r="Y369" s="16" t="n">
        <x:v>88.33746898263027</x:v>
      </x:c>
      <x:c r="Z369" s="16" t="n">
        <x:v>83.0238726790451</x:v>
      </x:c>
      <x:c r="AA369" s="16" t="n">
        <x:v>91.80327868852459</x:v>
      </x:c>
      <x:c r="AB369" s="16" t="n">
        <x:v>47.76674937965261</x:v>
      </x:c>
      <x:c r="AC369" s="16" t="n">
        <x:v>31.389578163771716</x:v>
      </x:c>
      <x:c r="AD369" s="16" t="n">
        <x:v>83.90243902439025</x:v>
      </x:c>
      <x:c r="AE369" s="16" t="n">
        <x:v>75.79247265755288</x:v>
      </x:c>
      <x:c r="AF369" t="str">
        <x:v>검토</x:v>
      </x:c>
      <x:c r="AG369" t="str">
        <x:v>서울 업종추세·수요 강점 / 안정성 상대적 약점</x:v>
      </x:c>
    </x:row>
    <x:row r="370">
      <x:c r="A370" t="str">
        <x:v>3120173</x:v>
      </x:c>
      <x:c r="B370" t="str">
        <x:v>교대역(법원.검찰청)</x:v>
      </x:c>
      <x:c r="C370" t="str">
        <x:v>발달상권</x:v>
      </x:c>
      <x:c r="D370" t="str">
        <x:v>서초구</x:v>
      </x:c>
      <x:c r="E370" t="str">
        <x:v>서초1동</x:v>
      </x:c>
      <x:c r="F370" t="str">
        <x:v>CS200016</x:v>
      </x:c>
      <x:c r="G370" t="str">
        <x:v>당구장</x:v>
      </x:c>
      <x:c r="H370" t="n">
        <x:v>325311940</x:v>
      </x:c>
      <x:c r="I370" t="n">
        <x:v>17882</x:v>
      </x:c>
      <x:c r="J370" t="n">
        <x:v>18192.145173917907</x:v>
      </x:c>
      <x:c r="K370" s="14" t="n">
        <x:v>-0.022044916509342927</x:v>
      </x:c>
      <x:c r="L370" s="14" t="n">
        <x:v>0.052763611334009974</x:v>
      </x:c>
      <x:c r="M370" s="14" t="n">
        <x:v>0.07602781601598463</x:v>
      </x:c>
      <x:c r="N370" t="n">
        <x:v>10</x:v>
      </x:c>
      <x:c r="O370" t="n">
        <x:v>0</x:v>
      </x:c>
      <x:c r="P370" s="14" t="n">
        <x:v>0</x:v>
      </x:c>
      <x:c r="Q370" s="14" t="n">
        <x:v>0</x:v>
      </x:c>
      <x:c r="R370" s="14" t="n">
        <x:v>0.25</x:v>
      </x:c>
      <x:c r="S370" t="n">
        <x:v>33675</x:v>
      </x:c>
      <x:c r="T370" t="n">
        <x:v>849.2400341965697</x:v>
      </x:c>
      <x:c r="U370" s="14" t="n">
        <x:v>0.8194041940175943</x:v>
      </x:c>
      <x:c r="V370" s="14" t="n">
        <x:v>0.618478799148903</x:v>
      </x:c>
      <x:c r="W370" s="14" t="n">
        <x:v>0.09682057781217622</x:v>
      </x:c>
      <x:c r="X370" s="14" t="n">
        <x:v>0.05435085475190367</x:v>
      </x:c>
      <x:c r="Y370" s="16" t="n">
        <x:v>96.16519174041298</x:v>
      </x:c>
      <x:c r="Z370" s="16" t="n">
        <x:v>40.123456790123456</x:v>
      </x:c>
      <x:c r="AA370" s="16" t="n">
        <x:v>80.32786885245902</x:v>
      </x:c>
      <x:c r="AB370" s="16" t="n">
        <x:v>68.87905604719764</x:v>
      </x:c>
      <x:c r="AC370" s="16" t="n">
        <x:v>69.32153392330383</x:v>
      </x:c>
      <x:c r="AD370" s="16" t="n">
        <x:v>95.91463414634147</x:v>
      </x:c>
      <x:c r="AE370" s="16" t="n">
        <x:v>75.79143230176518</x:v>
      </x:c>
      <x:c r="AF370" t="str">
        <x:v>검토</x:v>
      </x:c>
      <x:c r="AG370" t="str">
        <x:v>수요·직장수요 강점 / 상권 모멘텀 상대적 약점</x:v>
      </x:c>
    </x:row>
    <x:row r="371">
      <x:c r="A371" t="str">
        <x:v>3120205</x:v>
      </x:c>
      <x:c r="B371" t="str">
        <x:v>매봉역</x:v>
      </x:c>
      <x:c r="C371" t="str">
        <x:v>발달상권</x:v>
      </x:c>
      <x:c r="D371" t="str">
        <x:v>강남구</x:v>
      </x:c>
      <x:c r="E371" t="str">
        <x:v>도곡2동</x:v>
      </x:c>
      <x:c r="F371" t="str">
        <x:v>CS300018</x:v>
      </x:c>
      <x:c r="G371" t="str">
        <x:v>의약품</x:v>
      </x:c>
      <x:c r="H371" t="n">
        <x:v>3927314636</x:v>
      </x:c>
      <x:c r="I371" t="n">
        <x:v>34077</x:v>
      </x:c>
      <x:c r="J371" t="n">
        <x:v>115248.2506089151</x:v>
      </x:c>
      <x:c r="K371" s="14" t="n">
        <x:v>0.10938865826958732</x:v>
      </x:c>
      <x:c r="L371" s="14" t="n">
        <x:v>0.027829225601598617</x:v>
      </x:c>
      <x:c r="M371" s="14" t="n">
        <x:v>0.02632929521123617</x:v>
      </x:c>
      <x:c r="N371" t="n">
        <x:v>30</x:v>
      </x:c>
      <x:c r="O371" t="n">
        <x:v>0</x:v>
      </x:c>
      <x:c r="P371" s="14" t="n">
        <x:v>0</x:v>
      </x:c>
      <x:c r="Q371" s="14" t="n">
        <x:v>0.03333333333333333</x:v>
      </x:c>
      <x:c r="R371" s="14" t="n">
        <x:v>0.15384615384615374</x:v>
      </x:c>
      <x:c r="S371" t="n">
        <x:v>67744</x:v>
      </x:c>
      <x:c r="T371" t="n">
        <x:v>5532.696846696013</x:v>
      </x:c>
      <x:c r="U371" s="14" t="n">
        <x:v>0.9741207816485218</x:v>
      </x:c>
      <x:c r="V371" s="14" t="n">
        <x:v>0.014092939611370623</x:v>
      </x:c>
      <x:c r="W371" s="14" t="n">
        <x:v>0.029623365781177507</x:v>
      </x:c>
      <x:c r="X371" s="14" t="n">
        <x:v>0.9138144186622281</x:v>
      </x:c>
      <x:c r="Y371" s="16" t="n">
        <x:v>83.33333333333333</x:v>
      </x:c>
      <x:c r="Z371" s="16" t="n">
        <x:v>94.93006993006993</x:v>
      </x:c>
      <x:c r="AA371" s="16" t="n">
        <x:v>72.1311475409836</x:v>
      </x:c>
      <x:c r="AB371" s="16" t="n">
        <x:v>34.5360824742268</x:v>
      </x:c>
      <x:c r="AC371" s="16" t="n">
        <x:v>66.32302405498282</x:v>
      </x:c>
      <x:c r="AD371" s="16" t="n">
        <x:v>100</x:v>
      </x:c>
      <x:c r="AE371" s="16" t="n">
        <x:v>75.78506756046049</x:v>
      </x:c>
      <x:c r="AF371" t="str">
        <x:v>검토</x:v>
      </x:c>
      <x:c r="AG371" t="str">
        <x:v>직장수요·상권 모멘텀 강점 / 경쟁여건 상대적 약점</x:v>
      </x:c>
    </x:row>
    <x:row r="372">
      <x:c r="A372" t="str">
        <x:v>3001495</x:v>
      </x:c>
      <x:c r="B372" t="str">
        <x:v>잠실 관광특구</x:v>
      </x:c>
      <x:c r="C372" t="str">
        <x:v>관광특구</x:v>
      </x:c>
      <x:c r="D372" t="str">
        <x:v>송파구</x:v>
      </x:c>
      <x:c r="E372" t="str">
        <x:v>방이2동</x:v>
      </x:c>
      <x:c r="F372" t="str">
        <x:v>CS300028</x:v>
      </x:c>
      <x:c r="G372" t="str">
        <x:v>화초</x:v>
      </x:c>
      <x:c r="H372" t="n">
        <x:v>160418433</x:v>
      </x:c>
      <x:c r="I372" t="n">
        <x:v>3352</x:v>
      </x:c>
      <x:c r="J372" t="n">
        <x:v>47857.527744630075</x:v>
      </x:c>
      <x:c r="K372" s="14" t="n">
        <x:v>0.025606735867867547</x:v>
      </x:c>
      <x:c r="L372" s="14" t="n">
        <x:v>0.028008199294863756</x:v>
      </x:c>
      <x:c r="M372" s="14" t="n">
        <x:v>-0.0030123365554672876</x:v>
      </x:c>
      <x:c r="N372" t="n">
        <x:v>13</x:v>
      </x:c>
      <x:c r="O372" t="n">
        <x:v>0</x:v>
      </x:c>
      <x:c r="P372" s="14" t="n">
        <x:v>0</x:v>
      </x:c>
      <x:c r="Q372" s="14" t="n">
        <x:v>0</x:v>
      </x:c>
      <x:c r="R372" s="14" t="n">
        <x:v>0</x:v>
      </x:c>
      <x:c r="S372" t="n">
        <x:v>137602</x:v>
      </x:c>
      <x:c r="T372" t="n">
        <x:v>558.7367535430136</x:v>
      </x:c>
      <x:c r="U372" s="14" t="n">
        <x:v>0.7093863832967374</x:v>
      </x:c>
      <x:c r="V372" s="14" t="n">
        <x:v>0.46957791315665076</x:v>
      </x:c>
      <x:c r="W372" s="14" t="n">
        <x:v>0.41351016064344676</x:v>
      </x:c>
      <x:c r="X372" s="14" t="n">
        <x:v>0.540023826314274</x:v>
      </x:c>
      <x:c r="Y372" s="16" t="n">
        <x:v>80.87248322147651</x:v>
      </x:c>
      <x:c r="Z372" s="16" t="n">
        <x:v>73.97260273972603</x:v>
      </x:c>
      <x:c r="AA372" s="16" t="n">
        <x:v>73.77049180327869</x:v>
      </x:c>
      <x:c r="AB372" s="16" t="n">
        <x:v>69.12751677852349</x:v>
      </x:c>
      <x:c r="AC372" s="16" t="n">
        <x:v>66.7785234899329</x:v>
      </x:c>
      <x:c r="AD372" s="16" t="n">
        <x:v>91.34146341463415</x:v>
      </x:c>
      <x:c r="AE372" s="16" t="n">
        <x:v>75.7795164824573</x:v>
      </x:c>
      <x:c r="AF372" t="str">
        <x:v>검토</x:v>
      </x:c>
      <x:c r="AG372" t="str">
        <x:v>직장수요·수요 강점 / 안정성 상대적 약점</x:v>
      </x:c>
    </x:row>
    <x:row r="373">
      <x:c r="A373" t="str">
        <x:v>3111003</x:v>
      </x:c>
      <x:c r="B373" t="str">
        <x:v>삼전역 4번</x:v>
      </x:c>
      <x:c r="C373" t="str">
        <x:v>골목상권</x:v>
      </x:c>
      <x:c r="D373" t="str">
        <x:v>송파구</x:v>
      </x:c>
      <x:c r="E373" t="str">
        <x:v>잠실본동</x:v>
      </x:c>
      <x:c r="F373" t="str">
        <x:v>CS200026</x:v>
      </x:c>
      <x:c r="G373" t="str">
        <x:v>자동차미용</x:v>
      </x:c>
      <x:c r="H373" t="n">
        <x:v>325531934</x:v>
      </x:c>
      <x:c r="I373" t="n">
        <x:v>3529</x:v>
      </x:c>
      <x:c r="J373" t="n">
        <x:v>92244.80986115047</x:v>
      </x:c>
      <x:c r="K373" s="14" t="n">
        <x:v>0.16146148526423687</x:v>
      </x:c>
      <x:c r="L373" s="14" t="n">
        <x:v>-0.019736846042192724</x:v>
      </x:c>
      <x:c r="M373" s="14" t="n">
        <x:v>0.032440828422417356</x:v>
      </x:c>
      <x:c r="N373" t="n">
        <x:v>5</x:v>
      </x:c>
      <x:c r="O373" t="n">
        <x:v>0</x:v>
      </x:c>
      <x:c r="P373" s="14" t="n">
        <x:v>0</x:v>
      </x:c>
      <x:c r="Q373" s="14" t="n">
        <x:v>0</x:v>
      </x:c>
      <x:c r="R373" s="14" t="n">
        <x:v>0</x:v>
      </x:c>
      <x:c r="S373" t="n">
        <x:v>2463</x:v>
      </x:c>
      <x:c r="T373" t="n">
        <x:v>90.26772461563834</x:v>
      </x:c>
      <x:c r="U373" s="14" t="n">
        <x:v>0.9452921721652046</x:v>
      </x:c>
      <x:c r="V373" s="14" t="n">
        <x:v>0.01339912784101851</x:v>
      </x:c>
      <x:c r="W373" s="14" t="n">
        <x:v>0.027251867093321787</x:v>
      </x:c>
      <x:c r="X373" s="14" t="n">
        <x:v>0.31483019727336486</x:v>
      </x:c>
      <x:c r="Y373" s="16" t="n">
        <x:v>94.23076923076923</x:v>
      </x:c>
      <x:c r="Z373" s="16" t="n">
        <x:v>79.59183673469387</x:v>
      </x:c>
      <x:c r="AA373" s="16" t="n">
        <x:v>36.0655737704918</x:v>
      </x:c>
      <x:c r="AB373" s="16" t="n">
        <x:v>82.6923076923077</x:v>
      </x:c>
      <x:c r="AC373" s="16" t="n">
        <x:v>62.5</x:v>
      </x:c>
      <x:c r="AD373" s="16" t="n">
        <x:v>56.15853658536585</x:v>
      </x:c>
      <x:c r="AE373" s="16" t="n">
        <x:v>75.77074562639622</x:v>
      </x:c>
      <x:c r="AF373" t="str">
        <x:v>검토</x:v>
      </x:c>
      <x:c r="AG373" t="str">
        <x:v>수요·경쟁여건 강점 / 서울 업종추세 상대적 약점</x:v>
      </x:c>
    </x:row>
    <x:row r="374">
      <x:c r="A374" t="str">
        <x:v>3130121</x:v>
      </x:c>
      <x:c r="B374" t="str">
        <x:v>길음시장</x:v>
      </x:c>
      <x:c r="C374" t="str">
        <x:v>전통시장</x:v>
      </x:c>
      <x:c r="D374" t="str">
        <x:v>성북구</x:v>
      </x:c>
      <x:c r="E374" t="str">
        <x:v>길음1동</x:v>
      </x:c>
      <x:c r="F374" t="str">
        <x:v>CS300007</x:v>
      </x:c>
      <x:c r="G374" t="str">
        <x:v>육류판매</x:v>
      </x:c>
      <x:c r="H374" t="n">
        <x:v>1022262063</x:v>
      </x:c>
      <x:c r="I374" t="n">
        <x:v>28698</x:v>
      </x:c>
      <x:c r="J374" t="n">
        <x:v>35621.36953794689</x:v>
      </x:c>
      <x:c r="K374" s="14" t="n">
        <x:v>0.07000456270429956</x:v>
      </x:c>
      <x:c r="L374" s="14" t="n">
        <x:v>0.23518223683931017</x:v>
      </x:c>
      <x:c r="M374" s="14" t="n">
        <x:v>0.00863079289162072</x:v>
      </x:c>
      <x:c r="N374" t="n">
        <x:v>12</x:v>
      </x:c>
      <x:c r="O374" t="n">
        <x:v>0</x:v>
      </x:c>
      <x:c r="P374" s="14" t="n">
        <x:v>0</x:v>
      </x:c>
      <x:c r="Q374" s="14" t="n">
        <x:v>0</x:v>
      </x:c>
      <x:c r="R374" s="14" t="n">
        <x:v>0</x:v>
      </x:c>
      <x:c r="S374" t="n">
        <x:v>430</x:v>
      </x:c>
      <x:c r="T374" t="n">
        <x:v>541.1527812735968</x:v>
      </x:c>
      <x:c r="U374" s="14" t="n">
        <x:v>0.7078963909472595</x:v>
      </x:c>
      <x:c r="V374" s="14" t="n">
        <x:v>0.20416674701543727</x:v>
      </x:c>
      <x:c r="W374" s="14" t="n">
        <x:v>0.07978470291722055</x:v>
      </x:c>
      <x:c r="X374" s="14" t="n">
        <x:v>0.6563627970609724</x:v>
      </x:c>
      <x:c r="Y374" s="16" t="n">
        <x:v>70.04950495049505</x:v>
      </x:c>
      <x:c r="Z374" s="16" t="n">
        <x:v>74.28571428571429</x:v>
      </x:c>
      <x:c r="AA374" s="16" t="n">
        <x:v>100</x:v>
      </x:c>
      <x:c r="AB374" s="16" t="n">
        <x:v>67.82178217821783</x:v>
      </x:c>
      <x:c r="AC374" s="16" t="n">
        <x:v>66.83168316831683</x:v>
      </x:c>
      <x:c r="AD374" s="16" t="n">
        <x:v>90.79268292682927</x:v>
      </x:c>
      <x:c r="AE374" s="16" t="n">
        <x:v>75.77053937972195</x:v>
      </x:c>
      <x:c r="AF374" t="str">
        <x:v>검토</x:v>
      </x:c>
      <x:c r="AG374" t="str">
        <x:v>서울 업종추세·직장수요 강점 / 안정성 상대적 약점</x:v>
      </x:c>
    </x:row>
    <x:row r="375">
      <x:c r="A375" t="str">
        <x:v>3120211</x:v>
      </x:c>
      <x:c r="B375" t="str">
        <x:v>도성초등학교</x:v>
      </x:c>
      <x:c r="C375" t="str">
        <x:v>발달상권</x:v>
      </x:c>
      <x:c r="D375" t="str">
        <x:v>강남구</x:v>
      </x:c>
      <x:c r="E375" t="str">
        <x:v>대치4동</x:v>
      </x:c>
      <x:c r="F375" t="str">
        <x:v>CS200003</x:v>
      </x:c>
      <x:c r="G375" t="str">
        <x:v>예술학원</x:v>
      </x:c>
      <x:c r="H375" t="n">
        <x:v>3291905989</x:v>
      </x:c>
      <x:c r="I375" t="n">
        <x:v>2751</x:v>
      </x:c>
      <x:c r="J375" t="n">
        <x:v>1196621.5881497636</x:v>
      </x:c>
      <x:c r="K375" s="14" t="n">
        <x:v>0.349434861792689</x:v>
      </x:c>
      <x:c r="L375" s="14" t="n">
        <x:v>0.09364146198394163</x:v>
      </x:c>
      <x:c r="M375" s="14" t="n">
        <x:v>0.053788091189524545</x:v>
      </x:c>
      <x:c r="N375" t="n">
        <x:v>103</x:v>
      </x:c>
      <x:c r="O375" t="n">
        <x:v>1</x:v>
      </x:c>
      <x:c r="P375" s="14" t="n">
        <x:v>0.009259259259259259</x:v>
      </x:c>
      <x:c r="Q375" s="14" t="n">
        <x:v>0.019417475728155338</x:v>
      </x:c>
      <x:c r="R375" s="14" t="n">
        <x:v>0.14444444444444438</x:v>
      </x:c>
      <x:c r="S375" t="n">
        <x:v>4206</x:v>
      </x:c>
      <x:c r="T375" t="n">
        <x:v>580.6424893355605</x:v>
      </x:c>
      <x:c r="U375" s="14" t="n">
        <x:v>0.4972605273266812</x:v>
      </x:c>
      <x:c r="V375" s="14" t="n">
        <x:v>0.5161870745027525</x:v>
      </x:c>
      <x:c r="W375" s="14" t="n">
        <x:v>0.00642000563522168</x:v>
      </x:c>
      <x:c r="X375" s="14" t="n">
        <x:v>0.5393369339624844</x:v>
      </x:c>
      <x:c r="Y375" s="16" t="n">
        <x:v>99.00398406374502</x:v>
      </x:c>
      <x:c r="Z375" s="16" t="n">
        <x:v>91.8200408997955</x:v>
      </x:c>
      <x:c r="AA375" s="16" t="n">
        <x:v>88.52459016393442</x:v>
      </x:c>
      <x:c r="AB375" s="16" t="n">
        <x:v>1.8924302788844614</x:v>
      </x:c>
      <x:c r="AC375" s="16" t="n">
        <x:v>45.71713147410359</x:v>
      </x:c>
      <x:c r="AD375" s="16" t="n">
        <x:v>91.89024390243902</x:v>
      </x:c>
      <x:c r="AE375" s="16" t="n">
        <x:v>75.74418101122501</x:v>
      </x:c>
      <x:c r="AF375" t="str">
        <x:v>검토</x:v>
      </x:c>
      <x:c r="AG375" t="str">
        <x:v>수요·직장수요 강점 / 경쟁여건 상대적 약점</x:v>
      </x:c>
    </x:row>
    <x:row r="376">
      <x:c r="A376" t="str">
        <x:v>3110131</x:v>
      </x:c>
      <x:c r="B376" t="str">
        <x:v>성수동카페거리</x:v>
      </x:c>
      <x:c r="C376" t="str">
        <x:v>골목상권</x:v>
      </x:c>
      <x:c r="D376" t="str">
        <x:v>성동구</x:v>
      </x:c>
      <x:c r="E376" t="str">
        <x:v>성수2가1동</x:v>
      </x:c>
      <x:c r="F376" t="str">
        <x:v>CS300015</x:v>
      </x:c>
      <x:c r="G376" t="str">
        <x:v>가방</x:v>
      </x:c>
      <x:c r="H376" t="n">
        <x:v>1210639736</x:v>
      </x:c>
      <x:c r="I376" t="n">
        <x:v>12495</x:v>
      </x:c>
      <x:c r="J376" t="n">
        <x:v>96889.93485394158</x:v>
      </x:c>
      <x:c r="K376" s="14" t="n">
        <x:v>0.31440477058329197</x:v>
      </x:c>
      <x:c r="L376" s="14" t="n">
        <x:v>0.08003853878387823</x:v>
      </x:c>
      <x:c r="M376" s="14" t="n">
        <x:v>0.032771077188109565</x:v>
      </x:c>
      <x:c r="N376" t="n">
        <x:v>9</x:v>
      </x:c>
      <x:c r="O376" t="n">
        <x:v>1</x:v>
      </x:c>
      <x:c r="P376" s="14" t="n">
        <x:v>0.07142857142857142</x:v>
      </x:c>
      <x:c r="Q376" s="14" t="n">
        <x:v>0</x:v>
      </x:c>
      <x:c r="R376" s="14" t="n">
        <x:v>0.2857142857142858</x:v>
      </x:c>
      <x:c r="S376" t="n">
        <x:v>4421</x:v>
      </x:c>
      <x:c r="T376" t="n">
        <x:v>335.2671292609866</x:v>
      </x:c>
      <x:c r="U376" s="14" t="n">
        <x:v>1</x:v>
      </x:c>
      <x:c r="V376" s="14" t="n">
        <x:v>0.05639886497166817</x:v>
      </x:c>
      <x:c r="W376" s="14" t="n">
        <x:v>0</x:v>
      </x:c>
      <x:c r="X376" s="14" t="n">
        <x:v>0.09167604259108839</x:v>
      </x:c>
      <x:c r="Y376" s="16" t="n">
        <x:v>83.60655737704919</x:v>
      </x:c>
      <x:c r="Z376" s="16" t="n">
        <x:v>90.74074074074075</x:v>
      </x:c>
      <x:c r="AA376" s="16" t="n">
        <x:v>83.60655737704919</x:v>
      </x:c>
      <x:c r="AB376" s="16" t="n">
        <x:v>74.59016393442623</x:v>
      </x:c>
      <x:c r="AC376" s="16" t="n">
        <x:v>3.278688524590166</x:v>
      </x:c>
      <x:c r="AD376" s="16" t="n">
        <x:v>85.42682926829268</x:v>
      </x:c>
      <x:c r="AE376" s="16" t="n">
        <x:v>75.73916174271032</x:v>
      </x:c>
      <x:c r="AF376" t="str">
        <x:v>검토</x:v>
      </x:c>
      <x:c r="AG376" t="str">
        <x:v>상권 모멘텀·직장수요 강점 / 안정성 상대적 약점</x:v>
      </x:c>
    </x:row>
    <x:row r="377">
      <x:c r="A377" t="str">
        <x:v>3120109</x:v>
      </x:c>
      <x:c r="B377" t="str">
        <x:v>서울남부지방법원</x:v>
      </x:c>
      <x:c r="C377" t="str">
        <x:v>발달상권</x:v>
      </x:c>
      <x:c r="D377" t="str">
        <x:v>양천구</x:v>
      </x:c>
      <x:c r="E377" t="str">
        <x:v>신정1동</x:v>
      </x:c>
      <x:c r="F377" t="str">
        <x:v>CS300032</x:v>
      </x:c>
      <x:c r="G377" t="str">
        <x:v>가전제품</x:v>
      </x:c>
      <x:c r="H377" t="n">
        <x:v>203608072</x:v>
      </x:c>
      <x:c r="I377" t="n">
        <x:v>1581</x:v>
      </x:c>
      <x:c r="J377" t="n">
        <x:v>128784.35926628717</x:v>
      </x:c>
      <x:c r="K377" s="14" t="n">
        <x:v>0.9929070088818923</x:v>
      </x:c>
      <x:c r="L377" s="14" t="n">
        <x:v>0.08324168862116821</x:v>
      </x:c>
      <x:c r="M377" s="14" t="n">
        <x:v>-0.006486947916917396</x:v>
      </x:c>
      <x:c r="N377" t="n">
        <x:v>7</x:v>
      </x:c>
      <x:c r="O377" t="n">
        <x:v>0</x:v>
      </x:c>
      <x:c r="P377" s="14" t="n">
        <x:v>0</x:v>
      </x:c>
      <x:c r="Q377" s="14" t="n">
        <x:v>0</x:v>
      </x:c>
      <x:c r="R377" s="14" t="n">
        <x:v>0.3999999999999999</x:v>
      </x:c>
      <x:c r="S377" t="n">
        <x:v>9625</x:v>
      </x:c>
      <x:c r="T377" t="n">
        <x:v>853.0154650596003</x:v>
      </x:c>
      <x:c r="U377" s="14" t="n">
        <x:v>0.7413532160944974</x:v>
      </x:c>
      <x:c r="V377" s="14" t="n">
        <x:v>0.11038503424363254</x:v>
      </x:c>
      <x:c r="W377" s="14" t="n">
        <x:v>0.0718652647523719</x:v>
      </x:c>
      <x:c r="X377" s="14" t="n">
        <x:v>0.39562823913975276</x:v>
      </x:c>
      <x:c r="Y377" s="16" t="n">
        <x:v>63.63636363636363</x:v>
      </x:c>
      <x:c r="Z377" s="16" t="n">
        <x:v>93.87755102040816</x:v>
      </x:c>
      <x:c r="AA377" s="16" t="n">
        <x:v>85.24590163934427</x:v>
      </x:c>
      <x:c r="AB377" s="16" t="n">
        <x:v>74.54545454545455</x:v>
      </x:c>
      <x:c r="AC377" s="16" t="n">
        <x:v>59.09090909090909</x:v>
      </x:c>
      <x:c r="AD377" s="16" t="n">
        <x:v>95.97560975609755</x:v>
      </x:c>
      <x:c r="AE377" s="16" t="n">
        <x:v>75.72481230142452</x:v>
      </x:c>
      <x:c r="AF377" t="str">
        <x:v>검토</x:v>
      </x:c>
      <x:c r="AG377" t="str">
        <x:v>직장수요·상권 모멘텀 강점 / 안정성 상대적 약점</x:v>
      </x:c>
    </x:row>
    <x:row r="378">
      <x:c r="A378" t="str">
        <x:v>3120068</x:v>
      </x:c>
      <x:c r="B378" t="str">
        <x:v>사가정역</x:v>
      </x:c>
      <x:c r="C378" t="str">
        <x:v>발달상권</x:v>
      </x:c>
      <x:c r="D378" t="str">
        <x:v>중랑구</x:v>
      </x:c>
      <x:c r="E378" t="str">
        <x:v>면목3·8동</x:v>
      </x:c>
      <x:c r="F378" t="str">
        <x:v>CS200006</x:v>
      </x:c>
      <x:c r="G378" t="str">
        <x:v>일반의원</x:v>
      </x:c>
      <x:c r="H378" t="n">
        <x:v>5091523873</x:v>
      </x:c>
      <x:c r="I378" t="n">
        <x:v>160441</x:v>
      </x:c>
      <x:c r="J378" t="n">
        <x:v>31734.555836725027</x:v>
      </x:c>
      <x:c r="K378" s="14" t="n">
        <x:v>0.06876214484826715</x:v>
      </x:c>
      <x:c r="L378" s="14" t="n">
        <x:v>0.09973642051122278</x:v>
      </x:c>
      <x:c r="M378" s="14" t="n">
        <x:v>0.06942273842247415</x:v>
      </x:c>
      <x:c r="N378" t="n">
        <x:v>21</x:v>
      </x:c>
      <x:c r="O378" t="n">
        <x:v>0</x:v>
      </x:c>
      <x:c r="P378" s="14" t="n">
        <x:v>0</x:v>
      </x:c>
      <x:c r="Q378" s="14" t="n">
        <x:v>0</x:v>
      </x:c>
      <x:c r="R378" s="14" t="n">
        <x:v>0.10526315789473695</x:v>
      </x:c>
      <x:c r="S378" t="n">
        <x:v>299</x:v>
      </x:c>
      <x:c r="T378" t="n">
        <x:v>83.72535842293907</x:v>
      </x:c>
      <x:c r="U378" s="14" t="n">
        <x:v>0.8208423003106677</x:v>
      </x:c>
      <x:c r="V378" s="14" t="n">
        <x:v>0.14015660552712486</x:v>
      </x:c>
      <x:c r="W378" s="14" t="n">
        <x:v>0.22185346551943783</x:v>
      </x:c>
      <x:c r="X378" s="14" t="n">
        <x:v>0.5891339649621633</x:v>
      </x:c>
      <x:c r="Y378" s="16" t="n">
        <x:v>83.55899419729207</x:v>
      </x:c>
      <x:c r="Z378" s="16" t="n">
        <x:v>72.28682170542636</x:v>
      </x:c>
      <x:c r="AA378" s="16" t="n">
        <x:v>90.1639344262295</x:v>
      </x:c>
      <x:c r="AB378" s="16" t="n">
        <x:v>63.372093023255815</x:v>
      </x:c>
      <x:c r="AC378" s="16" t="n">
        <x:v>62.5</x:v>
      </x:c>
      <x:c r="AD378" s="16" t="n">
        <x:v>54.207317073170735</x:v>
      </x:c>
      <x:c r="AE378" s="16" t="n">
        <x:v>75.69378228121883</x:v>
      </x:c>
      <x:c r="AF378" t="str">
        <x:v>검토</x:v>
      </x:c>
      <x:c r="AG378" t="str">
        <x:v>서울 업종추세·수요 강점 / 직장수요 상대적 약점</x:v>
      </x:c>
    </x:row>
    <x:row r="379">
      <x:c r="A379" t="str">
        <x:v>3110247</x:v>
      </x:c>
      <x:c r="B379" t="str">
        <x:v>먹골역 1번</x:v>
      </x:c>
      <x:c r="C379" t="str">
        <x:v>골목상권</x:v>
      </x:c>
      <x:c r="D379" t="str">
        <x:v>중랑구</x:v>
      </x:c>
      <x:c r="E379" t="str">
        <x:v>묵1동</x:v>
      </x:c>
      <x:c r="F379" t="str">
        <x:v>CS200003</x:v>
      </x:c>
      <x:c r="G379" t="str">
        <x:v>예술학원</x:v>
      </x:c>
      <x:c r="H379" t="n">
        <x:v>140825774</x:v>
      </x:c>
      <x:c r="I379" t="n">
        <x:v>955</x:v>
      </x:c>
      <x:c r="J379" t="n">
        <x:v>147461.5434554974</x:v>
      </x:c>
      <x:c r="K379" s="14" t="n">
        <x:v>1.7890463067621614</x:v>
      </x:c>
      <x:c r="L379" s="14" t="n">
        <x:v>0.09364146198394163</x:v>
      </x:c>
      <x:c r="M379" s="14" t="n">
        <x:v>0.053788091189524545</x:v>
      </x:c>
      <x:c r="N379" t="n">
        <x:v>23</x:v>
      </x:c>
      <x:c r="O379" t="n">
        <x:v>0</x:v>
      </x:c>
      <x:c r="P379" s="14" t="n">
        <x:v>0</x:v>
      </x:c>
      <x:c r="Q379" s="14" t="n">
        <x:v>0.043478260869565216</x:v>
      </x:c>
      <x:c r="R379" s="14" t="n">
        <x:v>0.045454545454545414</x:v>
      </x:c>
      <x:c r="S379" t="n">
        <x:v>635</x:v>
      </x:c>
      <x:c r="T379" t="n">
        <x:v>42.77851508026866</x:v>
      </x:c>
      <x:c r="U379" s="14" t="n">
        <x:v>1</x:v>
      </x:c>
      <x:c r="V379" s="14" t="n">
        <x:v>0.46614375433860566</x:v>
      </x:c>
      <x:c r="W379" s="14" t="n">
        <x:v>0.28770619077158416</x:v>
      </x:c>
      <x:c r="X379" s="14" t="n">
        <x:v>0.6162078612115421</x:v>
      </x:c>
      <x:c r="Y379" s="16" t="n">
        <x:v>67.33067729083665</x:v>
      </x:c>
      <x:c r="Z379" s="16" t="n">
        <x:v>99.59100204498978</x:v>
      </x:c>
      <x:c r="AA379" s="16" t="n">
        <x:v>88.52459016393442</x:v>
      </x:c>
      <x:c r="AB379" s="16" t="n">
        <x:v>67.03187250996015</x:v>
      </x:c>
      <x:c r="AC379" s="16" t="n">
        <x:v>73.20717131474103</x:v>
      </x:c>
      <x:c r="AD379" s="16" t="n">
        <x:v>30.975609756097562</x:v>
      </x:c>
      <x:c r="AE379" s="16" t="n">
        <x:v>75.68690448115395</x:v>
      </x:c>
      <x:c r="AF379" t="str">
        <x:v>검토</x:v>
      </x:c>
      <x:c r="AG379" t="str">
        <x:v>상권 모멘텀·서울 업종추세 강점 / 직장수요 상대적 약점</x:v>
      </x:c>
    </x:row>
    <x:row r="380">
      <x:c r="A380" t="str">
        <x:v>3120142</x:v>
      </x:c>
      <x:c r="B380" t="str">
        <x:v>대림역</x:v>
      </x:c>
      <x:c r="C380" t="str">
        <x:v>발달상권</x:v>
      </x:c>
      <x:c r="D380" t="str">
        <x:v>영등포구</x:v>
      </x:c>
      <x:c r="E380" t="str">
        <x:v>대림3동</x:v>
      </x:c>
      <x:c r="F380" t="str">
        <x:v>CS200006</x:v>
      </x:c>
      <x:c r="G380" t="str">
        <x:v>일반의원</x:v>
      </x:c>
      <x:c r="H380" t="n">
        <x:v>2198724514</x:v>
      </x:c>
      <x:c r="I380" t="n">
        <x:v>86396</x:v>
      </x:c>
      <x:c r="J380" t="n">
        <x:v>25449.378605490994</x:v>
      </x:c>
      <x:c r="K380" s="14" t="n">
        <x:v>0.12189298602693333</x:v>
      </x:c>
      <x:c r="L380" s="14" t="n">
        <x:v>0.09973642051122278</x:v>
      </x:c>
      <x:c r="M380" s="14" t="n">
        <x:v>0.06942273842247415</x:v>
      </x:c>
      <x:c r="N380" t="n">
        <x:v>12</x:v>
      </x:c>
      <x:c r="O380" t="n">
        <x:v>0</x:v>
      </x:c>
      <x:c r="P380" s="14" t="n">
        <x:v>0</x:v>
      </x:c>
      <x:c r="Q380" s="14" t="n">
        <x:v>0</x:v>
      </x:c>
      <x:c r="R380" s="14" t="n">
        <x:v>-0.1428571428571429</x:v>
      </x:c>
      <x:c r="S380" t="n">
        <x:v>2012</x:v>
      </x:c>
      <x:c r="T380" t="n">
        <x:v>141.12266870541694</x:v>
      </x:c>
      <x:c r="U380" s="14" t="n">
        <x:v>0.8392888796436095</x:v>
      </x:c>
      <x:c r="V380" s="14" t="n">
        <x:v>0.0763276135465873</x:v>
      </x:c>
      <x:c r="W380" s="14" t="n">
        <x:v>0.17955571945744905</x:v>
      </x:c>
      <x:c r="X380" s="14" t="n">
        <x:v>0.6211308525939325</x:v>
      </x:c>
      <x:c r="Y380" s="16" t="n">
        <x:v>63.829787234042556</x:v>
      </x:c>
      <x:c r="Z380" s="16" t="n">
        <x:v>86.43410852713178</x:v>
      </x:c>
      <x:c r="AA380" s="16" t="n">
        <x:v>90.1639344262295</x:v>
      </x:c>
      <x:c r="AB380" s="16" t="n">
        <x:v>85.65891472868216</x:v>
      </x:c>
      <x:c r="AC380" s="16" t="n">
        <x:v>62.5</x:v>
      </x:c>
      <x:c r="AD380" s="16" t="n">
        <x:v>68.35365853658537</x:v>
      </x:c>
      <x:c r="AE380" s="16" t="n">
        <x:v>75.66835753740727</x:v>
      </x:c>
      <x:c r="AF380" t="str">
        <x:v>검토</x:v>
      </x:c>
      <x:c r="AG380" t="str">
        <x:v>서울 업종추세·상권 모멘텀 강점 / 안정성 상대적 약점</x:v>
      </x:c>
    </x:row>
    <x:row r="381">
      <x:c r="A381" t="str">
        <x:v>3120102</x:v>
      </x:c>
      <x:c r="B381" t="str">
        <x:v>서교동(홍대)</x:v>
      </x:c>
      <x:c r="C381" t="str">
        <x:v>발달상권</x:v>
      </x:c>
      <x:c r="D381" t="str">
        <x:v>마포구</x:v>
      </x:c>
      <x:c r="E381" t="str">
        <x:v>서교동</x:v>
      </x:c>
      <x:c r="F381" t="str">
        <x:v>CS300020</x:v>
      </x:c>
      <x:c r="G381" t="str">
        <x:v>서적</x:v>
      </x:c>
      <x:c r="H381" t="n">
        <x:v>1058242635</x:v>
      </x:c>
      <x:c r="I381" t="n">
        <x:v>15204</x:v>
      </x:c>
      <x:c r="J381" t="n">
        <x:v>69602.90943172849</x:v>
      </x:c>
      <x:c r="K381" s="14" t="n">
        <x:v>0.3450780999021861</x:v>
      </x:c>
      <x:c r="L381" s="14" t="n">
        <x:v>0.20039418624921757</x:v>
      </x:c>
      <x:c r="M381" s="14" t="n">
        <x:v>-0.01061516125540185</x:v>
      </x:c>
      <x:c r="N381" t="n">
        <x:v>71</x:v>
      </x:c>
      <x:c r="O381" t="n">
        <x:v>0</x:v>
      </x:c>
      <x:c r="P381" s="14" t="n">
        <x:v>0</x:v>
      </x:c>
      <x:c r="Q381" s="14" t="n">
        <x:v>0</x:v>
      </x:c>
      <x:c r="R381" s="14" t="n">
        <x:v>0.044117647058823595</x:v>
      </x:c>
      <x:c r="S381" t="n">
        <x:v>4770</x:v>
      </x:c>
      <x:c r="T381" t="n">
        <x:v>193.5648807567291</x:v>
      </x:c>
      <x:c r="U381" s="14" t="n">
        <x:v>0.850134619647034</x:v>
      </x:c>
      <x:c r="V381" s="14" t="n">
        <x:v>0.6988935528948897</x:v>
      </x:c>
      <x:c r="W381" s="14" t="n">
        <x:v>0.25641655233442756</x:v>
      </x:c>
      <x:c r="X381" s="14" t="n">
        <x:v>0.2896527089933397</x:v>
      </x:c>
      <x:c r="Y381" s="16" t="n">
        <x:v>92.61744966442953</x:v>
      </x:c>
      <x:c r="Z381" s="16" t="n">
        <x:v>94.28571428571429</x:v>
      </x:c>
      <x:c r="AA381" s="16" t="n">
        <x:v>96.72131147540983</x:v>
      </x:c>
      <x:c r="AB381" s="16" t="n">
        <x:v>1.006711409395976</x:v>
      </x:c>
      <x:c r="AC381" s="16" t="n">
        <x:v>59.395973154362416</x:v>
      </x:c>
      <x:c r="AD381" s="16" t="n">
        <x:v>75.42682926829268</x:v>
      </x:c>
      <x:c r="AE381" s="16" t="n">
        <x:v>75.64339245126494</x:v>
      </x:c>
      <x:c r="AF381" t="str">
        <x:v>검토</x:v>
      </x:c>
      <x:c r="AG381" t="str">
        <x:v>서울 업종추세·상권 모멘텀 강점 / 경쟁여건 상대적 약점</x:v>
      </x:c>
    </x:row>
    <x:row r="382">
      <x:c r="A382" t="str">
        <x:v>3120058</x:v>
      </x:c>
      <x:c r="B382" t="str">
        <x:v>구의사거리</x:v>
      </x:c>
      <x:c r="C382" t="str">
        <x:v>발달상권</x:v>
      </x:c>
      <x:c r="D382" t="str">
        <x:v>광진구</x:v>
      </x:c>
      <x:c r="E382" t="str">
        <x:v>구의1동</x:v>
      </x:c>
      <x:c r="F382" t="str">
        <x:v>CS300018</x:v>
      </x:c>
      <x:c r="G382" t="str">
        <x:v>의약품</x:v>
      </x:c>
      <x:c r="H382" t="n">
        <x:v>2346468038</x:v>
      </x:c>
      <x:c r="I382" t="n">
        <x:v>71743</x:v>
      </x:c>
      <x:c r="J382" t="n">
        <x:v>32706.578174874205</x:v>
      </x:c>
      <x:c r="K382" s="14" t="n">
        <x:v>0.18358759050183537</x:v>
      </x:c>
      <x:c r="L382" s="14" t="n">
        <x:v>0.027829225601598617</x:v>
      </x:c>
      <x:c r="M382" s="14" t="n">
        <x:v>0.02632929521123617</x:v>
      </x:c>
      <x:c r="N382" t="n">
        <x:v>18</x:v>
      </x:c>
      <x:c r="O382" t="n">
        <x:v>0</x:v>
      </x:c>
      <x:c r="P382" s="14" t="n">
        <x:v>0</x:v>
      </x:c>
      <x:c r="Q382" s="14" t="n">
        <x:v>0.05555555555555555</x:v>
      </x:c>
      <x:c r="R382" s="14" t="n">
        <x:v>0.05882352941176472</x:v>
      </x:c>
      <x:c r="S382" t="n">
        <x:v>1201</x:v>
      </x:c>
      <x:c r="T382" t="n">
        <x:v>129.61783783200406</x:v>
      </x:c>
      <x:c r="U382" s="14" t="n">
        <x:v>0.818741182870525</x:v>
      </x:c>
      <x:c r="V382" s="14" t="n">
        <x:v>0.37239256271514576</x:v>
      </x:c>
      <x:c r="W382" s="14" t="n">
        <x:v>0.11866751410657825</x:v>
      </x:c>
      <x:c r="X382" s="14" t="n">
        <x:v>0.7371896215873366</x:v>
      </x:c>
      <x:c r="Y382" s="16" t="n">
        <x:v>71.8213058419244</x:v>
      </x:c>
      <x:c r="Z382" s="16" t="n">
        <x:v>97.02797202797203</x:v>
      </x:c>
      <x:c r="AA382" s="16" t="n">
        <x:v>72.1311475409836</x:v>
      </x:c>
      <x:c r="AB382" s="16" t="n">
        <x:v>68.90034364261169</x:v>
      </x:c>
      <x:c r="AC382" s="16" t="n">
        <x:v>66.32302405498282</x:v>
      </x:c>
      <x:c r="AD382" s="16" t="n">
        <x:v>66.03658536585365</x:v>
      </x:c>
      <x:c r="AE382" s="16" t="n">
        <x:v>75.63190680159819</x:v>
      </x:c>
      <x:c r="AF382" t="str">
        <x:v>검토</x:v>
      </x:c>
      <x:c r="AG382" t="str">
        <x:v>상권 모멘텀·서울 업종추세 강점 / 직장수요 상대적 약점</x:v>
      </x:c>
    </x:row>
    <x:row r="383">
      <x:c r="A383" t="str">
        <x:v>3130035</x:v>
      </x:c>
      <x:c r="B383" t="str">
        <x:v>방산종합시장(방산시장)</x:v>
      </x:c>
      <x:c r="C383" t="str">
        <x:v>전통시장</x:v>
      </x:c>
      <x:c r="D383" t="str">
        <x:v>중구</x:v>
      </x:c>
      <x:c r="E383" t="str">
        <x:v>을지로동</x:v>
      </x:c>
      <x:c r="F383" t="str">
        <x:v>CS300035</x:v>
      </x:c>
      <x:c r="G383" t="str">
        <x:v>인테리어</x:v>
      </x:c>
      <x:c r="H383" t="n">
        <x:v>6385870706</x:v>
      </x:c>
      <x:c r="I383" t="n">
        <x:v>24130</x:v>
      </x:c>
      <x:c r="J383" t="n">
        <x:v>264644.455283879</x:v>
      </x:c>
      <x:c r="K383" s="14" t="n">
        <x:v>0.21955236382875043</x:v>
      </x:c>
      <x:c r="L383" s="14" t="n">
        <x:v>0.20213561276420866</x:v>
      </x:c>
      <x:c r="M383" s="14" t="n">
        <x:v>0.044160820891303576</x:v>
      </x:c>
      <x:c r="N383" t="n">
        <x:v>39</x:v>
      </x:c>
      <x:c r="O383" t="n">
        <x:v>0</x:v>
      </x:c>
      <x:c r="P383" s="14" t="n">
        <x:v>0</x:v>
      </x:c>
      <x:c r="Q383" s="14" t="n">
        <x:v>0</x:v>
      </x:c>
      <x:c r="R383" s="14" t="n">
        <x:v>0.11428571428571432</x:v>
      </x:c>
      <x:c r="S383" t="n">
        <x:v>2783</x:v>
      </x:c>
      <x:c r="T383" t="n">
        <x:v>279.06183881997856</x:v>
      </x:c>
      <x:c r="U383" s="14" t="n">
        <x:v>0.7716868957853905</x:v>
      </x:c>
      <x:c r="V383" s="14" t="n">
        <x:v>0.04473321887516462</x:v>
      </x:c>
      <x:c r="W383" s="14" t="n">
        <x:v>0.1277974823751466</x:v>
      </x:c>
      <x:c r="X383" s="14" t="n">
        <x:v>0.33579091336522904</x:v>
      </x:c>
      <x:c r="Y383" s="16" t="n">
        <x:v>100</x:v>
      </x:c>
      <x:c r="Z383" s="16" t="n">
        <x:v>71.97452229299363</x:v>
      </x:c>
      <x:c r="AA383" s="16" t="n">
        <x:v>98.36065573770492</x:v>
      </x:c>
      <x:c r="AB383" s="16" t="n">
        <x:v>8.695652173913047</x:v>
      </x:c>
      <x:c r="AC383" s="16" t="n">
        <x:v>60.32608695652174</x:v>
      </x:c>
      <x:c r="AD383" s="16" t="n">
        <x:v>82.86585365853658</x:v>
      </x:c>
      <x:c r="AE383" s="16" t="n">
        <x:v>75.62925202392042</x:v>
      </x:c>
      <x:c r="AF383" t="str">
        <x:v>검토</x:v>
      </x:c>
      <x:c r="AG383" t="str">
        <x:v>수요·서울 업종추세 강점 / 경쟁여건 상대적 약점</x:v>
      </x:c>
    </x:row>
    <x:row r="384">
      <x:c r="A384" t="str">
        <x:v>3110393</x:v>
      </x:c>
      <x:c r="B384" t="str">
        <x:v>국민은행방학지점</x:v>
      </x:c>
      <x:c r="C384" t="str">
        <x:v>골목상권</x:v>
      </x:c>
      <x:c r="D384" t="str">
        <x:v>도봉구</x:v>
      </x:c>
      <x:c r="E384" t="str">
        <x:v>방학3동</x:v>
      </x:c>
      <x:c r="F384" t="str">
        <x:v>CS200024</x:v>
      </x:c>
      <x:c r="G384" t="str">
        <x:v>스포츠클럽</x:v>
      </x:c>
      <x:c r="H384" t="n">
        <x:v>485374829</x:v>
      </x:c>
      <x:c r="I384" t="n">
        <x:v>4241</x:v>
      </x:c>
      <x:c r="J384" t="n">
        <x:v>114448.2030181561</x:v>
      </x:c>
      <x:c r="K384" s="14"/>
      <x:c r="L384" s="14" t="n">
        <x:v>0.03927856170757105</x:v>
      </x:c>
      <x:c r="M384" s="14" t="n">
        <x:v>-0.042593628048716026</x:v>
      </x:c>
      <x:c r="N384" t="n">
        <x:v>7</x:v>
      </x:c>
      <x:c r="O384" t="n">
        <x:v>0</x:v>
      </x:c>
      <x:c r="P384" s="14" t="n">
        <x:v>0</x:v>
      </x:c>
      <x:c r="Q384" s="14" t="n">
        <x:v>0</x:v>
      </x:c>
      <x:c r="R384" s="14" t="n">
        <x:v>0.16666666666666674</x:v>
      </x:c>
      <x:c r="S384" t="n">
        <x:v>429</x:v>
      </x:c>
      <x:c r="T384" t="n">
        <x:v>200.86150388613166</x:v>
      </x:c>
      <x:c r="U384" s="14" t="n">
        <x:v>0.8772084099977092</x:v>
      </x:c>
      <x:c r="V384" s="14" t="n">
        <x:v>0.6371131721789388</x:v>
      </x:c>
      <x:c r="W384" s="14" t="n">
        <x:v>0.22028550433957506</x:v>
      </x:c>
      <x:c r="X384" s="14" t="n">
        <x:v>0.7515644285707284</x:v>
      </x:c>
      <x:c r="Y384" s="16" t="n">
        <x:v>85.8695652173913</x:v>
      </x:c>
      <x:c r="Z384" s="16" t="n">
        <x:v>50</x:v>
      </x:c>
      <x:c r="AA384" s="16" t="n">
        <x:v>75.40983606557377</x:v>
      </x:c>
      <x:c r="AB384" s="16" t="n">
        <x:v>90.39855072463769</x:v>
      </x:c>
      <x:c r="AC384" s="16" t="n">
        <x:v>68.84057971014492</x:v>
      </x:c>
      <x:c r="AD384" s="16" t="n">
        <x:v>76.09756097560975</x:v>
      </x:c>
      <x:c r="AE384" s="16" t="n">
        <x:v>75.61454186441367</x:v>
      </x:c>
      <x:c r="AF384" t="str">
        <x:v>검토</x:v>
      </x:c>
      <x:c r="AG384" t="str">
        <x:v>경쟁여건·수요 강점 / 상권 모멘텀 상대적 약점</x:v>
      </x:c>
    </x:row>
    <x:row r="385">
      <x:c r="A385" t="str">
        <x:v>3110536</x:v>
      </x:c>
      <x:c r="B385" t="str">
        <x:v>돈의문센트레빌아파트입구</x:v>
      </x:c>
      <x:c r="C385" t="str">
        <x:v>골목상권</x:v>
      </x:c>
      <x:c r="D385" t="str">
        <x:v>서대문구</x:v>
      </x:c>
      <x:c r="E385" t="str">
        <x:v>충현동</x:v>
      </x:c>
      <x:c r="F385" t="str">
        <x:v>CS200031</x:v>
      </x:c>
      <x:c r="G385" t="str">
        <x:v>세탁소</x:v>
      </x:c>
      <x:c r="H385" t="n">
        <x:v>292983927</x:v>
      </x:c>
      <x:c r="I385" t="n">
        <x:v>12744</x:v>
      </x:c>
      <x:c r="J385" t="n">
        <x:v>22989.950329566855</x:v>
      </x:c>
      <x:c r="K385" s="14" t="n">
        <x:v>0.07515534051401351</x:v>
      </x:c>
      <x:c r="L385" s="14" t="n">
        <x:v>0.00038108013748794356</x:v>
      </x:c>
      <x:c r="M385" s="14" t="n">
        <x:v>0.043856378214214065</x:v>
      </x:c>
      <x:c r="N385" t="n">
        <x:v>12</x:v>
      </x:c>
      <x:c r="O385" t="n">
        <x:v>0</x:v>
      </x:c>
      <x:c r="P385" s="14" t="n">
        <x:v>0</x:v>
      </x:c>
      <x:c r="Q385" s="14" t="n">
        <x:v>0.16666666666666666</x:v>
      </x:c>
      <x:c r="R385" s="14" t="n">
        <x:v>0</x:v>
      </x:c>
      <x:c r="S385" t="n">
        <x:v>199</x:v>
      </x:c>
      <x:c r="T385" t="n">
        <x:v>92.18938200685629</x:v>
      </x:c>
      <x:c r="U385" s="14" t="n">
        <x:v>0.7756943506324154</x:v>
      </x:c>
      <x:c r="V385" s="14" t="n">
        <x:v>0.30118531382781283</x:v>
      </x:c>
      <x:c r="W385" s="14" t="n">
        <x:v>0.22751719414287186</x:v>
      </x:c>
      <x:c r="X385" s="14" t="n">
        <x:v>0.4972439563211944</x:v>
      </x:c>
      <x:c r="Y385" s="16" t="n">
        <x:v>96.5034965034965</x:v>
      </x:c>
      <x:c r="Z385" s="16" t="n">
        <x:v>71.73913043478261</x:v>
      </x:c>
      <x:c r="AA385" s="16" t="n">
        <x:v>42.622950819672134</x:v>
      </x:c>
      <x:c r="AB385" s="16" t="n">
        <x:v>79.95337995337995</x:v>
      </x:c>
      <x:c r="AC385" s="16" t="n">
        <x:v>62.47086247086247</x:v>
      </x:c>
      <x:c r="AD385" s="16" t="n">
        <x:v>56.951219512195124</x:v>
      </x:c>
      <x:c r="AE385" s="16" t="n">
        <x:v>75.6051467018341</x:v>
      </x:c>
      <x:c r="AF385" t="str">
        <x:v>검토</x:v>
      </x:c>
      <x:c r="AG385" t="str">
        <x:v>수요·경쟁여건 강점 / 서울 업종추세 상대적 약점</x:v>
      </x:c>
    </x:row>
    <x:row r="386">
      <x:c r="A386" t="str">
        <x:v>3120213</x:v>
      </x:c>
      <x:c r="B386" t="str">
        <x:v>삼성중앙역</x:v>
      </x:c>
      <x:c r="C386" t="str">
        <x:v>발달상권</x:v>
      </x:c>
      <x:c r="D386" t="str">
        <x:v>강남구</x:v>
      </x:c>
      <x:c r="E386" t="str">
        <x:v>삼성2동</x:v>
      </x:c>
      <x:c r="F386" t="str">
        <x:v>CS200037</x:v>
      </x:c>
      <x:c r="G386" t="str">
        <x:v>노래방</x:v>
      </x:c>
      <x:c r="H386" t="n">
        <x:v>560201735</x:v>
      </x:c>
      <x:c r="I386" t="n">
        <x:v>9921</x:v>
      </x:c>
      <x:c r="J386" t="n">
        <x:v>56466.25692974499</x:v>
      </x:c>
      <x:c r="K386" s="14" t="n">
        <x:v>0.08109944791561663</x:v>
      </x:c>
      <x:c r="L386" s="14" t="n">
        <x:v>-0.038104861974415316</x:v>
      </x:c>
      <x:c r="M386" s="14" t="n">
        <x:v>0.05972019768270753</x:v>
      </x:c>
      <x:c r="N386" t="n">
        <x:v>6</x:v>
      </x:c>
      <x:c r="O386" t="n">
        <x:v>0</x:v>
      </x:c>
      <x:c r="P386" s="14" t="n">
        <x:v>0</x:v>
      </x:c>
      <x:c r="Q386" s="14" t="n">
        <x:v>0</x:v>
      </x:c>
      <x:c r="R386" s="14" t="n">
        <x:v>-0.33333333333333337</x:v>
      </x:c>
      <x:c r="S386" t="n">
        <x:v>19227</x:v>
      </x:c>
      <x:c r="T386" t="n">
        <x:v>839.8820574423937</x:v>
      </x:c>
      <x:c r="U386" s="14" t="n">
        <x:v>0.8238768128770612</x:v>
      </x:c>
      <x:c r="V386" s="14" t="n">
        <x:v>0.6132669796176193</x:v>
      </x:c>
      <x:c r="W386" s="14" t="n">
        <x:v>0.17822613312684582</x:v>
      </x:c>
      <x:c r="X386" s="14" t="n">
        <x:v>0.11626453459663062</x:v>
      </x:c>
      <x:c r="Y386" s="16" t="n">
        <x:v>91.63346613545816</x:v>
      </x:c>
      <x:c r="Z386" s="16" t="n">
        <x:v>67.2</x:v>
      </x:c>
      <x:c r="AA386" s="16" t="n">
        <x:v>27.868852459016395</x:v>
      </x:c>
      <x:c r="AB386" s="16" t="n">
        <x:v>92.72908366533865</x:v>
      </x:c>
      <x:c r="AC386" s="16" t="n">
        <x:v>72.11155378486056</x:v>
      </x:c>
      <x:c r="AD386" s="16" t="n">
        <x:v>95.54878048780488</x:v>
      </x:c>
      <x:c r="AE386" s="16" t="n">
        <x:v>75.58999796893993</x:v>
      </x:c>
      <x:c r="AF386" t="str">
        <x:v>검토</x:v>
      </x:c>
      <x:c r="AG386" t="str">
        <x:v>직장수요·경쟁여건 강점 / 서울 업종추세 상대적 약점</x:v>
      </x:c>
    </x:row>
    <x:row r="387">
      <x:c r="A387" t="str">
        <x:v>3120210</x:v>
      </x:c>
      <x:c r="B387" t="str">
        <x:v>선릉역</x:v>
      </x:c>
      <x:c r="C387" t="str">
        <x:v>발달상권</x:v>
      </x:c>
      <x:c r="D387" t="str">
        <x:v>강남구</x:v>
      </x:c>
      <x:c r="E387" t="str">
        <x:v>대치4동</x:v>
      </x:c>
      <x:c r="F387" t="str">
        <x:v>CS200003</x:v>
      </x:c>
      <x:c r="G387" t="str">
        <x:v>예술학원</x:v>
      </x:c>
      <x:c r="H387" t="n">
        <x:v>7181137701</x:v>
      </x:c>
      <x:c r="I387" t="n">
        <x:v>6627</x:v>
      </x:c>
      <x:c r="J387" t="n">
        <x:v>1083618.1833408782</x:v>
      </x:c>
      <x:c r="K387" s="14" t="n">
        <x:v>0.2611402284585691</x:v>
      </x:c>
      <x:c r="L387" s="14" t="n">
        <x:v>0.09364146198394163</x:v>
      </x:c>
      <x:c r="M387" s="14" t="n">
        <x:v>0.053788091189524545</x:v>
      </x:c>
      <x:c r="N387" t="n">
        <x:v>103</x:v>
      </x:c>
      <x:c r="O387" t="n">
        <x:v>1</x:v>
      </x:c>
      <x:c r="P387" s="14" t="n">
        <x:v>0.009259259259259259</x:v>
      </x:c>
      <x:c r="Q387" s="14" t="n">
        <x:v>0.019417475728155338</x:v>
      </x:c>
      <x:c r="R387" s="14" t="n">
        <x:v>0.14444444444444438</x:v>
      </x:c>
      <x:c r="S387" t="n">
        <x:v>59959</x:v>
      </x:c>
      <x:c r="T387" t="n">
        <x:v>1663.5223092161116</x:v>
      </x:c>
      <x:c r="U387" s="14" t="n">
        <x:v>0.648131529263374</x:v>
      </x:c>
      <x:c r="V387" s="14" t="n">
        <x:v>0.43338488991328145</x:v>
      </x:c>
      <x:c r="W387" s="14" t="n">
        <x:v>0.032808354025461964</x:v>
      </x:c>
      <x:c r="X387" s="14" t="n">
        <x:v>0.5208844326267571</x:v>
      </x:c>
      <x:c r="Y387" s="16" t="n">
        <x:v>100</x:v>
      </x:c>
      <x:c r="Z387" s="16" t="n">
        <x:v>87.73006134969326</x:v>
      </x:c>
      <x:c r="AA387" s="16" t="n">
        <x:v>88.52459016393442</x:v>
      </x:c>
      <x:c r="AB387" s="16" t="n">
        <x:v>1.8924302788844614</x:v>
      </x:c>
      <x:c r="AC387" s="16" t="n">
        <x:v>45.71713147410359</x:v>
      </x:c>
      <x:c r="AD387" s="16" t="n">
        <x:v>98.17073170731707</x:v>
      </x:c>
      <x:c r="AE387" s="16" t="n">
        <x:v>75.58881506913771</x:v>
      </x:c>
      <x:c r="AF387" t="str">
        <x:v>검토</x:v>
      </x:c>
      <x:c r="AG387" t="str">
        <x:v>수요·직장수요 강점 / 경쟁여건 상대적 약점</x:v>
      </x:c>
    </x:row>
    <x:row r="388">
      <x:c r="A388" t="str">
        <x:v>3120023</x:v>
      </x:c>
      <x:c r="B388" t="str">
        <x:v>서울시청</x:v>
      </x:c>
      <x:c r="C388" t="str">
        <x:v>발달상권</x:v>
      </x:c>
      <x:c r="D388" t="str">
        <x:v>중구</x:v>
      </x:c>
      <x:c r="E388" t="str">
        <x:v>명동</x:v>
      </x:c>
      <x:c r="F388" t="str">
        <x:v>CS300004</x:v>
      </x:c>
      <x:c r="G388" t="str">
        <x:v>핸드폰</x:v>
      </x:c>
      <x:c r="H388" t="n">
        <x:v>2121000000</x:v>
      </x:c>
      <x:c r="I388" t="n">
        <x:v>143357</x:v>
      </x:c>
      <x:c r="J388" t="n">
        <x:v>14795.231485033866</x:v>
      </x:c>
      <x:c r="K388" s="14" t="n">
        <x:v>2.117752764789141</x:v>
      </x:c>
      <x:c r="L388" s="14" t="n">
        <x:v>0.021417847123978317</x:v>
      </x:c>
      <x:c r="M388" s="14" t="n">
        <x:v>-0.06496332404204874</x:v>
      </x:c>
      <x:c r="N388" t="n">
        <x:v>27</x:v>
      </x:c>
      <x:c r="O388" t="n">
        <x:v>0</x:v>
      </x:c>
      <x:c r="P388" s="14" t="n">
        <x:v>0</x:v>
      </x:c>
      <x:c r="Q388" s="14" t="n">
        <x:v>0</x:v>
      </x:c>
      <x:c r="R388" s="14" t="n">
        <x:v>-0.06896551724137934</x:v>
      </x:c>
      <x:c r="S388" t="n">
        <x:v>15371</x:v>
      </x:c>
      <x:c r="T388" t="n">
        <x:v>1730.6566384435237</x:v>
      </x:c>
      <x:c r="U388" s="14" t="n">
        <x:v>0.9858992418670438</x:v>
      </x:c>
      <x:c r="V388" s="14" t="n">
        <x:v>0.9097194101838755</x:v>
      </x:c>
      <x:c r="W388" s="14" t="n">
        <x:v>0.5714333177746346</x:v>
      </x:c>
      <x:c r="X388" s="14" t="n">
        <x:v>0.35364538330975953</x:v>
      </x:c>
      <x:c r="Y388" s="16" t="n">
        <x:v>93.67816091954023</x:v>
      </x:c>
      <x:c r="Z388" s="16" t="n">
        <x:v>96.95121951219512</x:v>
      </x:c>
      <x:c r="AA388" s="16" t="n">
        <x:v>55.73770491803279</x:v>
      </x:c>
      <x:c r="AB388" s="16" t="n">
        <x:v>27.298850574712645</x:v>
      </x:c>
      <x:c r="AC388" s="16" t="n">
        <x:v>60.3448275862069</x:v>
      </x:c>
      <x:c r="AD388" s="16" t="n">
        <x:v>98.35365853658537</x:v>
      </x:c>
      <x:c r="AE388" s="16" t="n">
        <x:v>75.58524923363989</x:v>
      </x:c>
      <x:c r="AF388" t="str">
        <x:v>검토</x:v>
      </x:c>
      <x:c r="AG388" t="str">
        <x:v>직장수요·상권 모멘텀 강점 / 경쟁여건 상대적 약점</x:v>
      </x:c>
    </x:row>
    <x:row r="389">
      <x:c r="A389" t="str">
        <x:v>3110578</x:v>
      </x:c>
      <x:c r="B389" t="str">
        <x:v>대흥역 2번</x:v>
      </x:c>
      <x:c r="C389" t="str">
        <x:v>골목상권</x:v>
      </x:c>
      <x:c r="D389" t="str">
        <x:v>마포구</x:v>
      </x:c>
      <x:c r="E389" t="str">
        <x:v>염리동</x:v>
      </x:c>
      <x:c r="F389" t="str">
        <x:v>CS200001</x:v>
      </x:c>
      <x:c r="G389" t="str">
        <x:v>일반교습학원</x:v>
      </x:c>
      <x:c r="H389" t="n">
        <x:v>1726373818</x:v>
      </x:c>
      <x:c r="I389" t="n">
        <x:v>5660</x:v>
      </x:c>
      <x:c r="J389" t="n">
        <x:v>305013.04204946995</x:v>
      </x:c>
      <x:c r="K389" s="14" t="n">
        <x:v>0.09490907482698763</x:v>
      </x:c>
      <x:c r="L389" s="14" t="n">
        <x:v>0.026465986538897424</x:v>
      </x:c>
      <x:c r="M389" s="14" t="n">
        <x:v>0.05930632525283164</x:v>
      </x:c>
      <x:c r="N389" t="n">
        <x:v>58</x:v>
      </x:c>
      <x:c r="O389" t="n">
        <x:v>0</x:v>
      </x:c>
      <x:c r="P389" s="14" t="n">
        <x:v>0</x:v>
      </x:c>
      <x:c r="Q389" s="14" t="n">
        <x:v>0.10344827586206896</x:v>
      </x:c>
      <x:c r="R389" s="14" t="n">
        <x:v>0.4871794871794872</x:v>
      </x:c>
      <x:c r="S389" t="n">
        <x:v>1260</x:v>
      </x:c>
      <x:c r="T389" t="n">
        <x:v>112.5502456453774</x:v>
      </x:c>
      <x:c r="U389" s="14" t="n">
        <x:v>0.7825593216914739</x:v>
      </x:c>
      <x:c r="V389" s="14" t="n">
        <x:v>0.5015058048105778</x:v>
      </x:c>
      <x:c r="W389" s="14" t="n">
        <x:v>0.007681275550947912</x:v>
      </x:c>
      <x:c r="X389" s="14" t="n">
        <x:v>0.693401421244214</x:v>
      </x:c>
      <x:c r="Y389" s="16" t="n">
        <x:v>88.19875776397515</x:v>
      </x:c>
      <x:c r="Z389" s="16" t="n">
        <x:v>78.4090909090909</x:v>
      </x:c>
      <x:c r="AA389" s="16" t="n">
        <x:v>70.49180327868852</x:v>
      </x:c>
      <x:c r="AB389" s="16" t="n">
        <x:v>46.42857142857143</x:v>
      </x:c>
      <x:c r="AC389" s="16" t="n">
        <x:v>83.92857142857143</x:v>
      </x:c>
      <x:c r="AD389" s="16" t="n">
        <x:v>61.951219512195124</x:v>
      </x:c>
      <x:c r="AE389" s="16" t="n">
        <x:v>75.57985772376537</x:v>
      </x:c>
      <x:c r="AF389" t="str">
        <x:v>검토</x:v>
      </x:c>
      <x:c r="AG389" t="str">
        <x:v>수요·안정성 강점 / 경쟁여건 상대적 약점</x:v>
      </x:c>
    </x:row>
    <x:row r="390">
      <x:c r="A390" t="str">
        <x:v>3120179</x:v>
      </x:c>
      <x:c r="B390" t="str">
        <x:v>양재역</x:v>
      </x:c>
      <x:c r="C390" t="str">
        <x:v>발달상권</x:v>
      </x:c>
      <x:c r="D390" t="str">
        <x:v>서초구</x:v>
      </x:c>
      <x:c r="E390" t="str">
        <x:v>도곡1동</x:v>
      </x:c>
      <x:c r="F390" t="str">
        <x:v>CS100009</x:v>
      </x:c>
      <x:c r="G390" t="str">
        <x:v>호프-간이주점</x:v>
      </x:c>
      <x:c r="H390" t="n">
        <x:v>2688047534</x:v>
      </x:c>
      <x:c r="I390" t="n">
        <x:v>40684</x:v>
      </x:c>
      <x:c r="J390" t="n">
        <x:v>66071.36795791957</x:v>
      </x:c>
      <x:c r="K390" s="14" t="n">
        <x:v>0.055335723799752046</x:v>
      </x:c>
      <x:c r="L390" s="14" t="n">
        <x:v>-0.09956754672050205</x:v>
      </x:c>
      <x:c r="M390" s="14" t="n">
        <x:v>0.017869323230272016</x:v>
      </x:c>
      <x:c r="N390" t="n">
        <x:v>16</x:v>
      </x:c>
      <x:c r="O390" t="n">
        <x:v>0</x:v>
      </x:c>
      <x:c r="P390" s="14" t="n">
        <x:v>0</x:v>
      </x:c>
      <x:c r="Q390" s="14" t="n">
        <x:v>0.1875</x:v>
      </x:c>
      <x:c r="R390" s="14" t="n">
        <x:v>-0.11111111111111116</x:v>
      </x:c>
      <x:c r="S390" t="n">
        <x:v>27837</x:v>
      </x:c>
      <x:c r="T390" t="n">
        <x:v>798.9839411030267</x:v>
      </x:c>
      <x:c r="U390" s="14" t="n">
        <x:v>0.8221729415295377</x:v>
      </x:c>
      <x:c r="V390" s="14" t="n">
        <x:v>0.7688203693796734</x:v>
      </x:c>
      <x:c r="W390" s="14" t="n">
        <x:v>0.291408554012572</x:v>
      </x:c>
      <x:c r="X390" s="14" t="n">
        <x:v>0.2080883871750759</x:v>
      </x:c>
      <x:c r="Y390" s="16" t="n">
        <x:v>93.30306469920545</x:v>
      </x:c>
      <x:c r="Z390" s="16" t="n">
        <x:v>71.21387283236994</x:v>
      </x:c>
      <x:c r="AA390" s="16" t="n">
        <x:v>13.114754098360656</x:v>
      </x:c>
      <x:c r="AB390" s="16" t="n">
        <x:v>88.47900113507379</x:v>
      </x:c>
      <x:c r="AC390" s="16" t="n">
        <x:v>86.83314415437003</x:v>
      </x:c>
      <x:c r="AD390" s="16" t="n">
        <x:v>95</x:v>
      </x:c>
      <x:c r="AE390" s="16" t="n">
        <x:v>75.57122491164806</x:v>
      </x:c>
      <x:c r="AF390" t="str">
        <x:v>검토</x:v>
      </x:c>
      <x:c r="AG390" t="str">
        <x:v>직장수요·수요 강점 / 서울 업종추세 상대적 약점</x:v>
      </x:c>
    </x:row>
    <x:row r="391">
      <x:c r="A391" t="str">
        <x:v>3120111</x:v>
      </x:c>
      <x:c r="B391" t="str">
        <x:v>목동사거리</x:v>
      </x:c>
      <x:c r="C391" t="str">
        <x:v>발달상권</x:v>
      </x:c>
      <x:c r="D391" t="str">
        <x:v>강서구</x:v>
      </x:c>
      <x:c r="E391" t="str">
        <x:v>화곡4동</x:v>
      </x:c>
      <x:c r="F391" t="str">
        <x:v>CS200024</x:v>
      </x:c>
      <x:c r="G391" t="str">
        <x:v>스포츠클럽</x:v>
      </x:c>
      <x:c r="H391" t="n">
        <x:v>168086151</x:v>
      </x:c>
      <x:c r="I391" t="n">
        <x:v>552</x:v>
      </x:c>
      <x:c r="J391" t="n">
        <x:v>304503.89673913043</x:v>
      </x:c>
      <x:c r="K391" s="14" t="n">
        <x:v>4.697298662279866</x:v>
      </x:c>
      <x:c r="L391" s="14" t="n">
        <x:v>0.03927856170757105</x:v>
      </x:c>
      <x:c r="M391" s="14" t="n">
        <x:v>-0.042593628048716026</x:v>
      </x:c>
      <x:c r="N391" t="n">
        <x:v>8</x:v>
      </x:c>
      <x:c r="O391" t="n">
        <x:v>0</x:v>
      </x:c>
      <x:c r="P391" s="14" t="n">
        <x:v>0</x:v>
      </x:c>
      <x:c r="Q391" s="14" t="n">
        <x:v>0</x:v>
      </x:c>
      <x:c r="R391" s="14" t="n">
        <x:v>0.33333333333333326</x:v>
      </x:c>
      <x:c r="S391" t="n">
        <x:v>1559</x:v>
      </x:c>
      <x:c r="T391" t="n">
        <x:v>123.62321483795765</x:v>
      </x:c>
      <x:c r="U391" s="14" t="n">
        <x:v>0.8523083558502093</x:v>
      </x:c>
      <x:c r="V391" s="14" t="n">
        <x:v>0.5278165004801615</x:v>
      </x:c>
      <x:c r="W391" s="14" t="n">
        <x:v>0.5255787551468175</x:v>
      </x:c>
      <x:c r="X391" s="14" t="n">
        <x:v>0.43390194591343817</x:v>
      </x:c>
      <x:c r="Y391" s="16" t="n">
        <x:v>60.507246376811594</x:v>
      </x:c>
      <x:c r="Z391" s="16" t="n">
        <x:v>99.55357142857143</x:v>
      </x:c>
      <x:c r="AA391" s="16" t="n">
        <x:v>75.40983606557377</x:v>
      </x:c>
      <x:c r="AB391" s="16" t="n">
        <x:v>86.95652173913044</x:v>
      </x:c>
      <x:c r="AC391" s="16" t="n">
        <x:v>68.84057971014492</x:v>
      </x:c>
      <x:c r="AD391" s="16" t="n">
        <x:v>64.6951219512195</x:v>
      </x:c>
      <x:c r="AE391" s="16" t="n">
        <x:v>75.56201825687943</x:v>
      </x:c>
      <x:c r="AF391" t="str">
        <x:v>검토</x:v>
      </x:c>
      <x:c r="AG391" t="str">
        <x:v>상권 모멘텀·경쟁여건 강점 / 수요 상대적 약점</x:v>
      </x:c>
    </x:row>
    <x:row r="392">
      <x:c r="A392" t="str">
        <x:v>3130161</x:v>
      </x:c>
      <x:c r="B392" t="str">
        <x:v>증산종합시장</x:v>
      </x:c>
      <x:c r="C392" t="str">
        <x:v>전통시장</x:v>
      </x:c>
      <x:c r="D392" t="str">
        <x:v>은평구</x:v>
      </x:c>
      <x:c r="E392" t="str">
        <x:v>증산동</x:v>
      </x:c>
      <x:c r="F392" t="str">
        <x:v>CS300010</x:v>
      </x:c>
      <x:c r="G392" t="str">
        <x:v>반찬가게</x:v>
      </x:c>
      <x:c r="H392" t="n">
        <x:v>571329860</x:v>
      </x:c>
      <x:c r="I392" t="n">
        <x:v>42295</x:v>
      </x:c>
      <x:c r="J392" t="n">
        <x:v>13508.21279111006</x:v>
      </x:c>
      <x:c r="K392" s="14" t="n">
        <x:v>0.6530460923877011</x:v>
      </x:c>
      <x:c r="L392" s="14" t="n">
        <x:v>0.02346021551670452</x:v>
      </x:c>
      <x:c r="M392" s="14" t="n">
        <x:v>0.024589273784872745</x:v>
      </x:c>
      <x:c r="N392" t="n">
        <x:v>11</x:v>
      </x:c>
      <x:c r="O392" t="n">
        <x:v>0</x:v>
      </x:c>
      <x:c r="P392" s="14" t="n">
        <x:v>0</x:v>
      </x:c>
      <x:c r="Q392" s="14" t="n">
        <x:v>0.09090909090909091</x:v>
      </x:c>
      <x:c r="R392" s="14" t="n">
        <x:v>0</x:v>
      </x:c>
      <x:c r="S392" t="n">
        <x:v>65</x:v>
      </x:c>
      <x:c r="T392" t="n">
        <x:v>80.52527254707633</x:v>
      </x:c>
      <x:c r="U392" s="14" t="n">
        <x:v>0.6911727193814096</x:v>
      </x:c>
      <x:c r="V392" s="14" t="n">
        <x:v>0.42967274106765574</x:v>
      </x:c>
      <x:c r="W392" s="14" t="n">
        <x:v>0.12898749944559174</x:v>
      </x:c>
      <x:c r="X392" s="14" t="n">
        <x:v>0.4529570745698466</x:v>
      </x:c>
      <x:c r="Y392" s="16" t="n">
        <x:v>65.6641604010025</x:v>
      </x:c>
      <x:c r="Z392" s="16" t="n">
        <x:v>95.27777777777777</x:v>
      </x:c>
      <x:c r="AA392" s="16" t="n">
        <x:v>63.9344262295082</x:v>
      </x:c>
      <x:c r="AB392" s="16" t="n">
        <x:v>92.73182957393483</x:v>
      </x:c>
      <x:c r="AC392" s="16" t="n">
        <x:v>73.93483709273183</x:v>
      </x:c>
      <x:c r="AD392" s="16" t="n">
        <x:v>52.5</x:v>
      </x:c>
      <x:c r="AE392" s="16" t="n">
        <x:v>75.55643377569608</x:v>
      </x:c>
      <x:c r="AF392" t="str">
        <x:v>검토</x:v>
      </x:c>
      <x:c r="AG392" t="str">
        <x:v>상권 모멘텀·경쟁여건 강점 / 직장수요 상대적 약점</x:v>
      </x:c>
    </x:row>
    <x:row r="393">
      <x:c r="A393" t="str">
        <x:v>3130295</x:v>
      </x:c>
      <x:c r="B393" t="str">
        <x:v>인헌시장(원당종합시장)</x:v>
      </x:c>
      <x:c r="C393" t="str">
        <x:v>전통시장</x:v>
      </x:c>
      <x:c r="D393" t="str">
        <x:v>관악구</x:v>
      </x:c>
      <x:c r="E393" t="str">
        <x:v>인헌동</x:v>
      </x:c>
      <x:c r="F393" t="str">
        <x:v>CS300007</x:v>
      </x:c>
      <x:c r="G393" t="str">
        <x:v>육류판매</x:v>
      </x:c>
      <x:c r="H393" t="n">
        <x:v>3461812967</x:v>
      </x:c>
      <x:c r="I393" t="n">
        <x:v>122429</x:v>
      </x:c>
      <x:c r="J393" t="n">
        <x:v>28276.086278577786</x:v>
      </x:c>
      <x:c r="K393" s="14" t="n">
        <x:v>0.06311097328207382</x:v>
      </x:c>
      <x:c r="L393" s="14" t="n">
        <x:v>0.23518223683931017</x:v>
      </x:c>
      <x:c r="M393" s="14" t="n">
        <x:v>0.00863079289162072</x:v>
      </x:c>
      <x:c r="N393" t="n">
        <x:v>12</x:v>
      </x:c>
      <x:c r="O393" t="n">
        <x:v>1</x:v>
      </x:c>
      <x:c r="P393" s="14" t="n">
        <x:v>0.058823529411764705</x:v>
      </x:c>
      <x:c r="Q393" s="14" t="n">
        <x:v>0.08333333333333333</x:v>
      </x:c>
      <x:c r="R393" s="14" t="n">
        <x:v>-0.07692307692307687</x:v>
      </x:c>
      <x:c r="S393" t="n">
        <x:v>528</x:v>
      </x:c>
      <x:c r="T393" t="n">
        <x:v>125.20452443622395</x:v>
      </x:c>
      <x:c r="U393" s="14" t="n">
        <x:v>0.681441354714297</x:v>
      </x:c>
      <x:c r="V393" s="14" t="n">
        <x:v>0.3876403600633922</x:v>
      </x:c>
      <x:c r="W393" s="14" t="n">
        <x:v>0.13816597186488036</x:v>
      </x:c>
      <x:c r="X393" s="14" t="n">
        <x:v>0.5437472717167738</x:v>
      </x:c>
      <x:c r="Y393" s="16" t="n">
        <x:v>90.5940594059406</x:v>
      </x:c>
      <x:c r="Z393" s="16" t="n">
        <x:v>71.68831168831169</x:v>
      </x:c>
      <x:c r="AA393" s="16" t="n">
        <x:v>100</x:v>
      </x:c>
      <x:c r="AB393" s="16" t="n">
        <x:v>67.82178217821783</x:v>
      </x:c>
      <x:c r="AC393" s="16" t="n">
        <x:v>10.89108910891089</x:v>
      </x:c>
      <x:c r="AD393" s="16" t="n">
        <x:v>64.9390243902439</x:v>
      </x:c>
      <x:c r="AE393" s="16" t="n">
        <x:v>75.5549105868775</x:v>
      </x:c>
      <x:c r="AF393" t="str">
        <x:v>검토</x:v>
      </x:c>
      <x:c r="AG393" t="str">
        <x:v>서울 업종추세·수요 강점 / 안정성 상대적 약점</x:v>
      </x:c>
    </x:row>
    <x:row r="394">
      <x:c r="A394" t="str">
        <x:v>3120160</x:v>
      </x:c>
      <x:c r="B394" t="str">
        <x:v>사당역(사당)</x:v>
      </x:c>
      <x:c r="C394" t="str">
        <x:v>발달상권</x:v>
      </x:c>
      <x:c r="D394" t="str">
        <x:v>서초구</x:v>
      </x:c>
      <x:c r="E394" t="str">
        <x:v>방배2동</x:v>
      </x:c>
      <x:c r="F394" t="str">
        <x:v>CS300029</x:v>
      </x:c>
      <x:c r="G394" t="str">
        <x:v>애완동물</x:v>
      </x:c>
      <x:c r="H394" t="n">
        <x:v>52670087</x:v>
      </x:c>
      <x:c r="I394" t="n">
        <x:v>738</x:v>
      </x:c>
      <x:c r="J394" t="n">
        <x:v>71368.68157181572</x:v>
      </x:c>
      <x:c r="K394" s="14" t="n">
        <x:v>0.3732726495795351</x:v>
      </x:c>
      <x:c r="L394" s="14" t="n">
        <x:v>0.041190648357217086</x:v>
      </x:c>
      <x:c r="M394" s="14" t="n">
        <x:v>-0.09713695399403299</x:v>
      </x:c>
      <x:c r="N394" t="n">
        <x:v>4</x:v>
      </x:c>
      <x:c r="O394" t="n">
        <x:v>0</x:v>
      </x:c>
      <x:c r="P394" s="14" t="n">
        <x:v>0</x:v>
      </x:c>
      <x:c r="Q394" s="14" t="n">
        <x:v>0</x:v>
      </x:c>
      <x:c r="R394" s="14" t="n">
        <x:v>0</x:v>
      </x:c>
      <x:c r="S394" t="n">
        <x:v>12897</x:v>
      </x:c>
      <x:c r="T394" t="n">
        <x:v>507.2426717848476</x:v>
      </x:c>
      <x:c r="U394" s="14" t="n">
        <x:v>0.6833199459116139</x:v>
      </x:c>
      <x:c r="V394" s="14" t="n">
        <x:v>0.2973858577450233</x:v>
      </x:c>
      <x:c r="W394" s="14" t="n">
        <x:v>0.46472674328409597</x:v>
      </x:c>
      <x:c r="X394" s="14" t="n">
        <x:v>0.761386648174703</x:v>
      </x:c>
      <x:c r="Y394" s="16" t="n">
        <x:v>61.971830985915496</x:v>
      </x:c>
      <x:c r="Z394" s="16" t="n">
        <x:v>87.6923076923077</x:v>
      </x:c>
      <x:c r="AA394" s="16" t="n">
        <x:v>77.04918032786885</x:v>
      </x:c>
      <x:c r="AB394" s="16" t="n">
        <x:v>92.25352112676056</x:v>
      </x:c>
      <x:c r="AC394" s="16" t="n">
        <x:v>64.08450704225352</x:v>
      </x:c>
      <x:c r="AD394" s="16" t="n">
        <x:v>90.1829268292683</x:v>
      </x:c>
      <x:c r="AE394" s="16" t="n">
        <x:v>75.54160464741516</x:v>
      </x:c>
      <x:c r="AF394" t="str">
        <x:v>검토</x:v>
      </x:c>
      <x:c r="AG394" t="str">
        <x:v>경쟁여건·직장수요 강점 / 수요 상대적 약점</x:v>
      </x:c>
    </x:row>
    <x:row r="395">
      <x:c r="A395" t="str">
        <x:v>3110748</x:v>
      </x:c>
      <x:c r="B395" t="str">
        <x:v>백산초등학교</x:v>
      </x:c>
      <x:c r="C395" t="str">
        <x:v>골목상권</x:v>
      </x:c>
      <x:c r="D395" t="str">
        <x:v>금천구</x:v>
      </x:c>
      <x:c r="E395" t="str">
        <x:v>시흥5동</x:v>
      </x:c>
      <x:c r="F395" t="str">
        <x:v>CS300011</x:v>
      </x:c>
      <x:c r="G395" t="str">
        <x:v>일반의류</x:v>
      </x:c>
      <x:c r="H395" t="n">
        <x:v>2220693094</x:v>
      </x:c>
      <x:c r="I395" t="n">
        <x:v>6448</x:v>
      </x:c>
      <x:c r="J395" t="n">
        <x:v>344400.29373449134</x:v>
      </x:c>
      <x:c r="K395" s="14" t="n">
        <x:v>0.06397561191217438</x:v>
      </x:c>
      <x:c r="L395" s="14" t="n">
        <x:v>0.06726691045630595</x:v>
      </x:c>
      <x:c r="M395" s="14" t="n">
        <x:v>0.00788849516466894</x:v>
      </x:c>
      <x:c r="N395" t="n">
        <x:v>27</x:v>
      </x:c>
      <x:c r="O395" t="n">
        <x:v>0</x:v>
      </x:c>
      <x:c r="P395" s="14" t="n">
        <x:v>0</x:v>
      </x:c>
      <x:c r="Q395" s="14" t="n">
        <x:v>0</x:v>
      </x:c>
      <x:c r="R395" s="14" t="n">
        <x:v>-0.25</x:v>
      </x:c>
      <x:c r="S395" t="n">
        <x:v>187</x:v>
      </x:c>
      <x:c r="T395" t="n">
        <x:v>26.657163221667854</x:v>
      </x:c>
      <x:c r="U395" s="14" t="n">
        <x:v>0.799682724640382</x:v>
      </x:c>
      <x:c r="V395" s="14" t="n">
        <x:v>0.5457288430690279</x:v>
      </x:c>
      <x:c r="W395" s="14" t="n">
        <x:v>0.08095644710461733</x:v>
      </x:c>
      <x:c r="X395" s="14" t="n">
        <x:v>0.4113355530613453</x:v>
      </x:c>
      <x:c r="Y395" s="16" t="n">
        <x:v>88.9281507656066</x:v>
      </x:c>
      <x:c r="Z395" s="16" t="n">
        <x:v>48.375451263537904</x:v>
      </x:c>
      <x:c r="AA395" s="16" t="n">
        <x:v>81.9672131147541</x:v>
      </x:c>
      <x:c r="AB395" s="16" t="n">
        <x:v>85.924617196702</x:v>
      </x:c>
      <x:c r="AC395" s="16" t="n">
        <x:v>86.33686690223793</x:v>
      </x:c>
      <x:c r="AD395" s="16" t="n">
        <x:v>18.353658536585368</x:v>
      </x:c>
      <x:c r="AE395" s="16" t="n">
        <x:v>75.53508718444138</x:v>
      </x:c>
      <x:c r="AF395" t="str">
        <x:v>검토</x:v>
      </x:c>
      <x:c r="AG395" t="str">
        <x:v>수요·안정성 강점 / 직장수요 상대적 약점</x:v>
      </x:c>
    </x:row>
    <x:row r="396">
      <x:c r="A396" t="str">
        <x:v>3120039</x:v>
      </x:c>
      <x:c r="B396" t="str">
        <x:v>신당역</x:v>
      </x:c>
      <x:c r="C396" t="str">
        <x:v>발달상권</x:v>
      </x:c>
      <x:c r="D396" t="str">
        <x:v>중구</x:v>
      </x:c>
      <x:c r="E396" t="str">
        <x:v>신당동</x:v>
      </x:c>
      <x:c r="F396" t="str">
        <x:v>CS200016</x:v>
      </x:c>
      <x:c r="G396" t="str">
        <x:v>당구장</x:v>
      </x:c>
      <x:c r="H396" t="n">
        <x:v>119313624</x:v>
      </x:c>
      <x:c r="I396" t="n">
        <x:v>7079</x:v>
      </x:c>
      <x:c r="J396" t="n">
        <x:v>16854.587371097612</x:v>
      </x:c>
      <x:c r="K396" s="14" t="n">
        <x:v>0.0031386371012784853</x:v>
      </x:c>
      <x:c r="L396" s="14" t="n">
        <x:v>0.052763611334009974</x:v>
      </x:c>
      <x:c r="M396" s="14" t="n">
        <x:v>0.07602781601598463</x:v>
      </x:c>
      <x:c r="N396" t="n">
        <x:v>6</x:v>
      </x:c>
      <x:c r="O396" t="n">
        <x:v>0</x:v>
      </x:c>
      <x:c r="P396" s="14" t="n">
        <x:v>0</x:v>
      </x:c>
      <x:c r="Q396" s="14" t="n">
        <x:v>0</x:v>
      </x:c>
      <x:c r="R396" s="14" t="n">
        <x:v>-0.33333333333333337</x:v>
      </x:c>
      <x:c r="S396" t="n">
        <x:v>2321</x:v>
      </x:c>
      <x:c r="T396" t="n">
        <x:v>116.6472338372467</x:v>
      </x:c>
      <x:c r="U396" s="14" t="n">
        <x:v>0.6622304926384601</x:v>
      </x:c>
      <x:c r="V396" s="14" t="n">
        <x:v>0.7551306127454481</x:v>
      </x:c>
      <x:c r="W396" s="14" t="n">
        <x:v>0.04047970246884798</x:v>
      </x:c>
      <x:c r="X396" s="14" t="n">
        <x:v>0.03932572695973094</x:v>
      </x:c>
      <x:c r="Y396" s="16" t="n">
        <x:v>83.1858407079646</x:v>
      </x:c>
      <x:c r="Z396" s="16" t="n">
        <x:v>53.08641975308642</x:v>
      </x:c>
      <x:c r="AA396" s="16" t="n">
        <x:v>80.32786885245902</x:v>
      </x:c>
      <x:c r="AB396" s="16" t="n">
        <x:v>90.70796460176992</x:v>
      </x:c>
      <x:c r="AC396" s="16" t="n">
        <x:v>69.32153392330383</x:v>
      </x:c>
      <x:c r="AD396" s="16" t="n">
        <x:v>63.23170731707317</x:v>
      </x:c>
      <x:c r="AE396" s="16" t="n">
        <x:v>75.48144197472327</x:v>
      </x:c>
      <x:c r="AF396" t="str">
        <x:v>검토</x:v>
      </x:c>
      <x:c r="AG396" t="str">
        <x:v>경쟁여건·수요 강점 / 상권 모멘텀 상대적 약점</x:v>
      </x:c>
    </x:row>
    <x:row r="397">
      <x:c r="A397" t="str">
        <x:v>3120055</x:v>
      </x:c>
      <x:c r="B397" t="str">
        <x:v>군자역</x:v>
      </x:c>
      <x:c r="C397" t="str">
        <x:v>발달상권</x:v>
      </x:c>
      <x:c r="D397" t="str">
        <x:v>광진구</x:v>
      </x:c>
      <x:c r="E397" t="str">
        <x:v>군자동</x:v>
      </x:c>
      <x:c r="F397" t="str">
        <x:v>CS300031</x:v>
      </x:c>
      <x:c r="G397" t="str">
        <x:v>가구</x:v>
      </x:c>
      <x:c r="H397" t="n">
        <x:v>6931474192</x:v>
      </x:c>
      <x:c r="I397" t="n">
        <x:v>5560</x:v>
      </x:c>
      <x:c r="J397" t="n">
        <x:v>1246668.020143885</x:v>
      </x:c>
      <x:c r="K397" s="14" t="n">
        <x:v>0.2714236160393333</x:v>
      </x:c>
      <x:c r="L397" s="14" t="n">
        <x:v>0.007439212551848762</x:v>
      </x:c>
      <x:c r="M397" s="14" t="n">
        <x:v>-0.09845567001162137</x:v>
      </x:c>
      <x:c r="N397" t="n">
        <x:v>16</x:v>
      </x:c>
      <x:c r="O397" t="n">
        <x:v>0</x:v>
      </x:c>
      <x:c r="P397" s="14" t="n">
        <x:v>0</x:v>
      </x:c>
      <x:c r="Q397" s="14" t="n">
        <x:v>0</x:v>
      </x:c>
      <x:c r="R397" s="14" t="n">
        <x:v>-0.1578947368421053</x:v>
      </x:c>
      <x:c r="S397" t="n">
        <x:v>3475</x:v>
      </x:c>
      <x:c r="T397" t="n">
        <x:v>120.37008171310008</x:v>
      </x:c>
      <x:c r="U397" s="14" t="n">
        <x:v>0.464948712312828</x:v>
      </x:c>
      <x:c r="V397" s="14" t="n">
        <x:v>0.32657070058957527</x:v>
      </x:c>
      <x:c r="W397" s="14" t="n">
        <x:v>0.3583727436895</x:v>
      </x:c>
      <x:c r="X397" s="14" t="n">
        <x:v>0.49187366677856054</x:v>
      </x:c>
      <x:c r="Y397" s="16" t="n">
        <x:v>96.80851063829788</x:v>
      </x:c>
      <x:c r="Z397" s="16" t="n">
        <x:v>86.81318681318682</x:v>
      </x:c>
      <x:c r="AA397" s="16" t="n">
        <x:v>49.18032786885246</x:v>
      </x:c>
      <x:c r="AB397" s="16" t="n">
        <x:v>49.46808510638298</x:v>
      </x:c>
      <x:c r="AC397" s="16" t="n">
        <x:v>62.234042553191486</x:v>
      </x:c>
      <x:c r="AD397" s="16" t="n">
        <x:v>63.90243902439025</x:v>
      </x:c>
      <x:c r="AE397" s="16" t="n">
        <x:v>75.46140423886561</x:v>
      </x:c>
      <x:c r="AF397" t="str">
        <x:v>검토</x:v>
      </x:c>
      <x:c r="AG397" t="str">
        <x:v>수요·상권 모멘텀 강점 / 서울 업종추세 상대적 약점</x:v>
      </x:c>
    </x:row>
    <x:row r="398">
      <x:c r="A398" t="str">
        <x:v>3120095</x:v>
      </x:c>
      <x:c r="B398" t="str">
        <x:v>홍제역</x:v>
      </x:c>
      <x:c r="C398" t="str">
        <x:v>발달상권</x:v>
      </x:c>
      <x:c r="D398" t="str">
        <x:v>서대문구</x:v>
      </x:c>
      <x:c r="E398" t="str">
        <x:v>홍제1동</x:v>
      </x:c>
      <x:c r="F398" t="str">
        <x:v>CS100001</x:v>
      </x:c>
      <x:c r="G398" t="str">
        <x:v>한식음식점</x:v>
      </x:c>
      <x:c r="H398" t="n">
        <x:v>4197954831</x:v>
      </x:c>
      <x:c r="I398" t="n">
        <x:v>126484</x:v>
      </x:c>
      <x:c r="J398" t="n">
        <x:v>33189.611579330194</x:v>
      </x:c>
      <x:c r="K398" s="14" t="n">
        <x:v>0.044243871661904244</x:v>
      </x:c>
      <x:c r="L398" s="14" t="n">
        <x:v>-0.0018259958518723751</x:v>
      </x:c>
      <x:c r="M398" s="14" t="n">
        <x:v>0.06341040875687098</x:v>
      </x:c>
      <x:c r="N398" t="n">
        <x:v>67</x:v>
      </x:c>
      <x:c r="O398" t="n">
        <x:v>0</x:v>
      </x:c>
      <x:c r="P398" s="14" t="n">
        <x:v>0</x:v>
      </x:c>
      <x:c r="Q398" s="14" t="n">
        <x:v>0.08955223880597014</x:v>
      </x:c>
      <x:c r="R398" s="14" t="n">
        <x:v>-0.16249999999999998</x:v>
      </x:c>
      <x:c r="S398" t="n">
        <x:v>988</x:v>
      </x:c>
      <x:c r="T398" t="n">
        <x:v>98.1970699902598</x:v>
      </x:c>
      <x:c r="U398" s="14" t="n">
        <x:v>0.728905054052498</x:v>
      </x:c>
      <x:c r="V398" s="14" t="n">
        <x:v>0.6343593897997327</x:v>
      </x:c>
      <x:c r="W398" s="14" t="n">
        <x:v>0.23163873746787345</x:v>
      </x:c>
      <x:c r="X398" s="14" t="n">
        <x:v>0.35034595087571585</x:v>
      </x:c>
      <x:c r="Y398" s="16" t="n">
        <x:v>84.48398576512456</x:v>
      </x:c>
      <x:c r="Z398" s="16" t="n">
        <x:v>69.0493209435311</x:v>
      </x:c>
      <x:c r="AA398" s="16" t="n">
        <x:v>40.98360655737705</x:v>
      </x:c>
      <x:c r="AB398" s="16" t="n">
        <x:v>87.93594306049822</x:v>
      </x:c>
      <x:c r="AC398" s="16" t="n">
        <x:v>98.04270462633453</x:v>
      </x:c>
      <x:c r="AD398" s="16" t="n">
        <x:v>58.65853658536585</x:v>
      </x:c>
      <x:c r="AE398" s="16" t="n">
        <x:v>75.45438894108285</x:v>
      </x:c>
      <x:c r="AF398" t="str">
        <x:v>검토</x:v>
      </x:c>
      <x:c r="AG398" t="str">
        <x:v>안정성·경쟁여건 강점 / 서울 업종추세 상대적 약점</x:v>
      </x:c>
    </x:row>
    <x:row r="399">
      <x:c r="A399" t="str">
        <x:v>3130311</x:v>
      </x:c>
      <x:c r="B399" t="str">
        <x:v>새마을시장</x:v>
      </x:c>
      <x:c r="C399" t="str">
        <x:v>전통시장</x:v>
      </x:c>
      <x:c r="D399" t="str">
        <x:v>송파구</x:v>
      </x:c>
      <x:c r="E399" t="str">
        <x:v>잠실본동</x:v>
      </x:c>
      <x:c r="F399" t="str">
        <x:v>CS200024</x:v>
      </x:c>
      <x:c r="G399" t="str">
        <x:v>스포츠클럽</x:v>
      </x:c>
      <x:c r="H399" t="n">
        <x:v>2483854552</x:v>
      </x:c>
      <x:c r="I399" t="n">
        <x:v>8167</x:v>
      </x:c>
      <x:c r="J399" t="n">
        <x:v>304133.04175339785</x:v>
      </x:c>
      <x:c r="K399" s="14" t="n">
        <x:v>0.4129091174056425</x:v>
      </x:c>
      <x:c r="L399" s="14" t="n">
        <x:v>0.03927856170757105</x:v>
      </x:c>
      <x:c r="M399" s="14" t="n">
        <x:v>-0.042593628048716026</x:v>
      </x:c>
      <x:c r="N399" t="n">
        <x:v>56</x:v>
      </x:c>
      <x:c r="O399" t="n">
        <x:v>0</x:v>
      </x:c>
      <x:c r="P399" s="14" t="n">
        <x:v>0</x:v>
      </x:c>
      <x:c r="Q399" s="14" t="n">
        <x:v>0.07142857142857142</x:v>
      </x:c>
      <x:c r="R399" s="14" t="n">
        <x:v>0.8666666666666667</x:v>
      </x:c>
      <x:c r="S399" t="n">
        <x:v>1020</x:v>
      </x:c>
      <x:c r="T399" t="n">
        <x:v>128.50393700787401</x:v>
      </x:c>
      <x:c r="U399" s="14" t="n">
        <x:v>0.8570009456817824</x:v>
      </x:c>
      <x:c r="V399" s="14" t="n">
        <x:v>0.5244319003909211</x:v>
      </x:c>
      <x:c r="W399" s="14" t="n">
        <x:v>0.5064887539357015</x:v>
      </x:c>
      <x:c r="X399" s="14" t="n">
        <x:v>0.41565102077683974</x:v>
      </x:c>
      <x:c r="Y399" s="16" t="n">
        <x:v>98.91304347826087</x:v>
      </x:c>
      <x:c r="Z399" s="16" t="n">
        <x:v>88.83928571428571</x:v>
      </x:c>
      <x:c r="AA399" s="16" t="n">
        <x:v>75.40983606557377</x:v>
      </x:c>
      <x:c r="AB399" s="16" t="n">
        <x:v>10.507246376811594</x:v>
      </x:c>
      <x:c r="AC399" s="16" t="n">
        <x:v>68.84057971014492</x:v>
      </x:c>
      <x:c r="AD399" s="16" t="n">
        <x:v>65.79268292682927</x:v>
      </x:c>
      <x:c r="AE399" s="16" t="n">
        <x:v>75.44867684396222</x:v>
      </x:c>
      <x:c r="AF399" t="str">
        <x:v>검토</x:v>
      </x:c>
      <x:c r="AG399" t="str">
        <x:v>수요·상권 모멘텀 강점 / 경쟁여건 상대적 약점</x:v>
      </x:c>
    </x:row>
    <x:row r="400">
      <x:c r="A400" t="str">
        <x:v>3120077</x:v>
      </x:c>
      <x:c r="B400" t="str">
        <x:v>미아역</x:v>
      </x:c>
      <x:c r="C400" t="str">
        <x:v>발달상권</x:v>
      </x:c>
      <x:c r="D400" t="str">
        <x:v>강북구</x:v>
      </x:c>
      <x:c r="E400" t="str">
        <x:v>미아동</x:v>
      </x:c>
      <x:c r="F400" t="str">
        <x:v>CS300018</x:v>
      </x:c>
      <x:c r="G400" t="str">
        <x:v>의약품</x:v>
      </x:c>
      <x:c r="H400" t="n">
        <x:v>7263116780</x:v>
      </x:c>
      <x:c r="I400" t="n">
        <x:v>374098</x:v>
      </x:c>
      <x:c r="J400" t="n">
        <x:v>19415.010986426016</x:v>
      </x:c>
      <x:c r="K400" s="14" t="n">
        <x:v>0.03516677856796502</x:v>
      </x:c>
      <x:c r="L400" s="14" t="n">
        <x:v>0.027829225601598617</x:v>
      </x:c>
      <x:c r="M400" s="14" t="n">
        <x:v>0.02632929521123617</x:v>
      </x:c>
      <x:c r="N400" t="n">
        <x:v>21</x:v>
      </x:c>
      <x:c r="O400" t="n">
        <x:v>0</x:v>
      </x:c>
      <x:c r="P400" s="14" t="n">
        <x:v>0</x:v>
      </x:c>
      <x:c r="Q400" s="14" t="n">
        <x:v>0.14285714285714285</x:v>
      </x:c>
      <x:c r="R400" s="14" t="n">
        <x:v>0.16666666666666674</x:v>
      </x:c>
      <x:c r="S400" t="n">
        <x:v>354</x:v>
      </x:c>
      <x:c r="T400" t="n">
        <x:v>37.92261216094614</x:v>
      </x:c>
      <x:c r="U400" s="14" t="n">
        <x:v>0.842725502342811</x:v>
      </x:c>
      <x:c r="V400" s="14" t="n">
        <x:v>0.192511085853696</x:v>
      </x:c>
      <x:c r="W400" s="14" t="n">
        <x:v>0.20689561320808061</x:v>
      </x:c>
      <x:c r="X400" s="14" t="n">
        <x:v>0.6391273280614937</x:v>
      </x:c>
      <x:c r="Y400" s="16" t="n">
        <x:v>94.3298969072165</x:v>
      </x:c>
      <x:c r="Z400" s="16" t="n">
        <x:v>75.34965034965035</x:v>
      </x:c>
      <x:c r="AA400" s="16" t="n">
        <x:v>72.1311475409836</x:v>
      </x:c>
      <x:c r="AB400" s="16" t="n">
        <x:v>56.95876288659794</x:v>
      </x:c>
      <x:c r="AC400" s="16" t="n">
        <x:v>66.32302405498282</x:v>
      </x:c>
      <x:c r="AD400" s="16" t="n">
        <x:v>27.317073170731707</x:v>
      </x:c>
      <x:c r="AE400" s="16" t="n">
        <x:v>75.44703661562794</x:v>
      </x:c>
      <x:c r="AF400" t="str">
        <x:v>검토</x:v>
      </x:c>
      <x:c r="AG400" t="str">
        <x:v>수요·상권 모멘텀 강점 / 직장수요 상대적 약점</x:v>
      </x:c>
    </x:row>
    <x:row r="401">
      <x:c r="A401" t="str">
        <x:v>3110045</x:v>
      </x:c>
      <x:c r="B401" t="str">
        <x:v>동대문역사문화공원역 5번</x:v>
      </x:c>
      <x:c r="C401" t="str">
        <x:v>골목상권</x:v>
      </x:c>
      <x:c r="D401" t="str">
        <x:v>중구</x:v>
      </x:c>
      <x:c r="E401" t="str">
        <x:v>장충동</x:v>
      </x:c>
      <x:c r="F401" t="str">
        <x:v>CS100001</x:v>
      </x:c>
      <x:c r="G401" t="str">
        <x:v>한식음식점</x:v>
      </x:c>
      <x:c r="H401" t="n">
        <x:v>2525122597</x:v>
      </x:c>
      <x:c r="I401" t="n">
        <x:v>82844</x:v>
      </x:c>
      <x:c r="J401" t="n">
        <x:v>30480.452380377577</x:v>
      </x:c>
      <x:c r="K401" s="14" t="n">
        <x:v>0.07461884571765531</x:v>
      </x:c>
      <x:c r="L401" s="14" t="n">
        <x:v>-0.0018259958518723751</x:v>
      </x:c>
      <x:c r="M401" s="14" t="n">
        <x:v>0.06341040875687098</x:v>
      </x:c>
      <x:c r="N401" t="n">
        <x:v>70</x:v>
      </x:c>
      <x:c r="O401" t="n">
        <x:v>1</x:v>
      </x:c>
      <x:c r="P401" s="14" t="n">
        <x:v>0.013333333333333334</x:v>
      </x:c>
      <x:c r="Q401" s="14" t="n">
        <x:v>0.014285714285714285</x:v>
      </x:c>
      <x:c r="R401" s="14" t="n">
        <x:v>0.02941176470588225</x:v>
      </x:c>
      <x:c r="S401" t="n">
        <x:v>1216</x:v>
      </x:c>
      <x:c r="T401" t="n">
        <x:v>271.3074520303436</x:v>
      </x:c>
      <x:c r="U401" s="14" t="n">
        <x:v>0.8280231591464389</x:v>
      </x:c>
      <x:c r="V401" s="14" t="n">
        <x:v>0.42297740643124904</x:v>
      </x:c>
      <x:c r="W401" s="14" t="n">
        <x:v>0.31384118772748837</x:v>
      </x:c>
      <x:c r="X401" s="14" t="n">
        <x:v>0.288443476710925</x:v>
      </x:c>
      <x:c r="Y401" s="16" t="n">
        <x:v>77.08185053380782</x:v>
      </x:c>
      <x:c r="Z401" s="16" t="n">
        <x:v>82.63045032165833</x:v>
      </x:c>
      <x:c r="AA401" s="16" t="n">
        <x:v>40.98360655737705</x:v>
      </x:c>
      <x:c r="AB401" s="16" t="n">
        <x:v>85.48042704626334</x:v>
      </x:c>
      <x:c r="AC401" s="16" t="n">
        <x:v>88.46975088967972</x:v>
      </x:c>
      <x:c r="AD401" s="16" t="n">
        <x:v>82.2560975609756</x:v>
      </x:c>
      <x:c r="AE401" s="16" t="n">
        <x:v>75.43412275872721</x:v>
      </x:c>
      <x:c r="AF401" t="str">
        <x:v>검토</x:v>
      </x:c>
      <x:c r="AG401" t="str">
        <x:v>안정성·경쟁여건 강점 / 서울 업종추세 상대적 약점</x:v>
      </x:c>
    </x:row>
    <x:row r="402">
      <x:c r="A402" t="str">
        <x:v>3120124</x:v>
      </x:c>
      <x:c r="B402" t="str">
        <x:v>개봉동 현대아파트</x:v>
      </x:c>
      <x:c r="C402" t="str">
        <x:v>발달상권</x:v>
      </x:c>
      <x:c r="D402" t="str">
        <x:v>구로구</x:v>
      </x:c>
      <x:c r="E402" t="str">
        <x:v>개봉3동</x:v>
      </x:c>
      <x:c r="F402" t="str">
        <x:v>CS300018</x:v>
      </x:c>
      <x:c r="G402" t="str">
        <x:v>의약품</x:v>
      </x:c>
      <x:c r="H402" t="n">
        <x:v>1952708901</x:v>
      </x:c>
      <x:c r="I402" t="n">
        <x:v>126126</x:v>
      </x:c>
      <x:c r="J402" t="n">
        <x:v>15482.207482993197</x:v>
      </x:c>
      <x:c r="K402" s="14" t="n">
        <x:v>0.04887527904139555</x:v>
      </x:c>
      <x:c r="L402" s="14" t="n">
        <x:v>0.027829225601598617</x:v>
      </x:c>
      <x:c r="M402" s="14" t="n">
        <x:v>0.02632929521123617</x:v>
      </x:c>
      <x:c r="N402" t="n">
        <x:v>10</x:v>
      </x:c>
      <x:c r="O402" t="n">
        <x:v>0</x:v>
      </x:c>
      <x:c r="P402" s="14" t="n">
        <x:v>0</x:v>
      </x:c>
      <x:c r="Q402" s="14" t="n">
        <x:v>0.1</x:v>
      </x:c>
      <x:c r="R402" s="14" t="n">
        <x:v>0.11111111111111116</x:v>
      </x:c>
      <x:c r="S402" t="n">
        <x:v>3301</x:v>
      </x:c>
      <x:c r="T402" t="n">
        <x:v>218.79764035262147</x:v>
      </x:c>
      <x:c r="U402" s="14" t="n">
        <x:v>0.7974368315741087</x:v>
      </x:c>
      <x:c r="V402" s="14" t="n">
        <x:v>0.18699655274424337</x:v>
      </x:c>
      <x:c r="W402" s="14" t="n">
        <x:v>0.12440077928440804</x:v>
      </x:c>
      <x:c r="X402" s="14" t="n">
        <x:v>0.49063218614375537</x:v>
      </x:c>
      <x:c r="Y402" s="16" t="n">
        <x:v>66.66666666666667</x:v>
      </x:c>
      <x:c r="Z402" s="16" t="n">
        <x:v>84.0909090909091</x:v>
      </x:c>
      <x:c r="AA402" s="16" t="n">
        <x:v>72.1311475409836</x:v>
      </x:c>
      <x:c r="AB402" s="16" t="n">
        <x:v>92.78350515463917</x:v>
      </x:c>
      <x:c r="AC402" s="16" t="n">
        <x:v>66.32302405498282</x:v>
      </x:c>
      <x:c r="AD402" s="16" t="n">
        <x:v>78.10975609756098</x:v>
      </x:c>
      <x:c r="AE402" s="16" t="n">
        <x:v>75.4265032662349</x:v>
      </x:c>
      <x:c r="AF402" t="str">
        <x:v>검토</x:v>
      </x:c>
      <x:c r="AG402" t="str">
        <x:v>경쟁여건·상권 모멘텀 강점 / 안정성 상대적 약점</x:v>
      </x:c>
    </x:row>
    <x:row r="403">
      <x:c r="A403" t="str">
        <x:v>3120079</x:v>
      </x:c>
      <x:c r="B403" t="str">
        <x:v>창동역</x:v>
      </x:c>
      <x:c r="C403" t="str">
        <x:v>발달상권</x:v>
      </x:c>
      <x:c r="D403" t="str">
        <x:v>도봉구</x:v>
      </x:c>
      <x:c r="E403" t="str">
        <x:v>창5동</x:v>
      </x:c>
      <x:c r="F403" t="str">
        <x:v>CS200003</x:v>
      </x:c>
      <x:c r="G403" t="str">
        <x:v>예술학원</x:v>
      </x:c>
      <x:c r="H403" t="n">
        <x:v>445082968</x:v>
      </x:c>
      <x:c r="I403" t="n">
        <x:v>2359</x:v>
      </x:c>
      <x:c r="J403" t="n">
        <x:v>188674.42475625264</x:v>
      </x:c>
      <x:c r="K403" s="14" t="n">
        <x:v>0.2551490131280698</x:v>
      </x:c>
      <x:c r="L403" s="14" t="n">
        <x:v>0.09364146198394163</x:v>
      </x:c>
      <x:c r="M403" s="14" t="n">
        <x:v>0.053788091189524545</x:v>
      </x:c>
      <x:c r="N403" t="n">
        <x:v>34</x:v>
      </x:c>
      <x:c r="O403" t="n">
        <x:v>1</x:v>
      </x:c>
      <x:c r="P403" s="14" t="n">
        <x:v>0.02564102564102564</x:v>
      </x:c>
      <x:c r="Q403" s="14" t="n">
        <x:v>0.08823529411764706</x:v>
      </x:c>
      <x:c r="R403" s="14" t="n">
        <x:v>-0.02857142857142858</x:v>
      </x:c>
      <x:c r="S403" t="n">
        <x:v>3247</x:v>
      </x:c>
      <x:c r="T403" t="n">
        <x:v>337.8877592432646</x:v>
      </x:c>
      <x:c r="U403" s="14" t="n">
        <x:v>0.8739603466470998</x:v>
      </x:c>
      <x:c r="V403" s="14" t="n">
        <x:v>0.5620018355768671</x:v>
      </x:c>
      <x:c r="W403" s="14" t="n">
        <x:v>0.7061859486836172</x:v>
      </x:c>
      <x:c r="X403" s="14" t="n">
        <x:v>0.8551590205986045</x:v>
      </x:c>
      <x:c r="Y403" s="16" t="n">
        <x:v>89.64143426294821</x:v>
      </x:c>
      <x:c r="Z403" s="16" t="n">
        <x:v>86.70756646216769</x:v>
      </x:c>
      <x:c r="AA403" s="16" t="n">
        <x:v>88.52459016393442</x:v>
      </x:c>
      <x:c r="AB403" s="16" t="n">
        <x:v>40.43824701195219</x:v>
      </x:c>
      <x:c r="AC403" s="16" t="n">
        <x:v>30.876494023904385</x:v>
      </x:c>
      <x:c r="AD403" s="16" t="n">
        <x:v>85.48780487804878</x:v>
      </x:c>
      <x:c r="AE403" s="16" t="n">
        <x:v>75.42248050714129</x:v>
      </x:c>
      <x:c r="AF403" t="str">
        <x:v>검토</x:v>
      </x:c>
      <x:c r="AG403" t="str">
        <x:v>수요·서울 업종추세 강점 / 안정성 상대적 약점</x:v>
      </x:c>
    </x:row>
    <x:row r="404">
      <x:c r="A404" t="str">
        <x:v>3120222</x:v>
      </x:c>
      <x:c r="B404" t="str">
        <x:v>삼성역</x:v>
      </x:c>
      <x:c r="C404" t="str">
        <x:v>발달상권</x:v>
      </x:c>
      <x:c r="D404" t="str">
        <x:v>강남구</x:v>
      </x:c>
      <x:c r="E404" t="str">
        <x:v>대치2동</x:v>
      </x:c>
      <x:c r="F404" t="str">
        <x:v>CS300028</x:v>
      </x:c>
      <x:c r="G404" t="str">
        <x:v>화초</x:v>
      </x:c>
      <x:c r="H404" t="n">
        <x:v>758142741</x:v>
      </x:c>
      <x:c r="I404" t="n">
        <x:v>2666</x:v>
      </x:c>
      <x:c r="J404" t="n">
        <x:v>284374.6215303826</x:v>
      </x:c>
      <x:c r="K404" s="14" t="n">
        <x:v>0.1573830889179164</x:v>
      </x:c>
      <x:c r="L404" s="14" t="n">
        <x:v>0.028008199294863756</x:v>
      </x:c>
      <x:c r="M404" s="14" t="n">
        <x:v>-0.0030123365554672876</x:v>
      </x:c>
      <x:c r="N404" t="n">
        <x:v>24</x:v>
      </x:c>
      <x:c r="O404" t="n">
        <x:v>1</x:v>
      </x:c>
      <x:c r="P404" s="14" t="n">
        <x:v>0.034482758620689655</x:v>
      </x:c>
      <x:c r="Q404" s="14" t="n">
        <x:v>0</x:v>
      </x:c>
      <x:c r="R404" s="14" t="n">
        <x:v>0.19999999999999996</x:v>
      </x:c>
      <x:c r="S404" t="n">
        <x:v>109259</x:v>
      </x:c>
      <x:c r="T404" t="n">
        <x:v>3066.170507132293</x:v>
      </x:c>
      <x:c r="U404" s="14" t="n">
        <x:v>0.9875243506420383</x:v>
      </x:c>
      <x:c r="V404" s="14" t="n">
        <x:v>0.24327650193777955</x:v>
      </x:c>
      <x:c r="W404" s="14" t="n">
        <x:v>0.05998389292762483</x:v>
      </x:c>
      <x:c r="X404" s="14" t="n">
        <x:v>0.04218462338347443</x:v>
      </x:c>
      <x:c r="Y404" s="16" t="n">
        <x:v>96.64429530201342</x:v>
      </x:c>
      <x:c r="Z404" s="16" t="n">
        <x:v>89.38356164383562</x:v>
      </x:c>
      <x:c r="AA404" s="16" t="n">
        <x:v>73.77049180327869</x:v>
      </x:c>
      <x:c r="AB404" s="16" t="n">
        <x:v>40.100671140939596</x:v>
      </x:c>
      <x:c r="AC404" s="16" t="n">
        <x:v>16.442953020134226</x:v>
      </x:c>
      <x:c r="AD404" s="16" t="n">
        <x:v>99.57317073170732</x:v>
      </x:c>
      <x:c r="AE404" s="16" t="n">
        <x:v>75.40584396470335</x:v>
      </x:c>
      <x:c r="AF404" t="str">
        <x:v>검토</x:v>
      </x:c>
      <x:c r="AG404" t="str">
        <x:v>직장수요·수요 강점 / 안정성 상대적 약점</x:v>
      </x:c>
    </x:row>
    <x:row r="405">
      <x:c r="A405" t="str">
        <x:v>3120165</x:v>
      </x:c>
      <x:c r="B405" t="str">
        <x:v>서래마을카페거리(서래마을)</x:v>
      </x:c>
      <x:c r="C405" t="str">
        <x:v>발달상권</x:v>
      </x:c>
      <x:c r="D405" t="str">
        <x:v>서초구</x:v>
      </x:c>
      <x:c r="E405" t="str">
        <x:v>반포4동</x:v>
      </x:c>
      <x:c r="F405" t="str">
        <x:v>CS200030</x:v>
      </x:c>
      <x:c r="G405" t="str">
        <x:v>피부관리실</x:v>
      </x:c>
      <x:c r="H405" t="n">
        <x:v>299376149</x:v>
      </x:c>
      <x:c r="I405" t="n">
        <x:v>442</x:v>
      </x:c>
      <x:c r="J405" t="n">
        <x:v>677321.6040723982</x:v>
      </x:c>
      <x:c r="K405" s="14" t="n">
        <x:v>0.020850558177587297</x:v>
      </x:c>
      <x:c r="L405" s="14" t="n">
        <x:v>0.11857168683779085</x:v>
      </x:c>
      <x:c r="M405" s="14" t="n">
        <x:v>0.0314283578178467</x:v>
      </x:c>
      <x:c r="N405" t="n">
        <x:v>26</x:v>
      </x:c>
      <x:c r="O405" t="n">
        <x:v>0</x:v>
      </x:c>
      <x:c r="P405" s="14" t="n">
        <x:v>0</x:v>
      </x:c>
      <x:c r="Q405" s="14" t="n">
        <x:v>0.07692307692307693</x:v>
      </x:c>
      <x:c r="R405" s="14" t="n">
        <x:v>0.625</x:v>
      </x:c>
      <x:c r="S405" t="n">
        <x:v>11545</x:v>
      </x:c>
      <x:c r="T405" t="n">
        <x:v>1062.9384793857146</x:v>
      </x:c>
      <x:c r="U405" s="14" t="n">
        <x:v>0.784200240347136</x:v>
      </x:c>
      <x:c r="V405" s="14" t="n">
        <x:v>0.1965336390241295</x:v>
      </x:c>
      <x:c r="W405" s="14" t="n">
        <x:v>0.37971302450015815</x:v>
      </x:c>
      <x:c r="X405" s="14" t="n">
        <x:v>0.6610489033981127</x:v>
      </x:c>
      <x:c r="Y405" s="16" t="n">
        <x:v>89.08188585607941</x:v>
      </x:c>
      <x:c r="Z405" s="16" t="n">
        <x:v>43.76657824933687</x:v>
      </x:c>
      <x:c r="AA405" s="16" t="n">
        <x:v>91.80327868852459</x:v>
      </x:c>
      <x:c r="AB405" s="16" t="n">
        <x:v>59.42928039702233</x:v>
      </x:c>
      <x:c r="AC405" s="16" t="n">
        <x:v>79.15632754342431</x:v>
      </x:c>
      <x:c r="AD405" s="16" t="n">
        <x:v>97.3170731707317</x:v>
      </x:c>
      <x:c r="AE405" s="16" t="n">
        <x:v>75.39834597520621</x:v>
      </x:c>
      <x:c r="AF405" t="str">
        <x:v>검토</x:v>
      </x:c>
      <x:c r="AG405" t="str">
        <x:v>직장수요·서울 업종추세 강점 / 상권 모멘텀 상대적 약점</x:v>
      </x:c>
    </x:row>
    <x:row r="406">
      <x:c r="A406" t="str">
        <x:v>3120112</x:v>
      </x:c>
      <x:c r="B406" t="str">
        <x:v>등촌역</x:v>
      </x:c>
      <x:c r="C406" t="str">
        <x:v>발달상권</x:v>
      </x:c>
      <x:c r="D406" t="str">
        <x:v>양천구</x:v>
      </x:c>
      <x:c r="E406" t="str">
        <x:v>목3동</x:v>
      </x:c>
      <x:c r="F406" t="str">
        <x:v>CS100001</x:v>
      </x:c>
      <x:c r="G406" t="str">
        <x:v>한식음식점</x:v>
      </x:c>
      <x:c r="H406" t="n">
        <x:v>5736832955</x:v>
      </x:c>
      <x:c r="I406" t="n">
        <x:v>188383</x:v>
      </x:c>
      <x:c r="J406" t="n">
        <x:v>30453.028962273667</x:v>
      </x:c>
      <x:c r="K406" s="14" t="n">
        <x:v>0.050822481615373505</x:v>
      </x:c>
      <x:c r="L406" s="14" t="n">
        <x:v>-0.0018259958518723751</x:v>
      </x:c>
      <x:c r="M406" s="14" t="n">
        <x:v>0.06341040875687098</x:v>
      </x:c>
      <x:c r="N406" t="n">
        <x:v>96</x:v>
      </x:c>
      <x:c r="O406" t="n">
        <x:v>1</x:v>
      </x:c>
      <x:c r="P406" s="14" t="n">
        <x:v>0.009900990099009901</x:v>
      </x:c>
      <x:c r="Q406" s="14" t="n">
        <x:v>0.125</x:v>
      </x:c>
      <x:c r="R406" s="14" t="n">
        <x:v>0.15662650602409633</x:v>
      </x:c>
      <x:c r="S406" t="n">
        <x:v>3539</x:v>
      </x:c>
      <x:c r="T406" t="n">
        <x:v>192.57453488815005</x:v>
      </x:c>
      <x:c r="U406" s="14" t="n">
        <x:v>0.7153457550865711</x:v>
      </x:c>
      <x:c r="V406" s="14" t="n">
        <x:v>0.5801619275142377</x:v>
      </x:c>
      <x:c r="W406" s="14" t="n">
        <x:v>0.29978038588366046</x:v>
      </x:c>
      <x:c r="X406" s="14" t="n">
        <x:v>0.35418959187735316</x:v>
      </x:c>
      <x:c r="Y406" s="16" t="n">
        <x:v>87.90035587188612</x:v>
      </x:c>
      <x:c r="Z406" s="16" t="n">
        <x:v>72.62330235882773</x:v>
      </x:c>
      <x:c r="AA406" s="16" t="n">
        <x:v>40.98360655737705</x:v>
      </x:c>
      <x:c r="AB406" s="16" t="n">
        <x:v>72.20640569395017</x:v>
      </x:c>
      <x:c r="AC406" s="16" t="n">
        <x:v>93.45195729537366</x:v>
      </x:c>
      <x:c r="AD406" s="16" t="n">
        <x:v>75.36585365853658</x:v>
      </x:c>
      <x:c r="AE406" s="16" t="n">
        <x:v>75.38177527708896</x:v>
      </x:c>
      <x:c r="AF406" t="str">
        <x:v>검토</x:v>
      </x:c>
      <x:c r="AG406" t="str">
        <x:v>안정성·수요 강점 / 서울 업종추세 상대적 약점</x:v>
      </x:c>
    </x:row>
    <x:row r="407">
      <x:c r="A407" t="str">
        <x:v>3120014</x:v>
      </x:c>
      <x:c r="B407" t="str">
        <x:v>종로5가역</x:v>
      </x:c>
      <x:c r="C407" t="str">
        <x:v>발달상권</x:v>
      </x:c>
      <x:c r="D407" t="str">
        <x:v>종로구</x:v>
      </x:c>
      <x:c r="E407" t="str">
        <x:v>종로5·6가동</x:v>
      </x:c>
      <x:c r="F407" t="str">
        <x:v>CS200030</x:v>
      </x:c>
      <x:c r="G407" t="str">
        <x:v>피부관리실</x:v>
      </x:c>
      <x:c r="H407" t="n">
        <x:v>39286656</x:v>
      </x:c>
      <x:c r="I407" t="n">
        <x:v>48</x:v>
      </x:c>
      <x:c r="J407" t="n">
        <x:v>818472</x:v>
      </x:c>
      <x:c r="K407" s="14" t="n">
        <x:v>0.2154472702865502</x:v>
      </x:c>
      <x:c r="L407" s="14" t="n">
        <x:v>0.11857168683779085</x:v>
      </x:c>
      <x:c r="M407" s="14" t="n">
        <x:v>0.0314283578178467</x:v>
      </x:c>
      <x:c r="N407" t="n">
        <x:v>6</x:v>
      </x:c>
      <x:c r="O407" t="n">
        <x:v>0</x:v>
      </x:c>
      <x:c r="P407" s="14" t="n">
        <x:v>0</x:v>
      </x:c>
      <x:c r="Q407" s="14" t="n">
        <x:v>0.16666666666666666</x:v>
      </x:c>
      <x:c r="R407" s="14" t="n">
        <x:v>2</x:v>
      </x:c>
      <x:c r="S407" t="n">
        <x:v>5154</x:v>
      </x:c>
      <x:c r="T407" t="n">
        <x:v>378.898151823916</x:v>
      </x:c>
      <x:c r="U407" s="14" t="n">
        <x:v>0.9069235111280533</x:v>
      </x:c>
      <x:c r="V407" s="14" t="n">
        <x:v>0.2537844401926191</x:v>
      </x:c>
      <x:c r="W407" s="14" t="n">
        <x:v>0.9492809721448423</x:v>
      </x:c>
      <x:c r="X407" s="14" t="n">
        <x:v>0.9492809721448423</x:v>
      </x:c>
      <x:c r="Y407" s="16" t="n">
        <x:v>57.5682382133995</x:v>
      </x:c>
      <x:c r="Z407" s="16" t="n">
        <x:v>72.94429708222812</x:v>
      </x:c>
      <x:c r="AA407" s="16" t="n">
        <x:v>91.80327868852459</x:v>
      </x:c>
      <x:c r="AB407" s="16" t="n">
        <x:v>97.39454094292805</x:v>
      </x:c>
      <x:c r="AC407" s="16" t="n">
        <x:v>79.15632754342431</x:v>
      </x:c>
      <x:c r="AD407" s="16" t="n">
        <x:v>86.76829268292683</x:v>
      </x:c>
      <x:c r="AE407" s="16" t="n">
        <x:v>75.37146312434211</x:v>
      </x:c>
      <x:c r="AF407" t="str">
        <x:v>검토</x:v>
      </x:c>
      <x:c r="AG407" t="str">
        <x:v>경쟁여건·서울 업종추세 강점 / 수요 상대적 약점</x:v>
      </x:c>
    </x:row>
    <x:row r="408">
      <x:c r="A408" t="str">
        <x:v>3120189</x:v>
      </x:c>
      <x:c r="B408" t="str">
        <x:v>강남역</x:v>
      </x:c>
      <x:c r="C408" t="str">
        <x:v>발달상권</x:v>
      </x:c>
      <x:c r="D408" t="str">
        <x:v>서초구</x:v>
      </x:c>
      <x:c r="E408" t="str">
        <x:v>서초2동</x:v>
      </x:c>
      <x:c r="F408" t="str">
        <x:v>CS300020</x:v>
      </x:c>
      <x:c r="G408" t="str">
        <x:v>서적</x:v>
      </x:c>
      <x:c r="H408" t="n">
        <x:v>10997421861</x:v>
      </x:c>
      <x:c r="I408" t="n">
        <x:v>129094</x:v>
      </x:c>
      <x:c r="J408" t="n">
        <x:v>85189.25636358003</x:v>
      </x:c>
      <x:c r="K408" s="14" t="n">
        <x:v>-0.012049360258816977</x:v>
      </x:c>
      <x:c r="L408" s="14" t="n">
        <x:v>0.20039418624921757</x:v>
      </x:c>
      <x:c r="M408" s="14" t="n">
        <x:v>-0.01061516125540185</x:v>
      </x:c>
      <x:c r="N408" t="n">
        <x:v>22</x:v>
      </x:c>
      <x:c r="O408" t="n">
        <x:v>0</x:v>
      </x:c>
      <x:c r="P408" s="14" t="n">
        <x:v>0</x:v>
      </x:c>
      <x:c r="Q408" s="14" t="n">
        <x:v>0</x:v>
      </x:c>
      <x:c r="R408" s="14" t="n">
        <x:v>0</x:v>
      </x:c>
      <x:c r="S408" t="n">
        <x:v>87191</x:v>
      </x:c>
      <x:c r="T408" t="n">
        <x:v>1411.89253611466</x:v>
      </x:c>
      <x:c r="U408" s="14" t="n">
        <x:v>0.9199305261606169</x:v>
      </x:c>
      <x:c r="V408" s="14" t="n">
        <x:v>0.04442431618746466</x:v>
      </x:c>
      <x:c r="W408" s="14" t="n">
        <x:v>0.34314005570546147</x:v>
      </x:c>
      <x:c r="X408" s="14" t="n">
        <x:v>0.5041450654595381</x:v>
      </x:c>
      <x:c r="Y408" s="16" t="n">
        <x:v>100</x:v>
      </x:c>
      <x:c r="Z408" s="16" t="n">
        <x:v>55</x:v>
      </x:c>
      <x:c r="AA408" s="16" t="n">
        <x:v>96.72131147540983</x:v>
      </x:c>
      <x:c r="AB408" s="16" t="n">
        <x:v>26.84563758389261</x:v>
      </x:c>
      <x:c r="AC408" s="16" t="n">
        <x:v>59.395973154362416</x:v>
      </x:c>
      <x:c r="AD408" s="16" t="n">
        <x:v>97.92682926829268</x:v>
      </x:c>
      <x:c r="AE408" s="16" t="n">
        <x:v>75.37098113774624</x:v>
      </x:c>
      <x:c r="AF408" t="str">
        <x:v>검토</x:v>
      </x:c>
      <x:c r="AG408" t="str">
        <x:v>수요·직장수요 강점 / 경쟁여건 상대적 약점</x:v>
      </x:c>
    </x:row>
    <x:row r="409">
      <x:c r="A409" t="str">
        <x:v>3120111</x:v>
      </x:c>
      <x:c r="B409" t="str">
        <x:v>목동사거리</x:v>
      </x:c>
      <x:c r="C409" t="str">
        <x:v>발달상권</x:v>
      </x:c>
      <x:c r="D409" t="str">
        <x:v>강서구</x:v>
      </x:c>
      <x:c r="E409" t="str">
        <x:v>화곡4동</x:v>
      </x:c>
      <x:c r="F409" t="str">
        <x:v>CS100010</x:v>
      </x:c>
      <x:c r="G409" t="str">
        <x:v>커피-음료</x:v>
      </x:c>
      <x:c r="H409" t="n">
        <x:v>373088201</x:v>
      </x:c>
      <x:c r="I409" t="n">
        <x:v>53917</x:v>
      </x:c>
      <x:c r="J409" t="n">
        <x:v>6919.676558413858</x:v>
      </x:c>
      <x:c r="K409" s="14" t="n">
        <x:v>0.42365519327846224</x:v>
      </x:c>
      <x:c r="L409" s="14" t="n">
        <x:v>-0.00844757257331652</x:v>
      </x:c>
      <x:c r="M409" s="14" t="n">
        <x:v>0.016227780215539944</x:v>
      </x:c>
      <x:c r="N409" t="n">
        <x:v>33</x:v>
      </x:c>
      <x:c r="O409" t="n">
        <x:v>0</x:v>
      </x:c>
      <x:c r="P409" s="14" t="n">
        <x:v>0</x:v>
      </x:c>
      <x:c r="Q409" s="14" t="n">
        <x:v>0.15151515151515152</x:v>
      </x:c>
      <x:c r="R409" s="14" t="n">
        <x:v>0.1785714285714286</x:v>
      </x:c>
      <x:c r="S409" t="n">
        <x:v>1559</x:v>
      </x:c>
      <x:c r="T409" t="n">
        <x:v>123.62321483795765</x:v>
      </x:c>
      <x:c r="U409" s="14" t="n">
        <x:v>0.6910227241413084</x:v>
      </x:c>
      <x:c r="V409" s="14" t="n">
        <x:v>0.3994080423894188</x:v>
      </x:c>
      <x:c r="W409" s="14" t="n">
        <x:v>0.47687525234817063</x:v>
      </x:c>
      <x:c r="X409" s="14" t="n">
        <x:v>0.5365558371008361</x:v>
      </x:c>
      <x:c r="Y409" s="16" t="n">
        <x:v>71.72284644194757</x:v>
      </x:c>
      <x:c r="Z409" s="16" t="n">
        <x:v>98.00759013282732</x:v>
      </x:c>
      <x:c r="AA409" s="16" t="n">
        <x:v>37.704918032786885</x:v>
      </x:c>
      <x:c r="AB409" s="16" t="n">
        <x:v>82.9119850187266</x:v>
      </x:c>
      <x:c r="AC409" s="16" t="n">
        <x:v>93.25842696629213</x:v>
      </x:c>
      <x:c r="AD409" s="16" t="n">
        <x:v>64.6951219512195</x:v>
      </x:c>
      <x:c r="AE409" s="16" t="n">
        <x:v>75.35764853316432</x:v>
      </x:c>
      <x:c r="AF409" t="str">
        <x:v>검토</x:v>
      </x:c>
      <x:c r="AG409" t="str">
        <x:v>상권 모멘텀·안정성 강점 / 서울 업종추세 상대적 약점</x:v>
      </x:c>
    </x:row>
    <x:row r="410">
      <x:c r="A410" t="str">
        <x:v>3120132</x:v>
      </x:c>
      <x:c r="B410" t="str">
        <x:v>독산동</x:v>
      </x:c>
      <x:c r="C410" t="str">
        <x:v>발달상권</x:v>
      </x:c>
      <x:c r="D410" t="str">
        <x:v>금천구</x:v>
      </x:c>
      <x:c r="E410" t="str">
        <x:v>독산1동</x:v>
      </x:c>
      <x:c r="F410" t="str">
        <x:v>CS300017</x:v>
      </x:c>
      <x:c r="G410" t="str">
        <x:v>시계및귀금속</x:v>
      </x:c>
      <x:c r="H410" t="n">
        <x:v>302710253</x:v>
      </x:c>
      <x:c r="I410" t="n">
        <x:v>271</x:v>
      </x:c>
      <x:c r="J410" t="n">
        <x:v>1117012.003690037</x:v>
      </x:c>
      <x:c r="K410" s="14" t="n">
        <x:v>0.3309088942610854</x:v>
      </x:c>
      <x:c r="L410" s="14" t="n">
        <x:v>0.09182238369060247</x:v>
      </x:c>
      <x:c r="M410" s="14" t="n">
        <x:v>0.00817160170707898</x:v>
      </x:c>
      <x:c r="N410" t="n">
        <x:v>8</x:v>
      </x:c>
      <x:c r="O410" t="n">
        <x:v>0</x:v>
      </x:c>
      <x:c r="P410" s="14" t="n">
        <x:v>0</x:v>
      </x:c>
      <x:c r="Q410" s="14" t="n">
        <x:v>0.25</x:v>
      </x:c>
      <x:c r="R410" s="14" t="n">
        <x:v>0</x:v>
      </x:c>
      <x:c r="S410" t="n">
        <x:v>7998</x:v>
      </x:c>
      <x:c r="T410" t="n">
        <x:v>150.89968133338112</x:v>
      </x:c>
      <x:c r="U410" s="14" t="n">
        <x:v>0.47575886701135295</x:v>
      </x:c>
      <x:c r="V410" s="14" t="n">
        <x:v>0.06335269060080366</x:v>
      </x:c>
      <x:c r="W410" s="14" t="n">
        <x:v>0.3122315054191442</x:v>
      </x:c>
      <x:c r="X410" s="14" t="n">
        <x:v>0.5670112832286524</x:v>
      </x:c>
      <x:c r="Y410" s="16" t="n">
        <x:v>74.86033519553072</x:v>
      </x:c>
      <x:c r="Z410" s="16" t="n">
        <x:v>84.21052631578948</x:v>
      </x:c>
      <x:c r="AA410" s="16" t="n">
        <x:v>86.88524590163935</x:v>
      </x:c>
      <x:c r="AB410" s="16" t="n">
        <x:v>63.764044943820224</x:v>
      </x:c>
      <x:c r="AC410" s="16" t="n">
        <x:v>61.79775280898876</x:v>
      </x:c>
      <x:c r="AD410" s="16" t="n">
        <x:v>70.3048780487805</x:v>
      </x:c>
      <x:c r="AE410" s="16" t="n">
        <x:v>75.3356353917505</x:v>
      </x:c>
      <x:c r="AF410" t="str">
        <x:v>검토</x:v>
      </x:c>
      <x:c r="AG410" t="str">
        <x:v>서울 업종추세·상권 모멘텀 강점 / 안정성 상대적 약점</x:v>
      </x:c>
    </x:row>
    <x:row r="411">
      <x:c r="A411" t="str">
        <x:v>3120112</x:v>
      </x:c>
      <x:c r="B411" t="str">
        <x:v>등촌역</x:v>
      </x:c>
      <x:c r="C411" t="str">
        <x:v>발달상권</x:v>
      </x:c>
      <x:c r="D411" t="str">
        <x:v>양천구</x:v>
      </x:c>
      <x:c r="E411" t="str">
        <x:v>목3동</x:v>
      </x:c>
      <x:c r="F411" t="str">
        <x:v>CS200003</x:v>
      </x:c>
      <x:c r="G411" t="str">
        <x:v>예술학원</x:v>
      </x:c>
      <x:c r="H411" t="n">
        <x:v>107675157</x:v>
      </x:c>
      <x:c r="I411" t="n">
        <x:v>507</x:v>
      </x:c>
      <x:c r="J411" t="n">
        <x:v>212377.03550295858</x:v>
      </x:c>
      <x:c r="K411" s="14" t="n">
        <x:v>0.3656077707062544</x:v>
      </x:c>
      <x:c r="L411" s="14" t="n">
        <x:v>0.09364146198394163</x:v>
      </x:c>
      <x:c r="M411" s="14" t="n">
        <x:v>0.053788091189524545</x:v>
      </x:c>
      <x:c r="N411" t="n">
        <x:v>21</x:v>
      </x:c>
      <x:c r="O411" t="n">
        <x:v>0</x:v>
      </x:c>
      <x:c r="P411" s="14" t="n">
        <x:v>0</x:v>
      </x:c>
      <x:c r="Q411" s="14" t="n">
        <x:v>0</x:v>
      </x:c>
      <x:c r="R411" s="14" t="n">
        <x:v>0.050000000000000044</x:v>
      </x:c>
      <x:c r="S411" t="n">
        <x:v>3539</x:v>
      </x:c>
      <x:c r="T411" t="n">
        <x:v>192.57453488815005</x:v>
      </x:c>
      <x:c r="U411" s="14" t="n">
        <x:v>0.669811328902915</x:v>
      </x:c>
      <x:c r="V411" s="14" t="n">
        <x:v>0.4767295765354677</x:v>
      </x:c>
      <x:c r="W411" s="14" t="n">
        <x:v>0.2883647803736195</x:v>
      </x:c>
      <x:c r="X411" s="14" t="n">
        <x:v>0.8606918214198657</x:v>
      </x:c>
      <x:c r="Y411" s="16" t="n">
        <x:v>61.55378486055777</x:v>
      </x:c>
      <x:c r="Z411" s="16" t="n">
        <x:v>92.43353783231083</x:v>
      </x:c>
      <x:c r="AA411" s="16" t="n">
        <x:v>88.52459016393442</x:v>
      </x:c>
      <x:c r="AB411" s="16" t="n">
        <x:v>72.90836653386454</x:v>
      </x:c>
      <x:c r="AC411" s="16" t="n">
        <x:v>73.20717131474103</x:v>
      </x:c>
      <x:c r="AD411" s="16" t="n">
        <x:v>75.36585365853658</x:v>
      </x:c>
      <x:c r="AE411" s="16" t="n">
        <x:v>75.33448558672815</x:v>
      </x:c>
      <x:c r="AF411" t="str">
        <x:v>검토</x:v>
      </x:c>
      <x:c r="AG411" t="str">
        <x:v>상권 모멘텀·서울 업종추세 강점 / 수요 상대적 약점</x:v>
      </x:c>
    </x:row>
    <x:row r="412">
      <x:c r="A412" t="str">
        <x:v>3120113</x:v>
      </x:c>
      <x:c r="B412" t="str">
        <x:v>오목교역</x:v>
      </x:c>
      <x:c r="C412" t="str">
        <x:v>발달상권</x:v>
      </x:c>
      <x:c r="D412" t="str">
        <x:v>양천구</x:v>
      </x:c>
      <x:c r="E412" t="str">
        <x:v>목1동</x:v>
      </x:c>
      <x:c r="F412" t="str">
        <x:v>CS300020</x:v>
      </x:c>
      <x:c r="G412" t="str">
        <x:v>서적</x:v>
      </x:c>
      <x:c r="H412" t="n">
        <x:v>510905469</x:v>
      </x:c>
      <x:c r="I412" t="n">
        <x:v>35724</x:v>
      </x:c>
      <x:c r="J412" t="n">
        <x:v>14301.463134027545</x:v>
      </x:c>
      <x:c r="K412" s="14" t="n">
        <x:v>0.013273878945454065</x:v>
      </x:c>
      <x:c r="L412" s="14" t="n">
        <x:v>0.20039418624921757</x:v>
      </x:c>
      <x:c r="M412" s="14" t="n">
        <x:v>-0.01061516125540185</x:v>
      </x:c>
      <x:c r="N412" t="n">
        <x:v>13</x:v>
      </x:c>
      <x:c r="O412" t="n">
        <x:v>0</x:v>
      </x:c>
      <x:c r="P412" s="14" t="n">
        <x:v>0</x:v>
      </x:c>
      <x:c r="Q412" s="14" t="n">
        <x:v>0.07692307692307693</x:v>
      </x:c>
      <x:c r="R412" s="14" t="n">
        <x:v>0.4444444444444444</x:v>
      </x:c>
      <x:c r="S412" t="n">
        <x:v>5101</x:v>
      </x:c>
      <x:c r="T412" t="n">
        <x:v>362.4079060481837</x:v>
      </x:c>
      <x:c r="U412" s="14" t="n">
        <x:v>0.617860714268455</x:v>
      </x:c>
      <x:c r="V412" s="14" t="n">
        <x:v>0.4602552355923205</x:v>
      </x:c>
      <x:c r="W412" s="14" t="n">
        <x:v>0.31387377260586735</x:v>
      </x:c>
      <x:c r="X412" s="14" t="n">
        <x:v>0.5601630406504808</x:v>
      </x:c>
      <x:c r="Y412" s="16" t="n">
        <x:v>82.5503355704698</x:v>
      </x:c>
      <x:c r="Z412" s="16" t="n">
        <x:v>62.857142857142854</x:v>
      </x:c>
      <x:c r="AA412" s="16" t="n">
        <x:v>96.72131147540983</x:v>
      </x:c>
      <x:c r="AB412" s="16" t="n">
        <x:v>60.738255033557046</x:v>
      </x:c>
      <x:c r="AC412" s="16" t="n">
        <x:v>59.395973154362416</x:v>
      </x:c>
      <x:c r="AD412" s="16" t="n">
        <x:v>86.21951219512195</x:v>
      </x:c>
      <x:c r="AE412" s="16" t="n">
        <x:v>75.33355392263037</x:v>
      </x:c>
      <x:c r="AF412" t="str">
        <x:v>검토</x:v>
      </x:c>
      <x:c r="AG412" t="str">
        <x:v>서울 업종추세·직장수요 강점 / 안정성 상대적 약점</x:v>
      </x:c>
    </x:row>
    <x:row r="413">
      <x:c r="A413" t="str">
        <x:v>3130202</x:v>
      </x:c>
      <x:c r="B413" t="str">
        <x:v>신영시장</x:v>
      </x:c>
      <x:c r="C413" t="str">
        <x:v>전통시장</x:v>
      </x:c>
      <x:c r="D413" t="str">
        <x:v>양천구</x:v>
      </x:c>
      <x:c r="E413" t="str">
        <x:v>신월1동</x:v>
      </x:c>
      <x:c r="F413" t="str">
        <x:v>CS200001</x:v>
      </x:c>
      <x:c r="G413" t="str">
        <x:v>일반교습학원</x:v>
      </x:c>
      <x:c r="H413" t="n">
        <x:v>823961497</x:v>
      </x:c>
      <x:c r="I413" t="n">
        <x:v>1926</x:v>
      </x:c>
      <x:c r="J413" t="n">
        <x:v>427809.7076843198</x:v>
      </x:c>
      <x:c r="K413" s="14" t="n">
        <x:v>0.07260491438094574</x:v>
      </x:c>
      <x:c r="L413" s="14" t="n">
        <x:v>0.026465986538897424</x:v>
      </x:c>
      <x:c r="M413" s="14" t="n">
        <x:v>0.05930632525283164</x:v>
      </x:c>
      <x:c r="N413" t="n">
        <x:v>33</x:v>
      </x:c>
      <x:c r="O413" t="n">
        <x:v>0</x:v>
      </x:c>
      <x:c r="P413" s="14" t="n">
        <x:v>0</x:v>
      </x:c>
      <x:c r="Q413" s="14" t="n">
        <x:v>0.2727272727272727</x:v>
      </x:c>
      <x:c r="R413" s="14" t="n">
        <x:v>0.10000000000000009</x:v>
      </x:c>
      <x:c r="S413" t="n">
        <x:v>227</x:v>
      </x:c>
      <x:c r="T413" t="n">
        <x:v>49.99339294366383</x:v>
      </x:c>
      <x:c r="U413" s="14" t="n">
        <x:v>0.9203489856759653</x:v>
      </x:c>
      <x:c r="V413" s="14" t="n">
        <x:v>0.32689834170734317</x:v>
      </x:c>
      <x:c r="W413" s="14" t="n">
        <x:v>0.16425280003101891</x:v>
      </x:c>
      <x:c r="X413" s="14" t="n">
        <x:v>0.6514913414698066</x:v>
      </x:c>
      <x:c r="Y413" s="16" t="n">
        <x:v>81.2111801242236</x:v>
      </x:c>
      <x:c r="Z413" s="16" t="n">
        <x:v>73.05194805194805</x:v>
      </x:c>
      <x:c r="AA413" s="16" t="n">
        <x:v>70.49180327868852</x:v>
      </x:c>
      <x:c r="AB413" s="16" t="n">
        <x:v>76.94099378881987</x:v>
      </x:c>
      <x:c r="AC413" s="16" t="n">
        <x:v>83.92857142857143</x:v>
      </x:c>
      <x:c r="AD413" s="16" t="n">
        <x:v>35.609756097560975</x:v>
      </x:c>
      <x:c r="AE413" s="16" t="n">
        <x:v>75.32256716172932</x:v>
      </x:c>
      <x:c r="AF413" t="str">
        <x:v>검토</x:v>
      </x:c>
      <x:c r="AG413" t="str">
        <x:v>안정성·수요 강점 / 직장수요 상대적 약점</x:v>
      </x:c>
    </x:row>
    <x:row r="414">
      <x:c r="A414" t="str">
        <x:v>3001495</x:v>
      </x:c>
      <x:c r="B414" t="str">
        <x:v>잠실 관광특구</x:v>
      </x:c>
      <x:c r="C414" t="str">
        <x:v>관광특구</x:v>
      </x:c>
      <x:c r="D414" t="str">
        <x:v>송파구</x:v>
      </x:c>
      <x:c r="E414" t="str">
        <x:v>방이2동</x:v>
      </x:c>
      <x:c r="F414" t="str">
        <x:v>CS100005</x:v>
      </x:c>
      <x:c r="G414" t="str">
        <x:v>제과점</x:v>
      </x:c>
      <x:c r="H414" t="n">
        <x:v>7455360972</x:v>
      </x:c>
      <x:c r="I414" t="n">
        <x:v>443702</x:v>
      </x:c>
      <x:c r="J414" t="n">
        <x:v>16802.630982055525</x:v>
      </x:c>
      <x:c r="K414" s="14" t="n">
        <x:v>0.0585657799183672</x:v>
      </x:c>
      <x:c r="L414" s="14" t="n">
        <x:v>0.015772977300780644</x:v>
      </x:c>
      <x:c r="M414" s="14" t="n">
        <x:v>-0.01180050626373963</x:v>
      </x:c>
      <x:c r="N414" t="n">
        <x:v>24</x:v>
      </x:c>
      <x:c r="O414" t="n">
        <x:v>0</x:v>
      </x:c>
      <x:c r="P414" s="14" t="n">
        <x:v>0</x:v>
      </x:c>
      <x:c r="Q414" s="14" t="n">
        <x:v>0.20833333333333334</x:v>
      </x:c>
      <x:c r="R414" s="14" t="n">
        <x:v>0.5</x:v>
      </x:c>
      <x:c r="S414" t="n">
        <x:v>137602</x:v>
      </x:c>
      <x:c r="T414" t="n">
        <x:v>558.7367535430136</x:v>
      </x:c>
      <x:c r="U414" s="14" t="n">
        <x:v>0.6479312627707867</x:v>
      </x:c>
      <x:c r="V414" s="14" t="n">
        <x:v>0.40002290314320677</x:v>
      </x:c>
      <x:c r="W414" s="14" t="n">
        <x:v>0.5519588024583715</x:v>
      </x:c>
      <x:c r="X414" s="14" t="n">
        <x:v>0.6248479333858873</x:v>
      </x:c>
      <x:c r="Y414" s="16" t="n">
        <x:v>99.76689976689977</x:v>
      </x:c>
      <x:c r="Z414" s="16" t="n">
        <x:v>74.44168734491315</x:v>
      </x:c>
      <x:c r="AA414" s="16" t="n">
        <x:v>52.459016393442624</x:v>
      </x:c>
      <x:c r="AB414" s="16" t="n">
        <x:v>38.11188811188811</x:v>
      </x:c>
      <x:c r="AC414" s="16" t="n">
        <x:v>73.54312354312354</x:v>
      </x:c>
      <x:c r="AD414" s="16" t="n">
        <x:v>91.34146341463415</x:v>
      </x:c>
      <x:c r="AE414" s="16" t="n">
        <x:v>75.31377358824122</x:v>
      </x:c>
      <x:c r="AF414" t="str">
        <x:v>검토</x:v>
      </x:c>
      <x:c r="AG414" t="str">
        <x:v>수요·직장수요 강점 / 경쟁여건 상대적 약점</x:v>
      </x:c>
    </x:row>
    <x:row r="415">
      <x:c r="A415" t="str">
        <x:v>3120046</x:v>
      </x:c>
      <x:c r="B415" t="str">
        <x:v>이태원(이태원역)</x:v>
      </x:c>
      <x:c r="C415" t="str">
        <x:v>발달상권</x:v>
      </x:c>
      <x:c r="D415" t="str">
        <x:v>용산구</x:v>
      </x:c>
      <x:c r="E415" t="str">
        <x:v>이태원1동</x:v>
      </x:c>
      <x:c r="F415" t="str">
        <x:v>CS300002</x:v>
      </x:c>
      <x:c r="G415" t="str">
        <x:v>편의점</x:v>
      </x:c>
      <x:c r="H415" t="n">
        <x:v>5952195850</x:v>
      </x:c>
      <x:c r="I415" t="n">
        <x:v>928678</x:v>
      </x:c>
      <x:c r="J415" t="n">
        <x:v>6409.321476335178</x:v>
      </x:c>
      <x:c r="K415" s="14" t="n">
        <x:v>0.07164098296763766</x:v>
      </x:c>
      <x:c r="L415" s="14" t="n">
        <x:v>-0.03570715280155945</x:v>
      </x:c>
      <x:c r="M415" s="14" t="n">
        <x:v>-0.014869839696300402</x:v>
      </x:c>
      <x:c r="N415" t="n">
        <x:v>26</x:v>
      </x:c>
      <x:c r="O415" t="n">
        <x:v>0</x:v>
      </x:c>
      <x:c r="P415" s="14" t="n">
        <x:v>0</x:v>
      </x:c>
      <x:c r="Q415" s="14" t="n">
        <x:v>0.7307692307692307</x:v>
      </x:c>
      <x:c r="R415" s="14" t="n">
        <x:v>0</x:v>
      </x:c>
      <x:c r="S415" t="n">
        <x:v>22140</x:v>
      </x:c>
      <x:c r="T415" t="n">
        <x:v>781.1480123769975</x:v>
      </x:c>
      <x:c r="U415" s="14" t="n">
        <x:v>0.6044307996014614</x:v>
      </x:c>
      <x:c r="V415" s="14" t="n">
        <x:v>0.39095364528369814</x:v>
      </x:c>
      <x:c r="W415" s="14" t="n">
        <x:v>0.662016379383753</x:v>
      </x:c>
      <x:c r="X415" s="14" t="n">
        <x:v>0.30340734117477</x:v>
      </x:c>
      <x:c r="Y415" s="16" t="n">
        <x:v>97.46268656716418</x:v>
      </x:c>
      <x:c r="Z415" s="16" t="n">
        <x:v>89.05775075987842</x:v>
      </x:c>
      <x:c r="AA415" s="16" t="n">
        <x:v>29.508196721311474</x:v>
      </x:c>
      <x:c r="AB415" s="16" t="n">
        <x:v>45.223880597014926</x:v>
      </x:c>
      <x:c r="AC415" s="16" t="n">
        <x:v>74.40298507462687</x:v>
      </x:c>
      <x:c r="AD415" s="16" t="n">
        <x:v>94.6951219512195</x:v>
      </x:c>
      <x:c r="AE415" s="16" t="n">
        <x:v>75.30835665325577</x:v>
      </x:c>
      <x:c r="AF415" t="str">
        <x:v>검토</x:v>
      </x:c>
      <x:c r="AG415" t="str">
        <x:v>수요·직장수요 강점 / 서울 업종추세 상대적 약점</x:v>
      </x:c>
    </x:row>
    <x:row r="416">
      <x:c r="A416" t="str">
        <x:v>3110908</x:v>
      </x:c>
      <x:c r="B416" t="str">
        <x:v>구반포역</x:v>
      </x:c>
      <x:c r="C416" t="str">
        <x:v>골목상권</x:v>
      </x:c>
      <x:c r="D416" t="str">
        <x:v>서초구</x:v>
      </x:c>
      <x:c r="E416" t="str">
        <x:v>반포본동</x:v>
      </x:c>
      <x:c r="F416" t="str">
        <x:v>CS300028</x:v>
      </x:c>
      <x:c r="G416" t="str">
        <x:v>화초</x:v>
      </x:c>
      <x:c r="H416" t="n">
        <x:v>214659405</x:v>
      </x:c>
      <x:c r="I416" t="n">
        <x:v>5318</x:v>
      </x:c>
      <x:c r="J416" t="n">
        <x:v>40364.68691237307</x:v>
      </x:c>
      <x:c r="K416" s="14" t="n">
        <x:v>-0.06485146609873238</x:v>
      </x:c>
      <x:c r="L416" s="14" t="n">
        <x:v>0.028008199294863756</x:v>
      </x:c>
      <x:c r="M416" s="14" t="n">
        <x:v>-0.0030123365554672876</x:v>
      </x:c>
      <x:c r="N416" t="n">
        <x:v>7</x:v>
      </x:c>
      <x:c r="O416" t="n">
        <x:v>0</x:v>
      </x:c>
      <x:c r="P416" s="14" t="n">
        <x:v>0</x:v>
      </x:c>
      <x:c r="Q416" s="14" t="n">
        <x:v>0</x:v>
      </x:c>
      <x:c r="R416" s="14" t="n">
        <x:v>-0.30000000000000004</x:v>
      </x:c>
      <x:c r="S416" t="n">
        <x:v>5670</x:v>
      </x:c>
      <x:c r="T416" t="n">
        <x:v>1973.9590586269321</x:v>
      </x:c>
      <x:c r="U416" s="14" t="n">
        <x:v>0.5990130131964169</x:v>
      </x:c>
      <x:c r="V416" s="14" t="n">
        <x:v>0.2566429083319224</x:v>
      </x:c>
      <x:c r="W416" s="14" t="n">
        <x:v>0.15034181241674457</x:v>
      </x:c>
      <x:c r="X416" s="14" t="n">
        <x:v>0.5489484283253278</x:v>
      </x:c>
      <x:c r="Y416" s="16" t="n">
        <x:v>85.23489932885906</x:v>
      </x:c>
      <x:c r="Z416" s="16" t="n">
        <x:v>46.23287671232877</x:v>
      </x:c>
      <x:c r="AA416" s="16" t="n">
        <x:v>73.77049180327869</x:v>
      </x:c>
      <x:c r="AB416" s="16" t="n">
        <x:v>90.26845637583892</x:v>
      </x:c>
      <x:c r="AC416" s="16" t="n">
        <x:v>66.7785234899329</x:v>
      </x:c>
      <x:c r="AD416" s="16" t="n">
        <x:v>98.59756097560975</x:v>
      </x:c>
      <x:c r="AE416" s="16" t="n">
        <x:v>75.29236273220783</x:v>
      </x:c>
      <x:c r="AF416" t="str">
        <x:v>검토</x:v>
      </x:c>
      <x:c r="AG416" t="str">
        <x:v>직장수요·경쟁여건 강점 / 상권 모멘텀 상대적 약점</x:v>
      </x:c>
    </x:row>
    <x:row r="417">
      <x:c r="A417" t="str">
        <x:v>3110660</x:v>
      </x:c>
      <x:c r="B417" t="str">
        <x:v>등촌3동주민센터</x:v>
      </x:c>
      <x:c r="C417" t="str">
        <x:v>골목상권</x:v>
      </x:c>
      <x:c r="D417" t="str">
        <x:v>강서구</x:v>
      </x:c>
      <x:c r="E417" t="str">
        <x:v>등촌3동</x:v>
      </x:c>
      <x:c r="F417" t="str">
        <x:v>CS200016</x:v>
      </x:c>
      <x:c r="G417" t="str">
        <x:v>당구장</x:v>
      </x:c>
      <x:c r="H417" t="n">
        <x:v>118000804</x:v>
      </x:c>
      <x:c r="I417" t="n">
        <x:v>2034</x:v>
      </x:c>
      <x:c r="J417" t="n">
        <x:v>58014.16125860374</x:v>
      </x:c>
      <x:c r="K417" s="14" t="n">
        <x:v>0.057999833203186135</x:v>
      </x:c>
      <x:c r="L417" s="14" t="n">
        <x:v>0.052763611334009974</x:v>
      </x:c>
      <x:c r="M417" s="14" t="n">
        <x:v>0.07602781601598463</x:v>
      </x:c>
      <x:c r="N417" t="n">
        <x:v>12</x:v>
      </x:c>
      <x:c r="O417" t="n">
        <x:v>0</x:v>
      </x:c>
      <x:c r="P417" s="14" t="n">
        <x:v>0</x:v>
      </x:c>
      <x:c r="Q417" s="14" t="n">
        <x:v>0</x:v>
      </x:c>
      <x:c r="R417" s="14" t="n">
        <x:v>0.19999999999999996</x:v>
      </x:c>
      <x:c r="S417" t="n">
        <x:v>4819</x:v>
      </x:c>
      <x:c r="T417" t="n">
        <x:v>318.0165376518646</x:v>
      </x:c>
      <x:c r="U417" s="14" t="n">
        <x:v>0.7042213373393625</x:v>
      </x:c>
      <x:c r="V417" s="14" t="n">
        <x:v>0.6105672551180245</x:v>
      </x:c>
      <x:c r="W417" s="14" t="n">
        <x:v>0.10333290610460587</x:v>
      </x:c>
      <x:c r="X417" s="14" t="n">
        <x:v>0.473126717001013</x:v>
      </x:c>
      <x:c r="Y417" s="16" t="n">
        <x:v>82.59587020648968</x:v>
      </x:c>
      <x:c r="Z417" s="16" t="n">
        <x:v>72.8395061728395</x:v>
      </x:c>
      <x:c r="AA417" s="16" t="n">
        <x:v>80.32786885245902</x:v>
      </x:c>
      <x:c r="AB417" s="16" t="n">
        <x:v>57.37463126843658</x:v>
      </x:c>
      <x:c r="AC417" s="16" t="n">
        <x:v>69.32153392330383</x:v>
      </x:c>
      <x:c r="AD417" s="16" t="n">
        <x:v>84.51219512195122</x:v>
      </x:c>
      <x:c r="AE417" s="16" t="n">
        <x:v>75.28959397340155</x:v>
      </x:c>
      <x:c r="AF417" t="str">
        <x:v>검토</x:v>
      </x:c>
      <x:c r="AG417" t="str">
        <x:v>직장수요·수요 강점 / 경쟁여건 상대적 약점</x:v>
      </x:c>
    </x:row>
    <x:row r="418">
      <x:c r="A418" t="str">
        <x:v>3120038</x:v>
      </x:c>
      <x:c r="B418" t="str">
        <x:v>약수역</x:v>
      </x:c>
      <x:c r="C418" t="str">
        <x:v>발달상권</x:v>
      </x:c>
      <x:c r="D418" t="str">
        <x:v>중구</x:v>
      </x:c>
      <x:c r="E418" t="str">
        <x:v>다산동</x:v>
      </x:c>
      <x:c r="F418" t="str">
        <x:v>CS300004</x:v>
      </x:c>
      <x:c r="G418" t="str">
        <x:v>핸드폰</x:v>
      </x:c>
      <x:c r="H418" t="n">
        <x:v>772365932</x:v>
      </x:c>
      <x:c r="I418" t="n">
        <x:v>13913</x:v>
      </x:c>
      <x:c r="J418" t="n">
        <x:v>55513.974843671385</x:v>
      </x:c>
      <x:c r="K418" s="14" t="n">
        <x:v>0.12257408738743436</x:v>
      </x:c>
      <x:c r="L418" s="14" t="n">
        <x:v>0.021417847123978317</x:v>
      </x:c>
      <x:c r="M418" s="14" t="n">
        <x:v>-0.06496332404204874</x:v>
      </x:c>
      <x:c r="N418" t="n">
        <x:v>6</x:v>
      </x:c>
      <x:c r="O418" t="n">
        <x:v>0</x:v>
      </x:c>
      <x:c r="P418" s="14" t="n">
        <x:v>0</x:v>
      </x:c>
      <x:c r="Q418" s="14" t="n">
        <x:v>0</x:v>
      </x:c>
      <x:c r="R418" s="14" t="n">
        <x:v>-0.25</x:v>
      </x:c>
      <x:c r="S418" t="n">
        <x:v>8665</x:v>
      </x:c>
      <x:c r="T418" t="n">
        <x:v>633.2351630041583</x:v>
      </x:c>
      <x:c r="U418" s="14" t="n">
        <x:v>0.7885994510695223</x:v>
      </x:c>
      <x:c r="V418" s="14" t="n">
        <x:v>0.24202906323941797</x:v>
      </x:c>
      <x:c r="W418" s="14" t="n">
        <x:v>0.20026312734881216</x:v>
      </x:c>
      <x:c r="X418" s="14" t="n">
        <x:v>0.4453055368578841</x:v>
      </x:c>
      <x:c r="Y418" s="16" t="n">
        <x:v>87.35632183908046</x:v>
      </x:c>
      <x:c r="Z418" s="16" t="n">
        <x:v>57.31707317073171</x:v>
      </x:c>
      <x:c r="AA418" s="16" t="n">
        <x:v>55.73770491803279</x:v>
      </x:c>
      <x:c r="AB418" s="16" t="n">
        <x:v>94.54022988505747</x:v>
      </x:c>
      <x:c r="AC418" s="16" t="n">
        <x:v>60.3448275862069</x:v>
      </x:c>
      <x:c r="AD418" s="16" t="n">
        <x:v>93.23170731707317</x:v>
      </x:c>
      <x:c r="AE418" s="16" t="n">
        <x:v>75.27588562276239</x:v>
      </x:c>
      <x:c r="AF418" t="str">
        <x:v>검토</x:v>
      </x:c>
      <x:c r="AG418" t="str">
        <x:v>경쟁여건·직장수요 강점 / 서울 업종추세 상대적 약점</x:v>
      </x:c>
    </x:row>
    <x:row r="419">
      <x:c r="A419" t="str">
        <x:v>3120059</x:v>
      </x:c>
      <x:c r="B419" t="str">
        <x:v>구삼강변맛길</x:v>
      </x:c>
      <x:c r="C419" t="str">
        <x:v>발달상권</x:v>
      </x:c>
      <x:c r="D419" t="str">
        <x:v>광진구</x:v>
      </x:c>
      <x:c r="E419" t="str">
        <x:v>구의3동</x:v>
      </x:c>
      <x:c r="F419" t="str">
        <x:v>CS200003</x:v>
      </x:c>
      <x:c r="G419" t="str">
        <x:v>예술학원</x:v>
      </x:c>
      <x:c r="H419" t="n">
        <x:v>248086611</x:v>
      </x:c>
      <x:c r="I419" t="n">
        <x:v>1259</x:v>
      </x:c>
      <x:c r="J419" t="n">
        <x:v>197050.52501985704</x:v>
      </x:c>
      <x:c r="K419" s="14" t="n">
        <x:v>0.22228519866904106</x:v>
      </x:c>
      <x:c r="L419" s="14" t="n">
        <x:v>0.09364146198394163</x:v>
      </x:c>
      <x:c r="M419" s="14" t="n">
        <x:v>0.053788091189524545</x:v>
      </x:c>
      <x:c r="N419" t="n">
        <x:v>39</x:v>
      </x:c>
      <x:c r="O419" t="n">
        <x:v>0</x:v>
      </x:c>
      <x:c r="P419" s="14" t="n">
        <x:v>0</x:v>
      </x:c>
      <x:c r="Q419" s="14" t="n">
        <x:v>0.05128205128205128</x:v>
      </x:c>
      <x:c r="R419" s="14" t="n">
        <x:v>0.11428571428571432</x:v>
      </x:c>
      <x:c r="S419" t="n">
        <x:v>3984</x:v>
      </x:c>
      <x:c r="T419" t="n">
        <x:v>365.6354108350694</x:v>
      </x:c>
      <x:c r="U419" s="14" t="n">
        <x:v>0.7574732277672171</x:v>
      </x:c>
      <x:c r="V419" s="14" t="n">
        <x:v>0.3743697236446186</x:v>
      </x:c>
      <x:c r="W419" s="14" t="n">
        <x:v>0.43113822857614836</x:v>
      </x:c>
      <x:c r="X419" s="14" t="n">
        <x:v>0.7451291960290433</x:v>
      </x:c>
      <x:c r="Y419" s="16" t="n">
        <x:v>82.07171314741036</x:v>
      </x:c>
      <x:c r="Z419" s="16" t="n">
        <x:v>85.2760736196319</x:v>
      </x:c>
      <x:c r="AA419" s="16" t="n">
        <x:v>88.52459016393442</x:v>
      </x:c>
      <x:c r="AB419" s="16" t="n">
        <x:v>30.37848605577689</x:v>
      </x:c>
      <x:c r="AC419" s="16" t="n">
        <x:v>73.20717131474103</x:v>
      </x:c>
      <x:c r="AD419" s="16" t="n">
        <x:v>86.46341463414635</x:v>
      </x:c>
      <x:c r="AE419" s="16" t="n">
        <x:v>75.25966362165813</x:v>
      </x:c>
      <x:c r="AF419" t="str">
        <x:v>검토</x:v>
      </x:c>
      <x:c r="AG419" t="str">
        <x:v>서울 업종추세·직장수요 강점 / 경쟁여건 상대적 약점</x:v>
      </x:c>
    </x:row>
    <x:row r="420">
      <x:c r="A420" t="str">
        <x:v>3110488</x:v>
      </x:c>
      <x:c r="B420" t="str">
        <x:v>우리은행응암동지점</x:v>
      </x:c>
      <x:c r="C420" t="str">
        <x:v>골목상권</x:v>
      </x:c>
      <x:c r="D420" t="str">
        <x:v>은평구</x:v>
      </x:c>
      <x:c r="E420" t="str">
        <x:v>응암1동</x:v>
      </x:c>
      <x:c r="F420" t="str">
        <x:v>CS200003</x:v>
      </x:c>
      <x:c r="G420" t="str">
        <x:v>예술학원</x:v>
      </x:c>
      <x:c r="H420" t="n">
        <x:v>369731504</x:v>
      </x:c>
      <x:c r="I420" t="n">
        <x:v>1184</x:v>
      </x:c>
      <x:c r="J420" t="n">
        <x:v>312273.2297297297</x:v>
      </x:c>
      <x:c r="K420" s="14" t="n">
        <x:v>0.19170974149084996</x:v>
      </x:c>
      <x:c r="L420" s="14" t="n">
        <x:v>0.09364146198394163</x:v>
      </x:c>
      <x:c r="M420" s="14" t="n">
        <x:v>0.053788091189524545</x:v>
      </x:c>
      <x:c r="N420" t="n">
        <x:v>33</x:v>
      </x:c>
      <x:c r="O420" t="n">
        <x:v>0</x:v>
      </x:c>
      <x:c r="P420" s="14" t="n">
        <x:v>0</x:v>
      </x:c>
      <x:c r="Q420" s="14" t="n">
        <x:v>0.15151515151515152</x:v>
      </x:c>
      <x:c r="R420" s="14" t="n">
        <x:v>0.4347826086956521</x:v>
      </x:c>
      <x:c r="S420" t="n">
        <x:v>299</x:v>
      </x:c>
      <x:c r="T420" t="n">
        <x:v>31.982030163653867</x:v>
      </x:c>
      <x:c r="U420" s="14" t="n">
        <x:v>0.9898000820617114</x:v>
      </x:c>
      <x:c r="V420" s="14" t="n">
        <x:v>0.22660474991603638</x:v>
      </x:c>
      <x:c r="W420" s="14" t="n">
        <x:v>0</x:v>
      </x:c>
      <x:c r="X420" s="14" t="n">
        <x:v>0.11579955869814113</x:v>
      </x:c>
      <x:c r="Y420" s="16" t="n">
        <x:v>87.84860557768924</x:v>
      </x:c>
      <x:c r="Z420" s="16" t="n">
        <x:v>81.79959100204499</x:v>
      </x:c>
      <x:c r="AA420" s="16" t="n">
        <x:v>88.52459016393442</x:v>
      </x:c>
      <x:c r="AB420" s="16" t="n">
        <x:v>42.62948207171315</x:v>
      </x:c>
      <x:c r="AC420" s="16" t="n">
        <x:v>73.20717131474103</x:v>
      </x:c>
      <x:c r="AD420" s="16" t="n">
        <x:v>23.109756097560975</x:v>
      </x:c>
      <x:c r="AE420" s="16" t="n">
        <x:v>75.2562459242995</x:v>
      </x:c>
      <x:c r="AF420" t="str">
        <x:v>검토</x:v>
      </x:c>
      <x:c r="AG420" t="str">
        <x:v>서울 업종추세·수요 강점 / 직장수요 상대적 약점</x:v>
      </x:c>
    </x:row>
    <x:row r="421">
      <x:c r="A421" t="str">
        <x:v>3120032</x:v>
      </x:c>
      <x:c r="B421" t="str">
        <x:v>충무로역</x:v>
      </x:c>
      <x:c r="C421" t="str">
        <x:v>발달상권</x:v>
      </x:c>
      <x:c r="D421" t="str">
        <x:v>중구</x:v>
      </x:c>
      <x:c r="E421" t="str">
        <x:v>필동</x:v>
      </x:c>
      <x:c r="F421" t="str">
        <x:v>CS100002</x:v>
      </x:c>
      <x:c r="G421" t="str">
        <x:v>중식음식점</x:v>
      </x:c>
      <x:c r="H421" t="n">
        <x:v>3008641981</x:v>
      </x:c>
      <x:c r="I421" t="n">
        <x:v>57304</x:v>
      </x:c>
      <x:c r="J421" t="n">
        <x:v>52503.17571199218</x:v>
      </x:c>
      <x:c r="K421" s="14" t="n">
        <x:v>0.08500303577291546</x:v>
      </x:c>
      <x:c r="L421" s="14" t="n">
        <x:v>-0.02375238205614094</x:v>
      </x:c>
      <x:c r="M421" s="14" t="n">
        <x:v>0.025085263877023367</x:v>
      </x:c>
      <x:c r="N421" t="n">
        <x:v>21</x:v>
      </x:c>
      <x:c r="O421" t="n">
        <x:v>0</x:v>
      </x:c>
      <x:c r="P421" s="14" t="n">
        <x:v>0</x:v>
      </x:c>
      <x:c r="Q421" s="14" t="n">
        <x:v>0.047619047619047616</x:v>
      </x:c>
      <x:c r="R421" s="14" t="n">
        <x:v>0.3999999999999999</x:v>
      </x:c>
      <x:c r="S421" t="n">
        <x:v>12883</x:v>
      </x:c>
      <x:c r="T421" t="n">
        <x:v>544.6988787227925</x:v>
      </x:c>
      <x:c r="U421" s="14" t="n">
        <x:v>0.9009934223210588</x:v>
      </x:c>
      <x:c r="V421" s="14" t="n">
        <x:v>0.4706180944564836</x:v>
      </x:c>
      <x:c r="W421" s="14" t="n">
        <x:v>0.19344778031932938</x:v>
      </x:c>
      <x:c r="X421" s="14" t="n">
        <x:v>0.21293635070101083</x:v>
      </x:c>
      <x:c r="Y421" s="16" t="n">
        <x:v>96.5675057208238</x:v>
      </x:c>
      <x:c r="Z421" s="16" t="n">
        <x:v>86.7132867132867</x:v>
      </x:c>
      <x:c r="AA421" s="16" t="n">
        <x:v>32.78688524590164</x:v>
      </x:c>
      <x:c r="AB421" s="16" t="n">
        <x:v>46.796338672768876</x:v>
      </x:c>
      <x:c r="AC421" s="16" t="n">
        <x:v>76.3157894736842</x:v>
      </x:c>
      <x:c r="AD421" s="16" t="n">
        <x:v>90.91463414634147</x:v>
      </x:c>
      <x:c r="AE421" s="16" t="n">
        <x:v>75.25607858743174</x:v>
      </x:c>
      <x:c r="AF421" t="str">
        <x:v>검토</x:v>
      </x:c>
      <x:c r="AG421" t="str">
        <x:v>수요·직장수요 강점 / 서울 업종추세 상대적 약점</x:v>
      </x:c>
    </x:row>
    <x:row r="422">
      <x:c r="A422" t="str">
        <x:v>3130196</x:v>
      </x:c>
      <x:c r="B422" t="str">
        <x:v>공덕시장</x:v>
      </x:c>
      <x:c r="C422" t="str">
        <x:v>전통시장</x:v>
      </x:c>
      <x:c r="D422" t="str">
        <x:v>마포구</x:v>
      </x:c>
      <x:c r="E422" t="str">
        <x:v>공덕동</x:v>
      </x:c>
      <x:c r="F422" t="str">
        <x:v>CS300009</x:v>
      </x:c>
      <x:c r="G422" t="str">
        <x:v>청과상</x:v>
      </x:c>
      <x:c r="H422" t="n">
        <x:v>1112160034</x:v>
      </x:c>
      <x:c r="I422" t="n">
        <x:v>23648</x:v>
      </x:c>
      <x:c r="J422" t="n">
        <x:v>47029.77139715832</x:v>
      </x:c>
      <x:c r="K422" s="14" t="n">
        <x:v>0.14459865811345973</x:v>
      </x:c>
      <x:c r="L422" s="14" t="n">
        <x:v>0.19728256051488424</x:v>
      </x:c>
      <x:c r="M422" s="14" t="n">
        <x:v>0.09797365727115581</x:v>
      </x:c>
      <x:c r="N422" t="n">
        <x:v>20</x:v>
      </x:c>
      <x:c r="O422" t="n">
        <x:v>0</x:v>
      </x:c>
      <x:c r="P422" s="14" t="n">
        <x:v>0</x:v>
      </x:c>
      <x:c r="Q422" s="14" t="n">
        <x:v>0</x:v>
      </x:c>
      <x:c r="R422" s="14" t="n">
        <x:v>-0.23076923076923073</x:v>
      </x:c>
      <x:c r="S422" t="n">
        <x:v>473</x:v>
      </x:c>
      <x:c r="T422" t="n">
        <x:v>636.951252356585</x:v>
      </x:c>
      <x:c r="U422" s="14" t="n">
        <x:v>0.8947826846653257</x:v>
      </x:c>
      <x:c r="V422" s="14" t="n">
        <x:v>0.18284024581304098</x:v>
      </x:c>
      <x:c r="W422" s="14" t="n">
        <x:v>0.4924659934327401</x:v>
      </x:c>
      <x:c r="X422" s="14" t="n">
        <x:v>0.8657697926232081</x:v>
      </x:c>
      <x:c r="Y422" s="16" t="n">
        <x:v>74.35897435897436</x:v>
      </x:c>
      <x:c r="Z422" s="16" t="n">
        <x:v>82.44274809160305</x:v>
      </x:c>
      <x:c r="AA422" s="16" t="n">
        <x:v>95.08196721311475</x:v>
      </x:c>
      <x:c r="AB422" s="16" t="n">
        <x:v>45.604395604395606</x:v>
      </x:c>
      <x:c r="AC422" s="16" t="n">
        <x:v>69.5970695970696</x:v>
      </x:c>
      <x:c r="AD422" s="16" t="n">
        <x:v>93.29268292682927</x:v>
      </x:c>
      <x:c r="AE422" s="16" t="n">
        <x:v>75.24148617263663</x:v>
      </x:c>
      <x:c r="AF422" t="str">
        <x:v>검토</x:v>
      </x:c>
      <x:c r="AG422" t="str">
        <x:v>서울 업종추세·직장수요 강점 / 경쟁여건 상대적 약점</x:v>
      </x:c>
    </x:row>
    <x:row r="423">
      <x:c r="A423" t="str">
        <x:v>3120227</x:v>
      </x:c>
      <x:c r="B423" t="str">
        <x:v>잠실역</x:v>
      </x:c>
      <x:c r="C423" t="str">
        <x:v>발달상권</x:v>
      </x:c>
      <x:c r="D423" t="str">
        <x:v>송파구</x:v>
      </x:c>
      <x:c r="E423" t="str">
        <x:v>잠실6동</x:v>
      </x:c>
      <x:c r="F423" t="str">
        <x:v>CS300028</x:v>
      </x:c>
      <x:c r="G423" t="str">
        <x:v>화초</x:v>
      </x:c>
      <x:c r="H423" t="n">
        <x:v>184947117</x:v>
      </x:c>
      <x:c r="I423" t="n">
        <x:v>4053</x:v>
      </x:c>
      <x:c r="J423" t="n">
        <x:v>45632.15321983716</x:v>
      </x:c>
      <x:c r="K423" s="14" t="n">
        <x:v>0.00791429114331299</x:v>
      </x:c>
      <x:c r="L423" s="14" t="n">
        <x:v>0.028008199294863756</x:v>
      </x:c>
      <x:c r="M423" s="14" t="n">
        <x:v>-0.0030123365554672876</x:v>
      </x:c>
      <x:c r="N423" t="n">
        <x:v>14</x:v>
      </x:c>
      <x:c r="O423" t="n">
        <x:v>0</x:v>
      </x:c>
      <x:c r="P423" s="14" t="n">
        <x:v>0</x:v>
      </x:c>
      <x:c r="Q423" s="14" t="n">
        <x:v>0.07142857142857142</x:v>
      </x:c>
      <x:c r="R423" s="14" t="n">
        <x:v>0.75</x:v>
      </x:c>
      <x:c r="S423" t="n">
        <x:v>110575</x:v>
      </x:c>
      <x:c r="T423" t="n">
        <x:v>2098.727003209539</x:v>
      </x:c>
      <x:c r="U423" s="14" t="n">
        <x:v>0.7157473019706493</x:v>
      </x:c>
      <x:c r="V423" s="14" t="n">
        <x:v>0.45322644850960286</x:v>
      </x:c>
      <x:c r="W423" s="14" t="n">
        <x:v>0.410890779119309</x:v>
      </x:c>
      <x:c r="X423" s="14" t="n">
        <x:v>0.5209612107659942</x:v>
      </x:c>
      <x:c r="Y423" s="16" t="n">
        <x:v>83.55704697986577</x:v>
      </x:c>
      <x:c r="Z423" s="16" t="n">
        <x:v>68.83561643835617</x:v>
      </x:c>
      <x:c r="AA423" s="16" t="n">
        <x:v>73.77049180327869</x:v>
      </x:c>
      <x:c r="AB423" s="16" t="n">
        <x:v>63.59060402684564</x:v>
      </x:c>
      <x:c r="AC423" s="16" t="n">
        <x:v>66.7785234899329</x:v>
      </x:c>
      <x:c r="AD423" s="16" t="n">
        <x:v>98.90243902439025</x:v>
      </x:c>
      <x:c r="AE423" s="16" t="n">
        <x:v>75.2392284053557</x:v>
      </x:c>
      <x:c r="AF423" t="str">
        <x:v>검토</x:v>
      </x:c>
      <x:c r="AG423" t="str">
        <x:v>직장수요·수요 강점 / 경쟁여건 상대적 약점</x:v>
      </x:c>
    </x:row>
    <x:row r="424">
      <x:c r="A424" t="str">
        <x:v>3120234</x:v>
      </x:c>
      <x:c r="B424" t="str">
        <x:v>가락시장역</x:v>
      </x:c>
      <x:c r="C424" t="str">
        <x:v>발달상권</x:v>
      </x:c>
      <x:c r="D424" t="str">
        <x:v>송파구</x:v>
      </x:c>
      <x:c r="E424" t="str">
        <x:v>가락본동</x:v>
      </x:c>
      <x:c r="F424" t="str">
        <x:v>CS300007</x:v>
      </x:c>
      <x:c r="G424" t="str">
        <x:v>육류판매</x:v>
      </x:c>
      <x:c r="H424" t="n">
        <x:v>5919434903</x:v>
      </x:c>
      <x:c r="I424" t="n">
        <x:v>72210</x:v>
      </x:c>
      <x:c r="J424" t="n">
        <x:v>81975.27908876888</x:v>
      </x:c>
      <x:c r="K424" s="14" t="n">
        <x:v>0.04861761672574905</x:v>
      </x:c>
      <x:c r="L424" s="14" t="n">
        <x:v>0.23518223683931017</x:v>
      </x:c>
      <x:c r="M424" s="14" t="n">
        <x:v>0.00863079289162072</x:v>
      </x:c>
      <x:c r="N424" t="n">
        <x:v>27</x:v>
      </x:c>
      <x:c r="O424" t="n">
        <x:v>0</x:v>
      </x:c>
      <x:c r="P424" s="14" t="n">
        <x:v>0</x:v>
      </x:c>
      <x:c r="Q424" s="14" t="n">
        <x:v>0</x:v>
      </x:c>
      <x:c r="R424" s="14" t="n">
        <x:v>-0.09999999999999998</x:v>
      </x:c>
      <x:c r="S424" t="n">
        <x:v>11587</x:v>
      </x:c>
      <x:c r="T424" t="n">
        <x:v>701.409235090438</x:v>
      </x:c>
      <x:c r="U424" s="14" t="n">
        <x:v>0.7535027322860653</x:v>
      </x:c>
      <x:c r="V424" s="14" t="n">
        <x:v>0.4639426146249488</x:v>
      </x:c>
      <x:c r="W424" s="14" t="n">
        <x:v>0.17041911508964186</x:v>
      </x:c>
      <x:c r="X424" s="14" t="n">
        <x:v>0.29163730952173966</x:v>
      </x:c>
      <x:c r="Y424" s="16" t="n">
        <x:v>95.04950495049505</x:v>
      </x:c>
      <x:c r="Z424" s="16" t="n">
        <x:v>64.67532467532467</x:v>
      </x:c>
      <x:c r="AA424" s="16" t="n">
        <x:v>100</x:v>
      </x:c>
      <x:c r="AB424" s="16" t="n">
        <x:v>17.698019801980195</x:v>
      </x:c>
      <x:c r="AC424" s="16" t="n">
        <x:v>66.83168316831683</x:v>
      </x:c>
      <x:c r="AD424" s="16" t="n">
        <x:v>93.96341463414635</x:v>
      </x:c>
      <x:c r="AE424" s="16" t="n">
        <x:v>75.23843368657424</x:v>
      </x:c>
      <x:c r="AF424" t="str">
        <x:v>검토</x:v>
      </x:c>
      <x:c r="AG424" t="str">
        <x:v>서울 업종추세·수요 강점 / 경쟁여건 상대적 약점</x:v>
      </x:c>
    </x:row>
    <x:row r="425">
      <x:c r="A425" t="str">
        <x:v>3120213</x:v>
      </x:c>
      <x:c r="B425" t="str">
        <x:v>삼성중앙역</x:v>
      </x:c>
      <x:c r="C425" t="str">
        <x:v>발달상권</x:v>
      </x:c>
      <x:c r="D425" t="str">
        <x:v>강남구</x:v>
      </x:c>
      <x:c r="E425" t="str">
        <x:v>삼성2동</x:v>
      </x:c>
      <x:c r="F425" t="str">
        <x:v>CS100009</x:v>
      </x:c>
      <x:c r="G425" t="str">
        <x:v>호프-간이주점</x:v>
      </x:c>
      <x:c r="H425" t="n">
        <x:v>5527836093</x:v>
      </x:c>
      <x:c r="I425" t="n">
        <x:v>41003</x:v>
      </x:c>
      <x:c r="J425" t="n">
        <x:v>134815.4060190718</x:v>
      </x:c>
      <x:c r="K425" s="14" t="n">
        <x:v>0.14707177616848943</x:v>
      </x:c>
      <x:c r="L425" s="14" t="n">
        <x:v>-0.09956754672050205</x:v>
      </x:c>
      <x:c r="M425" s="14" t="n">
        <x:v>0.017869323230272016</x:v>
      </x:c>
      <x:c r="N425" t="n">
        <x:v>38</x:v>
      </x:c>
      <x:c r="O425" t="n">
        <x:v>0</x:v>
      </x:c>
      <x:c r="P425" s="14" t="n">
        <x:v>0</x:v>
      </x:c>
      <x:c r="Q425" s="14" t="n">
        <x:v>0.13157894736842105</x:v>
      </x:c>
      <x:c r="R425" s="14" t="n">
        <x:v>-0.19148936170212771</x:v>
      </x:c>
      <x:c r="S425" t="n">
        <x:v>19227</x:v>
      </x:c>
      <x:c r="T425" t="n">
        <x:v>839.8820574423937</x:v>
      </x:c>
      <x:c r="U425" s="14" t="n">
        <x:v>0.8429810494744711</x:v>
      </x:c>
      <x:c r="V425" s="14" t="n">
        <x:v>0.70725055649728</x:v>
      </x:c>
      <x:c r="W425" s="14" t="n">
        <x:v>0.2930420708478123</x:v>
      </x:c>
      <x:c r="X425" s="14" t="n">
        <x:v>0.1546646735930996</x:v>
      </x:c>
      <x:c r="Y425" s="16" t="n">
        <x:v>96.93530079455165</x:v>
      </x:c>
      <x:c r="Z425" s="16" t="n">
        <x:v>87.6300578034682</x:v>
      </x:c>
      <x:c r="AA425" s="16" t="n">
        <x:v>13.114754098360656</x:v>
      </x:c>
      <x:c r="AB425" s="16" t="n">
        <x:v>55.61861520998865</x:v>
      </x:c>
      <x:c r="AC425" s="16" t="n">
        <x:v>86.83314415437003</x:v>
      </x:c>
      <x:c r="AD425" s="16" t="n">
        <x:v>95.54878048780488</x:v>
      </x:c>
      <x:c r="AE425" s="16" t="n">
        <x:v>75.22412567486637</x:v>
      </x:c>
      <x:c r="AF425" t="str">
        <x:v>검토</x:v>
      </x:c>
      <x:c r="AG425" t="str">
        <x:v>수요·직장수요 강점 / 서울 업종추세 상대적 약점</x:v>
      </x:c>
    </x:row>
    <x:row r="426">
      <x:c r="A426" t="str">
        <x:v>3001496</x:v>
      </x:c>
      <x:c r="B426" t="str">
        <x:v>강남 마이스 관광특구</x:v>
      </x:c>
      <x:c r="C426" t="str">
        <x:v>관광특구</x:v>
      </x:c>
      <x:c r="D426" t="str">
        <x:v>강남구</x:v>
      </x:c>
      <x:c r="E426" t="str">
        <x:v>삼성1동</x:v>
      </x:c>
      <x:c r="F426" t="str">
        <x:v>CS300004</x:v>
      </x:c>
      <x:c r="G426" t="str">
        <x:v>핸드폰</x:v>
      </x:c>
      <x:c r="H426" t="n">
        <x:v>1081234992</x:v>
      </x:c>
      <x:c r="I426" t="n">
        <x:v>7281</x:v>
      </x:c>
      <x:c r="J426" t="n">
        <x:v>148500.89163576433</x:v>
      </x:c>
      <x:c r="K426" s="14" t="n">
        <x:v>0.5979138190342321</x:v>
      </x:c>
      <x:c r="L426" s="14" t="n">
        <x:v>0.021417847123978317</x:v>
      </x:c>
      <x:c r="M426" s="14" t="n">
        <x:v>-0.06496332404204874</x:v>
      </x:c>
      <x:c r="N426" t="n">
        <x:v>18</x:v>
      </x:c>
      <x:c r="O426" t="n">
        <x:v>0</x:v>
      </x:c>
      <x:c r="P426" s="14" t="n">
        <x:v>0</x:v>
      </x:c>
      <x:c r="Q426" s="14" t="n">
        <x:v>0</x:v>
      </x:c>
      <x:c r="R426" s="14" t="n">
        <x:v>-0.052631578947368474</x:v>
      </x:c>
      <x:c r="S426" t="n">
        <x:v>102032</x:v>
      </x:c>
      <x:c r="T426" t="n">
        <x:v>4289.005094748878</x:v>
      </x:c>
      <x:c r="U426" s="14" t="n">
        <x:v>0.960171692260585</x:v>
      </x:c>
      <x:c r="V426" s="14" t="n">
        <x:v>0.1818274912064629</x:v>
      </x:c>
      <x:c r="W426" s="14" t="n">
        <x:v>0.07979662019669448</x:v>
      </x:c>
      <x:c r="X426" s="14" t="n">
        <x:v>0.11743817110943076</x:v>
      </x:c>
      <x:c r="Y426" s="16" t="n">
        <x:v>89.94252873563218</x:v>
      </x:c>
      <x:c r="Z426" s="16" t="n">
        <x:v>81.40243902439025</x:v>
      </x:c>
      <x:c r="AA426" s="16" t="n">
        <x:v>55.73770491803279</x:v>
      </x:c>
      <x:c r="AB426" s="16" t="n">
        <x:v>53.735632183908045</x:v>
      </x:c>
      <x:c r="AC426" s="16" t="n">
        <x:v>60.3448275862069</x:v>
      </x:c>
      <x:c r="AD426" s="16" t="n">
        <x:v>99.9390243902439</x:v>
      </x:c>
      <x:c r="AE426" s="16" t="n">
        <x:v>75.21280740577333</x:v>
      </x:c>
      <x:c r="AF426" t="str">
        <x:v>검토</x:v>
      </x:c>
      <x:c r="AG426" t="str">
        <x:v>직장수요·수요 강점 / 경쟁여건 상대적 약점</x:v>
      </x:c>
    </x:row>
    <x:row r="427">
      <x:c r="A427" t="str">
        <x:v>3120113</x:v>
      </x:c>
      <x:c r="B427" t="str">
        <x:v>오목교역</x:v>
      </x:c>
      <x:c r="C427" t="str">
        <x:v>발달상권</x:v>
      </x:c>
      <x:c r="D427" t="str">
        <x:v>양천구</x:v>
      </x:c>
      <x:c r="E427" t="str">
        <x:v>목1동</x:v>
      </x:c>
      <x:c r="F427" t="str">
        <x:v>CS200030</x:v>
      </x:c>
      <x:c r="G427" t="str">
        <x:v>피부관리실</x:v>
      </x:c>
      <x:c r="H427" t="n">
        <x:v>280314148</x:v>
      </x:c>
      <x:c r="I427" t="n">
        <x:v>1371</x:v>
      </x:c>
      <x:c r="J427" t="n">
        <x:v>204459.62654996352</x:v>
      </x:c>
      <x:c r="K427" s="14" t="n">
        <x:v>0.2244893046644807</x:v>
      </x:c>
      <x:c r="L427" s="14" t="n">
        <x:v>0.11857168683779085</x:v>
      </x:c>
      <x:c r="M427" s="14" t="n">
        <x:v>0.0314283578178467</x:v>
      </x:c>
      <x:c r="N427" t="n">
        <x:v>53</x:v>
      </x:c>
      <x:c r="O427" t="n">
        <x:v>0</x:v>
      </x:c>
      <x:c r="P427" s="14" t="n">
        <x:v>0</x:v>
      </x:c>
      <x:c r="Q427" s="14" t="n">
        <x:v>0.09433962264150944</x:v>
      </x:c>
      <x:c r="R427" s="14" t="n">
        <x:v>0.26190476190476186</x:v>
      </x:c>
      <x:c r="S427" t="n">
        <x:v>5101</x:v>
      </x:c>
      <x:c r="T427" t="n">
        <x:v>362.4079060481837</x:v>
      </x:c>
      <x:c r="U427" s="14" t="n">
        <x:v>0.8608289047187158</x:v>
      </x:c>
      <x:c r="V427" s="14" t="n">
        <x:v>0.5674689134848805</x:v>
      </x:c>
      <x:c r="W427" s="14" t="n">
        <x:v>0.6060926436007076</x:v>
      </x:c>
      <x:c r="X427" s="14" t="n">
        <x:v>0.840617085085552</x:v>
      </x:c>
      <x:c r="Y427" s="16" t="n">
        <x:v>87.84119106699752</x:v>
      </x:c>
      <x:c r="Z427" s="16" t="n">
        <x:v>74.0053050397878</x:v>
      </x:c>
      <x:c r="AA427" s="16" t="n">
        <x:v>91.80327868852459</x:v>
      </x:c>
      <x:c r="AB427" s="16" t="n">
        <x:v>24.44168734491315</x:v>
      </x:c>
      <x:c r="AC427" s="16" t="n">
        <x:v>79.15632754342431</x:v>
      </x:c>
      <x:c r="AD427" s="16" t="n">
        <x:v>86.21951219512195</x:v>
      </x:c>
      <x:c r="AE427" s="16" t="n">
        <x:v>75.20883115052088</x:v>
      </x:c>
      <x:c r="AF427" t="str">
        <x:v>검토</x:v>
      </x:c>
      <x:c r="AG427" t="str">
        <x:v>서울 업종추세·수요 강점 / 경쟁여건 상대적 약점</x:v>
      </x:c>
    </x:row>
    <x:row r="428">
      <x:c r="A428" t="str">
        <x:v>3120218</x:v>
      </x:c>
      <x:c r="B428" t="str">
        <x:v>코엑스</x:v>
      </x:c>
      <x:c r="C428" t="str">
        <x:v>발달상권</x:v>
      </x:c>
      <x:c r="D428" t="str">
        <x:v>강남구</x:v>
      </x:c>
      <x:c r="E428" t="str">
        <x:v>삼성1동</x:v>
      </x:c>
      <x:c r="F428" t="str">
        <x:v>CS300004</x:v>
      </x:c>
      <x:c r="G428" t="str">
        <x:v>핸드폰</x:v>
      </x:c>
      <x:c r="H428" t="n">
        <x:v>1081234992</x:v>
      </x:c>
      <x:c r="I428" t="n">
        <x:v>7281</x:v>
      </x:c>
      <x:c r="J428" t="n">
        <x:v>148500.89163576433</x:v>
      </x:c>
      <x:c r="K428" s="14" t="n">
        <x:v>0.5979138190342321</x:v>
      </x:c>
      <x:c r="L428" s="14" t="n">
        <x:v>0.021417847123978317</x:v>
      </x:c>
      <x:c r="M428" s="14" t="n">
        <x:v>-0.06496332404204874</x:v>
      </x:c>
      <x:c r="N428" t="n">
        <x:v>18</x:v>
      </x:c>
      <x:c r="O428" t="n">
        <x:v>0</x:v>
      </x:c>
      <x:c r="P428" s="14" t="n">
        <x:v>0</x:v>
      </x:c>
      <x:c r="Q428" s="14" t="n">
        <x:v>0</x:v>
      </x:c>
      <x:c r="R428" s="14" t="n">
        <x:v>-0.052631578947368474</x:v>
      </x:c>
      <x:c r="S428" t="n">
        <x:v>52540</x:v>
      </x:c>
      <x:c r="T428" t="n">
        <x:v>3613.5794657349584</x:v>
      </x:c>
      <x:c r="U428" s="14" t="n">
        <x:v>0.960171692260585</x:v>
      </x:c>
      <x:c r="V428" s="14" t="n">
        <x:v>0.1818274912064629</x:v>
      </x:c>
      <x:c r="W428" s="14" t="n">
        <x:v>0.07979662019669448</x:v>
      </x:c>
      <x:c r="X428" s="14" t="n">
        <x:v>0.11743817110943076</x:v>
      </x:c>
      <x:c r="Y428" s="16" t="n">
        <x:v>89.94252873563218</x:v>
      </x:c>
      <x:c r="Z428" s="16" t="n">
        <x:v>81.40243902439025</x:v>
      </x:c>
      <x:c r="AA428" s="16" t="n">
        <x:v>55.73770491803279</x:v>
      </x:c>
      <x:c r="AB428" s="16" t="n">
        <x:v>53.735632183908045</x:v>
      </x:c>
      <x:c r="AC428" s="16" t="n">
        <x:v>60.3448275862069</x:v>
      </x:c>
      <x:c r="AD428" s="16" t="n">
        <x:v>99.8170731707317</x:v>
      </x:c>
      <x:c r="AE428" s="16" t="n">
        <x:v>75.20670984479771</x:v>
      </x:c>
      <x:c r="AF428" t="str">
        <x:v>검토</x:v>
      </x:c>
      <x:c r="AG428" t="str">
        <x:v>직장수요·수요 강점 / 경쟁여건 상대적 약점</x:v>
      </x:c>
    </x:row>
    <x:row r="429">
      <x:c r="A429" t="str">
        <x:v>3120215</x:v>
      </x:c>
      <x:c r="B429" t="str">
        <x:v>포스코사거리</x:v>
      </x:c>
      <x:c r="C429" t="str">
        <x:v>발달상권</x:v>
      </x:c>
      <x:c r="D429" t="str">
        <x:v>강남구</x:v>
      </x:c>
      <x:c r="E429" t="str">
        <x:v>삼성2동</x:v>
      </x:c>
      <x:c r="F429" t="str">
        <x:v>CS100009</x:v>
      </x:c>
      <x:c r="G429" t="str">
        <x:v>호프-간이주점</x:v>
      </x:c>
      <x:c r="H429" t="n">
        <x:v>5452249466</x:v>
      </x:c>
      <x:c r="I429" t="n">
        <x:v>76542</x:v>
      </x:c>
      <x:c r="J429" t="n">
        <x:v>71232.12701523346</x:v>
      </x:c>
      <x:c r="K429" s="14" t="n">
        <x:v>0.1366270715668374</x:v>
      </x:c>
      <x:c r="L429" s="14" t="n">
        <x:v>-0.09956754672050205</x:v>
      </x:c>
      <x:c r="M429" s="14" t="n">
        <x:v>0.017869323230272016</x:v>
      </x:c>
      <x:c r="N429" t="n">
        <x:v>38</x:v>
      </x:c>
      <x:c r="O429" t="n">
        <x:v>0</x:v>
      </x:c>
      <x:c r="P429" s="14" t="n">
        <x:v>0</x:v>
      </x:c>
      <x:c r="Q429" s="14" t="n">
        <x:v>0.13157894736842105</x:v>
      </x:c>
      <x:c r="R429" s="14" t="n">
        <x:v>-0.19148936170212771</x:v>
      </x:c>
      <x:c r="S429" t="n">
        <x:v>94741</x:v>
      </x:c>
      <x:c r="T429" t="n">
        <x:v>2973.4233866664995</x:v>
      </x:c>
      <x:c r="U429" s="14" t="n">
        <x:v>0.9272537565506912</x:v>
      </x:c>
      <x:c r="V429" s="14" t="n">
        <x:v>0.5661720088653038</x:v>
      </x:c>
      <x:c r="W429" s="14" t="n">
        <x:v>0.1735407467872454</x:v>
      </x:c>
      <x:c r="X429" s="14" t="n">
        <x:v>0.12466544978153059</x:v>
      </x:c>
      <x:c r="Y429" s="16" t="n">
        <x:v>96.82179341657208</x:v>
      </x:c>
      <x:c r="Z429" s="16" t="n">
        <x:v>86.70520231213872</x:v>
      </x:c>
      <x:c r="AA429" s="16" t="n">
        <x:v>13.114754098360656</x:v>
      </x:c>
      <x:c r="AB429" s="16" t="n">
        <x:v>55.61861520998865</x:v>
      </x:c>
      <x:c r="AC429" s="16" t="n">
        <x:v>86.83314415437003</x:v>
      </x:c>
      <x:c r="AD429" s="16" t="n">
        <x:v>99.45121951219512</x:v>
      </x:c>
      <x:c r="AE429" s="16" t="n">
        <x:v>75.19454894552712</x:v>
      </x:c>
      <x:c r="AF429" t="str">
        <x:v>검토</x:v>
      </x:c>
      <x:c r="AG429" t="str">
        <x:v>직장수요·수요 강점 / 서울 업종추세 상대적 약점</x:v>
      </x:c>
    </x:row>
    <x:row r="430">
      <x:c r="A430" t="str">
        <x:v>3120186</x:v>
      </x:c>
      <x:c r="B430" t="str">
        <x:v>가로수길</x:v>
      </x:c>
      <x:c r="C430" t="str">
        <x:v>발달상권</x:v>
      </x:c>
      <x:c r="D430" t="str">
        <x:v>강남구</x:v>
      </x:c>
      <x:c r="E430" t="str">
        <x:v>신사동</x:v>
      </x:c>
      <x:c r="F430" t="str">
        <x:v>CS300020</x:v>
      </x:c>
      <x:c r="G430" t="str">
        <x:v>서적</x:v>
      </x:c>
      <x:c r="H430" t="n">
        <x:v>323525511</x:v>
      </x:c>
      <x:c r="I430" t="n">
        <x:v>1002</x:v>
      </x:c>
      <x:c r="J430" t="n">
        <x:v>322879.751497006</x:v>
      </x:c>
      <x:c r="K430" s="14" t="n">
        <x:v>0.13238444820331075</x:v>
      </x:c>
      <x:c r="L430" s="14" t="n">
        <x:v>0.20039418624921757</x:v>
      </x:c>
      <x:c r="M430" s="14" t="n">
        <x:v>-0.01061516125540185</x:v>
      </x:c>
      <x:c r="N430" t="n">
        <x:v>14</x:v>
      </x:c>
      <x:c r="O430" t="n">
        <x:v>0</x:v>
      </x:c>
      <x:c r="P430" s="14" t="n">
        <x:v>0</x:v>
      </x:c>
      <x:c r="Q430" s="14" t="n">
        <x:v>0</x:v>
      </x:c>
      <x:c r="R430" s="14" t="n">
        <x:v>0.75</x:v>
      </x:c>
      <x:c r="S430" t="n">
        <x:v>11262</x:v>
      </x:c>
      <x:c r="T430" t="n">
        <x:v>438.7427538490307</x:v>
      </x:c>
      <x:c r="U430" s="14" t="n">
        <x:v>0.991739393311707</x:v>
      </x:c>
      <x:c r="V430" s="14" t="n">
        <x:v>0.1455931739491171</x:v>
      </x:c>
      <x:c r="W430" s="14" t="n">
        <x:v>0.5399875282169015</x:v>
      </x:c>
      <x:c r="X430" s="14" t="n">
        <x:v>0.8022617542515835</x:v>
      </x:c>
      <x:c r="Y430" s="16" t="n">
        <x:v>72.48322147651007</x:v>
      </x:c>
      <x:c r="Z430" s="16" t="n">
        <x:v>82.14285714285714</x:v>
      </x:c>
      <x:c r="AA430" s="16" t="n">
        <x:v>96.72131147540983</x:v>
      </x:c>
      <x:c r="AB430" s="16" t="n">
        <x:v>56.711409395973156</x:v>
      </x:c>
      <x:c r="AC430" s="16" t="n">
        <x:v>59.395973154362416</x:v>
      </x:c>
      <x:c r="AD430" s="16" t="n">
        <x:v>88.53658536585365</x:v>
      </x:c>
      <x:c r="AE430" s="16" t="n">
        <x:v>75.17903365978633</x:v>
      </x:c>
      <x:c r="AF430" t="str">
        <x:v>검토</x:v>
      </x:c>
      <x:c r="AG430" t="str">
        <x:v>서울 업종추세·직장수요 강점 / 경쟁여건 상대적 약점</x:v>
      </x:c>
    </x:row>
    <x:row r="431">
      <x:c r="A431" t="str">
        <x:v>3130024</x:v>
      </x:c>
      <x:c r="B431" t="str">
        <x:v>남대문시장(자유상가)</x:v>
      </x:c>
      <x:c r="C431" t="str">
        <x:v>전통시장</x:v>
      </x:c>
      <x:c r="D431" t="str">
        <x:v>중구</x:v>
      </x:c>
      <x:c r="E431" t="str">
        <x:v>회현동</x:v>
      </x:c>
      <x:c r="F431" t="str">
        <x:v>CS300009</x:v>
      </x:c>
      <x:c r="G431" t="str">
        <x:v>청과상</x:v>
      </x:c>
      <x:c r="H431" t="n">
        <x:v>12167881722</x:v>
      </x:c>
      <x:c r="I431" t="n">
        <x:v>652358</x:v>
      </x:c>
      <x:c r="J431" t="n">
        <x:v>18652.153759132256</x:v>
      </x:c>
      <x:c r="K431" s="14" t="n">
        <x:v>0.002023669828008723</x:v>
      </x:c>
      <x:c r="L431" s="14" t="n">
        <x:v>0.19728256051488424</x:v>
      </x:c>
      <x:c r="M431" s="14" t="n">
        <x:v>0.09797365727115581</x:v>
      </x:c>
      <x:c r="N431" t="n">
        <x:v>20</x:v>
      </x:c>
      <x:c r="O431" t="n">
        <x:v>0</x:v>
      </x:c>
      <x:c r="P431" s="14" t="n">
        <x:v>0</x:v>
      </x:c>
      <x:c r="Q431" s="14" t="n">
        <x:v>0</x:v>
      </x:c>
      <x:c r="R431" s="14" t="n">
        <x:v>-0.04761904761904767</x:v>
      </x:c>
      <x:c r="S431" t="n">
        <x:v>26964</x:v>
      </x:c>
      <x:c r="T431" t="n">
        <x:v>3453.9119741763593</x:v>
      </x:c>
      <x:c r="U431" s="14" t="n">
        <x:v>0.7949636975440679</x:v>
      </x:c>
      <x:c r="V431" s="14" t="n">
        <x:v>0.15519810367532105</x:v>
      </x:c>
      <x:c r="W431" s="14" t="n">
        <x:v>0.04909477529847409</x:v>
      </x:c>
      <x:c r="X431" s="14" t="n">
        <x:v>0.5875083550553271</x:v>
      </x:c>
      <x:c r="Y431" s="16" t="n">
        <x:v>95.05494505494505</x:v>
      </x:c>
      <x:c r="Z431" s="16" t="n">
        <x:v>44.274809160305345</x:v>
      </x:c>
      <x:c r="AA431" s="16" t="n">
        <x:v>95.08196721311475</x:v>
      </x:c>
      <x:c r="AB431" s="16" t="n">
        <x:v>45.604395604395606</x:v>
      </x:c>
      <x:c r="AC431" s="16" t="n">
        <x:v>69.5970695970696</x:v>
      </x:c>
      <x:c r="AD431" s="16" t="n">
        <x:v>99.7560975609756</x:v>
      </x:c>
      <x:c r="AE431" s="16" t="n">
        <x:v>75.17465886167413</x:v>
      </x:c>
      <x:c r="AF431" t="str">
        <x:v>검토</x:v>
      </x:c>
      <x:c r="AG431" t="str">
        <x:v>직장수요·서울 업종추세 강점 / 상권 모멘텀 상대적 약점</x:v>
      </x:c>
    </x:row>
    <x:row r="432">
      <x:c r="A432" t="str">
        <x:v>3110316</x:v>
      </x:c>
      <x:c r="B432" t="str">
        <x:v>숭곡초등학교</x:v>
      </x:c>
      <x:c r="C432" t="str">
        <x:v>골목상권</x:v>
      </x:c>
      <x:c r="D432" t="str">
        <x:v>성북구</x:v>
      </x:c>
      <x:c r="E432" t="str">
        <x:v>월곡1동</x:v>
      </x:c>
      <x:c r="F432" t="str">
        <x:v>CS300035</x:v>
      </x:c>
      <x:c r="G432" t="str">
        <x:v>인테리어</x:v>
      </x:c>
      <x:c r="H432" t="n">
        <x:v>409959881</x:v>
      </x:c>
      <x:c r="I432" t="n">
        <x:v>2070</x:v>
      </x:c>
      <x:c r="J432" t="n">
        <x:v>198048.25169082126</x:v>
      </x:c>
      <x:c r="K432" s="14" t="n">
        <x:v>1.0943424044102472</x:v>
      </x:c>
      <x:c r="L432" s="14" t="n">
        <x:v>0.20213561276420866</x:v>
      </x:c>
      <x:c r="M432" s="14" t="n">
        <x:v>0.044160820891303576</x:v>
      </x:c>
      <x:c r="N432" t="n">
        <x:v>13</x:v>
      </x:c>
      <x:c r="O432" t="n">
        <x:v>1</x:v>
      </x:c>
      <x:c r="P432" s="14" t="n">
        <x:v>0.05555555555555555</x:v>
      </x:c>
      <x:c r="Q432" s="14" t="n">
        <x:v>0</x:v>
      </x:c>
      <x:c r="R432" s="14" t="n">
        <x:v>-0.0714285714285714</x:v>
      </x:c>
      <x:c r="S432" t="n">
        <x:v>961</x:v>
      </x:c>
      <x:c r="T432" t="n">
        <x:v>53.205919643005444</x:v>
      </x:c>
      <x:c r="U432" s="14" t="n">
        <x:v>0.5643482563114511</x:v>
      </x:c>
      <x:c r="V432" s="14" t="n">
        <x:v>0</x:v>
      </x:c>
      <x:c r="W432" s="14" t="n">
        <x:v>0.007980246730533127</x:v>
      </x:c>
      <x:c r="X432" s="14" t="n">
        <x:v>0.5467909553813145</x:v>
      </x:c>
      <x:c r="Y432" s="16" t="n">
        <x:v>89.67391304347827</x:v>
      </x:c>
      <x:c r="Z432" s="16" t="n">
        <x:v>89.80891719745223</x:v>
      </x:c>
      <x:c r="AA432" s="16" t="n">
        <x:v>98.36065573770492</x:v>
      </x:c>
      <x:c r="AB432" s="16" t="n">
        <x:v>55.70652173913044</x:v>
      </x:c>
      <x:c r="AC432" s="16" t="n">
        <x:v>8.152173913043484</x:v>
      </x:c>
      <x:c r="AD432" s="16" t="n">
        <x:v>37.98780487804878</x:v>
      </x:c>
      <x:c r="AE432" s="16" t="n">
        <x:v>75.17233726143992</x:v>
      </x:c>
      <x:c r="AF432" t="str">
        <x:v>검토</x:v>
      </x:c>
      <x:c r="AG432" t="str">
        <x:v>서울 업종추세·상권 모멘텀 강점 / 안정성 상대적 약점</x:v>
      </x:c>
    </x:row>
    <x:row r="433">
      <x:c r="A433" t="str">
        <x:v>3110717</x:v>
      </x:c>
      <x:c r="B433" t="str">
        <x:v>남구로역 2번</x:v>
      </x:c>
      <x:c r="C433" t="str">
        <x:v>골목상권</x:v>
      </x:c>
      <x:c r="D433" t="str">
        <x:v>구로구</x:v>
      </x:c>
      <x:c r="E433" t="str">
        <x:v>가리봉동</x:v>
      </x:c>
      <x:c r="F433" t="str">
        <x:v>CS300028</x:v>
      </x:c>
      <x:c r="G433" t="str">
        <x:v>화초</x:v>
      </x:c>
      <x:c r="H433" t="n">
        <x:v>71684321</x:v>
      </x:c>
      <x:c r="I433" t="n">
        <x:v>2090</x:v>
      </x:c>
      <x:c r="J433" t="n">
        <x:v>34298.718181818185</x:v>
      </x:c>
      <x:c r="K433" s="14" t="n">
        <x:v>0.284739960916667</x:v>
      </x:c>
      <x:c r="L433" s="14" t="n">
        <x:v>0.028008199294863756</x:v>
      </x:c>
      <x:c r="M433" s="14" t="n">
        <x:v>-0.0030123365554672876</x:v>
      </x:c>
      <x:c r="N433" t="n">
        <x:v>1</x:v>
      </x:c>
      <x:c r="O433" t="n">
        <x:v>0</x:v>
      </x:c>
      <x:c r="P433" s="14" t="n">
        <x:v>0</x:v>
      </x:c>
      <x:c r="Q433" s="14" t="n">
        <x:v>0</x:v>
      </x:c>
      <x:c r="R433" s="14" t="n">
        <x:v>-0.5</x:v>
      </x:c>
      <x:c r="S433" t="n">
        <x:v>605</x:v>
      </x:c>
      <x:c r="T433" t="n">
        <x:v>29.348416640794785</x:v>
      </x:c>
      <x:c r="U433" s="14" t="n">
        <x:v>0.7986229652646079</x:v>
      </x:c>
      <x:c r="V433" s="14" t="n">
        <x:v>0.22786106881029117</x:v>
      </x:c>
      <x:c r="W433" s="14" t="n">
        <x:v>0.10758037311952777</x:v>
      </x:c>
      <x:c r="X433" s="14" t="n">
        <x:v>0.29695613633558726</x:v>
      </x:c>
      <x:c r="Y433" s="16" t="n">
        <x:v>64.42953020134229</x:v>
      </x:c>
      <x:c r="Z433" s="16" t="n">
        <x:v>94.17808219178082</x:v>
      </x:c>
      <x:c r="AA433" s="16" t="n">
        <x:v>73.77049180327869</x:v>
      </x:c>
      <x:c r="AB433" s="16" t="n">
        <x:v>100</x:v>
      </x:c>
      <x:c r="AC433" s="16" t="n">
        <x:v>66.7785234899329</x:v>
      </x:c>
      <x:c r="AD433" s="16" t="n">
        <x:v>20.79268292682927</x:v>
      </x:c>
      <x:c r="AE433" s="16" t="n">
        <x:v>75.16901227465252</x:v>
      </x:c>
      <x:c r="AF433" t="str">
        <x:v>검토</x:v>
      </x:c>
      <x:c r="AG433" t="str">
        <x:v>경쟁여건·상권 모멘텀 강점 / 직장수요 상대적 약점</x:v>
      </x:c>
    </x:row>
    <x:row r="434">
      <x:c r="A434" t="str">
        <x:v>3120124</x:v>
      </x:c>
      <x:c r="B434" t="str">
        <x:v>개봉동 현대아파트</x:v>
      </x:c>
      <x:c r="C434" t="str">
        <x:v>발달상권</x:v>
      </x:c>
      <x:c r="D434" t="str">
        <x:v>구로구</x:v>
      </x:c>
      <x:c r="E434" t="str">
        <x:v>개봉3동</x:v>
      </x:c>
      <x:c r="F434" t="str">
        <x:v>CS300004</x:v>
      </x:c>
      <x:c r="G434" t="str">
        <x:v>핸드폰</x:v>
      </x:c>
      <x:c r="H434" t="n">
        <x:v>215859722</x:v>
      </x:c>
      <x:c r="I434" t="n">
        <x:v>4860</x:v>
      </x:c>
      <x:c r="J434" t="n">
        <x:v>44415.580658436214</x:v>
      </x:c>
      <x:c r="K434" s="14" t="n">
        <x:v>1.3271529998164149</x:v>
      </x:c>
      <x:c r="L434" s="14" t="n">
        <x:v>0.021417847123978317</x:v>
      </x:c>
      <x:c r="M434" s="14" t="n">
        <x:v>-0.06496332404204874</x:v>
      </x:c>
      <x:c r="N434" t="n">
        <x:v>7</x:v>
      </x:c>
      <x:c r="O434" t="n">
        <x:v>0</x:v>
      </x:c>
      <x:c r="P434" s="14" t="n">
        <x:v>0</x:v>
      </x:c>
      <x:c r="Q434" s="14" t="n">
        <x:v>0</x:v>
      </x:c>
      <x:c r="R434" s="14" t="n">
        <x:v>-0.125</x:v>
      </x:c>
      <x:c r="S434" t="n">
        <x:v>3301</x:v>
      </x:c>
      <x:c r="T434" t="n">
        <x:v>218.79764035262147</x:v>
      </x:c>
      <x:c r="U434" s="14" t="n">
        <x:v>0.11752208223449857</x:v>
      </x:c>
      <x:c r="V434" s="14" t="n">
        <x:v>0.0634989606815115</x:v>
      </x:c>
      <x:c r="W434" s="14" t="n">
        <x:v>0.017516954830507935</x:v>
      </x:c>
      <x:c r="X434" s="14" t="n">
        <x:v>0.5861835030066425</x:v>
      </x:c>
      <x:c r="Y434" s="16" t="n">
        <x:v>70.6896551724138</x:v>
      </x:c>
      <x:c r="Z434" s="16" t="n">
        <x:v>92.07317073170732</x:v>
      </x:c>
      <x:c r="AA434" s="16" t="n">
        <x:v>55.73770491803279</x:v>
      </x:c>
      <x:c r="AB434" s="16" t="n">
        <x:v>91.37931034482759</x:v>
      </x:c>
      <x:c r="AC434" s="16" t="n">
        <x:v>60.3448275862069</x:v>
      </x:c>
      <x:c r="AD434" s="16" t="n">
        <x:v>78.10975609756098</x:v>
      </x:c>
      <x:c r="AE434" s="16" t="n">
        <x:v>75.1635363096141</x:v>
      </x:c>
      <x:c r="AF434" t="str">
        <x:v>검토</x:v>
      </x:c>
      <x:c r="AG434" t="str">
        <x:v>상권 모멘텀·경쟁여건 강점 / 서울 업종추세 상대적 약점</x:v>
      </x:c>
    </x:row>
    <x:row r="435">
      <x:c r="A435" t="str">
        <x:v>3120237</x:v>
      </x:c>
      <x:c r="B435" t="str">
        <x:v>경찰병원역</x:v>
      </x:c>
      <x:c r="C435" t="str">
        <x:v>발달상권</x:v>
      </x:c>
      <x:c r="D435" t="str">
        <x:v>송파구</x:v>
      </x:c>
      <x:c r="E435" t="str">
        <x:v>가락본동</x:v>
      </x:c>
      <x:c r="F435" t="str">
        <x:v>CS200006</x:v>
      </x:c>
      <x:c r="G435" t="str">
        <x:v>일반의원</x:v>
      </x:c>
      <x:c r="H435" t="n">
        <x:v>4124176037</x:v>
      </x:c>
      <x:c r="I435" t="n">
        <x:v>25596</x:v>
      </x:c>
      <x:c r="J435" t="n">
        <x:v>161125.80235192997</x:v>
      </x:c>
      <x:c r="K435" s="14" t="n">
        <x:v>0.09479810991060145</x:v>
      </x:c>
      <x:c r="L435" s="14" t="n">
        <x:v>0.09973642051122278</x:v>
      </x:c>
      <x:c r="M435" s="14" t="n">
        <x:v>0.06942273842247415</x:v>
      </x:c>
      <x:c r="N435" t="n">
        <x:v>30</x:v>
      </x:c>
      <x:c r="O435" t="n">
        <x:v>0</x:v>
      </x:c>
      <x:c r="P435" s="14" t="n">
        <x:v>0</x:v>
      </x:c>
      <x:c r="Q435" s="14" t="n">
        <x:v>0</x:v>
      </x:c>
      <x:c r="R435" s="14" t="n">
        <x:v>0.5789473684210527</x:v>
      </x:c>
      <x:c r="S435" t="n">
        <x:v>11113</x:v>
      </x:c>
      <x:c r="T435" t="n">
        <x:v>560.2694213792721</x:v>
      </x:c>
      <x:c r="U435" s="14" t="n">
        <x:v>0.9305425499711762</x:v>
      </x:c>
      <x:c r="V435" s="14" t="n">
        <x:v>0.03906811822639956</x:v>
      </x:c>
      <x:c r="W435" s="14" t="n">
        <x:v>0.12071662182542282</x:v>
      </x:c>
      <x:c r="X435" s="14" t="n">
        <x:v>0.6538422329230948</x:v>
      </x:c>
      <x:c r="Y435" s="16" t="n">
        <x:v>80.85106382978724</x:v>
      </x:c>
      <x:c r="Z435" s="16" t="n">
        <x:v>80.03875968992249</x:v>
      </x:c>
      <x:c r="AA435" s="16" t="n">
        <x:v>90.1639344262295</x:v>
      </x:c>
      <x:c r="AB435" s="16" t="n">
        <x:v>43.41085271317829</x:v>
      </x:c>
      <x:c r="AC435" s="16" t="n">
        <x:v>62.5</x:v>
      </x:c>
      <x:c r="AD435" s="16" t="n">
        <x:v>91.40243902439025</x:v>
      </x:c>
      <x:c r="AE435" s="16" t="n">
        <x:v>75.16196430054072</x:v>
      </x:c>
      <x:c r="AF435" t="str">
        <x:v>검토</x:v>
      </x:c>
      <x:c r="AG435" t="str">
        <x:v>직장수요·서울 업종추세 강점 / 경쟁여건 상대적 약점</x:v>
      </x:c>
    </x:row>
    <x:row r="436">
      <x:c r="A436" t="str">
        <x:v>3120124</x:v>
      </x:c>
      <x:c r="B436" t="str">
        <x:v>개봉동 현대아파트</x:v>
      </x:c>
      <x:c r="C436" t="str">
        <x:v>발달상권</x:v>
      </x:c>
      <x:c r="D436" t="str">
        <x:v>구로구</x:v>
      </x:c>
      <x:c r="E436" t="str">
        <x:v>개봉3동</x:v>
      </x:c>
      <x:c r="F436" t="str">
        <x:v>CS300035</x:v>
      </x:c>
      <x:c r="G436" t="str">
        <x:v>인테리어</x:v>
      </x:c>
      <x:c r="H436" t="n">
        <x:v>194583221</x:v>
      </x:c>
      <x:c r="I436" t="n">
        <x:v>746</x:v>
      </x:c>
      <x:c r="J436" t="n">
        <x:v>260835.41689008044</x:v>
      </x:c>
      <x:c r="K436" s="14" t="n">
        <x:v>0.1512174263789683</x:v>
      </x:c>
      <x:c r="L436" s="14" t="n">
        <x:v>0.20213561276420866</x:v>
      </x:c>
      <x:c r="M436" s="14" t="n">
        <x:v>0.044160820891303576</x:v>
      </x:c>
      <x:c r="N436" t="n">
        <x:v>11</x:v>
      </x:c>
      <x:c r="O436" t="n">
        <x:v>0</x:v>
      </x:c>
      <x:c r="P436" s="14" t="n">
        <x:v>0</x:v>
      </x:c>
      <x:c r="Q436" s="14" t="n">
        <x:v>0</x:v>
      </x:c>
      <x:c r="R436" s="14" t="n">
        <x:v>-0.08333333333333337</x:v>
      </x:c>
      <x:c r="S436" t="n">
        <x:v>3301</x:v>
      </x:c>
      <x:c r="T436" t="n">
        <x:v>218.79764035262147</x:v>
      </x:c>
      <x:c r="U436" s="14" t="n">
        <x:v>0.6796926699039482</x:v>
      </x:c>
      <x:c r="V436" s="14" t="n">
        <x:v>0.32865054176485237</x:v>
      </x:c>
      <x:c r="W436" s="14" t="n">
        <x:v>0.6406146550529144</x:v>
      </x:c>
      <x:c r="X436" s="14" t="n">
        <x:v>0.9253322772367921</x:v>
      </x:c>
      <x:c r="Y436" s="16" t="n">
        <x:v>78.80434782608695</x:v>
      </x:c>
      <x:c r="Z436" s="16" t="n">
        <x:v>62.4203821656051</x:v>
      </x:c>
      <x:c r="AA436" s="16" t="n">
        <x:v>98.36065573770492</x:v>
      </x:c>
      <x:c r="AB436" s="16" t="n">
        <x:v>69.29347826086956</x:v>
      </x:c>
      <x:c r="AC436" s="16" t="n">
        <x:v>60.32608695652174</x:v>
      </x:c>
      <x:c r="AD436" s="16" t="n">
        <x:v>78.10975609756098</x:v>
      </x:c>
      <x:c r="AE436" s="16" t="n">
        <x:v>75.15181477256785</x:v>
      </x:c>
      <x:c r="AF436" t="str">
        <x:v>검토</x:v>
      </x:c>
      <x:c r="AG436" t="str">
        <x:v>서울 업종추세·수요 강점 / 안정성 상대적 약점</x:v>
      </x:c>
    </x:row>
    <x:row r="437">
      <x:c r="A437" t="str">
        <x:v>3120244</x:v>
      </x:c>
      <x:c r="B437" t="str">
        <x:v>암사역</x:v>
      </x:c>
      <x:c r="C437" t="str">
        <x:v>발달상권</x:v>
      </x:c>
      <x:c r="D437" t="str">
        <x:v>강동구</x:v>
      </x:c>
      <x:c r="E437" t="str">
        <x:v>암사2동</x:v>
      </x:c>
      <x:c r="F437" t="str">
        <x:v>CS300011</x:v>
      </x:c>
      <x:c r="G437" t="str">
        <x:v>일반의류</x:v>
      </x:c>
      <x:c r="H437" t="n">
        <x:v>123403894</x:v>
      </x:c>
      <x:c r="I437" t="n">
        <x:v>1990</x:v>
      </x:c>
      <x:c r="J437" t="n">
        <x:v>62012.00703517588</x:v>
      </x:c>
      <x:c r="K437" s="14" t="n">
        <x:v>0.6644429978751123</x:v>
      </x:c>
      <x:c r="L437" s="14" t="n">
        <x:v>0.06726691045630595</x:v>
      </x:c>
      <x:c r="M437" s="14" t="n">
        <x:v>0.00788849516466894</x:v>
      </x:c>
      <x:c r="N437" t="n">
        <x:v>15</x:v>
      </x:c>
      <x:c r="O437" t="n">
        <x:v>0</x:v>
      </x:c>
      <x:c r="P437" s="14" t="n">
        <x:v>0</x:v>
      </x:c>
      <x:c r="Q437" s="14" t="n">
        <x:v>0</x:v>
      </x:c>
      <x:c r="R437" s="14" t="n">
        <x:v>0.25</x:v>
      </x:c>
      <x:c r="S437" t="n">
        <x:v>1399</x:v>
      </x:c>
      <x:c r="T437" t="n">
        <x:v>173.5624340921779</x:v>
      </x:c>
      <x:c r="U437" s="14" t="n">
        <x:v>0.6867798434302244</x:v>
      </x:c>
      <x:c r="V437" s="14" t="n">
        <x:v>0.34431154174113826</x:v>
      </x:c>
      <x:c r="W437" s="14" t="n">
        <x:v>0.04183081127083397</x:v>
      </x:c>
      <x:c r="X437" s="14" t="n">
        <x:v>0.8367583927294872</x:v>
      </x:c>
      <x:c r="Y437" s="16" t="n">
        <x:v>48.409893992932865</x:v>
      </x:c>
      <x:c r="Z437" s="16" t="n">
        <x:v>94.46450060168472</x:v>
      </x:c>
      <x:c r="AA437" s="16" t="n">
        <x:v>81.9672131147541</x:v>
      </x:c>
      <x:c r="AB437" s="16" t="n">
        <x:v>98.11542991755006</x:v>
      </x:c>
      <x:c r="AC437" s="16" t="n">
        <x:v>86.33686690223793</x:v>
      </x:c>
      <x:c r="AD437" s="16" t="n">
        <x:v>73.23170731707317</x:v>
      </x:c>
      <x:c r="AE437" s="16" t="n">
        <x:v>75.14403152878651</x:v>
      </x:c>
      <x:c r="AF437" t="str">
        <x:v>검토</x:v>
      </x:c>
      <x:c r="AG437" t="str">
        <x:v>경쟁여건·상권 모멘텀 강점 / 수요 상대적 약점</x:v>
      </x:c>
    </x:row>
    <x:row r="438">
      <x:c r="A438" t="str">
        <x:v>3110397</x:v>
      </x:c>
      <x:c r="B438" t="str">
        <x:v>도봉산입구</x:v>
      </x:c>
      <x:c r="C438" t="str">
        <x:v>골목상권</x:v>
      </x:c>
      <x:c r="D438" t="str">
        <x:v>도봉구</x:v>
      </x:c>
      <x:c r="E438" t="str">
        <x:v>도봉1동</x:v>
      </x:c>
      <x:c r="F438" t="str">
        <x:v>CS300011</x:v>
      </x:c>
      <x:c r="G438" t="str">
        <x:v>일반의류</x:v>
      </x:c>
      <x:c r="H438" t="n">
        <x:v>1905649703</x:v>
      </x:c>
      <x:c r="I438" t="n">
        <x:v>15426</x:v>
      </x:c>
      <x:c r="J438" t="n">
        <x:v>123534.92175547777</x:v>
      </x:c>
      <x:c r="K438" s="14" t="n">
        <x:v>0.11134490540044917</x:v>
      </x:c>
      <x:c r="L438" s="14" t="n">
        <x:v>0.06726691045630595</x:v>
      </x:c>
      <x:c r="M438" s="14" t="n">
        <x:v>0.00788849516466894</x:v>
      </x:c>
      <x:c r="N438" t="n">
        <x:v>39</x:v>
      </x:c>
      <x:c r="O438" t="n">
        <x:v>0</x:v>
      </x:c>
      <x:c r="P438" s="14" t="n">
        <x:v>0</x:v>
      </x:c>
      <x:c r="Q438" s="14" t="n">
        <x:v>0</x:v>
      </x:c>
      <x:c r="R438" s="14" t="n">
        <x:v>-0.09302325581395354</x:v>
      </x:c>
      <x:c r="S438" t="n">
        <x:v>497</x:v>
      </x:c>
      <x:c r="T438" t="n">
        <x:v>9.169335675173055</x:v>
      </x:c>
      <x:c r="U438" s="14" t="n">
        <x:v>0.5720300495331906</x:v>
      </x:c>
      <x:c r="V438" s="14" t="n">
        <x:v>0.14766568512408285</x:v>
      </x:c>
      <x:c r="W438" s="14" t="n">
        <x:v>0.13700257323735432</x:v>
      </x:c>
      <x:c r="X438" s="14" t="n">
        <x:v>0.38383128591183685</x:v>
      </x:c>
      <x:c r="Y438" s="16" t="n">
        <x:v>88.22143698468787</x:v>
      </x:c>
      <x:c r="Z438" s="16" t="n">
        <x:v>61.13116726835138</x:v>
      </x:c>
      <x:c r="AA438" s="16" t="n">
        <x:v>81.9672131147541</x:v>
      </x:c>
      <x:c r="AB438" s="16" t="n">
        <x:v>72.85041224970553</x:v>
      </x:c>
      <x:c r="AC438" s="16" t="n">
        <x:v>86.33686690223793</x:v>
      </x:c>
      <x:c r="AD438" s="16" t="n">
        <x:v>3.658536585365854</x:v>
      </x:c>
      <x:c r="AE438" s="16" t="n">
        <x:v>75.14299372247207</x:v>
      </x:c>
      <x:c r="AF438" t="str">
        <x:v>검토</x:v>
      </x:c>
      <x:c r="AG438" t="str">
        <x:v>수요·안정성 강점 / 직장수요 상대적 약점</x:v>
      </x:c>
    </x:row>
    <x:row r="439">
      <x:c r="A439" t="str">
        <x:v>3110405</x:v>
      </x:c>
      <x:c r="B439" t="str">
        <x:v>방학역 1번</x:v>
      </x:c>
      <x:c r="C439" t="str">
        <x:v>골목상권</x:v>
      </x:c>
      <x:c r="D439" t="str">
        <x:v>도봉구</x:v>
      </x:c>
      <x:c r="E439" t="str">
        <x:v>방학1동</x:v>
      </x:c>
      <x:c r="F439" t="str">
        <x:v>CS300032</x:v>
      </x:c>
      <x:c r="G439" t="str">
        <x:v>가전제품</x:v>
      </x:c>
      <x:c r="H439" t="n">
        <x:v>2000506370</x:v>
      </x:c>
      <x:c r="I439" t="n">
        <x:v>4476</x:v>
      </x:c>
      <x:c r="J439" t="n">
        <x:v>446940.6546023235</x:v>
      </x:c>
      <x:c r="K439" s="14" t="n">
        <x:v>0.09318915129899197</x:v>
      </x:c>
      <x:c r="L439" s="14" t="n">
        <x:v>0.08324168862116821</x:v>
      </x:c>
      <x:c r="M439" s="14" t="n">
        <x:v>-0.006486947916917396</x:v>
      </x:c>
      <x:c r="N439" t="n">
        <x:v>9</x:v>
      </x:c>
      <x:c r="O439" t="n">
        <x:v>0</x:v>
      </x:c>
      <x:c r="P439" s="14" t="n">
        <x:v>0</x:v>
      </x:c>
      <x:c r="Q439" s="14" t="n">
        <x:v>0</x:v>
      </x:c>
      <x:c r="R439" s="14" t="n">
        <x:v>-0.09999999999999998</x:v>
      </x:c>
      <x:c r="S439" t="n">
        <x:v>1051</x:v>
      </x:c>
      <x:c r="T439" t="n">
        <x:v>56.61952861952862</x:v>
      </x:c>
      <x:c r="U439" s="14" t="n">
        <x:v>0.8804452924586289</x:v>
      </x:c>
      <x:c r="V439" s="14" t="n">
        <x:v>0.020233798105826577</x:v>
      </x:c>
      <x:c r="W439" s="14" t="n">
        <x:v>0.08400432186576842</x:v>
      </x:c>
      <x:c r="X439" s="14" t="n">
        <x:v>0.46956828785303995</x:v>
      </x:c>
      <x:c r="Y439" s="16" t="n">
        <x:v>90.9090909090909</x:v>
      </x:c>
      <x:c r="Z439" s="16" t="n">
        <x:v>63.265306122448976</x:v>
      </x:c>
      <x:c r="AA439" s="16" t="n">
        <x:v>85.24590163934427</x:v>
      </x:c>
      <x:c r="AB439" s="16" t="n">
        <x:v>66.36363636363637</x:v>
      </x:c>
      <x:c r="AC439" s="16" t="n">
        <x:v>59.09090909090909</x:v>
      </x:c>
      <x:c r="AD439" s="16" t="n">
        <x:v>40.30487804878049</x:v>
      </x:c>
      <x:c r="AE439" s="16" t="n">
        <x:v>75.13700855464865</x:v>
      </x:c>
      <x:c r="AF439" t="str">
        <x:v>검토</x:v>
      </x:c>
      <x:c r="AG439" t="str">
        <x:v>수요·서울 업종추세 강점 / 직장수요 상대적 약점</x:v>
      </x:c>
    </x:row>
    <x:row r="440">
      <x:c r="A440" t="str">
        <x:v>3120017</x:v>
      </x:c>
      <x:c r="B440" t="str">
        <x:v>동묘앞역(동묘)</x:v>
      </x:c>
      <x:c r="C440" t="str">
        <x:v>발달상권</x:v>
      </x:c>
      <x:c r="D440" t="str">
        <x:v>종로구</x:v>
      </x:c>
      <x:c r="E440" t="str">
        <x:v>창신1동</x:v>
      </x:c>
      <x:c r="F440" t="str">
        <x:v>CS100004</x:v>
      </x:c>
      <x:c r="G440" t="str">
        <x:v>양식음식점</x:v>
      </x:c>
      <x:c r="H440" t="n">
        <x:v>2779437561</x:v>
      </x:c>
      <x:c r="I440" t="n">
        <x:v>64919</x:v>
      </x:c>
      <x:c r="J440" t="n">
        <x:v>42813.93060583188</x:v>
      </x:c>
      <x:c r="K440" s="14" t="n">
        <x:v>0.15114584558948296</x:v>
      </x:c>
      <x:c r="L440" s="14" t="n">
        <x:v>-0.044984231184224344</x:v>
      </x:c>
      <x:c r="M440" s="14" t="n">
        <x:v>0.00784185409553384</x:v>
      </x:c>
      <x:c r="N440" t="n">
        <x:v>17</x:v>
      </x:c>
      <x:c r="O440" t="n">
        <x:v>0</x:v>
      </x:c>
      <x:c r="P440" s="14" t="n">
        <x:v>0</x:v>
      </x:c>
      <x:c r="Q440" s="14" t="n">
        <x:v>0</x:v>
      </x:c>
      <x:c r="R440" s="14" t="n">
        <x:v>0</x:v>
      </x:c>
      <x:c r="S440" t="n">
        <x:v>705</x:v>
      </x:c>
      <x:c r="T440" t="n">
        <x:v>99.01963538301638</x:v>
      </x:c>
      <x:c r="U440" s="14" t="n">
        <x:v>0.7120464621223416</x:v>
      </x:c>
      <x:c r="V440" s="14" t="n">
        <x:v>0.6151649229295278</x:v>
      </x:c>
      <x:c r="W440" s="14" t="n">
        <x:v>0.7672406636948373</x:v>
      </x:c>
      <x:c r="X440" s="14" t="n">
        <x:v>0.3412059455146724</x:v>
      </x:c>
      <x:c r="Y440" s="16" t="n">
        <x:v>87.87878787878788</x:v>
      </x:c>
      <x:c r="Z440" s="16" t="n">
        <x:v>88.19875776397515</x:v>
      </x:c>
      <x:c r="AA440" s="16" t="n">
        <x:v>24.59016393442623</x:v>
      </x:c>
      <x:c r="AB440" s="16" t="n">
        <x:v>76.66666666666667</x:v>
      </x:c>
      <x:c r="AC440" s="16" t="n">
        <x:v>85.75757575757575</x:v>
      </x:c>
      <x:c r="AD440" s="16" t="n">
        <x:v>59.02439024390244</x:v>
      </x:c>
      <x:c r="AE440" s="16" t="n">
        <x:v>75.11282898848742</x:v>
      </x:c>
      <x:c r="AF440" t="str">
        <x:v>검토</x:v>
      </x:c>
      <x:c r="AG440" t="str">
        <x:v>상권 모멘텀·수요 강점 / 서울 업종추세 상대적 약점</x:v>
      </x:c>
    </x:row>
    <x:row r="441">
      <x:c r="A441" t="str">
        <x:v>3120179</x:v>
      </x:c>
      <x:c r="B441" t="str">
        <x:v>양재역</x:v>
      </x:c>
      <x:c r="C441" t="str">
        <x:v>발달상권</x:v>
      </x:c>
      <x:c r="D441" t="str">
        <x:v>서초구</x:v>
      </x:c>
      <x:c r="E441" t="str">
        <x:v>도곡1동</x:v>
      </x:c>
      <x:c r="F441" t="str">
        <x:v>CS300028</x:v>
      </x:c>
      <x:c r="G441" t="str">
        <x:v>화초</x:v>
      </x:c>
      <x:c r="H441" t="n">
        <x:v>343283327</x:v>
      </x:c>
      <x:c r="I441" t="n">
        <x:v>10417</x:v>
      </x:c>
      <x:c r="J441" t="n">
        <x:v>32954.144859364504</x:v>
      </x:c>
      <x:c r="K441" s="14" t="n">
        <x:v>0.04561300289028125</x:v>
      </x:c>
      <x:c r="L441" s="14" t="n">
        <x:v>0.028008199294863756</x:v>
      </x:c>
      <x:c r="M441" s="14" t="n">
        <x:v>-0.0030123365554672876</x:v>
      </x:c>
      <x:c r="N441" t="n">
        <x:v>25</x:v>
      </x:c>
      <x:c r="O441" t="n">
        <x:v>0</x:v>
      </x:c>
      <x:c r="P441" s="14" t="n">
        <x:v>0</x:v>
      </x:c>
      <x:c r="Q441" s="14" t="n">
        <x:v>0</x:v>
      </x:c>
      <x:c r="R441" s="14" t="n">
        <x:v>0.25</x:v>
      </x:c>
      <x:c r="S441" t="n">
        <x:v>27837</x:v>
      </x:c>
      <x:c r="T441" t="n">
        <x:v>798.9839411030267</x:v>
      </x:c>
      <x:c r="U441" s="14" t="n">
        <x:v>0.7659264616717024</x:v>
      </x:c>
      <x:c r="V441" s="14" t="n">
        <x:v>0.2965224029071473</x:v>
      </x:c>
      <x:c r="W441" s="14" t="n">
        <x:v>0.3758743138725173</x:v>
      </x:c>
      <x:c r="X441" s="14" t="n">
        <x:v>0.39584473906010587</x:v>
      </x:c>
      <x:c r="Y441" s="16" t="n">
        <x:v>90.93959731543625</x:v>
      </x:c>
      <x:c r="Z441" s="16" t="n">
        <x:v>76.71232876712328</x:v>
      </x:c>
      <x:c r="AA441" s="16" t="n">
        <x:v>73.77049180327869</x:v>
      </x:c>
      <x:c r="AB441" s="16" t="n">
        <x:v>36.241610738255034</x:v>
      </x:c>
      <x:c r="AC441" s="16" t="n">
        <x:v>66.7785234899329</x:v>
      </x:c>
      <x:c r="AD441" s="16" t="n">
        <x:v>95</x:v>
      </x:c>
      <x:c r="AE441" s="16" t="n">
        <x:v>75.10099254405068</x:v>
      </x:c>
      <x:c r="AF441" t="str">
        <x:v>검토</x:v>
      </x:c>
      <x:c r="AG441" t="str">
        <x:v>직장수요·수요 강점 / 경쟁여건 상대적 약점</x:v>
      </x:c>
    </x:row>
    <x:row r="442">
      <x:c r="A442" t="str">
        <x:v>3120184</x:v>
      </x:c>
      <x:c r="B442" t="str">
        <x:v>포이사거리(삼호물산)</x:v>
      </x:c>
      <x:c r="C442" t="str">
        <x:v>발달상권</x:v>
      </x:c>
      <x:c r="D442" t="str">
        <x:v>서초구</x:v>
      </x:c>
      <x:c r="E442" t="str">
        <x:v>양재2동</x:v>
      </x:c>
      <x:c r="F442" t="str">
        <x:v>CS200003</x:v>
      </x:c>
      <x:c r="G442" t="str">
        <x:v>예술학원</x:v>
      </x:c>
      <x:c r="H442" t="n">
        <x:v>237963906</x:v>
      </x:c>
      <x:c r="I442" t="n">
        <x:v>954</x:v>
      </x:c>
      <x:c r="J442" t="n">
        <x:v>249438.05660377358</x:v>
      </x:c>
      <x:c r="K442" s="14" t="n">
        <x:v>0.06445525502430538</x:v>
      </x:c>
      <x:c r="L442" s="14" t="n">
        <x:v>0.09364146198394163</x:v>
      </x:c>
      <x:c r="M442" s="14" t="n">
        <x:v>0.053788091189524545</x:v>
      </x:c>
      <x:c r="N442" t="n">
        <x:v>24</x:v>
      </x:c>
      <x:c r="O442" t="n">
        <x:v>0</x:v>
      </x:c>
      <x:c r="P442" s="14" t="n">
        <x:v>0</x:v>
      </x:c>
      <x:c r="Q442" s="14" t="n">
        <x:v>0</x:v>
      </x:c>
      <x:c r="R442" s="14" t="n">
        <x:v>0.09090909090909083</x:v>
      </x:c>
      <x:c r="S442" t="n">
        <x:v>15262</x:v>
      </x:c>
      <x:c r="T442" t="n">
        <x:v>433.64237432127953</x:v>
      </x:c>
      <x:c r="U442" s="14" t="n">
        <x:v>0.6989075561736661</x:v>
      </x:c>
      <x:c r="V442" s="14" t="n">
        <x:v>0.2743879821841553</x:v>
      </x:c>
      <x:c r="W442" s="14" t="n">
        <x:v>0.12309379809894362</x:v>
      </x:c>
      <x:c r="X442" s="14" t="n">
        <x:v>0.4852573146114016</x:v>
      </x:c>
      <x:c r="Y442" s="16" t="n">
        <x:v>81.27490039840637</x:v>
      </x:c>
      <x:c r="Z442" s="16" t="n">
        <x:v>59.713701431492844</x:v>
      </x:c>
      <x:c r="AA442" s="16" t="n">
        <x:v>88.52459016393442</x:v>
      </x:c>
      <x:c r="AB442" s="16" t="n">
        <x:v>64.5418326693227</x:v>
      </x:c>
      <x:c r="AC442" s="16" t="n">
        <x:v>73.20717131474103</x:v>
      </x:c>
      <x:c r="AD442" s="16" t="n">
        <x:v>88.35365853658537</x:v>
      </x:c>
      <x:c r="AE442" s="16" t="n">
        <x:v>75.08731890903273</x:v>
      </x:c>
      <x:c r="AF442" t="str">
        <x:v>검토</x:v>
      </x:c>
      <x:c r="AG442" t="str">
        <x:v>서울 업종추세·직장수요 강점 / 상권 모멘텀 상대적 약점</x:v>
      </x:c>
    </x:row>
    <x:row r="443">
      <x:c r="A443" t="str">
        <x:v>3111032</x:v>
      </x:c>
      <x:c r="B443" t="str">
        <x:v>방이역 1번</x:v>
      </x:c>
      <x:c r="C443" t="str">
        <x:v>골목상권</x:v>
      </x:c>
      <x:c r="D443" t="str">
        <x:v>송파구</x:v>
      </x:c>
      <x:c r="E443" t="str">
        <x:v>오금동</x:v>
      </x:c>
      <x:c r="F443" t="str">
        <x:v>CS100008</x:v>
      </x:c>
      <x:c r="G443" t="str">
        <x:v>분식전문점</x:v>
      </x:c>
      <x:c r="H443" t="n">
        <x:v>378208031</x:v>
      </x:c>
      <x:c r="I443" t="n">
        <x:v>39188</x:v>
      </x:c>
      <x:c r="J443" t="n">
        <x:v>9651.118480146984</x:v>
      </x:c>
      <x:c r="K443" s="14" t="n">
        <x:v>0.1749598738691196</x:v>
      </x:c>
      <x:c r="L443" s="14" t="n">
        <x:v>-0.021494731595524064</x:v>
      </x:c>
      <x:c r="M443" s="14" t="n">
        <x:v>0.009923521656473921</x:v>
      </x:c>
      <x:c r="N443" t="n">
        <x:v>17</x:v>
      </x:c>
      <x:c r="O443" t="n">
        <x:v>0</x:v>
      </x:c>
      <x:c r="P443" s="14" t="n">
        <x:v>0</x:v>
      </x:c>
      <x:c r="Q443" s="14" t="n">
        <x:v>0.17647058823529413</x:v>
      </x:c>
      <x:c r="R443" s="14" t="n">
        <x:v>0.1333333333333333</x:v>
      </x:c>
      <x:c r="S443" t="n">
        <x:v>5922</x:v>
      </x:c>
      <x:c r="T443" t="n">
        <x:v>760.0785491509761</x:v>
      </x:c>
      <x:c r="U443" s="14" t="n">
        <x:v>0.7014122473776873</x:v>
      </x:c>
      <x:c r="V443" s="14" t="n">
        <x:v>0.19914523443845114</x:v>
      </x:c>
      <x:c r="W443" s="14" t="n">
        <x:v>0.28332471871809617</x:v>
      </x:c>
      <x:c r="X443" s="14" t="n">
        <x:v>0.5279951709962499</x:v>
      </x:c>
      <x:c r="Y443" s="16" t="n">
        <x:v>75.12755102040816</x:v>
      </x:c>
      <x:c r="Z443" s="16" t="n">
        <x:v>89.55613577023499</x:v>
      </x:c>
      <x:c r="AA443" s="16" t="n">
        <x:v>34.42622950819672</x:v>
      </x:c>
      <x:c r="AB443" s="16" t="n">
        <x:v>84.82142857142857</x:v>
      </x:c>
      <x:c r="AC443" s="16" t="n">
        <x:v>82.71683673469389</x:v>
      </x:c>
      <x:c r="AD443" s="16" t="n">
        <x:v>94.39024390243902</x:v>
      </x:c>
      <x:c r="AE443" s="16" t="n">
        <x:v>75.08421459172499</x:v>
      </x:c>
      <x:c r="AF443" t="str">
        <x:v>검토</x:v>
      </x:c>
      <x:c r="AG443" t="str">
        <x:v>직장수요·상권 모멘텀 강점 / 서울 업종추세 상대적 약점</x:v>
      </x:c>
    </x:row>
    <x:row r="444">
      <x:c r="A444" t="str">
        <x:v>3110757</x:v>
      </x:c>
      <x:c r="B444" t="str">
        <x:v>양평역 2번</x:v>
      </x:c>
      <x:c r="C444" t="str">
        <x:v>골목상권</x:v>
      </x:c>
      <x:c r="D444" t="str">
        <x:v>영등포구</x:v>
      </x:c>
      <x:c r="E444" t="str">
        <x:v>양평1동</x:v>
      </x:c>
      <x:c r="F444" t="str">
        <x:v>CS200028</x:v>
      </x:c>
      <x:c r="G444" t="str">
        <x:v>미용실</x:v>
      </x:c>
      <x:c r="H444" t="n">
        <x:v>412497793</x:v>
      </x:c>
      <x:c r="I444" t="n">
        <x:v>12208</x:v>
      </x:c>
      <x:c r="J444" t="n">
        <x:v>33789.1376965924</x:v>
      </x:c>
      <x:c r="K444" s="14" t="n">
        <x:v>0.016685964771501638</x:v>
      </x:c>
      <x:c r="L444" s="14" t="n">
        <x:v>0.02168887159425803</x:v>
      </x:c>
      <x:c r="M444" s="14" t="n">
        <x:v>-0.013481964371473865</x:v>
      </x:c>
      <x:c r="N444" t="n">
        <x:v>29</x:v>
      </x:c>
      <x:c r="O444" t="n">
        <x:v>0</x:v>
      </x:c>
      <x:c r="P444" s="14" t="n">
        <x:v>0</x:v>
      </x:c>
      <x:c r="Q444" s="14" t="n">
        <x:v>0.1724137931034483</x:v>
      </x:c>
      <x:c r="R444" s="14" t="n">
        <x:v>0.07407407407407418</x:v>
      </x:c>
      <x:c r="S444" t="n">
        <x:v>2082</x:v>
      </x:c>
      <x:c r="T444" t="n">
        <x:v>282.918874847126</x:v>
      </x:c>
      <x:c r="U444" s="14" t="n">
        <x:v>0.5837531523471691</x:v>
      </x:c>
      <x:c r="V444" s="14" t="n">
        <x:v>0.2930895317541735</x:v>
      </x:c>
      <x:c r="W444" s="14" t="n">
        <x:v>0.42486657134672234</x:v>
      </x:c>
      <x:c r="X444" s="14" t="n">
        <x:v>0.4807485333624561</x:v>
      </x:c>
      <x:c r="Y444" s="16" t="n">
        <x:v>90.86839749328558</x:v>
      </x:c>
      <x:c r="Z444" s="16" t="n">
        <x:v>48.65107913669065</x:v>
      </x:c>
      <x:c r="AA444" s="16" t="n">
        <x:v>57.377049180327866</x:v>
      </x:c>
      <x:c r="AB444" s="16" t="n">
        <x:v>88.18263205013429</x:v>
      </x:c>
      <x:c r="AC444" s="16" t="n">
        <x:v>75.60429722470904</x:v>
      </x:c>
      <x:c r="AD444" s="16" t="n">
        <x:v>82.98780487804878</x:v>
      </x:c>
      <x:c r="AE444" s="16" t="n">
        <x:v>75.07792710093075</x:v>
      </x:c>
      <x:c r="AF444" t="str">
        <x:v>검토</x:v>
      </x:c>
      <x:c r="AG444" t="str">
        <x:v>수요·경쟁여건 강점 / 상권 모멘텀 상대적 약점</x:v>
      </x:c>
    </x:row>
    <x:row r="445">
      <x:c r="A445" t="str">
        <x:v>3120134</x:v>
      </x:c>
      <x:c r="B445" t="str">
        <x:v>구로전화국</x:v>
      </x:c>
      <x:c r="C445" t="str">
        <x:v>발달상권</x:v>
      </x:c>
      <x:c r="D445" t="str">
        <x:v>금천구</x:v>
      </x:c>
      <x:c r="E445" t="str">
        <x:v>독산3동</x:v>
      </x:c>
      <x:c r="F445" t="str">
        <x:v>CS300020</x:v>
      </x:c>
      <x:c r="G445" t="str">
        <x:v>서적</x:v>
      </x:c>
      <x:c r="H445" t="n">
        <x:v>416834942</x:v>
      </x:c>
      <x:c r="I445" t="n">
        <x:v>762</x:v>
      </x:c>
      <x:c r="J445" t="n">
        <x:v>547027.4829396325</x:v>
      </x:c>
      <x:c r="K445" s="14"/>
      <x:c r="L445" s="14" t="n">
        <x:v>0.20039418624921757</x:v>
      </x:c>
      <x:c r="M445" s="14" t="n">
        <x:v>-0.01061516125540185</x:v>
      </x:c>
      <x:c r="N445" t="n">
        <x:v>4</x:v>
      </x:c>
      <x:c r="O445" t="n">
        <x:v>0</x:v>
      </x:c>
      <x:c r="P445" s="14" t="n">
        <x:v>0</x:v>
      </x:c>
      <x:c r="Q445" s="14" t="n">
        <x:v>0</x:v>
      </x:c>
      <x:c r="R445" s="14" t="n">
        <x:v>0</x:v>
      </x:c>
      <x:c r="S445" t="n">
        <x:v>1630</x:v>
      </x:c>
      <x:c r="T445" t="n">
        <x:v>96.07336940505239</x:v>
      </x:c>
      <x:c r="U445" s="14" t="n">
        <x:v>1</x:v>
      </x:c>
      <x:c r="V445" s="14" t="n">
        <x:v>0.06734749938502037</x:v>
      </x:c>
      <x:c r="W445" s="14" t="n">
        <x:v>1.4634089864759946e-7</x:v>
      </x:c>
      <x:c r="X445" s="14" t="n">
        <x:v>1.4634089864759946e-7</x:v>
      </x:c>
      <x:c r="Y445" s="16" t="n">
        <x:v>77.18120805369128</x:v>
      </x:c>
      <x:c r="Z445" s="16" t="n">
        <x:v>50</x:v>
      </x:c>
      <x:c r="AA445" s="16" t="n">
        <x:v>96.72131147540983</x:v>
      </x:c>
      <x:c r="AB445" s="16" t="n">
        <x:v>97.98657718120805</x:v>
      </x:c>
      <x:c r="AC445" s="16" t="n">
        <x:v>59.395973154362416</x:v>
      </x:c>
      <x:c r="AD445" s="16" t="n">
        <x:v>58.23170731707317</x:v>
      </x:c>
      <x:c r="AE445" s="16" t="n">
        <x:v>75.07078879857453</x:v>
      </x:c>
      <x:c r="AF445" t="str">
        <x:v>검토</x:v>
      </x:c>
      <x:c r="AG445" t="str">
        <x:v>경쟁여건·서울 업종추세 강점 / 상권 모멘텀 상대적 약점</x:v>
      </x:c>
    </x:row>
    <x:row r="446">
      <x:c r="A446" t="str">
        <x:v>3110319</x:v>
      </x:c>
      <x:c r="B446" t="str">
        <x:v>종암동주민센터</x:v>
      </x:c>
      <x:c r="C446" t="str">
        <x:v>골목상권</x:v>
      </x:c>
      <x:c r="D446" t="str">
        <x:v>성북구</x:v>
      </x:c>
      <x:c r="E446" t="str">
        <x:v>종암동</x:v>
      </x:c>
      <x:c r="F446" t="str">
        <x:v>CS200037</x:v>
      </x:c>
      <x:c r="G446" t="str">
        <x:v>노래방</x:v>
      </x:c>
      <x:c r="H446" t="n">
        <x:v>764525362</x:v>
      </x:c>
      <x:c r="I446" t="n">
        <x:v>4766</x:v>
      </x:c>
      <x:c r="J446" t="n">
        <x:v>160412.37138061266</x:v>
      </x:c>
      <x:c r="K446" s="14" t="n">
        <x:v>0.13611584555862155</x:v>
      </x:c>
      <x:c r="L446" s="14" t="n">
        <x:v>-0.038104861974415316</x:v>
      </x:c>
      <x:c r="M446" s="14" t="n">
        <x:v>0.05972019768270753</x:v>
      </x:c>
      <x:c r="N446" t="n">
        <x:v>14</x:v>
      </x:c>
      <x:c r="O446" t="n">
        <x:v>0</x:v>
      </x:c>
      <x:c r="P446" s="14" t="n">
        <x:v>0</x:v>
      </x:c>
      <x:c r="Q446" s="14" t="n">
        <x:v>0</x:v>
      </x:c>
      <x:c r="R446" s="14" t="n">
        <x:v>-0.26315789473684215</x:v>
      </x:c>
      <x:c r="S446" t="n">
        <x:v>3849</x:v>
      </x:c>
      <x:c r="T446" t="n">
        <x:v>391.2539643815565</x:v>
      </x:c>
      <x:c r="U446" s="14" t="n">
        <x:v>0.5736393111311852</x:v>
      </x:c>
      <x:c r="V446" s="14" t="n">
        <x:v>0.5251574021686936</x:v>
      </x:c>
      <x:c r="W446" s="14" t="n">
        <x:v>0.027986248806746584</x:v>
      </x:c>
      <x:c r="X446" s="14" t="n">
        <x:v>0.01611360932196256</x:v>
      </x:c>
      <x:c r="Y446" s="16" t="n">
        <x:v>94.62151394422311</x:v>
      </x:c>
      <x:c r="Z446" s="16" t="n">
        <x:v>83.8</x:v>
      </x:c>
      <x:c r="AA446" s="16" t="n">
        <x:v>27.868852459016395</x:v>
      </x:c>
      <x:c r="AB446" s="16" t="n">
        <x:v>62.94820717131474</x:v>
      </x:c>
      <x:c r="AC446" s="16" t="n">
        <x:v>72.11155378486056</x:v>
      </x:c>
      <x:c r="AD446" s="16" t="n">
        <x:v>87.07317073170732</x:v>
      </x:c>
      <x:c r="AE446" s="16" t="n">
        <x:v>75.06490274009919</x:v>
      </x:c>
      <x:c r="AF446" t="str">
        <x:v>검토</x:v>
      </x:c>
      <x:c r="AG446" t="str">
        <x:v>수요·직장수요 강점 / 서울 업종추세 상대적 약점</x:v>
      </x:c>
    </x:row>
    <x:row r="447">
      <x:c r="A447" t="str">
        <x:v>3120063</x:v>
      </x:c>
      <x:c r="B447" t="str">
        <x:v>청량리역(청량리)</x:v>
      </x:c>
      <x:c r="C447" t="str">
        <x:v>발달상권</x:v>
      </x:c>
      <x:c r="D447" t="str">
        <x:v>동대문구</x:v>
      </x:c>
      <x:c r="E447" t="str">
        <x:v>전농1동</x:v>
      </x:c>
      <x:c r="F447" t="str">
        <x:v>CS200030</x:v>
      </x:c>
      <x:c r="G447" t="str">
        <x:v>피부관리실</x:v>
      </x:c>
      <x:c r="H447" t="n">
        <x:v>66781188</x:v>
      </x:c>
      <x:c r="I447" t="n">
        <x:v>284</x:v>
      </x:c>
      <x:c r="J447" t="n">
        <x:v>235145.02816901408</x:v>
      </x:c>
      <x:c r="K447" s="14" t="n">
        <x:v>0.6655704565349325</x:v>
      </x:c>
      <x:c r="L447" s="14" t="n">
        <x:v>0.11857168683779085</x:v>
      </x:c>
      <x:c r="M447" s="14" t="n">
        <x:v>0.0314283578178467</x:v>
      </x:c>
      <x:c r="N447" t="n">
        <x:v>26</x:v>
      </x:c>
      <x:c r="O447" t="n">
        <x:v>0</x:v>
      </x:c>
      <x:c r="P447" s="14" t="n">
        <x:v>0</x:v>
      </x:c>
      <x:c r="Q447" s="14" t="n">
        <x:v>0.038461538461538464</x:v>
      </x:c>
      <x:c r="R447" s="14" t="n">
        <x:v>1</x:v>
      </x:c>
      <x:c r="S447" t="n">
        <x:v>1560</x:v>
      </x:c>
      <x:c r="T447" t="n">
        <x:v>49.221759804122634</x:v>
      </x:c>
      <x:c r="U447" s="14" t="n">
        <x:v>0.6325788184540833</x:v>
      </x:c>
      <x:c r="V447" s="14" t="n">
        <x:v>0.6562793701723305</x:v>
      </x:c>
      <x:c r="W447" s="14" t="n">
        <x:v>0.4349488960873233</x:v>
      </x:c>
      <x:c r="X447" s="14" t="n">
        <x:v>0.7953476658726107</x:v>
      </x:c>
      <x:c r="Y447" s="16" t="n">
        <x:v>69.72704714640199</x:v>
      </x:c>
      <x:c r="Z447" s="16" t="n">
        <x:v>91.51193633952255</x:v>
      </x:c>
      <x:c r="AA447" s="16" t="n">
        <x:v>91.80327868852459</x:v>
      </x:c>
      <x:c r="AB447" s="16" t="n">
        <x:v>59.42928039702233</x:v>
      </x:c>
      <x:c r="AC447" s="16" t="n">
        <x:v>79.15632754342431</x:v>
      </x:c>
      <x:c r="AD447" s="16" t="n">
        <x:v>34.9390243902439</x:v>
      </x:c>
      <x:c r="AE447" s="16" t="n">
        <x:v>75.05432160583186</x:v>
      </x:c>
      <x:c r="AF447" t="str">
        <x:v>검토</x:v>
      </x:c>
      <x:c r="AG447" t="str">
        <x:v>서울 업종추세·상권 모멘텀 강점 / 직장수요 상대적 약점</x:v>
      </x:c>
    </x:row>
    <x:row r="448">
      <x:c r="A448" t="str">
        <x:v>3120227</x:v>
      </x:c>
      <x:c r="B448" t="str">
        <x:v>잠실역</x:v>
      </x:c>
      <x:c r="C448" t="str">
        <x:v>발달상권</x:v>
      </x:c>
      <x:c r="D448" t="str">
        <x:v>송파구</x:v>
      </x:c>
      <x:c r="E448" t="str">
        <x:v>잠실6동</x:v>
      </x:c>
      <x:c r="F448" t="str">
        <x:v>CS300026</x:v>
      </x:c>
      <x:c r="G448" t="str">
        <x:v>완구</x:v>
      </x:c>
      <x:c r="H448" t="n">
        <x:v>17790000000</x:v>
      </x:c>
      <x:c r="I448" t="n">
        <x:v>1291738</x:v>
      </x:c>
      <x:c r="J448" t="n">
        <x:v>13772.142648122142</x:v>
      </x:c>
      <x:c r="K448" s="14" t="n">
        <x:v>0</x:v>
      </x:c>
      <x:c r="L448" s="14" t="n">
        <x:v>0.13391619953678746</x:v>
      </x:c>
      <x:c r="M448" s="14" t="n">
        <x:v>-0.001177008085450515</x:v>
      </x:c>
      <x:c r="N448" t="n">
        <x:v>7</x:v>
      </x:c>
      <x:c r="O448" t="n">
        <x:v>0</x:v>
      </x:c>
      <x:c r="P448" s="14" t="n">
        <x:v>0</x:v>
      </x:c>
      <x:c r="Q448" s="14" t="n">
        <x:v>0</x:v>
      </x:c>
      <x:c r="R448" s="14" t="n">
        <x:v>-0.2222222222222222</x:v>
      </x:c>
      <x:c r="S448" t="n">
        <x:v>110575</x:v>
      </x:c>
      <x:c r="T448" t="n">
        <x:v>2098.727003209539</x:v>
      </x:c>
      <x:c r="U448" s="14" t="n">
        <x:v>0.6313435027543564</x:v>
      </x:c>
      <x:c r="V448" s="14" t="n">
        <x:v>0.41035025947161324</x:v>
      </x:c>
      <x:c r="W448" s="14" t="n">
        <x:v>0.6415598204609331</x:v>
      </x:c>
      <x:c r="X448" s="14" t="n">
        <x:v>0.49253579229904443</x:v>
      </x:c>
      <x:c r="Y448" s="16" t="n">
        <x:v>96.66666666666667</x:v>
      </x:c>
      <x:c r="Z448" s="16" t="n">
        <x:v>34.61538461538461</x:v>
      </x:c>
      <x:c r="AA448" s="16" t="n">
        <x:v>93.44262295081967</x:v>
      </x:c>
      <x:c r="AB448" s="16" t="n">
        <x:v>66.66666666666666</x:v>
      </x:c>
      <x:c r="AC448" s="16" t="n">
        <x:v>53.333333333333336</x:v>
      </x:c>
      <x:c r="AD448" s="16" t="n">
        <x:v>98.90243902439025</x:v>
      </x:c>
      <x:c r="AE448" s="16" t="n">
        <x:v>75.05125898358605</x:v>
      </x:c>
      <x:c r="AF448" t="str">
        <x:v>검토</x:v>
      </x:c>
      <x:c r="AG448" t="str">
        <x:v>직장수요·수요 강점 / 상권 모멘텀 상대적 약점</x:v>
      </x:c>
    </x:row>
    <x:row r="449">
      <x:c r="A449" t="str">
        <x:v>3001492</x:v>
      </x:c>
      <x:c r="B449" t="str">
        <x:v>명동 남대문 북창동 다동 무교동 관광특구</x:v>
      </x:c>
      <x:c r="C449" t="str">
        <x:v>관광특구</x:v>
      </x:c>
      <x:c r="D449" t="str">
        <x:v>중구</x:v>
      </x:c>
      <x:c r="E449" t="str">
        <x:v>소공동</x:v>
      </x:c>
      <x:c r="F449" t="str">
        <x:v>CS100005</x:v>
      </x:c>
      <x:c r="G449" t="str">
        <x:v>제과점</x:v>
      </x:c>
      <x:c r="H449" t="n">
        <x:v>5338252701</x:v>
      </x:c>
      <x:c r="I449" t="n">
        <x:v>381878</x:v>
      </x:c>
      <x:c r="J449" t="n">
        <x:v>13978.947991243276</x:v>
      </x:c>
      <x:c r="K449" s="14" t="n">
        <x:v>0.13429429992238773</x:v>
      </x:c>
      <x:c r="L449" s="14" t="n">
        <x:v>0.015772977300780644</x:v>
      </x:c>
      <x:c r="M449" s="14" t="n">
        <x:v>-0.01180050626373963</x:v>
      </x:c>
      <x:c r="N449" t="n">
        <x:v>48</x:v>
      </x:c>
      <x:c r="O449" t="n">
        <x:v>0</x:v>
      </x:c>
      <x:c r="P449" s="14" t="n">
        <x:v>0</x:v>
      </x:c>
      <x:c r="Q449" s="14" t="n">
        <x:v>0.1875</x:v>
      </x:c>
      <x:c r="R449" s="14" t="n">
        <x:v>0.1707317073170731</x:v>
      </x:c>
      <x:c r="S449" t="n">
        <x:v>199667</x:v>
      </x:c>
      <x:c r="T449" t="n">
        <x:v>2029.9242185482574</x:v>
      </x:c>
      <x:c r="U449" s="14" t="n">
        <x:v>0.8788628732620951</x:v>
      </x:c>
      <x:c r="V449" s="14" t="n">
        <x:v>0.19800093892183093</x:v>
      </x:c>
      <x:c r="W449" s="14" t="n">
        <x:v>0.27474403220463056</x:v>
      </x:c>
      <x:c r="X449" s="14" t="n">
        <x:v>0.39880920017165744</x:v>
      </x:c>
      <x:c r="Y449" s="16" t="n">
        <x:v>99.53379953379954</x:v>
      </x:c>
      <x:c r="Z449" s="16" t="n">
        <x:v>89.82630272952854</x:v>
      </x:c>
      <x:c r="AA449" s="16" t="n">
        <x:v>52.459016393442624</x:v>
      </x:c>
      <x:c r="AB449" s="16" t="n">
        <x:v>13.869463869463871</x:v>
      </x:c>
      <x:c r="AC449" s="16" t="n">
        <x:v>73.54312354312354</x:v>
      </x:c>
      <x:c r="AD449" s="16" t="n">
        <x:v>98.84146341463415</x:v>
      </x:c>
      <x:c r="AE449" s="16" t="n">
        <x:v>75.04774794721557</x:v>
      </x:c>
      <x:c r="AF449" t="str">
        <x:v>검토</x:v>
      </x:c>
      <x:c r="AG449" t="str">
        <x:v>수요·직장수요 강점 / 경쟁여건 상대적 약점</x:v>
      </x:c>
    </x:row>
    <x:row r="450">
      <x:c r="A450" t="str">
        <x:v>3130202</x:v>
      </x:c>
      <x:c r="B450" t="str">
        <x:v>신영시장</x:v>
      </x:c>
      <x:c r="C450" t="str">
        <x:v>전통시장</x:v>
      </x:c>
      <x:c r="D450" t="str">
        <x:v>양천구</x:v>
      </x:c>
      <x:c r="E450" t="str">
        <x:v>신월1동</x:v>
      </x:c>
      <x:c r="F450" t="str">
        <x:v>CS200003</x:v>
      </x:c>
      <x:c r="G450" t="str">
        <x:v>예술학원</x:v>
      </x:c>
      <x:c r="H450" t="n">
        <x:v>198172594</x:v>
      </x:c>
      <x:c r="I450" t="n">
        <x:v>1372</x:v>
      </x:c>
      <x:c r="J450" t="n">
        <x:v>144440.666180758</x:v>
      </x:c>
      <x:c r="K450" s="14" t="n">
        <x:v>0.06071397791108102</x:v>
      </x:c>
      <x:c r="L450" s="14" t="n">
        <x:v>0.09364146198394163</x:v>
      </x:c>
      <x:c r="M450" s="14" t="n">
        <x:v>0.053788091189524545</x:v>
      </x:c>
      <x:c r="N450" t="n">
        <x:v>10</x:v>
      </x:c>
      <x:c r="O450" t="n">
        <x:v>0</x:v>
      </x:c>
      <x:c r="P450" s="14" t="n">
        <x:v>0</x:v>
      </x:c>
      <x:c r="Q450" s="14" t="n">
        <x:v>0</x:v>
      </x:c>
      <x:c r="R450" s="14" t="n">
        <x:v>-0.23076923076923073</x:v>
      </x:c>
      <x:c r="S450" t="n">
        <x:v>227</x:v>
      </x:c>
      <x:c r="T450" t="n">
        <x:v>49.99339294366383</x:v>
      </x:c>
      <x:c r="U450" s="14" t="n">
        <x:v>0.9121675977052609</x:v>
      </x:c>
      <x:c r="V450" s="14" t="n">
        <x:v>0.29504989978584023</x:v>
      </x:c>
      <x:c r="W450" s="14" t="n">
        <x:v>0.09485626453474187</x:v>
      </x:c>
      <x:c r="X450" s="14" t="n">
        <x:v>0.3979295996902579</x:v>
      </x:c>
      <x:c r="Y450" s="16" t="n">
        <x:v>76.69322709163346</x:v>
      </x:c>
      <x:c r="Z450" s="16" t="n">
        <x:v>58.895705521472394</x:v>
      </x:c>
      <x:c r="AA450" s="16" t="n">
        <x:v>88.52459016393442</x:v>
      </x:c>
      <x:c r="AB450" s="16" t="n">
        <x:v>93.62549800796813</x:v>
      </x:c>
      <x:c r="AC450" s="16" t="n">
        <x:v>73.20717131474103</x:v>
      </x:c>
      <x:c r="AD450" s="16" t="n">
        <x:v>35.609756097560975</x:v>
      </x:c>
      <x:c r="AE450" s="16" t="n">
        <x:v>75.04548874850371</x:v>
      </x:c>
      <x:c r="AF450" t="str">
        <x:v>검토</x:v>
      </x:c>
      <x:c r="AG450" t="str">
        <x:v>경쟁여건·서울 업종추세 강점 / 직장수요 상대적 약점</x:v>
      </x:c>
    </x:row>
    <x:row r="451">
      <x:c r="A451" t="str">
        <x:v>3111015</x:v>
      </x:c>
      <x:c r="B451" t="str">
        <x:v>석촌역 3번</x:v>
      </x:c>
      <x:c r="C451" t="str">
        <x:v>골목상권</x:v>
      </x:c>
      <x:c r="D451" t="str">
        <x:v>송파구</x:v>
      </x:c>
      <x:c r="E451" t="str">
        <x:v>송파1동</x:v>
      </x:c>
      <x:c r="F451" t="str">
        <x:v>CS300035</x:v>
      </x:c>
      <x:c r="G451" t="str">
        <x:v>인테리어</x:v>
      </x:c>
      <x:c r="H451" t="n">
        <x:v>304481489</x:v>
      </x:c>
      <x:c r="I451" t="n">
        <x:v>2733</x:v>
      </x:c>
      <x:c r="J451" t="n">
        <x:v>111409.25320160996</x:v>
      </x:c>
      <x:c r="K451" s="14" t="n">
        <x:v>0.47503456522233</x:v>
      </x:c>
      <x:c r="L451" s="14" t="n">
        <x:v>0.20213561276420866</x:v>
      </x:c>
      <x:c r="M451" s="14" t="n">
        <x:v>0.044160820891303576</x:v>
      </x:c>
      <x:c r="N451" t="n">
        <x:v>16</x:v>
      </x:c>
      <x:c r="O451" t="n">
        <x:v>0</x:v>
      </x:c>
      <x:c r="P451" s="14" t="n">
        <x:v>0</x:v>
      </x:c>
      <x:c r="Q451" s="14" t="n">
        <x:v>0</x:v>
      </x:c>
      <x:c r="R451" s="14" t="n">
        <x:v>-0.11111111111111116</x:v>
      </x:c>
      <x:c r="S451" t="n">
        <x:v>1249</x:v>
      </x:c>
      <x:c r="T451" t="n">
        <x:v>55.12304487518978</x:v>
      </x:c>
      <x:c r="U451" s="14" t="n">
        <x:v>1</x:v>
      </x:c>
      <x:c r="V451" s="14" t="n">
        <x:v>0</x:v>
      </x:c>
      <x:c r="W451" s="14" t="n">
        <x:v>0.0160221792662082</x:v>
      </x:c>
      <x:c r="X451" s="14" t="n">
        <x:v>0</x:v>
      </x:c>
      <x:c r="Y451" s="16" t="n">
        <x:v>85.8695652173913</x:v>
      </x:c>
      <x:c r="Z451" s="16" t="n">
        <x:v>80.2547770700637</x:v>
      </x:c>
      <x:c r="AA451" s="16" t="n">
        <x:v>98.36065573770492</x:v>
      </x:c>
      <x:c r="AB451" s="16" t="n">
        <x:v>41.03260869565217</x:v>
      </x:c>
      <x:c r="AC451" s="16" t="n">
        <x:v>60.32608695652174</x:v>
      </x:c>
      <x:c r="AD451" s="16" t="n">
        <x:v>39.51219512195122</x:v>
      </x:c>
      <x:c r="AE451" s="16" t="n">
        <x:v>75.02251135685299</x:v>
      </x:c>
      <x:c r="AF451" t="str">
        <x:v>검토</x:v>
      </x:c>
      <x:c r="AG451" t="str">
        <x:v>서울 업종추세·수요 강점 / 직장수요 상대적 약점</x:v>
      </x:c>
    </x:row>
    <x:row r="452">
      <x:c r="A452" t="str">
        <x:v>3120065</x:v>
      </x:c>
      <x:c r="B452" t="str">
        <x:v>회기역</x:v>
      </x:c>
      <x:c r="C452" t="str">
        <x:v>발달상권</x:v>
      </x:c>
      <x:c r="D452" t="str">
        <x:v>동대문구</x:v>
      </x:c>
      <x:c r="E452" t="str">
        <x:v>휘경1동</x:v>
      </x:c>
      <x:c r="F452" t="str">
        <x:v>CS100008</x:v>
      </x:c>
      <x:c r="G452" t="str">
        <x:v>분식전문점</x:v>
      </x:c>
      <x:c r="H452" t="n">
        <x:v>1025642372</x:v>
      </x:c>
      <x:c r="I452" t="n">
        <x:v>111130</x:v>
      </x:c>
      <x:c r="J452" t="n">
        <x:v>9229.212381895079</x:v>
      </x:c>
      <x:c r="K452" s="14" t="n">
        <x:v>0.08029199045457291</x:v>
      </x:c>
      <x:c r="L452" s="14" t="n">
        <x:v>-0.021494731595524064</x:v>
      </x:c>
      <x:c r="M452" s="14" t="n">
        <x:v>0.009923521656473921</x:v>
      </x:c>
      <x:c r="N452" t="n">
        <x:v>19</x:v>
      </x:c>
      <x:c r="O452" t="n">
        <x:v>0</x:v>
      </x:c>
      <x:c r="P452" s="14" t="n">
        <x:v>0</x:v>
      </x:c>
      <x:c r="Q452" s="14" t="n">
        <x:v>0.3157894736842105</x:v>
      </x:c>
      <x:c r="R452" s="14" t="n">
        <x:v>0</x:v>
      </x:c>
      <x:c r="S452" t="n">
        <x:v>814</x:v>
      </x:c>
      <x:c r="T452" t="n">
        <x:v>63.992201441789895</x:v>
      </x:c>
      <x:c r="U452" s="14" t="n">
        <x:v>0.7110696339288916</x:v>
      </x:c>
      <x:c r="V452" s="14" t="n">
        <x:v>0.4531342139207174</x:v>
      </x:c>
      <x:c r="W452" s="14" t="n">
        <x:v>0.46144365123791903</x:v>
      </x:c>
      <x:c r="X452" s="14" t="n">
        <x:v>0.4304471364020441</x:v>
      </x:c>
      <x:c r="Y452" s="16" t="n">
        <x:v>91.58163265306122</x:v>
      </x:c>
      <x:c r="Z452" s="16" t="n">
        <x:v>76.10966057441253</x:v>
      </x:c>
      <x:c r="AA452" s="16" t="n">
        <x:v>34.42622950819672</x:v>
      </x:c>
      <x:c r="AB452" s="16" t="n">
        <x:v>80.48469387755102</x:v>
      </x:c>
      <x:c r="AC452" s="16" t="n">
        <x:v>82.71683673469389</x:v>
      </x:c>
      <x:c r="AD452" s="16" t="n">
        <x:v>44.75609756097561</x:v>
      </x:c>
      <x:c r="AE452" s="16" t="n">
        <x:v>75.02163060283425</x:v>
      </x:c>
      <x:c r="AF452" t="str">
        <x:v>검토</x:v>
      </x:c>
      <x:c r="AG452" t="str">
        <x:v>수요·안정성 강점 / 서울 업종추세 상대적 약점</x:v>
      </x:c>
    </x:row>
    <x:row r="453">
      <x:c r="A453" t="str">
        <x:v>3130315</x:v>
      </x:c>
      <x:c r="B453" t="str">
        <x:v>문정동 로데오거리 상점가(문정동 로데오거리)</x:v>
      </x:c>
      <x:c r="C453" t="str">
        <x:v>전통시장</x:v>
      </x:c>
      <x:c r="D453" t="str">
        <x:v>송파구</x:v>
      </x:c>
      <x:c r="E453" t="str">
        <x:v>가락본동</x:v>
      </x:c>
      <x:c r="F453" t="str">
        <x:v>CS200016</x:v>
      </x:c>
      <x:c r="G453" t="str">
        <x:v>당구장</x:v>
      </x:c>
      <x:c r="H453" t="n">
        <x:v>181708664</x:v>
      </x:c>
      <x:c r="I453" t="n">
        <x:v>1237</x:v>
      </x:c>
      <x:c r="J453" t="n">
        <x:v>146894.63540824575</x:v>
      </x:c>
      <x:c r="K453" s="14" t="n">
        <x:v>0.18234392199278227</x:v>
      </x:c>
      <x:c r="L453" s="14" t="n">
        <x:v>0.052763611334009974</x:v>
      </x:c>
      <x:c r="M453" s="14" t="n">
        <x:v>0.07602781601598463</x:v>
      </x:c>
      <x:c r="N453" t="n">
        <x:v>28</x:v>
      </x:c>
      <x:c r="O453" t="n">
        <x:v>0</x:v>
      </x:c>
      <x:c r="P453" s="14" t="n">
        <x:v>0</x:v>
      </x:c>
      <x:c r="Q453" s="14" t="n">
        <x:v>0</x:v>
      </x:c>
      <x:c r="R453" s="14" t="n">
        <x:v>0.07692307692307687</x:v>
      </x:c>
      <x:c r="S453" t="n">
        <x:v>7986</x:v>
      </x:c>
      <x:c r="T453" t="n">
        <x:v>1053.1590816178507</x:v>
      </x:c>
      <x:c r="U453" s="14" t="n">
        <x:v>0.8795052557317795</x:v>
      </x:c>
      <x:c r="V453" s="14" t="n">
        <x:v>0.7061069966372104</x:v>
      </x:c>
      <x:c r="W453" s="14" t="n">
        <x:v>0.5940844735945007</x:v>
      </x:c>
      <x:c r="X453" s="14" t="n">
        <x:v>0.3984804048749156</x:v>
      </x:c>
      <x:c r="Y453" s="16" t="n">
        <x:v>91.44542772861357</x:v>
      </x:c>
      <x:c r="Z453" s="16" t="n">
        <x:v>90.74074074074075</x:v>
      </x:c>
      <x:c r="AA453" s="16" t="n">
        <x:v>80.32786885245902</x:v>
      </x:c>
      <x:c r="AB453" s="16" t="n">
        <x:v>6.78466076696165</x:v>
      </x:c>
      <x:c r="AC453" s="16" t="n">
        <x:v>69.32153392330383</x:v>
      </x:c>
      <x:c r="AD453" s="16" t="n">
        <x:v>97.2560975609756</x:v>
      </x:c>
      <x:c r="AE453" s="16" t="n">
        <x:v>75.01588556645515</x:v>
      </x:c>
      <x:c r="AF453" t="str">
        <x:v>검토</x:v>
      </x:c>
      <x:c r="AG453" t="str">
        <x:v>직장수요·수요 강점 / 경쟁여건 상대적 약점</x:v>
      </x:c>
    </x:row>
    <x:row r="454">
      <x:c r="A454" t="str">
        <x:v>3120179</x:v>
      </x:c>
      <x:c r="B454" t="str">
        <x:v>양재역</x:v>
      </x:c>
      <x:c r="C454" t="str">
        <x:v>발달상권</x:v>
      </x:c>
      <x:c r="D454" t="str">
        <x:v>서초구</x:v>
      </x:c>
      <x:c r="E454" t="str">
        <x:v>도곡1동</x:v>
      </x:c>
      <x:c r="F454" t="str">
        <x:v>CS200030</x:v>
      </x:c>
      <x:c r="G454" t="str">
        <x:v>피부관리실</x:v>
      </x:c>
      <x:c r="H454" t="n">
        <x:v>536145663</x:v>
      </x:c>
      <x:c r="I454" t="n">
        <x:v>1419</x:v>
      </x:c>
      <x:c r="J454" t="n">
        <x:v>377833.44820295984</x:v>
      </x:c>
      <x:c r="K454" s="14" t="n">
        <x:v>0.07865024404257648</x:v>
      </x:c>
      <x:c r="L454" s="14" t="n">
        <x:v>0.11857168683779085</x:v>
      </x:c>
      <x:c r="M454" s="14" t="n">
        <x:v>0.0314283578178467</x:v>
      </x:c>
      <x:c r="N454" t="n">
        <x:v>21</x:v>
      </x:c>
      <x:c r="O454" t="n">
        <x:v>1</x:v>
      </x:c>
      <x:c r="P454" s="14" t="n">
        <x:v>0.038461538461538464</x:v>
      </x:c>
      <x:c r="Q454" s="14" t="n">
        <x:v>0</x:v>
      </x:c>
      <x:c r="R454" s="14" t="n">
        <x:v>0.6153846153846154</x:v>
      </x:c>
      <x:c r="S454" t="n">
        <x:v>27837</x:v>
      </x:c>
      <x:c r="T454" t="n">
        <x:v>798.9839411030267</x:v>
      </x:c>
      <x:c r="U454" s="14" t="n">
        <x:v>0.8250371709152481</x:v>
      </x:c>
      <x:c r="V454" s="14" t="n">
        <x:v>0.4302934797777148</x:v>
      </x:c>
      <x:c r="W454" s="14" t="n">
        <x:v>0.4879333827605727</x:v>
      </x:c>
      <x:c r="X454" s="14" t="n">
        <x:v>0.658645219704034</x:v>
      </x:c>
      <x:c r="Y454" s="16" t="n">
        <x:v>94.5409429280397</x:v>
      </x:c>
      <x:c r="Z454" s="16" t="n">
        <x:v>56.763925729442974</x:v>
      </x:c>
      <x:c r="AA454" s="16" t="n">
        <x:v>91.80327868852459</x:v>
      </x:c>
      <x:c r="AB454" s="16" t="n">
        <x:v>68.61042183622828</x:v>
      </x:c>
      <x:c r="AC454" s="16" t="n">
        <x:v>17.493796526054595</x:v>
      </x:c>
      <x:c r="AD454" s="16" t="n">
        <x:v>95</x:v>
      </x:c>
      <x:c r="AE454" s="16" t="n">
        <x:v>75.00354990202086</x:v>
      </x:c>
      <x:c r="AF454" t="str">
        <x:v>검토</x:v>
      </x:c>
      <x:c r="AG454" t="str">
        <x:v>직장수요·수요 강점 / 안정성 상대적 약점</x:v>
      </x:c>
    </x:row>
    <x:row r="455">
      <x:c r="A455" t="str">
        <x:v>3001491</x:v>
      </x:c>
      <x:c r="B455" t="str">
        <x:v>이태원 관광특구</x:v>
      </x:c>
      <x:c r="C455" t="str">
        <x:v>관광특구</x:v>
      </x:c>
      <x:c r="D455" t="str">
        <x:v>용산구</x:v>
      </x:c>
      <x:c r="E455" t="str">
        <x:v>이태원1동</x:v>
      </x:c>
      <x:c r="F455" t="str">
        <x:v>CS300016</x:v>
      </x:c>
      <x:c r="G455" t="str">
        <x:v>안경</x:v>
      </x:c>
      <x:c r="H455" t="n">
        <x:v>644311926</x:v>
      </x:c>
      <x:c r="I455" t="n">
        <x:v>2064</x:v>
      </x:c>
      <x:c r="J455" t="n">
        <x:v>312166.63081395347</x:v>
      </x:c>
      <x:c r="K455" s="14" t="n">
        <x:v>0.03308504505952614</x:v>
      </x:c>
      <x:c r="L455" s="14" t="n">
        <x:v>0.02313988190963734</x:v>
      </x:c>
      <x:c r="M455" s="14" t="n">
        <x:v>0.009707725123368816</x:v>
      </x:c>
      <x:c r="N455" t="n">
        <x:v>5</x:v>
      </x:c>
      <x:c r="O455" t="n">
        <x:v>0</x:v>
      </x:c>
      <x:c r="P455" s="14" t="n">
        <x:v>0</x:v>
      </x:c>
      <x:c r="Q455" s="14" t="n">
        <x:v>0</x:v>
      </x:c>
      <x:c r="R455" s="14" t="n">
        <x:v>0</x:v>
      </x:c>
      <x:c r="S455" t="n">
        <x:v>35826</x:v>
      </x:c>
      <x:c r="T455" t="n">
        <x:v>961.6040154067075</x:v>
      </x:c>
      <x:c r="U455" s="14" t="n">
        <x:v>0.605312831040163</x:v>
      </x:c>
      <x:c r="V455" s="14" t="n">
        <x:v>0.40715423603690987</x:v>
      </x:c>
      <x:c r="W455" s="14" t="n">
        <x:v>0.6212582071622247</x:v>
      </x:c>
      <x:c r="X455" s="14" t="n">
        <x:v>0.3158886570105176</x:v>
      </x:c>
      <x:c r="Y455" s="16" t="n">
        <x:v>80.67632850241546</x:v>
      </x:c>
      <x:c r="Z455" s="16" t="n">
        <x:v>69.26829268292683</x:v>
      </x:c>
      <x:c r="AA455" s="16" t="n">
        <x:v>62.295081967213115</x:v>
      </x:c>
      <x:c r="AB455" s="16" t="n">
        <x:v>86.6504854368932</x:v>
      </x:c>
      <x:c r="AC455" s="16" t="n">
        <x:v>57.28155339805825</x:v>
      </x:c>
      <x:c r="AD455" s="16" t="n">
        <x:v>96.76829268292683</x:v>
      </x:c>
      <x:c r="AE455" s="16" t="n">
        <x:v>74.99877859699889</x:v>
      </x:c>
      <x:c r="AF455" t="str">
        <x:v>검토</x:v>
      </x:c>
      <x:c r="AG455" t="str">
        <x:v>직장수요·경쟁여건 강점 / 안정성 상대적 약점</x:v>
      </x:c>
    </x:row>
    <x:row r="456">
      <x:c r="A456" t="str">
        <x:v>3111028</x:v>
      </x:c>
      <x:c r="B456" t="str">
        <x:v>문현중학교(장지역 1번)</x:v>
      </x:c>
      <x:c r="C456" t="str">
        <x:v>골목상권</x:v>
      </x:c>
      <x:c r="D456" t="str">
        <x:v>송파구</x:v>
      </x:c>
      <x:c r="E456" t="str">
        <x:v>장지동</x:v>
      </x:c>
      <x:c r="F456" t="str">
        <x:v>CS300018</x:v>
      </x:c>
      <x:c r="G456" t="str">
        <x:v>의약품</x:v>
      </x:c>
      <x:c r="H456" t="n">
        <x:v>5938843446</x:v>
      </x:c>
      <x:c r="I456" t="n">
        <x:v>98967</x:v>
      </x:c>
      <x:c r="J456" t="n">
        <x:v>60008.32040983358</x:v>
      </x:c>
      <x:c r="K456" s="14" t="n">
        <x:v>0.441838391594245</x:v>
      </x:c>
      <x:c r="L456" s="14" t="n">
        <x:v>0.027829225601598617</x:v>
      </x:c>
      <x:c r="M456" s="14" t="n">
        <x:v>0.02632929521123617</x:v>
      </x:c>
      <x:c r="N456" t="n">
        <x:v>23</x:v>
      </x:c>
      <x:c r="O456" t="n">
        <x:v>1</x:v>
      </x:c>
      <x:c r="P456" s="14" t="n">
        <x:v>0.03571428571428571</x:v>
      </x:c>
      <x:c r="Q456" s="14" t="n">
        <x:v>0.08695652173913043</x:v>
      </x:c>
      <x:c r="R456" s="14" t="n">
        <x:v>0.1499999999999999</x:v>
      </x:c>
      <x:c r="S456" t="n">
        <x:v>780</x:v>
      </x:c>
      <x:c r="T456" t="n">
        <x:v>145.28386231560125</x:v>
      </x:c>
      <x:c r="U456" s="14" t="n">
        <x:v>0.8237393003337977</x:v>
      </x:c>
      <x:c r="V456" s="14" t="n">
        <x:v>0.13917482175030213</x:v>
      </x:c>
      <x:c r="W456" s="14" t="n">
        <x:v>0.5303539683507595</x:v>
      </x:c>
      <x:c r="X456" s="14" t="n">
        <x:v>0.3854311909066613</x:v>
      </x:c>
      <x:c r="Y456" s="16" t="n">
        <x:v>90.20618556701031</x:v>
      </x:c>
      <x:c r="Z456" s="16" t="n">
        <x:v>99.47552447552448</x:v>
      </x:c>
      <x:c r="AA456" s="16" t="n">
        <x:v>72.1311475409836</x:v>
      </x:c>
      <x:c r="AB456" s="16" t="n">
        <x:v>50.945017182130584</x:v>
      </x:c>
      <x:c r="AC456" s="16" t="n">
        <x:v>16.065292096219935</x:v>
      </x:c>
      <x:c r="AD456" s="16" t="n">
        <x:v>69.14634146341463</x:v>
      </x:c>
      <x:c r="AE456" s="16" t="n">
        <x:v>74.99254083481836</x:v>
      </x:c>
      <x:c r="AF456" t="str">
        <x:v>검토</x:v>
      </x:c>
      <x:c r="AG456" t="str">
        <x:v>상권 모멘텀·수요 강점 / 안정성 상대적 약점</x:v>
      </x:c>
    </x:row>
    <x:row r="457">
      <x:c r="A457" t="str">
        <x:v>3120220</x:v>
      </x:c>
      <x:c r="B457" t="str">
        <x:v>대치역</x:v>
      </x:c>
      <x:c r="C457" t="str">
        <x:v>발달상권</x:v>
      </x:c>
      <x:c r="D457" t="str">
        <x:v>강남구</x:v>
      </x:c>
      <x:c r="E457" t="str">
        <x:v>대치1동</x:v>
      </x:c>
      <x:c r="F457" t="str">
        <x:v>CS300018</x:v>
      </x:c>
      <x:c r="G457" t="str">
        <x:v>의약품</x:v>
      </x:c>
      <x:c r="H457" t="n">
        <x:v>3565907971</x:v>
      </x:c>
      <x:c r="I457" t="n">
        <x:v>201178</x:v>
      </x:c>
      <x:c r="J457" t="n">
        <x:v>17725.138787541382</x:v>
      </x:c>
      <x:c r="K457" s="14" t="n">
        <x:v>0.057246762610360546</x:v>
      </x:c>
      <x:c r="L457" s="14" t="n">
        <x:v>0.027829225601598617</x:v>
      </x:c>
      <x:c r="M457" s="14" t="n">
        <x:v>0.02632929521123617</x:v>
      </x:c>
      <x:c r="N457" t="n">
        <x:v>24</x:v>
      </x:c>
      <x:c r="O457" t="n">
        <x:v>0</x:v>
      </x:c>
      <x:c r="P457" s="14" t="n">
        <x:v>0</x:v>
      </x:c>
      <x:c r="Q457" s="14" t="n">
        <x:v>0.041666666666666664</x:v>
      </x:c>
      <x:c r="R457" s="14" t="n">
        <x:v>0.19999999999999996</x:v>
      </x:c>
      <x:c r="S457" t="n">
        <x:v>12518</x:v>
      </x:c>
      <x:c r="T457" t="n">
        <x:v>766.7852964417193</x:v>
      </x:c>
      <x:c r="U457" s="14" t="n">
        <x:v>0.8441288506264707</x:v>
      </x:c>
      <x:c r="V457" s="14" t="n">
        <x:v>0.16424446529834463</x:v>
      </x:c>
      <x:c r="W457" s="14" t="n">
        <x:v>0.11759874775523196</x:v>
      </x:c>
      <x:c r="X457" s="14" t="n">
        <x:v>0.5369539201717105</x:v>
      </x:c>
      <x:c r="Y457" s="16" t="n">
        <x:v>80.58419243986255</x:v>
      </x:c>
      <x:c r="Z457" s="16" t="n">
        <x:v>87.41258741258741</x:v>
      </x:c>
      <x:c r="AA457" s="16" t="n">
        <x:v>72.1311475409836</x:v>
      </x:c>
      <x:c r="AB457" s="16" t="n">
        <x:v>47.508591065292094</x:v>
      </x:c>
      <x:c r="AC457" s="16" t="n">
        <x:v>66.32302405498282</x:v>
      </x:c>
      <x:c r="AD457" s="16" t="n">
        <x:v>94.51219512195122</x:v>
      </x:c>
      <x:c r="AE457" s="16" t="n">
        <x:v>74.99085778900657</x:v>
      </x:c>
      <x:c r="AF457" t="str">
        <x:v>검토</x:v>
      </x:c>
      <x:c r="AG457" t="str">
        <x:v>직장수요·상권 모멘텀 강점 / 경쟁여건 상대적 약점</x:v>
      </x:c>
    </x:row>
    <x:row r="458">
      <x:c r="A458" t="str">
        <x:v>3120175</x:v>
      </x:c>
      <x:c r="B458" t="str">
        <x:v>남부터미널역</x:v>
      </x:c>
      <x:c r="C458" t="str">
        <x:v>발달상권</x:v>
      </x:c>
      <x:c r="D458" t="str">
        <x:v>서초구</x:v>
      </x:c>
      <x:c r="E458" t="str">
        <x:v>서초1동</x:v>
      </x:c>
      <x:c r="F458" t="str">
        <x:v>CS200037</x:v>
      </x:c>
      <x:c r="G458" t="str">
        <x:v>노래방</x:v>
      </x:c>
      <x:c r="H458" t="n">
        <x:v>525811963</x:v>
      </x:c>
      <x:c r="I458" t="n">
        <x:v>2683</x:v>
      </x:c>
      <x:c r="J458" t="n">
        <x:v>195979.11405143497</x:v>
      </x:c>
      <x:c r="K458" s="14" t="n">
        <x:v>0.09167182862160783</x:v>
      </x:c>
      <x:c r="L458" s="14" t="n">
        <x:v>-0.038104861974415316</x:v>
      </x:c>
      <x:c r="M458" s="14" t="n">
        <x:v>0.05972019768270753</x:v>
      </x:c>
      <x:c r="N458" t="n">
        <x:v>8</x:v>
      </x:c>
      <x:c r="O458" t="n">
        <x:v>0</x:v>
      </x:c>
      <x:c r="P458" s="14" t="n">
        <x:v>0</x:v>
      </x:c>
      <x:c r="Q458" s="14" t="n">
        <x:v>0</x:v>
      </x:c>
      <x:c r="R458" s="14" t="n">
        <x:v>-0.4285714285714286</x:v>
      </x:c>
      <x:c r="S458" t="n">
        <x:v>21560</x:v>
      </x:c>
      <x:c r="T458" t="n">
        <x:v>829.3870767952421</x:v>
      </x:c>
      <x:c r="U458" s="14" t="n">
        <x:v>0.8508953418391509</x:v>
      </x:c>
      <x:c r="V458" s="14" t="n">
        <x:v>0.5673548549522065</x:v>
      </x:c>
      <x:c r="W458" s="14" t="n">
        <x:v>0.07404629551952586</x:v>
      </x:c>
      <x:c r="X458" s="14" t="n">
        <x:v>0.07857563902554267</x:v>
      </x:c>
      <x:c r="Y458" s="16" t="n">
        <x:v>91.23505976095618</x:v>
      </x:c>
      <x:c r="Z458" s="16" t="n">
        <x:v>70.8</x:v>
      </x:c>
      <x:c r="AA458" s="16" t="n">
        <x:v>27.868852459016395</x:v>
      </x:c>
      <x:c r="AB458" s="16" t="n">
        <x:v>84.9601593625498</x:v>
      </x:c>
      <x:c r="AC458" s="16" t="n">
        <x:v>72.11155378486056</x:v>
      </x:c>
      <x:c r="AD458" s="16" t="n">
        <x:v>95.1219512195122</x:v>
      </x:c>
      <x:c r="AE458" s="16" t="n">
        <x:v>74.98387562903125</x:v>
      </x:c>
      <x:c r="AF458" t="str">
        <x:v>검토</x:v>
      </x:c>
      <x:c r="AG458" t="str">
        <x:v>직장수요·수요 강점 / 서울 업종추세 상대적 약점</x:v>
      </x:c>
    </x:row>
    <x:row r="459">
      <x:c r="A459" t="str">
        <x:v>3001492</x:v>
      </x:c>
      <x:c r="B459" t="str">
        <x:v>명동 남대문 북창동 다동 무교동 관광특구</x:v>
      </x:c>
      <x:c r="C459" t="str">
        <x:v>관광특구</x:v>
      </x:c>
      <x:c r="D459" t="str">
        <x:v>중구</x:v>
      </x:c>
      <x:c r="E459" t="str">
        <x:v>소공동</x:v>
      </x:c>
      <x:c r="F459" t="str">
        <x:v>CS300018</x:v>
      </x:c>
      <x:c r="G459" t="str">
        <x:v>의약품</x:v>
      </x:c>
      <x:c r="H459" t="n">
        <x:v>15550133171</x:v>
      </x:c>
      <x:c r="I459" t="n">
        <x:v>950414</x:v>
      </x:c>
      <x:c r="J459" t="n">
        <x:v>16361.431093186759</x:v>
      </x:c>
      <x:c r="K459" s="14" t="n">
        <x:v>0.0847317004956547</x:v>
      </x:c>
      <x:c r="L459" s="14" t="n">
        <x:v>0.027829225601598617</x:v>
      </x:c>
      <x:c r="M459" s="14" t="n">
        <x:v>0.02632929521123617</x:v>
      </x:c>
      <x:c r="N459" t="n">
        <x:v>27</x:v>
      </x:c>
      <x:c r="O459" t="n">
        <x:v>2</x:v>
      </x:c>
      <x:c r="P459" s="14" t="n">
        <x:v>0.0625</x:v>
      </x:c>
      <x:c r="Q459" s="14" t="n">
        <x:v>0.037037037037037035</x:v>
      </x:c>
      <x:c r="R459" s="14" t="n">
        <x:v>0.3500000000000001</x:v>
      </x:c>
      <x:c r="S459" t="n">
        <x:v>199667</x:v>
      </x:c>
      <x:c r="T459" t="n">
        <x:v>2029.9242185482574</x:v>
      </x:c>
      <x:c r="U459" s="14" t="n">
        <x:v>0.8447646947807609</x:v>
      </x:c>
      <x:c r="V459" s="14" t="n">
        <x:v>0.212613751705085</x:v>
      </x:c>
      <x:c r="W459" s="14" t="n">
        <x:v>0.35452250269349156</x:v>
      </x:c>
      <x:c r="X459" s="14" t="n">
        <x:v>0.5841363373620461</x:v>
      </x:c>
      <x:c r="Y459" s="16" t="n">
        <x:v>98.28178694158076</x:v>
      </x:c>
      <x:c r="Z459" s="16" t="n">
        <x:v>92.3076923076923</x:v>
      </x:c>
      <x:c r="AA459" s="16" t="n">
        <x:v>72.1311475409836</x:v>
      </x:c>
      <x:c r="AB459" s="16" t="n">
        <x:v>38.31615120274914</x:v>
      </x:c>
      <x:c r="AC459" s="16" t="n">
        <x:v>6.013745704467354</x:v>
      </x:c>
      <x:c r="AD459" s="16" t="n">
        <x:v>98.84146341463415</x:v>
      </x:c>
      <x:c r="AE459" s="16" t="n">
        <x:v>74.97070644383008</x:v>
      </x:c>
      <x:c r="AF459" t="str">
        <x:v>검토</x:v>
      </x:c>
      <x:c r="AG459" t="str">
        <x:v>직장수요·수요 강점 / 안정성 상대적 약점</x:v>
      </x:c>
    </x:row>
    <x:row r="460">
      <x:c r="A460" t="str">
        <x:v>3120190</x:v>
      </x:c>
      <x:c r="B460" t="str">
        <x:v>강남을지병원</x:v>
      </x:c>
      <x:c r="C460" t="str">
        <x:v>발달상권</x:v>
      </x:c>
      <x:c r="D460" t="str">
        <x:v>강남구</x:v>
      </x:c>
      <x:c r="E460" t="str">
        <x:v>압구정동</x:v>
      </x:c>
      <x:c r="F460" t="str">
        <x:v>CS300024</x:v>
      </x:c>
      <x:c r="G460" t="str">
        <x:v>운동/경기용품</x:v>
      </x:c>
      <x:c r="H460" t="n">
        <x:v>9701754553</x:v>
      </x:c>
      <x:c r="I460" t="n">
        <x:v>13575</x:v>
      </x:c>
      <x:c r="J460" t="n">
        <x:v>714678.051786372</x:v>
      </x:c>
      <x:c r="K460" s="14" t="n">
        <x:v>0.5630765337679213</x:v>
      </x:c>
      <x:c r="L460" s="14" t="n">
        <x:v>0.02391308801579517</x:v>
      </x:c>
      <x:c r="M460" s="14" t="n">
        <x:v>-0.0228667837393145</x:v>
      </x:c>
      <x:c r="N460" t="n">
        <x:v>45</x:v>
      </x:c>
      <x:c r="O460" t="n">
        <x:v>0</x:v>
      </x:c>
      <x:c r="P460" s="14" t="n">
        <x:v>0</x:v>
      </x:c>
      <x:c r="Q460" s="14" t="n">
        <x:v>0</x:v>
      </x:c>
      <x:c r="R460" s="14" t="n">
        <x:v>0.6071428571428572</x:v>
      </x:c>
      <x:c r="S460" t="n">
        <x:v>15495</x:v>
      </x:c>
      <x:c r="T460" t="n">
        <x:v>524.9072646894426</x:v>
      </x:c>
      <x:c r="U460" s="14" t="n">
        <x:v>0.5114190222907404</x:v>
      </x:c>
      <x:c r="V460" s="14" t="n">
        <x:v>0.4238758221035774</x:v>
      </x:c>
      <x:c r="W460" s="14" t="n">
        <x:v>0.19887270827763642</x:v>
      </x:c>
      <x:c r="X460" s="14" t="n">
        <x:v>0.28468307901542933</x:v>
      </x:c>
      <x:c r="Y460" s="16" t="n">
        <x:v>96.15384615384616</x:v>
      </x:c>
      <x:c r="Z460" s="16" t="n">
        <x:v>90.2439024390244</x:v>
      </x:c>
      <x:c r="AA460" s="16" t="n">
        <x:v>65.57377049180327</x:v>
      </x:c>
      <x:c r="AB460" s="16" t="n">
        <x:v>15</x:v>
      </x:c>
      <x:c r="AC460" s="16" t="n">
        <x:v>66.53846153846155</x:v>
      </x:c>
      <x:c r="AD460" s="16" t="n">
        <x:v>90.54878048780488</x:v>
      </x:c>
      <x:c r="AE460" s="16" t="n">
        <x:v>74.96997739365793</x:v>
      </x:c>
      <x:c r="AF460" t="str">
        <x:v>검토</x:v>
      </x:c>
      <x:c r="AG460" t="str">
        <x:v>수요·직장수요 강점 / 경쟁여건 상대적 약점</x:v>
      </x:c>
    </x:row>
    <x:row r="461">
      <x:c r="A461" t="str">
        <x:v>3120202</x:v>
      </x:c>
      <x:c r="B461" t="str">
        <x:v>압구정로데오역(압구정로데오)</x:v>
      </x:c>
      <x:c r="C461" t="str">
        <x:v>발달상권</x:v>
      </x:c>
      <x:c r="D461" t="str">
        <x:v>강남구</x:v>
      </x:c>
      <x:c r="E461" t="str">
        <x:v>압구정동</x:v>
      </x:c>
      <x:c r="F461" t="str">
        <x:v>CS300043</x:v>
      </x:c>
      <x:c r="G461" t="str">
        <x:v>전자상거래업</x:v>
      </x:c>
      <x:c r="H461" t="n">
        <x:v>2857596115</x:v>
      </x:c>
      <x:c r="I461" t="n">
        <x:v>8005</x:v>
      </x:c>
      <x:c r="J461" t="n">
        <x:v>356976.4041224235</x:v>
      </x:c>
      <x:c r="K461" s="14" t="n">
        <x:v>1.3878077096688157</x:v>
      </x:c>
      <x:c r="L461" s="14" t="n">
        <x:v>-0.21064042264234728</x:v>
      </x:c>
      <x:c r="M461" s="14" t="n">
        <x:v>0.02991765855946449</x:v>
      </x:c>
      <x:c r="N461" t="n">
        <x:v>57</x:v>
      </x:c>
      <x:c r="O461" t="n">
        <x:v>0</x:v>
      </x:c>
      <x:c r="P461" s="14" t="n">
        <x:v>0</x:v>
      </x:c>
      <x:c r="Q461" s="14" t="n">
        <x:v>0</x:v>
      </x:c>
      <x:c r="R461" s="14" t="n">
        <x:v>-0.20833333333333337</x:v>
      </x:c>
      <x:c r="S461" t="n">
        <x:v>15957</x:v>
      </x:c>
      <x:c r="T461" t="n">
        <x:v>600.5600258936704</x:v>
      </x:c>
      <x:c r="U461" s="14" t="n">
        <x:v>0.519687681266322</x:v>
      </x:c>
      <x:c r="V461" s="14" t="n">
        <x:v>0.20451884642907278</x:v>
      </x:c>
      <x:c r="W461" s="14" t="n">
        <x:v>0.7992361079340283</x:v>
      </x:c>
      <x:c r="X461" s="14" t="n">
        <x:v>0.6503311707504893</x:v>
      </x:c>
      <x:c r="Y461" s="16" t="n">
        <x:v>98.41269841269842</x:v>
      </x:c>
      <x:c r="Z461" s="16" t="n">
        <x:v>98.07692307692308</x:v>
      </x:c>
      <x:c r="AA461" s="16" t="n">
        <x:v>1.639344262295082</x:v>
      </x:c>
      <x:c r="AB461" s="16" t="n">
        <x:v>49.20634920634921</x:v>
      </x:c>
      <x:c r="AC461" s="16" t="n">
        <x:v>86.5079365079365</x:v>
      </x:c>
      <x:c r="AD461" s="16" t="n">
        <x:v>92.4390243902439</x:v>
      </x:c>
      <x:c r="AE461" s="16" t="n">
        <x:v>74.95942795043155</x:v>
      </x:c>
      <x:c r="AF461" t="str">
        <x:v>검토</x:v>
      </x:c>
      <x:c r="AG461" t="str">
        <x:v>수요·상권 모멘텀 강점 / 서울 업종추세 상대적 약점</x:v>
      </x:c>
    </x:row>
    <x:row r="462">
      <x:c r="A462" t="str">
        <x:v>3120148</x:v>
      </x:c>
      <x:c r="B462" t="str">
        <x:v>국회의사당역(국회의사당)</x:v>
      </x:c>
      <x:c r="C462" t="str">
        <x:v>발달상권</x:v>
      </x:c>
      <x:c r="D462" t="str">
        <x:v>영등포구</x:v>
      </x:c>
      <x:c r="E462" t="str">
        <x:v>여의동</x:v>
      </x:c>
      <x:c r="F462" t="str">
        <x:v>CS300035</x:v>
      </x:c>
      <x:c r="G462" t="str">
        <x:v>인테리어</x:v>
      </x:c>
      <x:c r="H462" t="n">
        <x:v>1590000000</x:v>
      </x:c>
      <x:c r="I462" t="n">
        <x:v>11239</x:v>
      </x:c>
      <x:c r="J462" t="n">
        <x:v>141471.66117982028</x:v>
      </x:c>
      <x:c r="K462" s="14" t="n">
        <x:v>0</x:v>
      </x:c>
      <x:c r="L462" s="14" t="n">
        <x:v>0.20213561276420866</x:v>
      </x:c>
      <x:c r="M462" s="14" t="n">
        <x:v>0.044160820891303576</x:v>
      </x:c>
      <x:c r="N462" t="n">
        <x:v>13</x:v>
      </x:c>
      <x:c r="O462" t="n">
        <x:v>0</x:v>
      </x:c>
      <x:c r="P462" s="14" t="n">
        <x:v>0</x:v>
      </x:c>
      <x:c r="Q462" s="14" t="n">
        <x:v>0</x:v>
      </x:c>
      <x:c r="R462" s="14" t="n">
        <x:v>-0.1333333333333333</x:v>
      </x:c>
      <x:c r="S462" t="n">
        <x:v>75584</x:v>
      </x:c>
      <x:c r="T462" t="n">
        <x:v>2135.6540412245877</x:v>
      </x:c>
      <x:c r="U462" s="14" t="n">
        <x:v>1</x:v>
      </x:c>
      <x:c r="V462" s="14" t="n">
        <x:v>0.9279528522012579</x:v>
      </x:c>
      <x:c r="W462" s="14" t="n">
        <x:v>0.03024287924528302</x:v>
      </x:c>
      <x:c r="X462" s="14" t="n">
        <x:v>0.051659967295597485</x:v>
      </x:c>
      <x:c r="Y462" s="16" t="n">
        <x:v>96.19565217391305</x:v>
      </x:c>
      <x:c r="Z462" s="16" t="n">
        <x:v>35.98726114649681</x:v>
      </x:c>
      <x:c r="AA462" s="16" t="n">
        <x:v>98.36065573770492</x:v>
      </x:c>
      <x:c r="AB462" s="16" t="n">
        <x:v>55.70652173913044</x:v>
      </x:c>
      <x:c r="AC462" s="16" t="n">
        <x:v>60.32608695652174</x:v>
      </x:c>
      <x:c r="AD462" s="16" t="n">
        <x:v>98.96341463414635</x:v>
      </x:c>
      <x:c r="AE462" s="16" t="n">
        <x:v>74.95678653905372</x:v>
      </x:c>
      <x:c r="AF462" t="str">
        <x:v>검토</x:v>
      </x:c>
      <x:c r="AG462" t="str">
        <x:v>직장수요·서울 업종추세 강점 / 상권 모멘텀 상대적 약점</x:v>
      </x:c>
    </x:row>
    <x:row r="463">
      <x:c r="A463" t="str">
        <x:v>3120222</x:v>
      </x:c>
      <x:c r="B463" t="str">
        <x:v>삼성역</x:v>
      </x:c>
      <x:c r="C463" t="str">
        <x:v>발달상권</x:v>
      </x:c>
      <x:c r="D463" t="str">
        <x:v>강남구</x:v>
      </x:c>
      <x:c r="E463" t="str">
        <x:v>대치2동</x:v>
      </x:c>
      <x:c r="F463" t="str">
        <x:v>CS300017</x:v>
      </x:c>
      <x:c r="G463" t="str">
        <x:v>시계및귀금속</x:v>
      </x:c>
      <x:c r="H463" t="n">
        <x:v>5774255000</x:v>
      </x:c>
      <x:c r="I463" t="n">
        <x:v>2006</x:v>
      </x:c>
      <x:c r="J463" t="n">
        <x:v>2878492.0239282153</x:v>
      </x:c>
      <x:c r="K463" s="14" t="n">
        <x:v>0.13610266463749676</x:v>
      </x:c>
      <x:c r="L463" s="14" t="n">
        <x:v>0.09182238369060247</x:v>
      </x:c>
      <x:c r="M463" s="14" t="n">
        <x:v>0.00817160170707898</x:v>
      </x:c>
      <x:c r="N463" t="n">
        <x:v>29</x:v>
      </x:c>
      <x:c r="O463" t="n">
        <x:v>0</x:v>
      </x:c>
      <x:c r="P463" s="14" t="n">
        <x:v>0</x:v>
      </x:c>
      <x:c r="Q463" s="14" t="n">
        <x:v>0</x:v>
      </x:c>
      <x:c r="R463" s="14" t="n">
        <x:v>0.3181818181818181</x:v>
      </x:c>
      <x:c r="S463" t="n">
        <x:v>109259</x:v>
      </x:c>
      <x:c r="T463" t="n">
        <x:v>3066.170507132293</x:v>
      </x:c>
      <x:c r="U463" s="14" t="n">
        <x:v>0.9272317001933583</x:v>
      </x:c>
      <x:c r="V463" s="14" t="n">
        <x:v>0.6311404769965996</x:v>
      </x:c>
      <x:c r="W463" s="14" t="n">
        <x:v>0.06192603166988642</x:v>
      </x:c>
      <x:c r="X463" s="14" t="n">
        <x:v>0.15241263643534966</x:v>
      </x:c>
      <x:c r="Y463" s="16" t="n">
        <x:v>94.41340782122904</x:v>
      </x:c>
      <x:c r="Z463" s="16" t="n">
        <x:v>69.5906432748538</x:v>
      </x:c>
      <x:c r="AA463" s="16" t="n">
        <x:v>86.88524590163935</x:v>
      </x:c>
      <x:c r="AB463" s="16" t="n">
        <x:v>25.280898876404493</x:v>
      </x:c>
      <x:c r="AC463" s="16" t="n">
        <x:v>61.79775280898876</x:v>
      </x:c>
      <x:c r="AD463" s="16" t="n">
        <x:v>99.57317073170732</x:v>
      </x:c>
      <x:c r="AE463" s="16" t="n">
        <x:v>74.94617692659175</x:v>
      </x:c>
      <x:c r="AF463" t="str">
        <x:v>검토</x:v>
      </x:c>
      <x:c r="AG463" t="str">
        <x:v>직장수요·수요 강점 / 경쟁여건 상대적 약점</x:v>
      </x:c>
    </x:row>
    <x:row r="464">
      <x:c r="A464" t="str">
        <x:v>3120031</x:v>
      </x:c>
      <x:c r="B464" t="str">
        <x:v>을지로3가역</x:v>
      </x:c>
      <x:c r="C464" t="str">
        <x:v>발달상권</x:v>
      </x:c>
      <x:c r="D464" t="str">
        <x:v>중구</x:v>
      </x:c>
      <x:c r="E464" t="str">
        <x:v>을지로동</x:v>
      </x:c>
      <x:c r="F464" t="str">
        <x:v>CS200037</x:v>
      </x:c>
      <x:c r="G464" t="str">
        <x:v>노래방</x:v>
      </x:c>
      <x:c r="H464" t="n">
        <x:v>480730069</x:v>
      </x:c>
      <x:c r="I464" t="n">
        <x:v>2235</x:v>
      </x:c>
      <x:c r="J464" t="n">
        <x:v>215091.75346756153</x:v>
      </x:c>
      <x:c r="K464" s="14" t="n">
        <x:v>0.09215135301600452</x:v>
      </x:c>
      <x:c r="L464" s="14" t="n">
        <x:v>-0.038104861974415316</x:v>
      </x:c>
      <x:c r="M464" s="14" t="n">
        <x:v>0.05972019768270753</x:v>
      </x:c>
      <x:c r="N464" t="n">
        <x:v>7</x:v>
      </x:c>
      <x:c r="O464" t="n">
        <x:v>0</x:v>
      </x:c>
      <x:c r="P464" s="14" t="n">
        <x:v>0</x:v>
      </x:c>
      <x:c r="Q464" s="14" t="n">
        <x:v>0</x:v>
      </x:c>
      <x:c r="R464" s="14" t="n">
        <x:v>-0.2222222222222222</x:v>
      </x:c>
      <x:c r="S464" t="n">
        <x:v>13468</x:v>
      </x:c>
      <x:c r="T464" t="n">
        <x:v>528.6253699357078</x:v>
      </x:c>
      <x:c r="U464" s="14" t="n">
        <x:v>0.8334748330460685</x:v>
      </x:c>
      <x:c r="V464" s="14" t="n">
        <x:v>0.6321429271777048</x:v>
      </x:c>
      <x:c r="W464" s="14" t="n">
        <x:v>0.07103013770499136</x:v>
      </x:c>
      <x:c r="X464" s="14" t="n">
        <x:v>0.030344839943847988</x:v>
      </x:c>
      <x:c r="Y464" s="16" t="n">
        <x:v>89.64143426294821</x:v>
      </x:c>
      <x:c r="Z464" s="16" t="n">
        <x:v>71.2</x:v>
      </x:c>
      <x:c r="AA464" s="16" t="n">
        <x:v>27.868852459016395</x:v>
      </x:c>
      <x:c r="AB464" s="16" t="n">
        <x:v>89.24302788844622</x:v>
      </x:c>
      <x:c r="AC464" s="16" t="n">
        <x:v>72.11155378486056</x:v>
      </x:c>
      <x:c r="AD464" s="16" t="n">
        <x:v>90.73170731707317</x:v>
      </x:c>
      <x:c r="AE464" s="16" t="n">
        <x:v>74.92902478849098</x:v>
      </x:c>
      <x:c r="AF464" t="str">
        <x:v>검토</x:v>
      </x:c>
      <x:c r="AG464" t="str">
        <x:v>직장수요·수요 강점 / 서울 업종추세 상대적 약점</x:v>
      </x:c>
    </x:row>
    <x:row r="465">
      <x:c r="A465" t="str">
        <x:v>3130024</x:v>
      </x:c>
      <x:c r="B465" t="str">
        <x:v>남대문시장(자유상가)</x:v>
      </x:c>
      <x:c r="C465" t="str">
        <x:v>전통시장</x:v>
      </x:c>
      <x:c r="D465" t="str">
        <x:v>중구</x:v>
      </x:c>
      <x:c r="E465" t="str">
        <x:v>회현동</x:v>
      </x:c>
      <x:c r="F465" t="str">
        <x:v>CS300007</x:v>
      </x:c>
      <x:c r="G465" t="str">
        <x:v>육류판매</x:v>
      </x:c>
      <x:c r="H465" t="n">
        <x:v>23415815953</x:v>
      </x:c>
      <x:c r="I465" t="n">
        <x:v>246637</x:v>
      </x:c>
      <x:c r="J465" t="n">
        <x:v>94940.4021010635</x:v>
      </x:c>
      <x:c r="K465" s="14" t="n">
        <x:v>-0.026421562802625753</x:v>
      </x:c>
      <x:c r="L465" s="14" t="n">
        <x:v>0.23518223683931017</x:v>
      </x:c>
      <x:c r="M465" s="14" t="n">
        <x:v>0.00863079289162072</x:v>
      </x:c>
      <x:c r="N465" t="n">
        <x:v>12</x:v>
      </x:c>
      <x:c r="O465" t="n">
        <x:v>0</x:v>
      </x:c>
      <x:c r="P465" s="14" t="n">
        <x:v>0</x:v>
      </x:c>
      <x:c r="Q465" s="14" t="n">
        <x:v>0</x:v>
      </x:c>
      <x:c r="R465" s="14" t="n">
        <x:v>0</x:v>
      </x:c>
      <x:c r="S465" t="n">
        <x:v>26964</x:v>
      </x:c>
      <x:c r="T465" t="n">
        <x:v>3453.9119741763593</x:v>
      </x:c>
      <x:c r="U465" s="14" t="n">
        <x:v>0.9259158158536113</x:v>
      </x:c>
      <x:c r="V465" s="14" t="n">
        <x:v>0.057092696264924386</x:v>
      </x:c>
      <x:c r="W465" s="14" t="n">
        <x:v>0.12859940905088135</x:v>
      </x:c>
      <x:c r="X465" s="14" t="n">
        <x:v>0.7774489243313194</x:v>
      </x:c>
      <x:c r="Y465" s="16" t="n">
        <x:v>99.38118811881188</x:v>
      </x:c>
      <x:c r="Z465" s="16" t="n">
        <x:v>16.493506493506494</x:v>
      </x:c>
      <x:c r="AA465" s="16" t="n">
        <x:v>100</x:v>
      </x:c>
      <x:c r="AB465" s="16" t="n">
        <x:v>67.82178217821783</x:v>
      </x:c>
      <x:c r="AC465" s="16" t="n">
        <x:v>66.83168316831683</x:v>
      </x:c>
      <x:c r="AD465" s="16" t="n">
        <x:v>99.7560975609756</x:v>
      </x:c>
      <x:c r="AE465" s="16" t="n">
        <x:v>74.92635766189858</x:v>
      </x:c>
      <x:c r="AF465" t="str">
        <x:v>검토</x:v>
      </x:c>
      <x:c r="AG465" t="str">
        <x:v>서울 업종추세·직장수요 강점 / 상권 모멘텀 상대적 약점</x:v>
      </x:c>
    </x:row>
    <x:row r="466">
      <x:c r="A466" t="str">
        <x:v>3120038</x:v>
      </x:c>
      <x:c r="B466" t="str">
        <x:v>약수역</x:v>
      </x:c>
      <x:c r="C466" t="str">
        <x:v>발달상권</x:v>
      </x:c>
      <x:c r="D466" t="str">
        <x:v>중구</x:v>
      </x:c>
      <x:c r="E466" t="str">
        <x:v>다산동</x:v>
      </x:c>
      <x:c r="F466" t="str">
        <x:v>CS300011</x:v>
      </x:c>
      <x:c r="G466" t="str">
        <x:v>일반의류</x:v>
      </x:c>
      <x:c r="H466" t="n">
        <x:v>3373810357</x:v>
      </x:c>
      <x:c r="I466" t="n">
        <x:v>24042</x:v>
      </x:c>
      <x:c r="J466" t="n">
        <x:v>140329.85429664754</x:v>
      </x:c>
      <x:c r="K466" s="14" t="n">
        <x:v>0.30746703988505497</x:v>
      </x:c>
      <x:c r="L466" s="14" t="n">
        <x:v>0.06726691045630595</x:v>
      </x:c>
      <x:c r="M466" s="14" t="n">
        <x:v>0.00788849516466894</x:v>
      </x:c>
      <x:c r="N466" t="n">
        <x:v>107</x:v>
      </x:c>
      <x:c r="O466" t="n">
        <x:v>2</x:v>
      </x:c>
      <x:c r="P466" s="14" t="n">
        <x:v>0.017857142857142856</x:v>
      </x:c>
      <x:c r="Q466" s="14" t="n">
        <x:v>0</x:v>
      </x:c>
      <x:c r="R466" s="14" t="n">
        <x:v>0.01904761904761898</x:v>
      </x:c>
      <x:c r="S466" t="n">
        <x:v>8665</x:v>
      </x:c>
      <x:c r="T466" t="n">
        <x:v>633.2351630041583</x:v>
      </x:c>
      <x:c r="U466" s="14" t="n">
        <x:v>0.7360968872620008</x:v>
      </x:c>
      <x:c r="V466" s="14" t="n">
        <x:v>0.29540596255867146</x:v>
      </x:c>
      <x:c r="W466" s="14" t="n">
        <x:v>0.666868431810911</x:v>
      </x:c>
      <x:c r="X466" s="14" t="n">
        <x:v>0.4096045511665373</x:v>
      </x:c>
      <x:c r="Y466" s="16" t="n">
        <x:v>92.46171967020024</x:v>
      </x:c>
      <x:c r="Z466" s="16" t="n">
        <x:v>83.99518652226233</x:v>
      </x:c>
      <x:c r="AA466" s="16" t="n">
        <x:v>81.9672131147541</x:v>
      </x:c>
      <x:c r="AB466" s="16" t="n">
        <x:v>28.504122497055363</x:v>
      </x:c>
      <x:c r="AC466" s="16" t="n">
        <x:v>45.28857479387515</x:v>
      </x:c>
      <x:c r="AD466" s="16" t="n">
        <x:v>93.23170731707317</x:v>
      </x:c>
      <x:c r="AE466" s="16" t="n">
        <x:v>74.92178237603513</x:v>
      </x:c>
      <x:c r="AF466" t="str">
        <x:v>검토</x:v>
      </x:c>
      <x:c r="AG466" t="str">
        <x:v>직장수요·수요 강점 / 경쟁여건 상대적 약점</x:v>
      </x:c>
    </x:row>
    <x:row r="467">
      <x:c r="A467" t="str">
        <x:v>3120159</x:v>
      </x:c>
      <x:c r="B467" t="str">
        <x:v>서울대입구역</x:v>
      </x:c>
      <x:c r="C467" t="str">
        <x:v>발달상권</x:v>
      </x:c>
      <x:c r="D467" t="str">
        <x:v>관악구</x:v>
      </x:c>
      <x:c r="E467" t="str">
        <x:v>청룡동</x:v>
      </x:c>
      <x:c r="F467" t="str">
        <x:v>CS300017</x:v>
      </x:c>
      <x:c r="G467" t="str">
        <x:v>시계및귀금속</x:v>
      </x:c>
      <x:c r="H467" t="n">
        <x:v>435661533</x:v>
      </x:c>
      <x:c r="I467" t="n">
        <x:v>634</x:v>
      </x:c>
      <x:c r="J467" t="n">
        <x:v>687163.3012618297</x:v>
      </x:c>
      <x:c r="K467" s="14" t="n">
        <x:v>0.21260178913646155</x:v>
      </x:c>
      <x:c r="L467" s="14" t="n">
        <x:v>0.09182238369060247</x:v>
      </x:c>
      <x:c r="M467" s="14" t="n">
        <x:v>0.00817160170707898</x:v>
      </x:c>
      <x:c r="N467" t="n">
        <x:v>10</x:v>
      </x:c>
      <x:c r="O467" t="n">
        <x:v>0</x:v>
      </x:c>
      <x:c r="P467" s="14" t="n">
        <x:v>0</x:v>
      </x:c>
      <x:c r="Q467" s="14" t="n">
        <x:v>0</x:v>
      </x:c>
      <x:c r="R467" s="14" t="n">
        <x:v>0</x:v>
      </x:c>
      <x:c r="S467" t="n">
        <x:v>6550</x:v>
      </x:c>
      <x:c r="T467" t="n">
        <x:v>278.2285126880697</x:v>
      </x:c>
      <x:c r="U467" s="14" t="n">
        <x:v>0.5445940805611589</x:v>
      </x:c>
      <x:c r="V467" s="14" t="n">
        <x:v>0.21097071473601964</x:v>
      </x:c>
      <x:c r="W467" s="14" t="n">
        <x:v>0.2189691785342912</x:v>
      </x:c>
      <x:c r="X467" s="14" t="n">
        <x:v>0.42827490578563426</x:v>
      </x:c>
      <x:c r="Y467" s="16" t="n">
        <x:v>81.00558659217877</x:v>
      </x:c>
      <x:c r="Z467" s="16" t="n">
        <x:v>78.3625730994152</x:v>
      </x:c>
      <x:c r="AA467" s="16" t="n">
        <x:v>86.88524590163935</x:v>
      </x:c>
      <x:c r="AB467" s="16" t="n">
        <x:v>50.28089887640449</x:v>
      </x:c>
      <x:c r="AC467" s="16" t="n">
        <x:v>61.79775280898876</x:v>
      </x:c>
      <x:c r="AD467" s="16" t="n">
        <x:v>82.8048780487805</x:v>
      </x:c>
      <x:c r="AE467" s="16" t="n">
        <x:v>74.91941082719009</x:v>
      </x:c>
      <x:c r="AF467" t="str">
        <x:v>검토</x:v>
      </x:c>
      <x:c r="AG467" t="str">
        <x:v>서울 업종추세·직장수요 강점 / 경쟁여건 상대적 약점</x:v>
      </x:c>
    </x:row>
    <x:row r="468">
      <x:c r="A468" t="str">
        <x:v>3001492</x:v>
      </x:c>
      <x:c r="B468" t="str">
        <x:v>명동 남대문 북창동 다동 무교동 관광특구</x:v>
      </x:c>
      <x:c r="C468" t="str">
        <x:v>관광특구</x:v>
      </x:c>
      <x:c r="D468" t="str">
        <x:v>중구</x:v>
      </x:c>
      <x:c r="E468" t="str">
        <x:v>소공동</x:v>
      </x:c>
      <x:c r="F468" t="str">
        <x:v>CS300020</x:v>
      </x:c>
      <x:c r="G468" t="str">
        <x:v>서적</x:v>
      </x:c>
      <x:c r="H468" t="n">
        <x:v>421890434</x:v>
      </x:c>
      <x:c r="I468" t="n">
        <x:v>16308</x:v>
      </x:c>
      <x:c r="J468" t="n">
        <x:v>25870.151704684817</x:v>
      </x:c>
      <x:c r="K468" s="14" t="n">
        <x:v>0.07462064363474408</x:v>
      </x:c>
      <x:c r="L468" s="14" t="n">
        <x:v>0.20039418624921757</x:v>
      </x:c>
      <x:c r="M468" s="14" t="n">
        <x:v>-0.01061516125540185</x:v>
      </x:c>
      <x:c r="N468" t="n">
        <x:v>15</x:v>
      </x:c>
      <x:c r="O468" t="n">
        <x:v>0</x:v>
      </x:c>
      <x:c r="P468" s="14" t="n">
        <x:v>0</x:v>
      </x:c>
      <x:c r="Q468" s="14" t="n">
        <x:v>0</x:v>
      </x:c>
      <x:c r="R468" s="14" t="n">
        <x:v>0.15384615384615374</x:v>
      </x:c>
      <x:c r="S468" t="n">
        <x:v>199667</x:v>
      </x:c>
      <x:c r="T468" t="n">
        <x:v>2029.9242185482574</x:v>
      </x:c>
      <x:c r="U468" s="14" t="n">
        <x:v>0.6456743766795149</x:v>
      </x:c>
      <x:c r="V468" s="14" t="n">
        <x:v>0.17339494357911894</x:v>
      </x:c>
      <x:c r="W468" s="14" t="n">
        <x:v>0.16799987458355123</x:v>
      </x:c>
      <x:c r="X468" s="14" t="n">
        <x:v>0.6987507495844288</x:v>
      </x:c>
      <x:c r="Y468" s="16" t="n">
        <x:v>77.85234899328859</x:v>
      </x:c>
      <x:c r="Z468" s="16" t="n">
        <x:v>72.85714285714286</x:v>
      </x:c>
      <x:c r="AA468" s="16" t="n">
        <x:v>96.72131147540983</x:v>
      </x:c>
      <x:c r="AB468" s="16" t="n">
        <x:v>51.34228187919463</x:v>
      </x:c>
      <x:c r="AC468" s="16" t="n">
        <x:v>59.395973154362416</x:v>
      </x:c>
      <x:c r="AD468" s="16" t="n">
        <x:v>98.84146341463415</x:v>
      </x:c>
      <x:c r="AE468" s="16" t="n">
        <x:v>74.9109602084382</x:v>
      </x:c>
      <x:c r="AF468" t="str">
        <x:v>검토</x:v>
      </x:c>
      <x:c r="AG468" t="str">
        <x:v>직장수요·서울 업종추세 강점 / 경쟁여건 상대적 약점</x:v>
      </x:c>
    </x:row>
    <x:row r="469">
      <x:c r="A469" t="str">
        <x:v>3130313</x:v>
      </x:c>
      <x:c r="B469" t="str">
        <x:v>방이시장</x:v>
      </x:c>
      <x:c r="C469" t="str">
        <x:v>전통시장</x:v>
      </x:c>
      <x:c r="D469" t="str">
        <x:v>송파구</x:v>
      </x:c>
      <x:c r="E469" t="str">
        <x:v>방이2동</x:v>
      </x:c>
      <x:c r="F469" t="str">
        <x:v>CS200006</x:v>
      </x:c>
      <x:c r="G469" t="str">
        <x:v>일반의원</x:v>
      </x:c>
      <x:c r="H469" t="n">
        <x:v>3336701535</x:v>
      </x:c>
      <x:c r="I469" t="n">
        <x:v>56662</x:v>
      </x:c>
      <x:c r="J469" t="n">
        <x:v>58887.81784970527</x:v>
      </x:c>
      <x:c r="K469" s="14" t="n">
        <x:v>0.4514968940902018</x:v>
      </x:c>
      <x:c r="L469" s="14" t="n">
        <x:v>0.09973642051122278</x:v>
      </x:c>
      <x:c r="M469" s="14" t="n">
        <x:v>0.06942273842247415</x:v>
      </x:c>
      <x:c r="N469" t="n">
        <x:v>37</x:v>
      </x:c>
      <x:c r="O469" t="n">
        <x:v>0</x:v>
      </x:c>
      <x:c r="P469" s="14" t="n">
        <x:v>0</x:v>
      </x:c>
      <x:c r="Q469" s="14" t="n">
        <x:v>0</x:v>
      </x:c>
      <x:c r="R469" s="14" t="n">
        <x:v>0.1212121212121211</x:v>
      </x:c>
      <x:c r="S469" t="n">
        <x:v>3965</x:v>
      </x:c>
      <x:c r="T469" t="n">
        <x:v>276.02770719482055</x:v>
      </x:c>
      <x:c r="U469" s="14" t="n">
        <x:v>0.8448638871141947</x:v>
      </x:c>
      <x:c r="V469" s="14" t="n">
        <x:v>0.22982743405606998</x:v>
      </x:c>
      <x:c r="W469" s="14" t="n">
        <x:v>0.23834353707036013</x:v>
      </x:c>
      <x:c r="X469" s="14" t="n">
        <x:v>0.4502777758934318</x:v>
      </x:c>
      <x:c r="Y469" s="16" t="n">
        <x:v>75.62862669245648</x:v>
      </x:c>
      <x:c r="Z469" s="16" t="n">
        <x:v>98.44961240310077</x:v>
      </x:c>
      <x:c r="AA469" s="16" t="n">
        <x:v>90.1639344262295</x:v>
      </x:c>
      <x:c r="AB469" s="16" t="n">
        <x:v>32.26744186046511</x:v>
      </x:c>
      <x:c r="AC469" s="16" t="n">
        <x:v>62.5</x:v>
      </x:c>
      <x:c r="AD469" s="16" t="n">
        <x:v>82.5609756097561</x:v>
      </x:c>
      <x:c r="AE469" s="16" t="n">
        <x:v>74.90269704647191</x:v>
      </x:c>
      <x:c r="AF469" t="str">
        <x:v>검토</x:v>
      </x:c>
      <x:c r="AG469" t="str">
        <x:v>상권 모멘텀·서울 업종추세 강점 / 경쟁여건 상대적 약점</x:v>
      </x:c>
    </x:row>
    <x:row r="470">
      <x:c r="A470" t="str">
        <x:v>3130046</x:v>
      </x:c>
      <x:c r="B470" t="str">
        <x:v>team204(팀204)</x:v>
      </x:c>
      <x:c r="C470" t="str">
        <x:v>전통시장</x:v>
      </x:c>
      <x:c r="D470" t="str">
        <x:v>중구</x:v>
      </x:c>
      <x:c r="E470" t="str">
        <x:v>신당동</x:v>
      </x:c>
      <x:c r="F470" t="str">
        <x:v>CS300011</x:v>
      </x:c>
      <x:c r="G470" t="str">
        <x:v>일반의류</x:v>
      </x:c>
      <x:c r="H470" t="n">
        <x:v>25304044620</x:v>
      </x:c>
      <x:c r="I470" t="n">
        <x:v>863136</x:v>
      </x:c>
      <x:c r="J470" t="n">
        <x:v>29316.405085641196</x:v>
      </x:c>
      <x:c r="K470" s="14" t="n">
        <x:v>2.6582040081514084</x:v>
      </x:c>
      <x:c r="L470" s="14" t="n">
        <x:v>0.06726691045630595</x:v>
      </x:c>
      <x:c r="M470" s="14" t="n">
        <x:v>0.00788849516466894</x:v>
      </x:c>
      <x:c r="N470" t="n">
        <x:v>8793</x:v>
      </x:c>
      <x:c r="O470" t="n">
        <x:v>173</x:v>
      </x:c>
      <x:c r="P470" s="14" t="n">
        <x:v>0.019663559899977267</x:v>
      </x:c>
      <x:c r="Q470" s="14" t="n">
        <x:v>0.0009098146252701012</x:v>
      </x:c>
      <x:c r="R470" s="14" t="n">
        <x:v>-0.15944938342414683</x:v>
      </x:c>
      <x:c r="S470" t="n">
        <x:v>116</x:v>
      </x:c>
      <x:c r="T470" t="n">
        <x:v>274.7513027001421</x:v>
      </x:c>
      <x:c r="U470" s="14" t="n">
        <x:v>0.6207430149164825</x:v>
      </x:c>
      <x:c r="V470" s="14" t="n">
        <x:v>0.4834415457571225</x:v>
      </x:c>
      <x:c r="W470" s="14" t="n">
        <x:v>0.557703445829602</x:v>
      </x:c>
      <x:c r="X470" s="14" t="n">
        <x:v>0.7403316016599721</x:v>
      </x:c>
      <x:c r="Y470" s="16" t="n">
        <x:v>98.58657243816255</x:v>
      </x:c>
      <x:c r="Z470" s="16" t="n">
        <x:v>99.03730445246691</x:v>
      </x:c>
      <x:c r="AA470" s="16" t="n">
        <x:v>81.9672131147541</x:v>
      </x:c>
      <x:c r="AB470" s="16" t="n">
        <x:v>0.4711425206124886</x:v>
      </x:c>
      <x:c r="AC470" s="16" t="n">
        <x:v>40.98939929328622</x:v>
      </x:c>
      <x:c r="AD470" s="16" t="n">
        <x:v>82.4390243902439</x:v>
      </x:c>
      <x:c r="AE470" s="16" t="n">
        <x:v>74.89940573799609</x:v>
      </x:c>
      <x:c r="AF470" t="str">
        <x:v>검토</x:v>
      </x:c>
      <x:c r="AG470" t="str">
        <x:v>상권 모멘텀·수요 강점 / 경쟁여건 상대적 약점</x:v>
      </x:c>
    </x:row>
    <x:row r="471">
      <x:c r="A471" t="str">
        <x:v>3120130</x:v>
      </x:c>
      <x:c r="B471" t="str">
        <x:v>구로디지털단지역</x:v>
      </x:c>
      <x:c r="C471" t="str">
        <x:v>발달상권</x:v>
      </x:c>
      <x:c r="D471" t="str">
        <x:v>구로구</x:v>
      </x:c>
      <x:c r="E471" t="str">
        <x:v>구로3동</x:v>
      </x:c>
      <x:c r="F471" t="str">
        <x:v>CS200028</x:v>
      </x:c>
      <x:c r="G471" t="str">
        <x:v>미용실</x:v>
      </x:c>
      <x:c r="H471" t="n">
        <x:v>650988206</x:v>
      </x:c>
      <x:c r="I471" t="n">
        <x:v>12186</x:v>
      </x:c>
      <x:c r="J471" t="n">
        <x:v>53420.99179386181</x:v>
      </x:c>
      <x:c r="K471" s="14" t="n">
        <x:v>0.0792545001127285</x:v>
      </x:c>
      <x:c r="L471" s="14" t="n">
        <x:v>0.02168887159425803</x:v>
      </x:c>
      <x:c r="M471" s="14" t="n">
        <x:v>-0.013481964371473865</x:v>
      </x:c>
      <x:c r="N471" t="n">
        <x:v>65</x:v>
      </x:c>
      <x:c r="O471" t="n">
        <x:v>0</x:v>
      </x:c>
      <x:c r="P471" s="14" t="n">
        <x:v>0</x:v>
      </x:c>
      <x:c r="Q471" s="14" t="n">
        <x:v>0.13846153846153847</x:v>
      </x:c>
      <x:c r="R471" s="14" t="n">
        <x:v>0.06557377049180335</x:v>
      </x:c>
      <x:c r="S471" t="n">
        <x:v>2310</x:v>
      </x:c>
      <x:c r="T471" t="n">
        <x:v>136.93920136583515</x:v>
      </x:c>
      <x:c r="U471" s="14" t="n">
        <x:v>0.6174103544358222</x:v>
      </x:c>
      <x:c r="V471" s="14" t="n">
        <x:v>0.4673483654479602</x:v>
      </x:c>
      <x:c r="W471" s="14" t="n">
        <x:v>0.6350404249873615</x:v>
      </x:c>
      <x:c r="X471" s="14" t="n">
        <x:v>0.483108770790849</x:v>
      </x:c>
      <x:c r="Y471" s="16" t="n">
        <x:v>95.25514771709938</x:v>
      </x:c>
      <x:c r="Z471" s="16" t="n">
        <x:v>79.67625899280576</x:v>
      </x:c>
      <x:c r="AA471" s="16" t="n">
        <x:v>57.377049180327866</x:v>
      </x:c>
      <x:c r="AB471" s="16" t="n">
        <x:v>40.5550581915846</x:v>
      </x:c>
      <x:c r="AC471" s="16" t="n">
        <x:v>75.60429722470904</x:v>
      </x:c>
      <x:c r="AD471" s="16" t="n">
        <x:v>67.3170731707317</x:v>
      </x:c>
      <x:c r="AE471" s="16" t="n">
        <x:v>74.89065298634029</x:v>
      </x:c>
      <x:c r="AF471" t="str">
        <x:v>검토</x:v>
      </x:c>
      <x:c r="AG471" t="str">
        <x:v>수요·상권 모멘텀 강점 / 경쟁여건 상대적 약점</x:v>
      </x:c>
    </x:row>
    <x:row r="472">
      <x:c r="A472" t="str">
        <x:v>3120129</x:v>
      </x:c>
      <x:c r="B472" t="str">
        <x:v>구로디지털단지</x:v>
      </x:c>
      <x:c r="C472" t="str">
        <x:v>발달상권</x:v>
      </x:c>
      <x:c r="D472" t="str">
        <x:v>구로구</x:v>
      </x:c>
      <x:c r="E472" t="str">
        <x:v>구로3동</x:v>
      </x:c>
      <x:c r="F472" t="str">
        <x:v>CS300011</x:v>
      </x:c>
      <x:c r="G472" t="str">
        <x:v>일반의류</x:v>
      </x:c>
      <x:c r="H472" t="n">
        <x:v>4780961342</x:v>
      </x:c>
      <x:c r="I472" t="n">
        <x:v>39409</x:v>
      </x:c>
      <x:c r="J472" t="n">
        <x:v>121316.48461011444</x:v>
      </x:c>
      <x:c r="K472" s="14" t="n">
        <x:v>0.23633459722825534</x:v>
      </x:c>
      <x:c r="L472" s="14" t="n">
        <x:v>0.06726691045630595</x:v>
      </x:c>
      <x:c r="M472" s="14" t="n">
        <x:v>0.00788849516466894</x:v>
      </x:c>
      <x:c r="N472" t="n">
        <x:v>141</x:v>
      </x:c>
      <x:c r="O472" t="n">
        <x:v>2</x:v>
      </x:c>
      <x:c r="P472" s="14" t="n">
        <x:v>0.0136986301369863</x:v>
      </x:c>
      <x:c r="Q472" s="14" t="n">
        <x:v>0</x:v>
      </x:c>
      <x:c r="R472" s="14" t="n">
        <x:v>-0.18965517241379315</x:v>
      </x:c>
      <x:c r="S472" t="n">
        <x:v>56132</x:v>
      </x:c>
      <x:c r="T472" t="n">
        <x:v>1219.4947087590622</x:v>
      </x:c>
      <x:c r="U472" s="14" t="n">
        <x:v>0.8482222895999313</x:v>
      </x:c>
      <x:c r="V472" s="14" t="n">
        <x:v>0.2957901641196747</x:v>
      </x:c>
      <x:c r="W472" s="14" t="n">
        <x:v>0.3453804260021979</x:v>
      </x:c>
      <x:c r="X472" s="14" t="n">
        <x:v>0.6354880465795659</x:v>
      </x:c>
      <x:c r="Y472" s="16" t="n">
        <x:v>93.87514723203769</x:v>
      </x:c>
      <x:c r="Z472" s="16" t="n">
        <x:v>79.18170878459686</x:v>
      </x:c>
      <x:c r="AA472" s="16" t="n">
        <x:v>81.9672131147541</x:v>
      </x:c>
      <x:c r="AB472" s="16" t="n">
        <x:v>23.144876325088333</x:v>
      </x:c>
      <x:c r="AC472" s="16" t="n">
        <x:v>55.418138987043584</x:v>
      </x:c>
      <x:c r="AD472" s="16" t="n">
        <x:v>97.5609756097561</x:v>
      </x:c>
      <x:c r="AE472" s="16" t="n">
        <x:v>74.8793193833011</x:v>
      </x:c>
      <x:c r="AF472" t="str">
        <x:v>검토</x:v>
      </x:c>
      <x:c r="AG472" t="str">
        <x:v>직장수요·수요 강점 / 경쟁여건 상대적 약점</x:v>
      </x:c>
    </x:row>
    <x:row r="473">
      <x:c r="A473" t="str">
        <x:v>3110865</x:v>
      </x:c>
      <x:c r="B473" t="str">
        <x:v>남강고등학교(남강중학교)</x:v>
      </x:c>
      <x:c r="C473" t="str">
        <x:v>골목상권</x:v>
      </x:c>
      <x:c r="D473" t="str">
        <x:v>관악구</x:v>
      </x:c>
      <x:c r="E473" t="str">
        <x:v>난곡동</x:v>
      </x:c>
      <x:c r="F473" t="str">
        <x:v>CS300009</x:v>
      </x:c>
      <x:c r="G473" t="str">
        <x:v>청과상</x:v>
      </x:c>
      <x:c r="H473" t="n">
        <x:v>870758950</x:v>
      </x:c>
      <x:c r="I473" t="n">
        <x:v>20255</x:v>
      </x:c>
      <x:c r="J473" t="n">
        <x:v>42989.827203159715</x:v>
      </x:c>
      <x:c r="K473" s="14" t="n">
        <x:v>0.2632160470648024</x:v>
      </x:c>
      <x:c r="L473" s="14" t="n">
        <x:v>0.19728256051488424</x:v>
      </x:c>
      <x:c r="M473" s="14" t="n">
        <x:v>0.09797365727115581</x:v>
      </x:c>
      <x:c r="N473" t="n">
        <x:v>13</x:v>
      </x:c>
      <x:c r="O473" t="n">
        <x:v>0</x:v>
      </x:c>
      <x:c r="P473" s="14" t="n">
        <x:v>0</x:v>
      </x:c>
      <x:c r="Q473" s="14" t="n">
        <x:v>0</x:v>
      </x:c>
      <x:c r="R473" s="14" t="n">
        <x:v>-0.1333333333333333</x:v>
      </x:c>
      <x:c r="S473" t="n">
        <x:v>548</x:v>
      </x:c>
      <x:c r="T473" t="n">
        <x:v>30.170894996476395</x:v>
      </x:c>
      <x:c r="U473" s="14" t="n">
        <x:v>0.8075429049566473</x:v>
      </x:c>
      <x:c r="V473" s="14" t="n">
        <x:v>0.21795595784573904</x:v>
      </x:c>
      <x:c r="W473" s="14" t="n">
        <x:v>0.047340439050325006</x:v>
      </x:c>
      <x:c r="X473" s="14" t="n">
        <x:v>0.62984822263383</x:v>
      </x:c>
      <x:c r="Y473" s="16" t="n">
        <x:v>68.13186813186813</x:v>
      </x:c>
      <x:c r="Z473" s="16" t="n">
        <x:v>90.83969465648855</x:v>
      </x:c>
      <x:c r="AA473" s="16" t="n">
        <x:v>95.08196721311475</x:v>
      </x:c>
      <x:c r="AB473" s="16" t="n">
        <x:v>70.32967032967034</x:v>
      </x:c>
      <x:c r="AC473" s="16" t="n">
        <x:v>69.5970695970696</x:v>
      </x:c>
      <x:c r="AD473" s="16" t="n">
        <x:v>21.76829268292683</x:v>
      </x:c>
      <x:c r="AE473" s="16" t="n">
        <x:v>74.87396000272263</x:v>
      </x:c>
      <x:c r="AF473" t="str">
        <x:v>검토</x:v>
      </x:c>
      <x:c r="AG473" t="str">
        <x:v>서울 업종추세·상권 모멘텀 강점 / 직장수요 상대적 약점</x:v>
      </x:c>
    </x:row>
    <x:row r="474">
      <x:c r="A474" t="str">
        <x:v>3130073</x:v>
      </x:c>
      <x:c r="B474" t="str">
        <x:v>뚝도시장</x:v>
      </x:c>
      <x:c r="C474" t="str">
        <x:v>전통시장</x:v>
      </x:c>
      <x:c r="D474" t="str">
        <x:v>성동구</x:v>
      </x:c>
      <x:c r="E474" t="str">
        <x:v>성수2가1동</x:v>
      </x:c>
      <x:c r="F474" t="str">
        <x:v>CS300029</x:v>
      </x:c>
      <x:c r="G474" t="str">
        <x:v>애완동물</x:v>
      </x:c>
      <x:c r="H474" t="n">
        <x:v>257901639</x:v>
      </x:c>
      <x:c r="I474" t="n">
        <x:v>3465</x:v>
      </x:c>
      <x:c r="J474" t="n">
        <x:v>74430.48744588744</x:v>
      </x:c>
      <x:c r="K474" s="14" t="n">
        <x:v>0.12469611626391242</x:v>
      </x:c>
      <x:c r="L474" s="14" t="n">
        <x:v>0.041190648357217086</x:v>
      </x:c>
      <x:c r="M474" s="14" t="n">
        <x:v>-0.09713695399403299</x:v>
      </x:c>
      <x:c r="N474" t="n">
        <x:v>14</x:v>
      </x:c>
      <x:c r="O474" t="n">
        <x:v>0</x:v>
      </x:c>
      <x:c r="P474" s="14" t="n">
        <x:v>0</x:v>
      </x:c>
      <x:c r="Q474" s="14" t="n">
        <x:v>0</x:v>
      </x:c>
      <x:c r="R474" s="14" t="n">
        <x:v>0.5555555555555556</x:v>
      </x:c>
      <x:c r="S474" t="n">
        <x:v>477</x:v>
      </x:c>
      <x:c r="T474" t="n">
        <x:v>222.31543624161074</x:v>
      </x:c>
      <x:c r="U474" s="14" t="n">
        <x:v>0.7814064493013944</x:v>
      </x:c>
      <x:c r="V474" s="14" t="n">
        <x:v>0.4985112754556787</x:v>
      </x:c>
      <x:c r="W474" s="14" t="n">
        <x:v>0.15076972038940784</x:v>
      </x:c>
      <x:c r="X474" s="14" t="n">
        <x:v>0.3390252358962325</x:v>
      </x:c>
      <x:c r="Y474" s="16" t="n">
        <x:v>92.95774647887323</x:v>
      </x:c>
      <x:c r="Z474" s="16" t="n">
        <x:v>76.92307692307692</x:v>
      </x:c>
      <x:c r="AA474" s="16" t="n">
        <x:v>77.04918032786885</x:v>
      </x:c>
      <x:c r="AB474" s="16" t="n">
        <x:v>33.80281690140845</x:v>
      </x:c>
      <x:c r="AC474" s="16" t="n">
        <x:v>64.08450704225352</x:v>
      </x:c>
      <x:c r="AD474" s="16" t="n">
        <x:v>78.35365853658537</x:v>
      </x:c>
      <x:c r="AE474" s="16" t="n">
        <x:v>74.87375986766723</x:v>
      </x:c>
      <x:c r="AF474" t="str">
        <x:v>검토</x:v>
      </x:c>
      <x:c r="AG474" t="str">
        <x:v>수요·직장수요 강점 / 경쟁여건 상대적 약점</x:v>
      </x:c>
    </x:row>
    <x:row r="475">
      <x:c r="A475" t="str">
        <x:v>3110907</x:v>
      </x:c>
      <x:c r="B475" t="str">
        <x:v>방배초등학교</x:v>
      </x:c>
      <x:c r="C475" t="str">
        <x:v>골목상권</x:v>
      </x:c>
      <x:c r="D475" t="str">
        <x:v>서초구</x:v>
      </x:c>
      <x:c r="E475" t="str">
        <x:v>방배4동</x:v>
      </x:c>
      <x:c r="F475" t="str">
        <x:v>CS300035</x:v>
      </x:c>
      <x:c r="G475" t="str">
        <x:v>인테리어</x:v>
      </x:c>
      <x:c r="H475" t="n">
        <x:v>85866852</x:v>
      </x:c>
      <x:c r="I475" t="n">
        <x:v>1274</x:v>
      </x:c>
      <x:c r="J475" t="n">
        <x:v>67399.41287284145</x:v>
      </x:c>
      <x:c r="K475" s="14" t="n">
        <x:v>1.1413500684082103</x:v>
      </x:c>
      <x:c r="L475" s="14" t="n">
        <x:v>0.20213561276420866</x:v>
      </x:c>
      <x:c r="M475" s="14" t="n">
        <x:v>0.044160820891303576</x:v>
      </x:c>
      <x:c r="N475" t="n">
        <x:v>12</x:v>
      </x:c>
      <x:c r="O475" t="n">
        <x:v>0</x:v>
      </x:c>
      <x:c r="P475" s="14" t="n">
        <x:v>0</x:v>
      </x:c>
      <x:c r="Q475" s="14" t="n">
        <x:v>0</x:v>
      </x:c>
      <x:c r="R475" s="14" t="n">
        <x:v>-0.07692307692307687</x:v>
      </x:c>
      <x:c r="S475" t="n">
        <x:v>2680</x:v>
      </x:c>
      <x:c r="T475" t="n">
        <x:v>257.9701216694902</x:v>
      </x:c>
      <x:c r="U475" s="14" t="n">
        <x:v>0.9673590456070289</x:v>
      </x:c>
      <x:c r="V475" s="14" t="n">
        <x:v>0</x:v>
      </x:c>
      <x:c r="W475" s="14" t="n">
        <x:v>0</x:v>
      </x:c>
      <x:c r="X475" s="14" t="n">
        <x:v>0.7418397614017572</x:v>
      </x:c>
      <x:c r="Y475" s="16" t="n">
        <x:v>63.58695652173913</x:v>
      </x:c>
      <x:c r="Z475" s="16" t="n">
        <x:v>91.71974522292993</x:v>
      </x:c>
      <x:c r="AA475" s="16" t="n">
        <x:v>98.36065573770492</x:v>
      </x:c>
      <x:c r="AB475" s="16" t="n">
        <x:v>62.77173913043478</x:v>
      </x:c>
      <x:c r="AC475" s="16" t="n">
        <x:v>60.32608695652174</x:v>
      </x:c>
      <x:c r="AD475" s="16" t="n">
        <x:v>81.28048780487805</x:v>
      </x:c>
      <x:c r="AE475" s="16" t="n">
        <x:v>74.86587614331171</x:v>
      </x:c>
      <x:c r="AF475" t="str">
        <x:v>검토</x:v>
      </x:c>
      <x:c r="AG475" t="str">
        <x:v>서울 업종추세·상권 모멘텀 강점 / 안정성 상대적 약점</x:v>
      </x:c>
    </x:row>
    <x:row r="476">
      <x:c r="A476" t="str">
        <x:v>3120163</x:v>
      </x:c>
      <x:c r="B476" t="str">
        <x:v>사당역 11번(사당역먹자골목)</x:v>
      </x:c>
      <x:c r="C476" t="str">
        <x:v>발달상권</x:v>
      </x:c>
      <x:c r="D476" t="str">
        <x:v>서초구</x:v>
      </x:c>
      <x:c r="E476" t="str">
        <x:v>방배2동</x:v>
      </x:c>
      <x:c r="F476" t="str">
        <x:v>CS300020</x:v>
      </x:c>
      <x:c r="G476" t="str">
        <x:v>서적</x:v>
      </x:c>
      <x:c r="H476" t="n">
        <x:v>548652133</x:v>
      </x:c>
      <x:c r="I476" t="n">
        <x:v>10009</x:v>
      </x:c>
      <x:c r="J476" t="n">
        <x:v>54815.879008892</x:v>
      </x:c>
      <x:c r="K476" s="14" t="n">
        <x:v>0.1062593071563025</x:v>
      </x:c>
      <x:c r="L476" s="14" t="n">
        <x:v>0.20039418624921757</x:v>
      </x:c>
      <x:c r="M476" s="14" t="n">
        <x:v>-0.01061516125540185</x:v>
      </x:c>
      <x:c r="N476" t="n">
        <x:v>17</x:v>
      </x:c>
      <x:c r="O476" t="n">
        <x:v>0</x:v>
      </x:c>
      <x:c r="P476" s="14" t="n">
        <x:v>0</x:v>
      </x:c>
      <x:c r="Q476" s="14" t="n">
        <x:v>0</x:v>
      </x:c>
      <x:c r="R476" s="14" t="n">
        <x:v>-0.05555555555555558</x:v>
      </x:c>
      <x:c r="S476" t="n">
        <x:v>980</x:v>
      </x:c>
      <x:c r="T476" t="n">
        <x:v>112.31576775849818</x:v>
      </x:c>
      <x:c r="U476" s="14" t="n">
        <x:v>0.41502399663504086</x:v>
      </x:c>
      <x:c r="V476" s="14" t="n">
        <x:v>0.06381951858738148</x:v>
      </x:c>
      <x:c r="W476" s="14" t="n">
        <x:v>0.6223864985867101</x:v>
      </x:c>
      <x:c r="X476" s="14" t="n">
        <x:v>0.39655841454643537</x:v>
      </x:c>
      <x:c r="Y476" s="16" t="n">
        <x:v>83.89261744966443</x:v>
      </x:c>
      <x:c r="Z476" s="16" t="n">
        <x:v>78.57142857142857</x:v>
      </x:c>
      <x:c r="AA476" s="16" t="n">
        <x:v>96.72131147540983</x:v>
      </x:c>
      <x:c r="AB476" s="16" t="n">
        <x:v>41.61073825503356</x:v>
      </x:c>
      <x:c r="AC476" s="16" t="n">
        <x:v>59.395973154362416</x:v>
      </x:c>
      <x:c r="AD476" s="16" t="n">
        <x:v>61.829268292682926</x:v>
      </x:c>
      <x:c r="AE476" s="16" t="n">
        <x:v>74.85757001130517</x:v>
      </x:c>
      <x:c r="AF476" t="str">
        <x:v>검토</x:v>
      </x:c>
      <x:c r="AG476" t="str">
        <x:v>서울 업종추세·수요 강점 / 경쟁여건 상대적 약점</x:v>
      </x:c>
    </x:row>
    <x:row r="477">
      <x:c r="A477" t="str">
        <x:v>3110408</x:v>
      </x:c>
      <x:c r="B477" t="str">
        <x:v>가인초등학교</x:v>
      </x:c>
      <x:c r="C477" t="str">
        <x:v>골목상권</x:v>
      </x:c>
      <x:c r="D477" t="str">
        <x:v>도봉구</x:v>
      </x:c>
      <x:c r="E477" t="str">
        <x:v>창5동</x:v>
      </x:c>
      <x:c r="F477" t="str">
        <x:v>CS300018</x:v>
      </x:c>
      <x:c r="G477" t="str">
        <x:v>의약품</x:v>
      </x:c>
      <x:c r="H477" t="n">
        <x:v>2797931535</x:v>
      </x:c>
      <x:c r="I477" t="n">
        <x:v>141294</x:v>
      </x:c>
      <x:c r="J477" t="n">
        <x:v>19802.19637776551</x:v>
      </x:c>
      <x:c r="K477" s="14" t="n">
        <x:v>0.04873086795970338</x:v>
      </x:c>
      <x:c r="L477" s="14" t="n">
        <x:v>0.027829225601598617</x:v>
      </x:c>
      <x:c r="M477" s="14" t="n">
        <x:v>0.02632929521123617</x:v>
      </x:c>
      <x:c r="N477" t="n">
        <x:v>18</x:v>
      </x:c>
      <x:c r="O477" t="n">
        <x:v>0</x:v>
      </x:c>
      <x:c r="P477" s="14" t="n">
        <x:v>0</x:v>
      </x:c>
      <x:c r="Q477" s="14" t="n">
        <x:v>0.16666666666666666</x:v>
      </x:c>
      <x:c r="R477" s="14" t="n">
        <x:v>0.19999999999999996</x:v>
      </x:c>
      <x:c r="S477" t="n">
        <x:v>1022</x:v>
      </x:c>
      <x:c r="T477" t="n">
        <x:v>192.11609677237436</x:v>
      </x:c>
      <x:c r="U477" s="14" t="n">
        <x:v>0.9006774163257001</x:v>
      </x:c>
      <x:c r="V477" s="14" t="n">
        <x:v>0.10279912585495056</x:v>
      </x:c>
      <x:c r="W477" s="14" t="n">
        <x:v>0.15284251156631679</x:v>
      </x:c>
      <x:c r="X477" s="14" t="n">
        <x:v>0.5442296717957397</x:v>
      </x:c>
      <x:c r="Y477" s="16" t="n">
        <x:v>75.77319587628865</x:v>
      </x:c>
      <x:c r="Z477" s="16" t="n">
        <x:v>83.91608391608392</x:v>
      </x:c>
      <x:c r="AA477" s="16" t="n">
        <x:v>72.1311475409836</x:v>
      </x:c>
      <x:c r="AB477" s="16" t="n">
        <x:v>68.90034364261169</x:v>
      </x:c>
      <x:c r="AC477" s="16" t="n">
        <x:v>66.32302405498282</x:v>
      </x:c>
      <x:c r="AD477" s="16" t="n">
        <x:v>75.3048780487805</x:v>
      </x:c>
      <x:c r="AE477" s="16" t="n">
        <x:v>74.85610532539441</x:v>
      </x:c>
      <x:c r="AF477" t="str">
        <x:v>검토</x:v>
      </x:c>
      <x:c r="AG477" t="str">
        <x:v>상권 모멘텀·수요 강점 / 안정성 상대적 약점</x:v>
      </x:c>
    </x:row>
    <x:row r="478">
      <x:c r="A478" t="str">
        <x:v>3110667</x:v>
      </x:c>
      <x:c r="B478" t="str">
        <x:v>가양역 10번</x:v>
      </x:c>
      <x:c r="C478" t="str">
        <x:v>골목상권</x:v>
      </x:c>
      <x:c r="D478" t="str">
        <x:v>강서구</x:v>
      </x:c>
      <x:c r="E478" t="str">
        <x:v>등촌3동</x:v>
      </x:c>
      <x:c r="F478" t="str">
        <x:v>CS300009</x:v>
      </x:c>
      <x:c r="G478" t="str">
        <x:v>청과상</x:v>
      </x:c>
      <x:c r="H478" t="n">
        <x:v>1773000000</x:v>
      </x:c>
      <x:c r="I478" t="n">
        <x:v>189751</x:v>
      </x:c>
      <x:c r="J478" t="n">
        <x:v>9343.824274970882</x:v>
      </x:c>
      <x:c r="K478" s="14" t="n">
        <x:v>0</x:v>
      </x:c>
      <x:c r="L478" s="14" t="n">
        <x:v>0.19728256051488424</x:v>
      </x:c>
      <x:c r="M478" s="14" t="n">
        <x:v>0.09797365727115581</x:v>
      </x:c>
      <x:c r="N478" t="n">
        <x:v>9</x:v>
      </x:c>
      <x:c r="O478" t="n">
        <x:v>0</x:v>
      </x:c>
      <x:c r="P478" s="14" t="n">
        <x:v>0</x:v>
      </x:c>
      <x:c r="Q478" s="14" t="n">
        <x:v>0</x:v>
      </x:c>
      <x:c r="R478" s="14" t="n">
        <x:v>-0.25</x:v>
      </x:c>
      <x:c r="S478" t="n">
        <x:v>580</x:v>
      </x:c>
      <x:c r="T478" t="n">
        <x:v>197.66887056097062</x:v>
      </x:c>
      <x:c r="U478" s="14" t="n">
        <x:v>0.7790804342921602</x:v>
      </x:c>
      <x:c r="V478" s="14" t="n">
        <x:v>0.1734812013536379</x:v>
      </x:c>
      <x:c r="W478" s="14" t="n">
        <x:v>0.09484154201917654</x:v>
      </x:c>
      <x:c r="X478" s="14" t="n">
        <x:v>0.6144289712351946</x:v>
      </x:c>
      <x:c r="Y478" s="16" t="n">
        <x:v>82.41758241758242</x:v>
      </x:c>
      <x:c r="Z478" s="16" t="n">
        <x:v>38.3587786259542</x:v>
      </x:c>
      <x:c r="AA478" s="16" t="n">
        <x:v>95.08196721311475</x:v>
      </x:c>
      <x:c r="AB478" s="16" t="n">
        <x:v>88.82783882783883</x:v>
      </x:c>
      <x:c r="AC478" s="16" t="n">
        <x:v>69.5970695970696</x:v>
      </x:c>
      <x:c r="AD478" s="16" t="n">
        <x:v>75.73170731707317</x:v>
      </x:c>
      <x:c r="AE478" s="16" t="n">
        <x:v>74.85067280304834</x:v>
      </x:c>
      <x:c r="AF478" t="str">
        <x:v>검토</x:v>
      </x:c>
      <x:c r="AG478" t="str">
        <x:v>서울 업종추세·경쟁여건 강점 / 상권 모멘텀 상대적 약점</x:v>
      </x:c>
    </x:row>
    <x:row r="479">
      <x:c r="A479" t="str">
        <x:v>3110903</x:v>
      </x:c>
      <x:c r="B479" t="str">
        <x:v>방배아이파크아파트</x:v>
      </x:c>
      <x:c r="C479" t="str">
        <x:v>골목상권</x:v>
      </x:c>
      <x:c r="D479" t="str">
        <x:v>서초구</x:v>
      </x:c>
      <x:c r="E479" t="str">
        <x:v>방배본동</x:v>
      </x:c>
      <x:c r="F479" t="str">
        <x:v>CS200025</x:v>
      </x:c>
      <x:c r="G479" t="str">
        <x:v>자동차수리</x:v>
      </x:c>
      <x:c r="H479" t="n">
        <x:v>643285396</x:v>
      </x:c>
      <x:c r="I479" t="n">
        <x:v>1613</x:v>
      </x:c>
      <x:c r="J479" t="n">
        <x:v>398813.0167389957</x:v>
      </x:c>
      <x:c r="K479" s="14" t="n">
        <x:v>0.23564753199465605</x:v>
      </x:c>
      <x:c r="L479" s="14" t="n">
        <x:v>0.02213950283587751</x:v>
      </x:c>
      <x:c r="M479" s="14" t="n">
        <x:v>0.024356161917000962</x:v>
      </x:c>
      <x:c r="N479" t="n">
        <x:v>11</x:v>
      </x:c>
      <x:c r="O479" t="n">
        <x:v>0</x:v>
      </x:c>
      <x:c r="P479" s="14" t="n">
        <x:v>0</x:v>
      </x:c>
      <x:c r="Q479" s="14" t="n">
        <x:v>0.2727272727272727</x:v>
      </x:c>
      <x:c r="R479" s="14" t="n">
        <x:v>-0.15384615384615385</x:v>
      </x:c>
      <x:c r="S479" t="n">
        <x:v>2902</x:v>
      </x:c>
      <x:c r="T479" t="n">
        <x:v>312.70540823033735</x:v>
      </x:c>
      <x:c r="U479" s="14" t="n">
        <x:v>0.850269543504451</x:v>
      </x:c>
      <x:c r="V479" s="14" t="n">
        <x:v>0.11508972139016195</x:v>
      </x:c>
      <x:c r="W479" s="14" t="n">
        <x:v>0.08904552529278933</x:v>
      </x:c>
      <x:c r="X479" s="14" t="n">
        <x:v>0.09944960727819788</x:v>
      </x:c>
      <x:c r="Y479" s="16" t="n">
        <x:v>77.4798927613941</x:v>
      </x:c>
      <x:c r="Z479" s="16" t="n">
        <x:v>89.07103825136612</x:v>
      </x:c>
      <x:c r="AA479" s="16" t="n">
        <x:v>59.01639344262295</x:v>
      </x:c>
      <x:c r="AB479" s="16" t="n">
        <x:v>74.32795698924731</x:v>
      </x:c>
      <x:c r="AC479" s="16" t="n">
        <x:v>56.98924731182796</x:v>
      </x:c>
      <x:c r="AD479" s="16" t="n">
        <x:v>84.32926829268293</x:v>
      </x:c>
      <x:c r="AE479" s="16" t="n">
        <x:v>74.84921082735865</x:v>
      </x:c>
      <x:c r="AF479" t="str">
        <x:v>검토</x:v>
      </x:c>
      <x:c r="AG479" t="str">
        <x:v>상권 모멘텀·직장수요 강점 / 안정성 상대적 약점</x:v>
      </x:c>
    </x:row>
    <x:row r="480">
      <x:c r="A480" t="str">
        <x:v>3130112</x:v>
      </x:c>
      <x:c r="B480" t="str">
        <x:v>사가정시장</x:v>
      </x:c>
      <x:c r="C480" t="str">
        <x:v>전통시장</x:v>
      </x:c>
      <x:c r="D480" t="str">
        <x:v>중랑구</x:v>
      </x:c>
      <x:c r="E480" t="str">
        <x:v>면목3·8동</x:v>
      </x:c>
      <x:c r="F480" t="str">
        <x:v>CS300018</x:v>
      </x:c>
      <x:c r="G480" t="str">
        <x:v>의약품</x:v>
      </x:c>
      <x:c r="H480" t="n">
        <x:v>8022134579</x:v>
      </x:c>
      <x:c r="I480" t="n">
        <x:v>279863</x:v>
      </x:c>
      <x:c r="J480" t="n">
        <x:v>28664.505772467244</x:v>
      </x:c>
      <x:c r="K480" s="14" t="n">
        <x:v>0.24603118658854095</x:v>
      </x:c>
      <x:c r="L480" s="14" t="n">
        <x:v>0.027829225601598617</x:v>
      </x:c>
      <x:c r="M480" s="14" t="n">
        <x:v>0.02632929521123617</x:v>
      </x:c>
      <x:c r="N480" t="n">
        <x:v>24</x:v>
      </x:c>
      <x:c r="O480" t="n">
        <x:v>1</x:v>
      </x:c>
      <x:c r="P480" s="14" t="n">
        <x:v>0.034482758620689655</x:v>
      </x:c>
      <x:c r="Q480" s="14" t="n">
        <x:v>0.041666666666666664</x:v>
      </x:c>
      <x:c r="R480" s="14" t="n">
        <x:v>-0.07692307692307687</x:v>
      </x:c>
      <x:c r="S480" t="n">
        <x:v>351</x:v>
      </x:c>
      <x:c r="T480" t="n">
        <x:v>59.3767973745644</x:v>
      </x:c>
      <x:c r="U480" s="14" t="n">
        <x:v>0.8061952922019161</x:v>
      </x:c>
      <x:c r="V480" s="14" t="n">
        <x:v>0.18502379203229768</x:v>
      </x:c>
      <x:c r="W480" s="14" t="n">
        <x:v>0.3362720763949428</x:v>
      </x:c>
      <x:c r="X480" s="14" t="n">
        <x:v>0.6023668374561683</x:v>
      </x:c>
      <x:c r="Y480" s="16" t="n">
        <x:v>95.18900343642612</x:v>
      </x:c>
      <x:c r="Z480" s="16" t="n">
        <x:v>98.25174825174825</x:v>
      </x:c>
      <x:c r="AA480" s="16" t="n">
        <x:v>72.1311475409836</x:v>
      </x:c>
      <x:c r="AB480" s="16" t="n">
        <x:v>47.508591065292094</x:v>
      </x:c>
      <x:c r="AC480" s="16" t="n">
        <x:v>17.783505154639172</x:v>
      </x:c>
      <x:c r="AD480" s="16" t="n">
        <x:v>42.5609756097561</x:v>
      </x:c>
      <x:c r="AE480" s="16" t="n">
        <x:v>74.81886093999186</x:v>
      </x:c>
      <x:c r="AF480" t="str">
        <x:v>검토</x:v>
      </x:c>
      <x:c r="AG480" t="str">
        <x:v>상권 모멘텀·수요 강점 / 안정성 상대적 약점</x:v>
      </x:c>
    </x:row>
    <x:row r="481">
      <x:c r="A481" t="str">
        <x:v>3120017</x:v>
      </x:c>
      <x:c r="B481" t="str">
        <x:v>동묘앞역(동묘)</x:v>
      </x:c>
      <x:c r="C481" t="str">
        <x:v>발달상권</x:v>
      </x:c>
      <x:c r="D481" t="str">
        <x:v>종로구</x:v>
      </x:c>
      <x:c r="E481" t="str">
        <x:v>창신1동</x:v>
      </x:c>
      <x:c r="F481" t="str">
        <x:v>CS300020</x:v>
      </x:c>
      <x:c r="G481" t="str">
        <x:v>서적</x:v>
      </x:c>
      <x:c r="H481" t="n">
        <x:v>206540583</x:v>
      </x:c>
      <x:c r="I481" t="n">
        <x:v>3447</x:v>
      </x:c>
      <x:c r="J481" t="n">
        <x:v>59918.93907745866</x:v>
      </x:c>
      <x:c r="K481" s="14" t="n">
        <x:v>0.19253057364161053</x:v>
      </x:c>
      <x:c r="L481" s="14" t="n">
        <x:v>0.20039418624921757</x:v>
      </x:c>
      <x:c r="M481" s="14" t="n">
        <x:v>-0.01061516125540185</x:v>
      </x:c>
      <x:c r="N481" t="n">
        <x:v>7</x:v>
      </x:c>
      <x:c r="O481" t="n">
        <x:v>0</x:v>
      </x:c>
      <x:c r="P481" s="14" t="n">
        <x:v>0</x:v>
      </x:c>
      <x:c r="Q481" s="14" t="n">
        <x:v>0</x:v>
      </x:c>
      <x:c r="R481" s="14" t="n">
        <x:v>-0.125</x:v>
      </x:c>
      <x:c r="S481" t="n">
        <x:v>705</x:v>
      </x:c>
      <x:c r="T481" t="n">
        <x:v>99.01963538301638</x:v>
      </x:c>
      <x:c r="U481" s="14" t="n">
        <x:v>0.8350219578880534</x:v>
      </x:c>
      <x:c r="V481" s="14" t="n">
        <x:v>0.0446852132687163</x:v>
      </x:c>
      <x:c r="W481" s="14" t="n">
        <x:v>0.020409959818889444</x:v>
      </x:c>
      <x:c r="X481" s="14" t="n">
        <x:v>0.5776573943339746</x:v>
      </x:c>
      <x:c r="Y481" s="16" t="n">
        <x:v>59.73154362416108</x:v>
      </x:c>
      <x:c r="Z481" s="16" t="n">
        <x:v>87.85714285714286</x:v>
      </x:c>
      <x:c r="AA481" s="16" t="n">
        <x:v>96.72131147540983</x:v>
      </x:c>
      <x:c r="AB481" s="16" t="n">
        <x:v>86.24161073825503</x:v>
      </x:c>
      <x:c r="AC481" s="16" t="n">
        <x:v>59.395973154362416</x:v>
      </x:c>
      <x:c r="AD481" s="16" t="n">
        <x:v>59.02439024390244</x:v>
      </x:c>
      <x:c r="AE481" s="16" t="n">
        <x:v>74.81272399956605</x:v>
      </x:c>
      <x:c r="AF481" t="str">
        <x:v>검토</x:v>
      </x:c>
      <x:c r="AG481" t="str">
        <x:v>서울 업종추세·상권 모멘텀 강점 / 직장수요 상대적 약점</x:v>
      </x:c>
    </x:row>
    <x:row r="482">
      <x:c r="A482" t="str">
        <x:v>3120037</x:v>
      </x:c>
      <x:c r="B482" t="str">
        <x:v>동대문역사문화공원역</x:v>
      </x:c>
      <x:c r="C482" t="str">
        <x:v>발달상권</x:v>
      </x:c>
      <x:c r="D482" t="str">
        <x:v>중구</x:v>
      </x:c>
      <x:c r="E482" t="str">
        <x:v>광희동</x:v>
      </x:c>
      <x:c r="F482" t="str">
        <x:v>CS300020</x:v>
      </x:c>
      <x:c r="G482" t="str">
        <x:v>서적</x:v>
      </x:c>
      <x:c r="H482" t="n">
        <x:v>964846087</x:v>
      </x:c>
      <x:c r="I482" t="n">
        <x:v>40789</x:v>
      </x:c>
      <x:c r="J482" t="n">
        <x:v>23654.56586334551</x:v>
      </x:c>
      <x:c r="K482" s="14" t="n">
        <x:v>0.09467393622466891</x:v>
      </x:c>
      <x:c r="L482" s="14" t="n">
        <x:v>0.20039418624921757</x:v>
      </x:c>
      <x:c r="M482" s="14" t="n">
        <x:v>-0.01061516125540185</x:v>
      </x:c>
      <x:c r="N482" t="n">
        <x:v>39</x:v>
      </x:c>
      <x:c r="O482" t="n">
        <x:v>0</x:v>
      </x:c>
      <x:c r="P482" s="14" t="n">
        <x:v>0</x:v>
      </x:c>
      <x:c r="Q482" s="14" t="n">
        <x:v>0</x:v>
      </x:c>
      <x:c r="R482" s="14" t="n">
        <x:v>0.11428571428571432</x:v>
      </x:c>
      <x:c r="S482" t="n">
        <x:v>23881</x:v>
      </x:c>
      <x:c r="T482" t="n">
        <x:v>644.3214133467156</x:v>
      </x:c>
      <x:c r="U482" s="14" t="n">
        <x:v>0.4298628305469824</x:v>
      </x:c>
      <x:c r="V482" s="14" t="n">
        <x:v>0.8080503714578469</x:v>
      </x:c>
      <x:c r="W482" s="14" t="n">
        <x:v>0.9531224102896735</x:v>
      </x:c>
      <x:c r="X482" s="14" t="n">
        <x:v>0.6192408043626133</x:v>
      </x:c>
      <x:c r="Y482" s="16" t="n">
        <x:v>91.2751677852349</x:v>
      </x:c>
      <x:c r="Z482" s="16" t="n">
        <x:v>77.14285714285714</x:v>
      </x:c>
      <x:c r="AA482" s="16" t="n">
        <x:v>96.72131147540983</x:v>
      </x:c>
      <x:c r="AB482" s="16" t="n">
        <x:v>15.43624161073825</x:v>
      </x:c>
      <x:c r="AC482" s="16" t="n">
        <x:v>59.395973154362416</x:v>
      </x:c>
      <x:c r="AD482" s="16" t="n">
        <x:v>93.41463414634147</x:v>
      </x:c>
      <x:c r="AE482" s="16" t="n">
        <x:v>74.80884213907918</x:v>
      </x:c>
      <x:c r="AF482" t="str">
        <x:v>검토</x:v>
      </x:c>
      <x:c r="AG482" t="str">
        <x:v>서울 업종추세·직장수요 강점 / 경쟁여건 상대적 약점</x:v>
      </x:c>
    </x:row>
    <x:row r="483">
      <x:c r="A483" t="str">
        <x:v>3120140</x:v>
      </x:c>
      <x:c r="B483" t="str">
        <x:v>문래동주민센터</x:v>
      </x:c>
      <x:c r="C483" t="str">
        <x:v>발달상권</x:v>
      </x:c>
      <x:c r="D483" t="str">
        <x:v>영등포구</x:v>
      </x:c>
      <x:c r="E483" t="str">
        <x:v>문래동</x:v>
      </x:c>
      <x:c r="F483" t="str">
        <x:v>CS300010</x:v>
      </x:c>
      <x:c r="G483" t="str">
        <x:v>반찬가게</x:v>
      </x:c>
      <x:c r="H483" t="n">
        <x:v>2953077498</x:v>
      </x:c>
      <x:c r="I483" t="n">
        <x:v>198977</x:v>
      </x:c>
      <x:c r="J483" t="n">
        <x:v>14841.30074330199</x:v>
      </x:c>
      <x:c r="K483" s="14" t="n">
        <x:v>1.2778912513805558</x:v>
      </x:c>
      <x:c r="L483" s="14" t="n">
        <x:v>0.02346021551670452</x:v>
      </x:c>
      <x:c r="M483" s="14" t="n">
        <x:v>0.024589273784872745</x:v>
      </x:c>
      <x:c r="N483" t="n">
        <x:v>61</x:v>
      </x:c>
      <x:c r="O483" t="n">
        <x:v>0</x:v>
      </x:c>
      <x:c r="P483" s="14" t="n">
        <x:v>0</x:v>
      </x:c>
      <x:c r="Q483" s="14" t="n">
        <x:v>0.06557377049180328</x:v>
      </x:c>
      <x:c r="R483" s="14" t="n">
        <x:v>0.07017543859649122</x:v>
      </x:c>
      <x:c r="S483" t="n">
        <x:v>25596</x:v>
      </x:c>
      <x:c r="T483" t="n">
        <x:v>2533.103734932605</x:v>
      </x:c>
      <x:c r="U483" s="14" t="n">
        <x:v>0.8646359375022402</x:v>
      </x:c>
      <x:c r="V483" s="14" t="n">
        <x:v>0.11468806938841807</x:v>
      </x:c>
      <x:c r="W483" s="14" t="n">
        <x:v>0.1388401727613584</x:v>
      </x:c>
      <x:c r="X483" s="14" t="n">
        <x:v>0.30325824859202527</x:v>
      </x:c>
      <x:c r="Y483" s="16" t="n">
        <x:v>88.47117794486215</x:v>
      </x:c>
      <x:c r="Z483" s="16" t="n">
        <x:v>97.77777777777777</x:v>
      </x:c>
      <x:c r="AA483" s="16" t="n">
        <x:v>63.9344262295082</x:v>
      </x:c>
      <x:c r="AB483" s="16" t="n">
        <x:v>15.41353383458646</x:v>
      </x:c>
      <x:c r="AC483" s="16" t="n">
        <x:v>73.93483709273183</x:v>
      </x:c>
      <x:c r="AD483" s="16" t="n">
        <x:v>99.26829268292683</x:v>
      </x:c>
      <x:c r="AE483" s="16" t="n">
        <x:v>74.77956018929103</x:v>
      </x:c>
      <x:c r="AF483" t="str">
        <x:v>검토</x:v>
      </x:c>
      <x:c r="AG483" t="str">
        <x:v>직장수요·상권 모멘텀 강점 / 경쟁여건 상대적 약점</x:v>
      </x:c>
    </x:row>
    <x:row r="484">
      <x:c r="A484" t="str">
        <x:v>3110606</x:v>
      </x:c>
      <x:c r="B484" t="str">
        <x:v>신한은행 신월동지점</x:v>
      </x:c>
      <x:c r="C484" t="str">
        <x:v>골목상권</x:v>
      </x:c>
      <x:c r="D484" t="str">
        <x:v>양천구</x:v>
      </x:c>
      <x:c r="E484" t="str">
        <x:v>신월4동</x:v>
      </x:c>
      <x:c r="F484" t="str">
        <x:v>CS100006</x:v>
      </x:c>
      <x:c r="G484" t="str">
        <x:v>패스트푸드점</x:v>
      </x:c>
      <x:c r="H484" t="n">
        <x:v>483583082</x:v>
      </x:c>
      <x:c r="I484" t="n">
        <x:v>52507</x:v>
      </x:c>
      <x:c r="J484" t="n">
        <x:v>9209.878340030853</x:v>
      </x:c>
      <x:c r="K484" s="14" t="n">
        <x:v>0.0842003671469127</x:v>
      </x:c>
      <x:c r="L484" s="14" t="n">
        <x:v>0.0037102725933797487</x:v>
      </x:c>
      <x:c r="M484" s="14" t="n">
        <x:v>0.011474434125836375</x:v>
      </x:c>
      <x:c r="N484" t="n">
        <x:v>5</x:v>
      </x:c>
      <x:c r="O484" t="n">
        <x:v>0</x:v>
      </x:c>
      <x:c r="P484" s="14" t="n">
        <x:v>0</x:v>
      </x:c>
      <x:c r="Q484" s="14" t="n">
        <x:v>0.8</x:v>
      </x:c>
      <x:c r="R484" s="14" t="n">
        <x:v>-0.4444444444444444</x:v>
      </x:c>
      <x:c r="S484" t="n">
        <x:v>506</x:v>
      </x:c>
      <x:c r="T484" t="n">
        <x:v>31.88224990391219</x:v>
      </x:c>
      <x:c r="U484" s="14" t="n">
        <x:v>0.6485241226863268</x:v>
      </x:c>
      <x:c r="V484" s="14" t="n">
        <x:v>0.3176674861425363</x:v>
      </x:c>
      <x:c r="W484" s="14" t="n">
        <x:v>0.4236256284085637</x:v>
      </x:c>
      <x:c r="X484" s="14" t="n">
        <x:v>0.35392937298828003</x:v>
      </x:c>
      <x:c r="Y484" s="16" t="n">
        <x:v>79.55112219451371</x:v>
      </x:c>
      <x:c r="Z484" s="16" t="n">
        <x:v>84.59530026109661</x:v>
      </x:c>
      <x:c r="AA484" s="16" t="n">
        <x:v>44.26229508196721</x:v>
      </x:c>
      <x:c r="AB484" s="16" t="n">
        <x:v>96.00997506234414</x:v>
      </x:c>
      <x:c r="AC484" s="16" t="n">
        <x:v>78.30423940149626</x:v>
      </x:c>
      <x:c r="AD484" s="16" t="n">
        <x:v>22.865853658536587</x:v>
      </x:c>
      <x:c r="AE484" s="16" t="n">
        <x:v>74.77650996502227</x:v>
      </x:c>
      <x:c r="AF484" t="str">
        <x:v>검토</x:v>
      </x:c>
      <x:c r="AG484" t="str">
        <x:v>경쟁여건·상권 모멘텀 강점 / 직장수요 상대적 약점</x:v>
      </x:c>
    </x:row>
    <x:row r="485">
      <x:c r="A485" t="str">
        <x:v>3120225</x:v>
      </x:c>
      <x:c r="B485" t="str">
        <x:v>잠실새내역(신천)</x:v>
      </x:c>
      <x:c r="C485" t="str">
        <x:v>발달상권</x:v>
      </x:c>
      <x:c r="D485" t="str">
        <x:v>송파구</x:v>
      </x:c>
      <x:c r="E485" t="str">
        <x:v>잠실본동</x:v>
      </x:c>
      <x:c r="F485" t="str">
        <x:v>CS300007</x:v>
      </x:c>
      <x:c r="G485" t="str">
        <x:v>육류판매</x:v>
      </x:c>
      <x:c r="H485" t="n">
        <x:v>4525077717</x:v>
      </x:c>
      <x:c r="I485" t="n">
        <x:v>110174</x:v>
      </x:c>
      <x:c r="J485" t="n">
        <x:v>41072.10155753626</x:v>
      </x:c>
      <x:c r="K485" s="14" t="n">
        <x:v>0.08567035766823294</x:v>
      </x:c>
      <x:c r="L485" s="14" t="n">
        <x:v>0.23518223683931017</x:v>
      </x:c>
      <x:c r="M485" s="14" t="n">
        <x:v>0.00863079289162072</x:v>
      </x:c>
      <x:c r="N485" t="n">
        <x:v>19</x:v>
      </x:c>
      <x:c r="O485" t="n">
        <x:v>1</x:v>
      </x:c>
      <x:c r="P485" s="14" t="n">
        <x:v>0.041666666666666664</x:v>
      </x:c>
      <x:c r="Q485" s="14" t="n">
        <x:v>0</x:v>
      </x:c>
      <x:c r="R485" s="14" t="n">
        <x:v>0.46153846153846145</x:v>
      </x:c>
      <x:c r="S485" t="n">
        <x:v>12478</x:v>
      </x:c>
      <x:c r="T485" t="n">
        <x:v>524.1821993135809</x:v>
      </x:c>
      <x:c r="U485" s="14" t="n">
        <x:v>0.7761947161271263</x:v>
      </x:c>
      <x:c r="V485" s="14" t="n">
        <x:v>0.38159830062428074</x:v>
      </x:c>
      <x:c r="W485" s="14" t="n">
        <x:v>0.1078358749876914</x:v>
      </x:c>
      <x:c r="X485" s="14" t="n">
        <x:v>0.5088721374550482</x:v>
      </x:c>
      <x:c r="Y485" s="16" t="n">
        <x:v>92.82178217821782</x:v>
      </x:c>
      <x:c r="Z485" s="16" t="n">
        <x:v>78.96103896103897</x:v>
      </x:c>
      <x:c r="AA485" s="16" t="n">
        <x:v>100</x:v>
      </x:c>
      <x:c r="AB485" s="16" t="n">
        <x:v>34.03465346534654</x:v>
      </x:c>
      <x:c r="AC485" s="16" t="n">
        <x:v>18.44059405940594</x:v>
      </x:c>
      <x:c r="AD485" s="16" t="n">
        <x:v>90.48780487804878</x:v>
      </x:c>
      <x:c r="AE485" s="16" t="n">
        <x:v>74.75347922422904</x:v>
      </x:c>
      <x:c r="AF485" t="str">
        <x:v>검토</x:v>
      </x:c>
      <x:c r="AG485" t="str">
        <x:v>서울 업종추세·수요 강점 / 안정성 상대적 약점</x:v>
      </x:c>
    </x:row>
    <x:row r="486">
      <x:c r="A486" t="str">
        <x:v>3001496</x:v>
      </x:c>
      <x:c r="B486" t="str">
        <x:v>강남 마이스 관광특구</x:v>
      </x:c>
      <x:c r="C486" t="str">
        <x:v>관광특구</x:v>
      </x:c>
      <x:c r="D486" t="str">
        <x:v>강남구</x:v>
      </x:c>
      <x:c r="E486" t="str">
        <x:v>삼성1동</x:v>
      </x:c>
      <x:c r="F486" t="str">
        <x:v>CS100010</x:v>
      </x:c>
      <x:c r="G486" t="str">
        <x:v>커피-음료</x:v>
      </x:c>
      <x:c r="H486" t="n">
        <x:v>7689464020</x:v>
      </x:c>
      <x:c r="I486" t="n">
        <x:v>656160</x:v>
      </x:c>
      <x:c r="J486" t="n">
        <x:v>11718.885668129724</x:v>
      </x:c>
      <x:c r="K486" s="14" t="n">
        <x:v>0.25880062048336616</x:v>
      </x:c>
      <x:c r="L486" s="14" t="n">
        <x:v>-0.00844757257331652</x:v>
      </x:c>
      <x:c r="M486" s="14" t="n">
        <x:v>0.016227780215539944</x:v>
      </x:c>
      <x:c r="N486" t="n">
        <x:v>155</x:v>
      </x:c>
      <x:c r="O486" t="n">
        <x:v>2</x:v>
      </x:c>
      <x:c r="P486" s="14" t="n">
        <x:v>0.0125</x:v>
      </x:c>
      <x:c r="Q486" s="14" t="n">
        <x:v>0.2903225806451613</x:v>
      </x:c>
      <x:c r="R486" s="14" t="n">
        <x:v>0.15671641791044766</x:v>
      </x:c>
      <x:c r="S486" t="n">
        <x:v>102032</x:v>
      </x:c>
      <x:c r="T486" t="n">
        <x:v>4289.005094748878</x:v>
      </x:c>
      <x:c r="U486" s="14" t="n">
        <x:v>0.720556954371444</x:v>
      </x:c>
      <x:c r="V486" s="14" t="n">
        <x:v>0.20188069506046014</x:v>
      </x:c>
      <x:c r="W486" s="14" t="n">
        <x:v>0.40157947887764484</x:v>
      </x:c>
      <x:c r="X486" s="14" t="n">
        <x:v>0.4457672575207654</x:v>
      </x:c>
      <x:c r="Y486" s="16" t="n">
        <x:v>98.78277153558052</x:v>
      </x:c>
      <x:c r="Z486" s="16" t="n">
        <x:v>95.2561669829222</x:v>
      </x:c>
      <x:c r="AA486" s="16" t="n">
        <x:v>37.704918032786885</x:v>
      </x:c>
      <x:c r="AB486" s="16" t="n">
        <x:v>14.091760299625463</x:v>
      </x:c>
      <x:c r="AC486" s="16" t="n">
        <x:v>83.56741573033707</x:v>
      </x:c>
      <x:c r="AD486" s="16" t="n">
        <x:v>99.9390243902439</x:v>
      </x:c>
      <x:c r="AE486" s="16" t="n">
        <x:v>74.74839797644537</x:v>
      </x:c>
      <x:c r="AF486" t="str">
        <x:v>검토</x:v>
      </x:c>
      <x:c r="AG486" t="str">
        <x:v>직장수요·수요 강점 / 경쟁여건 상대적 약점</x:v>
      </x:c>
    </x:row>
    <x:row r="487">
      <x:c r="A487" t="str">
        <x:v>3130221</x:v>
      </x:c>
      <x:c r="B487" t="str">
        <x:v>남부골목시장(남부화곡시장, 남부시장)</x:v>
      </x:c>
      <x:c r="C487" t="str">
        <x:v>전통시장</x:v>
      </x:c>
      <x:c r="D487" t="str">
        <x:v>강서구</x:v>
      </x:c>
      <x:c r="E487" t="str">
        <x:v>화곡4동</x:v>
      </x:c>
      <x:c r="F487" t="str">
        <x:v>CS300007</x:v>
      </x:c>
      <x:c r="G487" t="str">
        <x:v>육류판매</x:v>
      </x:c>
      <x:c r="H487" t="n">
        <x:v>6878574342</x:v>
      </x:c>
      <x:c r="I487" t="n">
        <x:v>227299</x:v>
      </x:c>
      <x:c r="J487" t="n">
        <x:v>30262.22879115174</x:v>
      </x:c>
      <x:c r="K487" s="14" t="n">
        <x:v>0.1493441305005747</x:v>
      </x:c>
      <x:c r="L487" s="14" t="n">
        <x:v>0.23518223683931017</x:v>
      </x:c>
      <x:c r="M487" s="14" t="n">
        <x:v>0.00863079289162072</x:v>
      </x:c>
      <x:c r="N487" t="n">
        <x:v>26</x:v>
      </x:c>
      <x:c r="O487" t="n">
        <x:v>1</x:v>
      </x:c>
      <x:c r="P487" s="14" t="n">
        <x:v>0.03225806451612903</x:v>
      </x:c>
      <x:c r="Q487" s="14" t="n">
        <x:v>0</x:v>
      </x:c>
      <x:c r="R487" s="14" t="n">
        <x:v>0.08333333333333326</x:v>
      </x:c>
      <x:c r="S487" t="n">
        <x:v>642</x:v>
      </x:c>
      <x:c r="T487" t="n">
        <x:v>79.23284830982264</x:v>
      </x:c>
      <x:c r="U487" s="14" t="n">
        <x:v>0.6774548194597385</x:v>
      </x:c>
      <x:c r="V487" s="14" t="n">
        <x:v>0.34005519947900853</x:v>
      </x:c>
      <x:c r="W487" s="14" t="n">
        <x:v>0.1395300521998778</x:v>
      </x:c>
      <x:c r="X487" s="14" t="n">
        <x:v>0.5396303166101625</x:v>
      </x:c>
      <x:c r="Y487" s="16" t="n">
        <x:v>96.53465346534654</x:v>
      </x:c>
      <x:c r="Z487" s="16" t="n">
        <x:v>89.87012987012987</x:v>
      </x:c>
      <x:c r="AA487" s="16" t="n">
        <x:v>100</x:v>
      </x:c>
      <x:c r="AB487" s="16" t="n">
        <x:v>19.430693069306926</x:v>
      </x:c>
      <x:c r="AC487" s="16" t="n">
        <x:v>24.752475247524757</x:v>
      </x:c>
      <x:c r="AD487" s="16" t="n">
        <x:v>51.829268292682926</x:v>
      </x:c>
      <x:c r="AE487" s="16" t="n">
        <x:v>74.74246958667992</x:v>
      </x:c>
      <x:c r="AF487" t="str">
        <x:v>검토</x:v>
      </x:c>
      <x:c r="AG487" t="str">
        <x:v>서울 업종추세·수요 강점 / 경쟁여건 상대적 약점</x:v>
      </x:c>
    </x:row>
    <x:row r="488">
      <x:c r="A488" t="str">
        <x:v>3120178</x:v>
      </x:c>
      <x:c r="B488" t="str">
        <x:v>신사역</x:v>
      </x:c>
      <x:c r="C488" t="str">
        <x:v>발달상권</x:v>
      </x:c>
      <x:c r="D488" t="str">
        <x:v>서초구</x:v>
      </x:c>
      <x:c r="E488" t="str">
        <x:v>잠원동</x:v>
      </x:c>
      <x:c r="F488" t="str">
        <x:v>CS100010</x:v>
      </x:c>
      <x:c r="G488" t="str">
        <x:v>커피-음료</x:v>
      </x:c>
      <x:c r="H488" t="n">
        <x:v>3244307762</x:v>
      </x:c>
      <x:c r="I488" t="n">
        <x:v>447754</x:v>
      </x:c>
      <x:c r="J488" t="n">
        <x:v>7245.737083309138</x:v>
      </x:c>
      <x:c r="K488" s="14" t="n">
        <x:v>0.14278851280314542</x:v>
      </x:c>
      <x:c r="L488" s="14" t="n">
        <x:v>-0.00844757257331652</x:v>
      </x:c>
      <x:c r="M488" s="14" t="n">
        <x:v>0.016227780215539944</x:v>
      </x:c>
      <x:c r="N488" t="n">
        <x:v>67</x:v>
      </x:c>
      <x:c r="O488" t="n">
        <x:v>2</x:v>
      </x:c>
      <x:c r="P488" s="14" t="n">
        <x:v>0.027777777777777776</x:v>
      </x:c>
      <x:c r="Q488" s="14" t="n">
        <x:v>0.22388059701492538</x:v>
      </x:c>
      <x:c r="R488" s="14" t="n">
        <x:v>0.1166666666666667</x:v>
      </x:c>
      <x:c r="S488" t="n">
        <x:v>19438</x:v>
      </x:c>
      <x:c r="T488" t="n">
        <x:v>550.5486226371273</x:v>
      </x:c>
      <x:c r="U488" s="14" t="n">
        <x:v>0.7977945583079982</x:v>
      </x:c>
      <x:c r="V488" s="14" t="n">
        <x:v>0.25140609209564874</x:v>
      </x:c>
      <x:c r="W488" s="14" t="n">
        <x:v>0.4831111885741005</x:v>
      </x:c>
      <x:c r="X488" s="14" t="n">
        <x:v>0.4968255850691393</x:v>
      </x:c>
      <x:c r="Y488" s="16" t="n">
        <x:v>95.78651685393258</x:v>
      </x:c>
      <x:c r="Z488" s="16" t="n">
        <x:v>88.1404174573055</x:v>
      </x:c>
      <x:c r="AA488" s="16" t="n">
        <x:v>37.704918032786885</x:v>
      </x:c>
      <x:c r="AB488" s="16" t="n">
        <x:v>51.21722846441948</x:v>
      </x:c>
      <x:c r="AC488" s="16" t="n">
        <x:v>56.97565543071161</x:v>
      </x:c>
      <x:c r="AD488" s="16" t="n">
        <x:v>91.03658536585365</x:v>
      </x:c>
      <x:c r="AE488" s="16" t="n">
        <x:v>74.7410811762823</x:v>
      </x:c>
      <x:c r="AF488" t="str">
        <x:v>검토</x:v>
      </x:c>
      <x:c r="AG488" t="str">
        <x:v>수요·직장수요 강점 / 서울 업종추세 상대적 약점</x:v>
      </x:c>
    </x:row>
    <x:row r="489">
      <x:c r="A489" t="str">
        <x:v>3120134</x:v>
      </x:c>
      <x:c r="B489" t="str">
        <x:v>구로전화국</x:v>
      </x:c>
      <x:c r="C489" t="str">
        <x:v>발달상권</x:v>
      </x:c>
      <x:c r="D489" t="str">
        <x:v>금천구</x:v>
      </x:c>
      <x:c r="E489" t="str">
        <x:v>독산3동</x:v>
      </x:c>
      <x:c r="F489" t="str">
        <x:v>CS300035</x:v>
      </x:c>
      <x:c r="G489" t="str">
        <x:v>인테리어</x:v>
      </x:c>
      <x:c r="H489" t="n">
        <x:v>137346857</x:v>
      </x:c>
      <x:c r="I489" t="n">
        <x:v>964</x:v>
      </x:c>
      <x:c r="J489" t="n">
        <x:v>142475.9927385892</x:v>
      </x:c>
      <x:c r="K489" s="14" t="n">
        <x:v>0.7293459680984435</x:v>
      </x:c>
      <x:c r="L489" s="14" t="n">
        <x:v>0.20213561276420866</x:v>
      </x:c>
      <x:c r="M489" s="14" t="n">
        <x:v>0.044160820891303576</x:v>
      </x:c>
      <x:c r="N489" t="n">
        <x:v>14</x:v>
      </x:c>
      <x:c r="O489" t="n">
        <x:v>0</x:v>
      </x:c>
      <x:c r="P489" s="14" t="n">
        <x:v>0</x:v>
      </x:c>
      <x:c r="Q489" s="14" t="n">
        <x:v>0</x:v>
      </x:c>
      <x:c r="R489" s="14" t="n">
        <x:v>0.07692307692307687</x:v>
      </x:c>
      <x:c r="S489" t="n">
        <x:v>1630</x:v>
      </x:c>
      <x:c r="T489" t="n">
        <x:v>96.07336940505239</x:v>
      </x:c>
      <x:c r="U489" s="14" t="n">
        <x:v>0.9356206454727974</x:v>
      </x:c>
      <x:c r="V489" s="14" t="n">
        <x:v>0.007023204032983441</x:v>
      </x:c>
      <x:c r="W489" s="14" t="n">
        <x:v>0.06424929694605243</x:v>
      </x:c>
      <x:c r="X489" s="14" t="n">
        <x:v>0.09046925624224514</x:v>
      </x:c>
      <x:c r="Y489" s="16" t="n">
        <x:v>75</x:v>
      </x:c>
      <x:c r="Z489" s="16" t="n">
        <x:v>86.62420382165605</x:v>
      </x:c>
      <x:c r="AA489" s="16" t="n">
        <x:v>98.36065573770492</x:v>
      </x:c>
      <x:c r="AB489" s="16" t="n">
        <x:v>49.72826086956522</x:v>
      </x:c>
      <x:c r="AC489" s="16" t="n">
        <x:v>60.32608695652174</x:v>
      </x:c>
      <x:c r="AD489" s="16" t="n">
        <x:v>58.23170731707317</x:v>
      </x:c>
      <x:c r="AE489" s="16" t="n">
        <x:v>74.73237231692757</x:v>
      </x:c>
      <x:c r="AF489" t="str">
        <x:v>검토</x:v>
      </x:c>
      <x:c r="AG489" t="str">
        <x:v>서울 업종추세·상권 모멘텀 강점 / 경쟁여건 상대적 약점</x:v>
      </x:c>
    </x:row>
    <x:row r="490">
      <x:c r="A490" t="str">
        <x:v>3130042</x:v>
      </x:c>
      <x:c r="B490" t="str">
        <x:v>약수시장</x:v>
      </x:c>
      <x:c r="C490" t="str">
        <x:v>전통시장</x:v>
      </x:c>
      <x:c r="D490" t="str">
        <x:v>중구</x:v>
      </x:c>
      <x:c r="E490" t="str">
        <x:v>약수동</x:v>
      </x:c>
      <x:c r="F490" t="str">
        <x:v>CS200006</x:v>
      </x:c>
      <x:c r="G490" t="str">
        <x:v>일반의원</x:v>
      </x:c>
      <x:c r="H490" t="n">
        <x:v>4090446415</x:v>
      </x:c>
      <x:c r="I490" t="n">
        <x:v>77745</x:v>
      </x:c>
      <x:c r="J490" t="n">
        <x:v>52613.62679271979</x:v>
      </x:c>
      <x:c r="K490" s="14" t="n">
        <x:v>0.05961019387726507</x:v>
      </x:c>
      <x:c r="L490" s="14" t="n">
        <x:v>0.09973642051122278</x:v>
      </x:c>
      <x:c r="M490" s="14" t="n">
        <x:v>0.06942273842247415</x:v>
      </x:c>
      <x:c r="N490" t="n">
        <x:v>25</x:v>
      </x:c>
      <x:c r="O490" t="n">
        <x:v>0</x:v>
      </x:c>
      <x:c r="P490" s="14" t="n">
        <x:v>0</x:v>
      </x:c>
      <x:c r="Q490" s="14" t="n">
        <x:v>0</x:v>
      </x:c>
      <x:c r="R490" s="14" t="n">
        <x:v>0.5625</x:v>
      </x:c>
      <x:c r="S490" t="n">
        <x:v>3917</x:v>
      </x:c>
      <x:c r="T490" t="n">
        <x:v>1390.3382671352006</x:v>
      </x:c>
      <x:c r="U490" s="14" t="n">
        <x:v>0.811050101972794</x:v>
      </x:c>
      <x:c r="V490" s="14" t="n">
        <x:v>0.1264791593657877</x:v>
      </x:c>
      <x:c r="W490" s="14" t="n">
        <x:v>0.23229454651100717</x:v>
      </x:c>
      <x:c r="X490" s="14" t="n">
        <x:v>0.4749562705125915</x:v>
      </x:c>
      <x:c r="Y490" s="16" t="n">
        <x:v>80.65764023210832</x:v>
      </x:c>
      <x:c r="Z490" s="16" t="n">
        <x:v>68.02325581395348</x:v>
      </x:c>
      <x:c r="AA490" s="16" t="n">
        <x:v>90.1639344262295</x:v>
      </x:c>
      <x:c r="AB490" s="16" t="n">
        <x:v>54.84496124031008</x:v>
      </x:c>
      <x:c r="AC490" s="16" t="n">
        <x:v>62.5</x:v>
      </x:c>
      <x:c r="AD490" s="16" t="n">
        <x:v>97.86585365853658</x:v>
      </x:c>
      <x:c r="AE490" s="16" t="n">
        <x:v>74.72945227693637</x:v>
      </x:c>
      <x:c r="AF490" t="str">
        <x:v>검토</x:v>
      </x:c>
      <x:c r="AG490" t="str">
        <x:v>직장수요·서울 업종추세 강점 / 경쟁여건 상대적 약점</x:v>
      </x:c>
    </x:row>
    <x:row r="491">
      <x:c r="A491" t="str">
        <x:v>3111011</x:v>
      </x:c>
      <x:c r="B491" t="str">
        <x:v>잠실나루역</x:v>
      </x:c>
      <x:c r="C491" t="str">
        <x:v>골목상권</x:v>
      </x:c>
      <x:c r="D491" t="str">
        <x:v>송파구</x:v>
      </x:c>
      <x:c r="E491" t="str">
        <x:v>잠실4동</x:v>
      </x:c>
      <x:c r="F491" t="str">
        <x:v>CS200006</x:v>
      </x:c>
      <x:c r="G491" t="str">
        <x:v>일반의원</x:v>
      </x:c>
      <x:c r="H491" t="n">
        <x:v>3124902801</x:v>
      </x:c>
      <x:c r="I491" t="n">
        <x:v>53265</x:v>
      </x:c>
      <x:c r="J491" t="n">
        <x:v>58667.094733877784</x:v>
      </x:c>
      <x:c r="K491" s="14" t="n">
        <x:v>0.06074733355679163</x:v>
      </x:c>
      <x:c r="L491" s="14" t="n">
        <x:v>0.09973642051122278</x:v>
      </x:c>
      <x:c r="M491" s="14" t="n">
        <x:v>0.06942273842247415</x:v>
      </x:c>
      <x:c r="N491" t="n">
        <x:v>19</x:v>
      </x:c>
      <x:c r="O491" t="n">
        <x:v>0</x:v>
      </x:c>
      <x:c r="P491" s="14" t="n">
        <x:v>0</x:v>
      </x:c>
      <x:c r="Q491" s="14" t="n">
        <x:v>0</x:v>
      </x:c>
      <x:c r="R491" s="14" t="n">
        <x:v>0.11764705882352944</x:v>
      </x:c>
      <x:c r="S491" t="n">
        <x:v>4438</x:v>
      </x:c>
      <x:c r="T491" t="n">
        <x:v>1717.558729052982</x:v>
      </x:c>
      <x:c r="U491" s="14" t="n">
        <x:v>0.7978392778175887</x:v>
      </x:c>
      <x:c r="V491" s="14" t="n">
        <x:v>0.18571414375329878</x:v>
      </x:c>
      <x:c r="W491" s="14" t="n">
        <x:v>0.1943178872013818</x:v>
      </x:c>
      <x:c r="X491" s="14" t="n">
        <x:v>0.6375016526474034</x:v>
      </x:c>
      <x:c r="Y491" s="16" t="n">
        <x:v>74.27466150870406</x:v>
      </x:c>
      <x:c r="Z491" s="16" t="n">
        <x:v>68.6046511627907</x:v>
      </x:c>
      <x:c r="AA491" s="16" t="n">
        <x:v>90.1639344262295</x:v>
      </x:c>
      <x:c r="AB491" s="16" t="n">
        <x:v>68.7984496124031</x:v>
      </x:c>
      <x:c r="AC491" s="16" t="n">
        <x:v>62.5</x:v>
      </x:c>
      <x:c r="AD491" s="16" t="n">
        <x:v>98.29268292682927</x:v>
      </x:c>
      <x:c r="AE491" s="16" t="n">
        <x:v>74.72605351274092</x:v>
      </x:c>
      <x:c r="AF491" t="str">
        <x:v>검토</x:v>
      </x:c>
      <x:c r="AG491" t="str">
        <x:v>직장수요·서울 업종추세 강점 / 안정성 상대적 약점</x:v>
      </x:c>
    </x:row>
    <x:row r="492">
      <x:c r="A492" t="str">
        <x:v>3130180</x:v>
      </x:c>
      <x:c r="B492" t="str">
        <x:v>포방터시장</x:v>
      </x:c>
      <x:c r="C492" t="str">
        <x:v>전통시장</x:v>
      </x:c>
      <x:c r="D492" t="str">
        <x:v>서대문구</x:v>
      </x:c>
      <x:c r="E492" t="str">
        <x:v>홍은1동</x:v>
      </x:c>
      <x:c r="F492" t="str">
        <x:v>CS300011</x:v>
      </x:c>
      <x:c r="G492" t="str">
        <x:v>일반의류</x:v>
      </x:c>
      <x:c r="H492" t="n">
        <x:v>266033366</x:v>
      </x:c>
      <x:c r="I492" t="n">
        <x:v>645</x:v>
      </x:c>
      <x:c r="J492" t="n">
        <x:v>412454.8310077519</x:v>
      </x:c>
      <x:c r="K492" s="14" t="n">
        <x:v>0.13629288466794276</x:v>
      </x:c>
      <x:c r="L492" s="14" t="n">
        <x:v>0.06726691045630595</x:v>
      </x:c>
      <x:c r="M492" s="14" t="n">
        <x:v>0.00788849516466894</x:v>
      </x:c>
      <x:c r="N492" t="n">
        <x:v>22</x:v>
      </x:c>
      <x:c r="O492" t="n">
        <x:v>0</x:v>
      </x:c>
      <x:c r="P492" s="14" t="n">
        <x:v>0</x:v>
      </x:c>
      <x:c r="Q492" s="14" t="n">
        <x:v>0</x:v>
      </x:c>
      <x:c r="R492" s="14" t="n">
        <x:v>-0.18518518518518523</x:v>
      </x:c>
      <x:c r="S492" t="n">
        <x:v>979</x:v>
      </x:c>
      <x:c r="T492" t="n">
        <x:v>342.14021108548263</x:v>
      </x:c>
      <x:c r="U492" s="14" t="n">
        <x:v>0.8099615707602632</x:v>
      </x:c>
      <x:c r="V492" s="14" t="n">
        <x:v>0.9172359868573778</x:v>
      </x:c>
      <x:c r="W492" s="14" t="n">
        <x:v>0</x:v>
      </x:c>
      <x:c r="X492" s="14" t="n">
        <x:v>0.39411175213262534</x:v>
      </x:c>
      <x:c r="Y492" s="16" t="n">
        <x:v>63.60424028268551</x:v>
      </x:c>
      <x:c r="Z492" s="16" t="n">
        <x:v>67.26835138387484</x:v>
      </x:c>
      <x:c r="AA492" s="16" t="n">
        <x:v>81.9672131147541</x:v>
      </x:c>
      <x:c r="AB492" s="16" t="n">
        <x:v>91.93168433451119</x:v>
      </x:c>
      <x:c r="AC492" s="16" t="n">
        <x:v>86.33686690223793</x:v>
      </x:c>
      <x:c r="AD492" s="16" t="n">
        <x:v>85.67073170731707</x:v>
      </x:c>
      <x:c r="AE492" s="16" t="n">
        <x:v>74.71721226869434</x:v>
      </x:c>
      <x:c r="AF492" t="str">
        <x:v>검토</x:v>
      </x:c>
      <x:c r="AG492" t="str">
        <x:v>경쟁여건·안정성 강점 / 수요 상대적 약점</x:v>
      </x:c>
    </x:row>
    <x:row r="493">
      <x:c r="A493" t="str">
        <x:v>3120151</x:v>
      </x:c>
      <x:c r="B493" t="str">
        <x:v>보라매공원</x:v>
      </x:c>
      <x:c r="C493" t="str">
        <x:v>발달상권</x:v>
      </x:c>
      <x:c r="D493" t="str">
        <x:v>동작구</x:v>
      </x:c>
      <x:c r="E493" t="str">
        <x:v>신대방2동</x:v>
      </x:c>
      <x:c r="F493" t="str">
        <x:v>CS100005</x:v>
      </x:c>
      <x:c r="G493" t="str">
        <x:v>제과점</x:v>
      </x:c>
      <x:c r="H493" t="n">
        <x:v>801602799</x:v>
      </x:c>
      <x:c r="I493" t="n">
        <x:v>72014</x:v>
      </x:c>
      <x:c r="J493" t="n">
        <x:v>11131.207806815342</x:v>
      </x:c>
      <x:c r="K493" s="14" t="n">
        <x:v>0.08746182741923558</x:v>
      </x:c>
      <x:c r="L493" s="14" t="n">
        <x:v>0.015772977300780644</x:v>
      </x:c>
      <x:c r="M493" s="14" t="n">
        <x:v>-0.01180050626373963</x:v>
      </x:c>
      <x:c r="N493" t="n">
        <x:v>18</x:v>
      </x:c>
      <x:c r="O493" t="n">
        <x:v>0</x:v>
      </x:c>
      <x:c r="P493" s="14" t="n">
        <x:v>0</x:v>
      </x:c>
      <x:c r="Q493" s="14" t="n">
        <x:v>0.2777777777777778</x:v>
      </x:c>
      <x:c r="R493" s="14" t="n">
        <x:v>0.125</x:v>
      </x:c>
      <x:c r="S493" t="n">
        <x:v>10160</x:v>
      </x:c>
      <x:c r="T493" t="n">
        <x:v>848.8666460576995</x:v>
      </x:c>
      <x:c r="U493" s="14" t="n">
        <x:v>0.820133291475695</x:v>
      </x:c>
      <x:c r="V493" s="14" t="n">
        <x:v>0.19124849263406826</x:v>
      </x:c>
      <x:c r="W493" s="14" t="n">
        <x:v>0.278765514889376</x:v>
      </x:c>
      <x:c r="X493" s="14" t="n">
        <x:v>0.49591955578987446</x:v>
      </x:c>
      <x:c r="Y493" s="16" t="n">
        <x:v>83.44988344988344</x:v>
      </x:c>
      <x:c r="Z493" s="16" t="n">
        <x:v>83.37468982630273</x:v>
      </x:c>
      <x:c r="AA493" s="16" t="n">
        <x:v>52.459016393442624</x:v>
      </x:c>
      <x:c r="AB493" s="16" t="n">
        <x:v>58.74125874125874</x:v>
      </x:c>
      <x:c r="AC493" s="16" t="n">
        <x:v>73.54312354312354</x:v>
      </x:c>
      <x:c r="AD493" s="16" t="n">
        <x:v>95.85365853658537</x:v>
      </x:c>
      <x:c r="AE493" s="16" t="n">
        <x:v>74.70943372406659</x:v>
      </x:c>
      <x:c r="AF493" t="str">
        <x:v>검토</x:v>
      </x:c>
      <x:c r="AG493" t="str">
        <x:v>직장수요·수요 강점 / 서울 업종추세 상대적 약점</x:v>
      </x:c>
    </x:row>
    <x:row r="494">
      <x:c r="A494" t="str">
        <x:v>3120189</x:v>
      </x:c>
      <x:c r="B494" t="str">
        <x:v>강남역</x:v>
      </x:c>
      <x:c r="C494" t="str">
        <x:v>발달상권</x:v>
      </x:c>
      <x:c r="D494" t="str">
        <x:v>서초구</x:v>
      </x:c>
      <x:c r="E494" t="str">
        <x:v>서초2동</x:v>
      </x:c>
      <x:c r="F494" t="str">
        <x:v>CS100003</x:v>
      </x:c>
      <x:c r="G494" t="str">
        <x:v>일식음식점</x:v>
      </x:c>
      <x:c r="H494" t="n">
        <x:v>8668330186</x:v>
      </x:c>
      <x:c r="I494" t="n">
        <x:v>205422</x:v>
      </x:c>
      <x:c r="J494" t="n">
        <x:v>42197.67204096932</x:v>
      </x:c>
      <x:c r="K494" s="14" t="n">
        <x:v>0.048990489005951154</x:v>
      </x:c>
      <x:c r="L494" s="14" t="n">
        <x:v>0.048235937606500245</x:v>
      </x:c>
      <x:c r="M494" s="14" t="n">
        <x:v>-0.004288267098710441</x:v>
      </x:c>
      <x:c r="N494" t="n">
        <x:v>51</x:v>
      </x:c>
      <x:c r="O494" t="n">
        <x:v>0</x:v>
      </x:c>
      <x:c r="P494" s="14" t="n">
        <x:v>0</x:v>
      </x:c>
      <x:c r="Q494" s="14" t="n">
        <x:v>0.19607843137254902</x:v>
      </x:c>
      <x:c r="R494" s="14" t="n">
        <x:v>0.0625</x:v>
      </x:c>
      <x:c r="S494" t="n">
        <x:v>87191</x:v>
      </x:c>
      <x:c r="T494" t="n">
        <x:v>1411.89253611466</x:v>
      </x:c>
      <x:c r="U494" s="14" t="n">
        <x:v>0.7415726927871319</x:v>
      </x:c>
      <x:c r="V494" s="14" t="n">
        <x:v>0.6008632475043562</x:v>
      </x:c>
      <x:c r="W494" s="14" t="n">
        <x:v>0.5001342368109004</x:v>
      </x:c>
      <x:c r="X494" s="14" t="n">
        <x:v>0.330723506659925</x:v>
      </x:c>
      <x:c r="Y494" s="16" t="n">
        <x:v>99.70238095238095</x:v>
      </x:c>
      <x:c r="Z494" s="16" t="n">
        <x:v>52.46913580246913</x:v>
      </x:c>
      <x:c r="AA494" s="16" t="n">
        <x:v>78.68852459016394</x:v>
      </x:c>
      <x:c r="AB494" s="16" t="n">
        <x:v>30.05952380952381</x:v>
      </x:c>
      <x:c r="AC494" s="16" t="n">
        <x:v>81.10119047619048</x:v>
      </x:c>
      <x:c r="AD494" s="16" t="n">
        <x:v>97.92682926829268</x:v>
      </x:c>
      <x:c r="AE494" s="16" t="n">
        <x:v>74.708328264814</x:v>
      </x:c>
      <x:c r="AF494" t="str">
        <x:v>검토</x:v>
      </x:c>
      <x:c r="AG494" t="str">
        <x:v>수요·직장수요 강점 / 경쟁여건 상대적 약점</x:v>
      </x:c>
    </x:row>
    <x:row r="495">
      <x:c r="A495" t="str">
        <x:v>3110205</x:v>
      </x:c>
      <x:c r="B495" t="str">
        <x:v>경희대삼거리</x:v>
      </x:c>
      <x:c r="C495" t="str">
        <x:v>골목상권</x:v>
      </x:c>
      <x:c r="D495" t="str">
        <x:v>동대문구</x:v>
      </x:c>
      <x:c r="E495" t="str">
        <x:v>회기동</x:v>
      </x:c>
      <x:c r="F495" t="str">
        <x:v>CS300011</x:v>
      </x:c>
      <x:c r="G495" t="str">
        <x:v>일반의류</x:v>
      </x:c>
      <x:c r="H495" t="n">
        <x:v>332280932</x:v>
      </x:c>
      <x:c r="I495" t="n">
        <x:v>2329</x:v>
      </x:c>
      <x:c r="J495" t="n">
        <x:v>142671.07428080722</x:v>
      </x:c>
      <x:c r="K495" s="14" t="n">
        <x:v>0.26534176204425597</x:v>
      </x:c>
      <x:c r="L495" s="14" t="n">
        <x:v>0.06726691045630595</x:v>
      </x:c>
      <x:c r="M495" s="14" t="n">
        <x:v>0.00788849516466894</x:v>
      </x:c>
      <x:c r="N495" t="n">
        <x:v>39</x:v>
      </x:c>
      <x:c r="O495" t="n">
        <x:v>0</x:v>
      </x:c>
      <x:c r="P495" s="14" t="n">
        <x:v>0</x:v>
      </x:c>
      <x:c r="Q495" s="14" t="n">
        <x:v>0</x:v>
      </x:c>
      <x:c r="R495" s="14" t="n">
        <x:v>-0.1875</x:v>
      </x:c>
      <x:c r="S495"/>
      <x:c r="T495"/>
      <x:c r="U495" s="14" t="n">
        <x:v>0.8073442805920624</x:v>
      </x:c>
      <x:c r="V495" s="14" t="n">
        <x:v>0.7151886464553434</x:v>
      </x:c>
      <x:c r="W495" s="14" t="n">
        <x:v>0.2605053635759033</x:v>
      </x:c>
      <x:c r="X495" s="14" t="n">
        <x:v>0.7886769259453023</x:v>
      </x:c>
      <x:c r="Y495" s="16" t="n">
        <x:v>68.31566548881037</x:v>
      </x:c>
      <x:c r="Z495" s="16" t="n">
        <x:v>82.19013237063778</x:v>
      </x:c>
      <x:c r="AA495" s="16" t="n">
        <x:v>81.9672131147541</x:v>
      </x:c>
      <x:c r="AB495" s="16" t="n">
        <x:v>72.85041224970553</x:v>
      </x:c>
      <x:c r="AC495" s="16" t="n">
        <x:v>86.33686690223793</x:v>
      </x:c>
      <x:c r="AD495" s="16" t="n">
        <x:v>50</x:v>
      </x:c>
      <x:c r="AE495" s="16" t="n">
        <x:v>74.70483989010391</x:v>
      </x:c>
      <x:c r="AF495" t="str">
        <x:v>검토</x:v>
      </x:c>
      <x:c r="AG495" t="str">
        <x:v>안정성·상권 모멘텀 강점 / 직장수요 상대적 약점</x:v>
      </x:c>
    </x:row>
    <x:row r="496">
      <x:c r="A496" t="str">
        <x:v>3130168</x:v>
      </x:c>
      <x:c r="B496" t="str">
        <x:v>연서시장</x:v>
      </x:c>
      <x:c r="C496" t="str">
        <x:v>전통시장</x:v>
      </x:c>
      <x:c r="D496" t="str">
        <x:v>은평구</x:v>
      </x:c>
      <x:c r="E496" t="str">
        <x:v>불광2동</x:v>
      </x:c>
      <x:c r="F496" t="str">
        <x:v>CS300007</x:v>
      </x:c>
      <x:c r="G496" t="str">
        <x:v>육류판매</x:v>
      </x:c>
      <x:c r="H496" t="n">
        <x:v>2880476084</x:v>
      </x:c>
      <x:c r="I496" t="n">
        <x:v>111217</x:v>
      </x:c>
      <x:c r="J496" t="n">
        <x:v>25899.602434879558</x:v>
      </x:c>
      <x:c r="K496" s="14" t="n">
        <x:v>0.04803553020343432</x:v>
      </x:c>
      <x:c r="L496" s="14" t="n">
        <x:v>0.23518223683931017</x:v>
      </x:c>
      <x:c r="M496" s="14" t="n">
        <x:v>0.00863079289162072</x:v>
      </x:c>
      <x:c r="N496" t="n">
        <x:v>20</x:v>
      </x:c>
      <x:c r="O496" t="n">
        <x:v>0</x:v>
      </x:c>
      <x:c r="P496" s="14" t="n">
        <x:v>0</x:v>
      </x:c>
      <x:c r="Q496" s="14" t="n">
        <x:v>0</x:v>
      </x:c>
      <x:c r="R496" s="14" t="n">
        <x:v>0.05263157894736836</x:v>
      </x:c>
      <x:c r="S496" t="n">
        <x:v>691</x:v>
      </x:c>
      <x:c r="T496" t="n">
        <x:v>319.05069720195775</x:v>
      </x:c>
      <x:c r="U496" s="14" t="n">
        <x:v>0.7322996457831379</x:v>
      </x:c>
      <x:c r="V496" s="14" t="n">
        <x:v>0.25827923589870017</x:v>
      </x:c>
      <x:c r="W496" s="14" t="n">
        <x:v>0.07036247831592828</x:v>
      </x:c>
      <x:c r="X496" s="14" t="n">
        <x:v>0.5858890213927567</x:v>
      </x:c>
      <x:c r="Y496" s="16" t="n">
        <x:v>89.60396039603961</x:v>
      </x:c>
      <x:c r="Z496" s="16" t="n">
        <x:v>63.37662337662338</x:v>
      </x:c>
      <x:c r="AA496" s="16" t="n">
        <x:v>100</x:v>
      </x:c>
      <x:c r="AB496" s="16" t="n">
        <x:v>31.683168316831683</x:v>
      </x:c>
      <x:c r="AC496" s="16" t="n">
        <x:v>66.83168316831683</x:v>
      </x:c>
      <x:c r="AD496" s="16" t="n">
        <x:v>84.63414634146342</x:v>
      </x:c>
      <x:c r="AE496" s="16" t="n">
        <x:v>74.70406169536814</x:v>
      </x:c>
      <x:c r="AF496" t="str">
        <x:v>검토</x:v>
      </x:c>
      <x:c r="AG496" t="str">
        <x:v>서울 업종추세·수요 강점 / 경쟁여건 상대적 약점</x:v>
      </x:c>
    </x:row>
    <x:row r="497">
      <x:c r="A497" t="str">
        <x:v>3120160</x:v>
      </x:c>
      <x:c r="B497" t="str">
        <x:v>사당역(사당)</x:v>
      </x:c>
      <x:c r="C497" t="str">
        <x:v>발달상권</x:v>
      </x:c>
      <x:c r="D497" t="str">
        <x:v>서초구</x:v>
      </x:c>
      <x:c r="E497" t="str">
        <x:v>방배2동</x:v>
      </x:c>
      <x:c r="F497" t="str">
        <x:v>CS100002</x:v>
      </x:c>
      <x:c r="G497" t="str">
        <x:v>중식음식점</x:v>
      </x:c>
      <x:c r="H497" t="n">
        <x:v>1233928424</x:v>
      </x:c>
      <x:c r="I497" t="n">
        <x:v>25648</x:v>
      </x:c>
      <x:c r="J497" t="n">
        <x:v>48110.12258265752</x:v>
      </x:c>
      <x:c r="K497" s="14" t="n">
        <x:v>0.06312982493298525</x:v>
      </x:c>
      <x:c r="L497" s="14" t="n">
        <x:v>-0.02375238205614094</x:v>
      </x:c>
      <x:c r="M497" s="14" t="n">
        <x:v>0.025085263877023367</x:v>
      </x:c>
      <x:c r="N497" t="n">
        <x:v>13</x:v>
      </x:c>
      <x:c r="O497" t="n">
        <x:v>0</x:v>
      </x:c>
      <x:c r="P497" s="14" t="n">
        <x:v>0</x:v>
      </x:c>
      <x:c r="Q497" s="14" t="n">
        <x:v>0.15384615384615385</x:v>
      </x:c>
      <x:c r="R497" s="14" t="n">
        <x:v>-0.1333333333333333</x:v>
      </x:c>
      <x:c r="S497" t="n">
        <x:v>12897</x:v>
      </x:c>
      <x:c r="T497" t="n">
        <x:v>507.2426717848476</x:v>
      </x:c>
      <x:c r="U497" s="14" t="n">
        <x:v>0.7018178657338393</x:v>
      </x:c>
      <x:c r="V497" s="14" t="n">
        <x:v>0.7215659852568563</x:v>
      </x:c>
      <x:c r="W497" s="14" t="n">
        <x:v>0.5320523640032463</x:v>
      </x:c>
      <x:c r="X497" s="14" t="n">
        <x:v>0.3405645585484949</x:v>
      </x:c>
      <x:c r="Y497" s="16" t="n">
        <x:v>87.87185354691076</x:v>
      </x:c>
      <x:c r="Z497" s="16" t="n">
        <x:v>81.58508158508158</x:v>
      </x:c>
      <x:c r="AA497" s="16" t="n">
        <x:v>32.78688524590164</x:v>
      </x:c>
      <x:c r="AB497" s="16" t="n">
        <x:v>70.48054919908466</x:v>
      </x:c>
      <x:c r="AC497" s="16" t="n">
        <x:v>76.3157894736842</x:v>
      </x:c>
      <x:c r="AD497" s="16" t="n">
        <x:v>90.1829268292683</x:v>
      </x:c>
      <x:c r="AE497" s="16" t="n">
        <x:v>74.70300551401486</x:v>
      </x:c>
      <x:c r="AF497" t="str">
        <x:v>검토</x:v>
      </x:c>
      <x:c r="AG497" t="str">
        <x:v>직장수요·수요 강점 / 서울 업종추세 상대적 약점</x:v>
      </x:c>
    </x:row>
    <x:row r="498">
      <x:c r="A498" t="str">
        <x:v>3130067</x:v>
      </x:c>
      <x:c r="B498" t="str">
        <x:v>왕십리도선동상점가</x:v>
      </x:c>
      <x:c r="C498" t="str">
        <x:v>전통시장</x:v>
      </x:c>
      <x:c r="D498" t="str">
        <x:v>성동구</x:v>
      </x:c>
      <x:c r="E498" t="str">
        <x:v>왕십리도선동</x:v>
      </x:c>
      <x:c r="F498" t="str">
        <x:v>CS200037</x:v>
      </x:c>
      <x:c r="G498" t="str">
        <x:v>노래방</x:v>
      </x:c>
      <x:c r="H498" t="n">
        <x:v>854510662</x:v>
      </x:c>
      <x:c r="I498" t="n">
        <x:v>10386</x:v>
      </x:c>
      <x:c r="J498" t="n">
        <x:v>82275.24186404776</x:v>
      </x:c>
      <x:c r="K498" s="14" t="n">
        <x:v>0.1189380570347891</x:v>
      </x:c>
      <x:c r="L498" s="14" t="n">
        <x:v>-0.038104861974415316</x:v>
      </x:c>
      <x:c r="M498" s="14" t="n">
        <x:v>0.05972019768270753</x:v>
      </x:c>
      <x:c r="N498" t="n">
        <x:v>13</x:v>
      </x:c>
      <x:c r="O498" t="n">
        <x:v>0</x:v>
      </x:c>
      <x:c r="P498" s="14" t="n">
        <x:v>0</x:v>
      </x:c>
      <x:c r="Q498" s="14" t="n">
        <x:v>0</x:v>
      </x:c>
      <x:c r="R498" s="14" t="n">
        <x:v>-0.1333333333333333</x:v>
      </x:c>
      <x:c r="S498" t="n">
        <x:v>1834</x:v>
      </x:c>
      <x:c r="T498" t="n">
        <x:v>211.54622527250706</x:v>
      </x:c>
      <x:c r="U498" s="14" t="n">
        <x:v>0.7220769786018187</x:v>
      </x:c>
      <x:c r="V498" s="14" t="n">
        <x:v>0.4966522886990028</x:v>
      </x:c>
      <x:c r="W498" s="14" t="n">
        <x:v>0.47402715145993113</x:v>
      </x:c>
      <x:c r="X498" s="14" t="n">
        <x:v>0.18972849750118156</x:v>
      </x:c>
      <x:c r="Y498" s="16" t="n">
        <x:v>95.81673306772909</x:v>
      </x:c>
      <x:c r="Z498" s="16" t="n">
        <x:v>79.4</x:v>
      </x:c>
      <x:c r="AA498" s="16" t="n">
        <x:v>27.868852459016395</x:v>
      </x:c>
      <x:c r="AB498" s="16" t="n">
        <x:v>66.73306772908367</x:v>
      </x:c>
      <x:c r="AC498" s="16" t="n">
        <x:v>72.11155378486056</x:v>
      </x:c>
      <x:c r="AD498" s="16" t="n">
        <x:v>77.5609756097561</x:v>
      </x:c>
      <x:c r="AE498" s="16" t="n">
        <x:v>74.69534876089405</x:v>
      </x:c>
      <x:c r="AF498" t="str">
        <x:v>검토</x:v>
      </x:c>
      <x:c r="AG498" t="str">
        <x:v>수요·상권 모멘텀 강점 / 서울 업종추세 상대적 약점</x:v>
      </x:c>
    </x:row>
    <x:row r="499">
      <x:c r="A499" t="str">
        <x:v>3111032</x:v>
      </x:c>
      <x:c r="B499" t="str">
        <x:v>방이역 1번</x:v>
      </x:c>
      <x:c r="C499" t="str">
        <x:v>골목상권</x:v>
      </x:c>
      <x:c r="D499" t="str">
        <x:v>송파구</x:v>
      </x:c>
      <x:c r="E499" t="str">
        <x:v>오금동</x:v>
      </x:c>
      <x:c r="F499" t="str">
        <x:v>CS200030</x:v>
      </x:c>
      <x:c r="G499" t="str">
        <x:v>피부관리실</x:v>
      </x:c>
      <x:c r="H499" t="n">
        <x:v>56326531</x:v>
      </x:c>
      <x:c r="I499" t="n">
        <x:v>71</x:v>
      </x:c>
      <x:c r="J499" t="n">
        <x:v>793331.4225352113</x:v>
      </x:c>
      <x:c r="K499" s="14" t="n">
        <x:v>0.24593096351609245</x:v>
      </x:c>
      <x:c r="L499" s="14" t="n">
        <x:v>0.11857168683779085</x:v>
      </x:c>
      <x:c r="M499" s="14" t="n">
        <x:v>0.0314283578178467</x:v>
      </x:c>
      <x:c r="N499" t="n">
        <x:v>23</x:v>
      </x:c>
      <x:c r="O499" t="n">
        <x:v>0</x:v>
      </x:c>
      <x:c r="P499" s="14" t="n">
        <x:v>0</x:v>
      </x:c>
      <x:c r="Q499" s="14" t="n">
        <x:v>0</x:v>
      </x:c>
      <x:c r="R499" s="14" t="n">
        <x:v>0.21052631578947367</x:v>
      </x:c>
      <x:c r="S499" t="n">
        <x:v>5922</x:v>
      </x:c>
      <x:c r="T499" t="n">
        <x:v>760.0785491509761</x:v>
      </x:c>
      <x:c r="U499" s="14" t="n">
        <x:v>1</x:v>
      </x:c>
      <x:c r="V499" s="14" t="n">
        <x:v>0.9141583031271711</x:v>
      </x:c>
      <x:c r="W499" s="14" t="n">
        <x:v>0.0858416968728289</x:v>
      </x:c>
      <x:c r="X499" s="14" t="n">
        <x:v>0.3756967742252758</x:v>
      </x:c>
      <x:c r="Y499" s="16" t="n">
        <x:v>65.75682382133995</x:v>
      </x:c>
      <x:c r="Z499" s="16" t="n">
        <x:v>76.92307692307692</x:v>
      </x:c>
      <x:c r="AA499" s="16" t="n">
        <x:v>91.80327868852459</x:v>
      </x:c>
      <x:c r="AB499" s="16" t="n">
        <x:v>65.88089330024815</x:v>
      </x:c>
      <x:c r="AC499" s="16" t="n">
        <x:v>79.15632754342431</x:v>
      </x:c>
      <x:c r="AD499" s="16" t="n">
        <x:v>94.39024390243902</x:v>
      </x:c>
      <x:c r="AE499" s="16" t="n">
        <x:v>74.68727446986466</x:v>
      </x:c>
      <x:c r="AF499" t="str">
        <x:v>검토</x:v>
      </x:c>
      <x:c r="AG499" t="str">
        <x:v>직장수요·서울 업종추세 강점 / 수요 상대적 약점</x:v>
      </x:c>
    </x:row>
    <x:row r="500">
      <x:c r="A500" t="str">
        <x:v>3120156</x:v>
      </x:c>
      <x:c r="B500" t="str">
        <x:v>총신대입구역(이수, 총신대)</x:v>
      </x:c>
      <x:c r="C500" t="str">
        <x:v>발달상권</x:v>
      </x:c>
      <x:c r="D500" t="str">
        <x:v>동작구</x:v>
      </x:c>
      <x:c r="E500" t="str">
        <x:v>사당2동</x:v>
      </x:c>
      <x:c r="F500" t="str">
        <x:v>CS100003</x:v>
      </x:c>
      <x:c r="G500" t="str">
        <x:v>일식음식점</x:v>
      </x:c>
      <x:c r="H500" t="n">
        <x:v>1286279906</x:v>
      </x:c>
      <x:c r="I500" t="n">
        <x:v>34870</x:v>
      </x:c>
      <x:c r="J500" t="n">
        <x:v>36887.86653283625</x:v>
      </x:c>
      <x:c r="K500" s="14" t="n">
        <x:v>0.09868281846866567</x:v>
      </x:c>
      <x:c r="L500" s="14" t="n">
        <x:v>0.048235937606500245</x:v>
      </x:c>
      <x:c r="M500" s="14" t="n">
        <x:v>-0.004288267098710441</x:v>
      </x:c>
      <x:c r="N500" t="n">
        <x:v>26</x:v>
      </x:c>
      <x:c r="O500" t="n">
        <x:v>0</x:v>
      </x:c>
      <x:c r="P500" s="14" t="n">
        <x:v>0</x:v>
      </x:c>
      <x:c r="Q500" s="14" t="n">
        <x:v>0.34615384615384615</x:v>
      </x:c>
      <x:c r="R500" s="14" t="n">
        <x:v>0.18181818181818188</x:v>
      </x:c>
      <x:c r="S500" t="n">
        <x:v>7436</x:v>
      </x:c>
      <x:c r="T500" t="n">
        <x:v>301.0952969044197</x:v>
      </x:c>
      <x:c r="U500" s="14" t="n">
        <x:v>0.7132761039959836</x:v>
      </x:c>
      <x:c r="V500" s="14" t="n">
        <x:v>0.6251176709278392</x:v>
      </x:c>
      <x:c r="W500" s="14" t="n">
        <x:v>0.3911066227913227</x:v>
      </x:c>
      <x:c r="X500" s="14" t="n">
        <x:v>0.3196470978689144</x:v>
      </x:c>
      <x:c r="Y500" s="16" t="n">
        <x:v>82.44047619047619</x:v>
      </x:c>
      <x:c r="Z500" s="16" t="n">
        <x:v>72.22222222222223</x:v>
      </x:c>
      <x:c r="AA500" s="16" t="n">
        <x:v>78.68852459016394</x:v>
      </x:c>
      <x:c r="AB500" s="16" t="n">
        <x:v>48.51190476190476</x:v>
      </x:c>
      <x:c r="AC500" s="16" t="n">
        <x:v>81.10119047619048</x:v>
      </x:c>
      <x:c r="AD500" s="16" t="n">
        <x:v>83.90243902439025</x:v>
      </x:c>
      <x:c r="AE500" s="16" t="n">
        <x:v>74.68391651275999</x:v>
      </x:c>
      <x:c r="AF500" t="str">
        <x:v>검토</x:v>
      </x:c>
      <x:c r="AG500" t="str">
        <x:v>직장수요·수요 강점 / 경쟁여건 상대적 약점</x:v>
      </x:c>
    </x:row>
    <x:row r="501">
      <x:c r="A501" t="str">
        <x:v>3120202</x:v>
      </x:c>
      <x:c r="B501" t="str">
        <x:v>압구정로데오역(압구정로데오)</x:v>
      </x:c>
      <x:c r="C501" t="str">
        <x:v>발달상권</x:v>
      </x:c>
      <x:c r="D501" t="str">
        <x:v>강남구</x:v>
      </x:c>
      <x:c r="E501" t="str">
        <x:v>압구정동</x:v>
      </x:c>
      <x:c r="F501" t="str">
        <x:v>CS200031</x:v>
      </x:c>
      <x:c r="G501" t="str">
        <x:v>세탁소</x:v>
      </x:c>
      <x:c r="H501" t="n">
        <x:v>698927734</x:v>
      </x:c>
      <x:c r="I501" t="n">
        <x:v>2804</x:v>
      </x:c>
      <x:c r="J501" t="n">
        <x:v>249260.9607703281</x:v>
      </x:c>
      <x:c r="K501" s="14" t="n">
        <x:v>0.3771773175614148</x:v>
      </x:c>
      <x:c r="L501" s="14" t="n">
        <x:v>0.00038108013748794356</x:v>
      </x:c>
      <x:c r="M501" s="14" t="n">
        <x:v>0.043856378214214065</x:v>
      </x:c>
      <x:c r="N501" t="n">
        <x:v>27</x:v>
      </x:c>
      <x:c r="O501" t="n">
        <x:v>0</x:v>
      </x:c>
      <x:c r="P501" s="14" t="n">
        <x:v>0</x:v>
      </x:c>
      <x:c r="Q501" s="14" t="n">
        <x:v>0.037037037037037035</x:v>
      </x:c>
      <x:c r="R501" s="14" t="n">
        <x:v>0.2272727272727273</x:v>
      </x:c>
      <x:c r="S501" t="n">
        <x:v>15957</x:v>
      </x:c>
      <x:c r="T501" t="n">
        <x:v>600.5600258936704</x:v>
      </x:c>
      <x:c r="U501" s="14" t="n">
        <x:v>0.9782006790418765</x:v>
      </x:c>
      <x:c r="V501" s="14" t="n">
        <x:v>0.179328740158421</x:v>
      </x:c>
      <x:c r="W501" s="14" t="n">
        <x:v>0.42085664896508457</x:v>
      </x:c>
      <x:c r="X501" s="14" t="n">
        <x:v>0.10142745315640887</x:v>
      </x:c>
      <x:c r="Y501" s="16" t="n">
        <x:v>99.53379953379954</x:v>
      </x:c>
      <x:c r="Z501" s="16" t="n">
        <x:v>95.41062801932367</x:v>
      </x:c>
      <x:c r="AA501" s="16" t="n">
        <x:v>42.622950819672134</x:v>
      </x:c>
      <x:c r="AB501" s="16" t="n">
        <x:v>23.31002331002331</x:v>
      </x:c>
      <x:c r="AC501" s="16" t="n">
        <x:v>62.47086247086247</x:v>
      </x:c>
      <x:c r="AD501" s="16" t="n">
        <x:v>92.4390243902439</x:v>
      </x:c>
      <x:c r="AE501" s="16" t="n">
        <x:v>74.67793902674734</x:v>
      </x:c>
      <x:c r="AF501" t="str">
        <x:v>검토</x:v>
      </x:c>
      <x:c r="AG501" t="str">
        <x:v>수요·상권 모멘텀 강점 / 경쟁여건 상대적 약점</x:v>
      </x:c>
    </x:row>
    <x:row r="502">
      <x:c r="A502" t="str">
        <x:v>3120215</x:v>
      </x:c>
      <x:c r="B502" t="str">
        <x:v>포스코사거리</x:v>
      </x:c>
      <x:c r="C502" t="str">
        <x:v>발달상권</x:v>
      </x:c>
      <x:c r="D502" t="str">
        <x:v>강남구</x:v>
      </x:c>
      <x:c r="E502" t="str">
        <x:v>삼성2동</x:v>
      </x:c>
      <x:c r="F502" t="str">
        <x:v>CS100003</x:v>
      </x:c>
      <x:c r="G502" t="str">
        <x:v>일식음식점</x:v>
      </x:c>
      <x:c r="H502" t="n">
        <x:v>6705996218</x:v>
      </x:c>
      <x:c r="I502" t="n">
        <x:v>134746</x:v>
      </x:c>
      <x:c r="J502" t="n">
        <x:v>49767.68303326258</x:v>
      </x:c>
      <x:c r="K502" s="14" t="n">
        <x:v>0.03565756671566689</x:v>
      </x:c>
      <x:c r="L502" s="14" t="n">
        <x:v>0.048235937606500245</x:v>
      </x:c>
      <x:c r="M502" s="14" t="n">
        <x:v>-0.004288267098710441</x:v>
      </x:c>
      <x:c r="N502" t="n">
        <x:v>38</x:v>
      </x:c>
      <x:c r="O502" t="n">
        <x:v>0</x:v>
      </x:c>
      <x:c r="P502" s="14" t="n">
        <x:v>0</x:v>
      </x:c>
      <x:c r="Q502" s="14" t="n">
        <x:v>0.13157894736842105</x:v>
      </x:c>
      <x:c r="R502" s="14" t="n">
        <x:v>0</x:v>
      </x:c>
      <x:c r="S502" t="n">
        <x:v>94741</x:v>
      </x:c>
      <x:c r="T502" t="n">
        <x:v>2973.4233866664995</x:v>
      </x:c>
      <x:c r="U502" s="14" t="n">
        <x:v>0.9002781112215653</x:v>
      </x:c>
      <x:c r="V502" s="14" t="n">
        <x:v>0.5317642849884471</x:v>
      </x:c>
      <x:c r="W502" s="14" t="n">
        <x:v>0.331675027646131</x:v>
      </x:c>
      <x:c r="X502" s="14" t="n">
        <x:v>0.2154031975327905</x:v>
      </x:c>
      <x:c r="Y502" s="16" t="n">
        <x:v>98.80952380952381</x:v>
      </x:c>
      <x:c r="Z502" s="16" t="n">
        <x:v>46.91358024691358</x:v>
      </x:c>
      <x:c r="AA502" s="16" t="n">
        <x:v>78.68852459016394</x:v>
      </x:c>
      <x:c r="AB502" s="16" t="n">
        <x:v>38.839285714285715</x:v>
      </x:c>
      <x:c r="AC502" s="16" t="n">
        <x:v>81.10119047619048</x:v>
      </x:c>
      <x:c r="AD502" s="16" t="n">
        <x:v>99.45121951219512</x:v>
      </x:c>
      <x:c r="AE502" s="16" t="n">
        <x:v>74.67790095161229</x:v>
      </x:c>
      <x:c r="AF502" t="str">
        <x:v>검토</x:v>
      </x:c>
      <x:c r="AG502" t="str">
        <x:v>직장수요·수요 강점 / 경쟁여건 상대적 약점</x:v>
      </x:c>
    </x:row>
    <x:row r="503">
      <x:c r="A503" t="str">
        <x:v>3110147</x:v>
      </x:c>
      <x:c r="B503" t="str">
        <x:v>능동우편취급국</x:v>
      </x:c>
      <x:c r="C503" t="str">
        <x:v>골목상권</x:v>
      </x:c>
      <x:c r="D503" t="str">
        <x:v>광진구</x:v>
      </x:c>
      <x:c r="E503" t="str">
        <x:v>군자동</x:v>
      </x:c>
      <x:c r="F503" t="str">
        <x:v>CS300019</x:v>
      </x:c>
      <x:c r="G503" t="str">
        <x:v>의료기기</x:v>
      </x:c>
      <x:c r="H503" t="n">
        <x:v>7284000000</x:v>
      </x:c>
      <x:c r="I503" t="n">
        <x:v>3530</x:v>
      </x:c>
      <x:c r="J503" t="n">
        <x:v>2063456.090651558</x:v>
      </x:c>
      <x:c r="K503" s="14" t="n">
        <x:v>0.4251215840157929</x:v>
      </x:c>
      <x:c r="L503" s="14" t="n">
        <x:v>0.026268479822085578</x:v>
      </x:c>
      <x:c r="M503" s="14" t="n">
        <x:v>-0.00009912701459890982</x:v>
      </x:c>
      <x:c r="N503" t="n">
        <x:v>17</x:v>
      </x:c>
      <x:c r="O503" t="n">
        <x:v>0</x:v>
      </x:c>
      <x:c r="P503" s="14" t="n">
        <x:v>0</x:v>
      </x:c>
      <x:c r="Q503" s="14" t="n">
        <x:v>0</x:v>
      </x:c>
      <x:c r="R503" s="14" t="n">
        <x:v>0.1333333333333333</x:v>
      </x:c>
      <x:c r="S503" t="n">
        <x:v>225</x:v>
      </x:c>
      <x:c r="T503" t="n">
        <x:v>14.32856351374587</x:v>
      </x:c>
      <x:c r="U503" s="14" t="n">
        <x:v>1</x:v>
      </x:c>
      <x:c r="V503" s="14" t="n">
        <x:v>0</x:v>
      </x:c>
      <x:c r="W503" s="14" t="n">
        <x:v>0</x:v>
      </x:c>
      <x:c r="X503" s="14" t="n">
        <x:v>0</x:v>
      </x:c>
      <x:c r="Y503" s="16" t="n">
        <x:v>95.48387096774194</x:v>
      </x:c>
      <x:c r="Z503" s="16" t="n">
        <x:v>86.7132867132867</x:v>
      </x:c>
      <x:c r="AA503" s="16" t="n">
        <x:v>68.85245901639344</x:v>
      </x:c>
      <x:c r="AB503" s="16" t="n">
        <x:v>47.41935483870968</x:v>
      </x:c>
      <x:c r="AC503" s="16" t="n">
        <x:v>60.96774193548387</x:v>
      </x:c>
      <x:c r="AD503" s="16" t="n">
        <x:v>7.5</x:v>
      </x:c>
      <x:c r="AE503" s="16" t="n">
        <x:v>74.67455845318086</x:v>
      </x:c>
      <x:c r="AF503" t="str">
        <x:v>검토</x:v>
      </x:c>
      <x:c r="AG503" t="str">
        <x:v>수요·상권 모멘텀 강점 / 직장수요 상대적 약점</x:v>
      </x:c>
    </x:row>
    <x:row r="504">
      <x:c r="A504" t="str">
        <x:v>3110288</x:v>
      </x:c>
      <x:c r="B504" t="str">
        <x:v>동구여중</x:v>
      </x:c>
      <x:c r="C504" t="str">
        <x:v>골목상권</x:v>
      </x:c>
      <x:c r="D504" t="str">
        <x:v>성북구</x:v>
      </x:c>
      <x:c r="E504" t="str">
        <x:v>성북동</x:v>
      </x:c>
      <x:c r="F504" t="str">
        <x:v>CS100001</x:v>
      </x:c>
      <x:c r="G504" t="str">
        <x:v>한식음식점</x:v>
      </x:c>
      <x:c r="H504" t="n">
        <x:v>2580876076</x:v>
      </x:c>
      <x:c r="I504" t="n">
        <x:v>45082</x:v>
      </x:c>
      <x:c r="J504" t="n">
        <x:v>57248.482232376555</x:v>
      </x:c>
      <x:c r="K504" s="14" t="n">
        <x:v>0.12249857120437713</x:v>
      </x:c>
      <x:c r="L504" s="14" t="n">
        <x:v>-0.0018259958518723751</x:v>
      </x:c>
      <x:c r="M504" s="14" t="n">
        <x:v>0.06341040875687098</x:v>
      </x:c>
      <x:c r="N504" t="n">
        <x:v>85</x:v>
      </x:c>
      <x:c r="O504" t="n">
        <x:v>2</x:v>
      </x:c>
      <x:c r="P504" s="14" t="n">
        <x:v>0.022222222222222223</x:v>
      </x:c>
      <x:c r="Q504" s="14" t="n">
        <x:v>0.08235294117647059</x:v>
      </x:c>
      <x:c r="R504" s="14" t="n">
        <x:v>-0.02298850574712641</x:v>
      </x:c>
      <x:c r="S504" t="n">
        <x:v>1888</x:v>
      </x:c>
      <x:c r="T504" t="n">
        <x:v>228.1295311744804</x:v>
      </x:c>
      <x:c r="U504" s="14" t="n">
        <x:v>0.6522344624190317</x:v>
      </x:c>
      <x:c r="V504" s="14" t="n">
        <x:v>0.6087059028556008</x:v>
      </x:c>
      <x:c r="W504" s="14" t="n">
        <x:v>0.1953676763827695</x:v>
      </x:c>
      <x:c r="X504" s="14" t="n">
        <x:v>0.40586696189747623</x:v>
      </x:c>
      <x:c r="Y504" s="16" t="n">
        <x:v>77.50889679715303</x:v>
      </x:c>
      <x:c r="Z504" s="16" t="n">
        <x:v>91.92280200142959</x:v>
      </x:c>
      <x:c r="AA504" s="16" t="n">
        <x:v>40.98360655737705</x:v>
      </x:c>
      <x:c r="AB504" s="16" t="n">
        <x:v>78.39857651245552</x:v>
      </x:c>
      <x:c r="AC504" s="16" t="n">
        <x:v>73.06049822064057</x:v>
      </x:c>
      <x:c r="AD504" s="16" t="n">
        <x:v>78.96341463414635</x:v>
      </x:c>
      <x:c r="AE504" s="16" t="n">
        <x:v>74.67422229353573</x:v>
      </x:c>
      <x:c r="AF504" t="str">
        <x:v>검토</x:v>
      </x:c>
      <x:c r="AG504" t="str">
        <x:v>상권 모멘텀·직장수요 강점 / 서울 업종추세 상대적 약점</x:v>
      </x:c>
    </x:row>
    <x:row r="505">
      <x:c r="A505" t="str">
        <x:v>3120124</x:v>
      </x:c>
      <x:c r="B505" t="str">
        <x:v>개봉동 현대아파트</x:v>
      </x:c>
      <x:c r="C505" t="str">
        <x:v>발달상권</x:v>
      </x:c>
      <x:c r="D505" t="str">
        <x:v>구로구</x:v>
      </x:c>
      <x:c r="E505" t="str">
        <x:v>개봉3동</x:v>
      </x:c>
      <x:c r="F505" t="str">
        <x:v>CS200003</x:v>
      </x:c>
      <x:c r="G505" t="str">
        <x:v>예술학원</x:v>
      </x:c>
      <x:c r="H505" t="n">
        <x:v>337365289</x:v>
      </x:c>
      <x:c r="I505" t="n">
        <x:v>2125</x:v>
      </x:c>
      <x:c r="J505" t="n">
        <x:v>158760.136</x:v>
      </x:c>
      <x:c r="K505" s="14" t="n">
        <x:v>-0.014841656690654514</x:v>
      </x:c>
      <x:c r="L505" s="14" t="n">
        <x:v>0.09364146198394163</x:v>
      </x:c>
      <x:c r="M505" s="14" t="n">
        <x:v>0.053788091189524545</x:v>
      </x:c>
      <x:c r="N505" t="n">
        <x:v>14</x:v>
      </x:c>
      <x:c r="O505" t="n">
        <x:v>0</x:v>
      </x:c>
      <x:c r="P505" s="14" t="n">
        <x:v>0</x:v>
      </x:c>
      <x:c r="Q505" s="14" t="n">
        <x:v>0</x:v>
      </x:c>
      <x:c r="R505" s="14" t="n">
        <x:v>-0.125</x:v>
      </x:c>
      <x:c r="S505" t="n">
        <x:v>3301</x:v>
      </x:c>
      <x:c r="T505" t="n">
        <x:v>218.79764035262147</x:v>
      </x:c>
      <x:c r="U505" s="14" t="n">
        <x:v>0.9667250325803376</x:v>
      </x:c>
      <x:c r="V505" s="14" t="n">
        <x:v>0.4325466601277999</x:v>
      </x:c>
      <x:c r="W505" s="14" t="n">
        <x:v>0.10746719411314422</x:v>
      </x:c>
      <x:c r="X505" s="14" t="n">
        <x:v>0.7749808754035747</x:v>
      </x:c>
      <x:c r="Y505" s="16" t="n">
        <x:v>86.85258964143426</x:v>
      </x:c>
      <x:c r="Z505" s="16" t="n">
        <x:v>33.333333333333336</x:v>
      </x:c>
      <x:c r="AA505" s="16" t="n">
        <x:v>88.52459016393442</x:v>
      </x:c>
      <x:c r="AB505" s="16" t="n">
        <x:v>87.25099601593625</x:v>
      </x:c>
      <x:c r="AC505" s="16" t="n">
        <x:v>73.20717131474103</x:v>
      </x:c>
      <x:c r="AD505" s="16" t="n">
        <x:v>78.10975609756098</x:v>
      </x:c>
      <x:c r="AE505" s="16" t="n">
        <x:v>74.65761590450141</x:v>
      </x:c>
      <x:c r="AF505" t="str">
        <x:v>검토</x:v>
      </x:c>
      <x:c r="AG505" t="str">
        <x:v>서울 업종추세·경쟁여건 강점 / 상권 모멘텀 상대적 약점</x:v>
      </x:c>
    </x:row>
    <x:row r="506">
      <x:c r="A506" t="str">
        <x:v>3120077</x:v>
      </x:c>
      <x:c r="B506" t="str">
        <x:v>미아역</x:v>
      </x:c>
      <x:c r="C506" t="str">
        <x:v>발달상권</x:v>
      </x:c>
      <x:c r="D506" t="str">
        <x:v>강북구</x:v>
      </x:c>
      <x:c r="E506" t="str">
        <x:v>미아동</x:v>
      </x:c>
      <x:c r="F506" t="str">
        <x:v>CS200003</x:v>
      </x:c>
      <x:c r="G506" t="str">
        <x:v>예술학원</x:v>
      </x:c>
      <x:c r="H506" t="n">
        <x:v>146462236</x:v>
      </x:c>
      <x:c r="I506" t="n">
        <x:v>534</x:v>
      </x:c>
      <x:c r="J506" t="n">
        <x:v>274273.8501872659</x:v>
      </x:c>
      <x:c r="K506" s="14" t="n">
        <x:v>0.12703029043789327</x:v>
      </x:c>
      <x:c r="L506" s="14" t="n">
        <x:v>0.09364146198394163</x:v>
      </x:c>
      <x:c r="M506" s="14" t="n">
        <x:v>0.053788091189524545</x:v>
      </x:c>
      <x:c r="N506" t="n">
        <x:v>9</x:v>
      </x:c>
      <x:c r="O506" t="n">
        <x:v>0</x:v>
      </x:c>
      <x:c r="P506" s="14" t="n">
        <x:v>0</x:v>
      </x:c>
      <x:c r="Q506" s="14" t="n">
        <x:v>0</x:v>
      </x:c>
      <x:c r="R506" s="14" t="n">
        <x:v>-0.09999999999999998</x:v>
      </x:c>
      <x:c r="S506" t="n">
        <x:v>354</x:v>
      </x:c>
      <x:c r="T506" t="n">
        <x:v>37.92261216094614</x:v>
      </x:c>
      <x:c r="U506" s="14" t="n">
        <x:v>0.7738673332830996</x:v>
      </x:c>
      <x:c r="V506" s="14" t="n">
        <x:v>0.5050790430374148</x:v>
      </x:c>
      <x:c r="W506" s="14" t="n">
        <x:v>0.2227748796624954</x:v>
      </x:c>
      <x:c r="X506" s="14" t="n">
        <x:v>0.8370463086470973</x:v>
      </x:c>
      <x:c r="Y506" s="16" t="n">
        <x:v>68.32669322709164</x:v>
      </x:c>
      <x:c r="Z506" s="16" t="n">
        <x:v>72.39263803680981</x:v>
      </x:c>
      <x:c r="AA506" s="16" t="n">
        <x:v>88.52459016393442</x:v>
      </x:c>
      <x:c r="AB506" s="16" t="n">
        <x:v>95.3187250996016</x:v>
      </x:c>
      <x:c r="AC506" s="16" t="n">
        <x:v>73.20717131474103</x:v>
      </x:c>
      <x:c r="AD506" s="16" t="n">
        <x:v>27.317073170731707</x:v>
      </x:c>
      <x:c r="AE506" s="16" t="n">
        <x:v>74.65593831638512</x:v>
      </x:c>
      <x:c r="AF506" t="str">
        <x:v>검토</x:v>
      </x:c>
      <x:c r="AG506" t="str">
        <x:v>경쟁여건·서울 업종추세 강점 / 직장수요 상대적 약점</x:v>
      </x:c>
    </x:row>
    <x:row r="507">
      <x:c r="A507" t="str">
        <x:v>3110631</x:v>
      </x:c>
      <x:c r="B507" t="str">
        <x:v>방화초등학교</x:v>
      </x:c>
      <x:c r="C507" t="str">
        <x:v>골목상권</x:v>
      </x:c>
      <x:c r="D507" t="str">
        <x:v>강서구</x:v>
      </x:c>
      <x:c r="E507" t="str">
        <x:v>방화2동</x:v>
      </x:c>
      <x:c r="F507" t="str">
        <x:v>CS300020</x:v>
      </x:c>
      <x:c r="G507" t="str">
        <x:v>서적</x:v>
      </x:c>
      <x:c r="H507" t="n">
        <x:v>1470019594</x:v>
      </x:c>
      <x:c r="I507" t="n">
        <x:v>5053</x:v>
      </x:c>
      <x:c r="J507" t="n">
        <x:v>290920.1650504651</x:v>
      </x:c>
      <x:c r="K507" s="14" t="n">
        <x:v>0.08635501321470218</x:v>
      </x:c>
      <x:c r="L507" s="14" t="n">
        <x:v>0.20039418624921757</x:v>
      </x:c>
      <x:c r="M507" s="14" t="n">
        <x:v>-0.01061516125540185</x:v>
      </x:c>
      <x:c r="N507" t="n">
        <x:v>18</x:v>
      </x:c>
      <x:c r="O507" t="n">
        <x:v>0</x:v>
      </x:c>
      <x:c r="P507" s="14" t="n">
        <x:v>0</x:v>
      </x:c>
      <x:c r="Q507" s="14" t="n">
        <x:v>0</x:v>
      </x:c>
      <x:c r="R507" s="14" t="n">
        <x:v>0.125</x:v>
      </x:c>
      <x:c r="S507" t="n">
        <x:v>91</x:v>
      </x:c>
      <x:c r="T507" t="n">
        <x:v>9.902606235377334</x:v>
      </x:c>
      <x:c r="U507" s="14" t="n">
        <x:v>0.9982423193469352</x:v>
      </x:c>
      <x:c r="V507" s="14" t="n">
        <x:v>0.07049388962090257</x:v>
      </x:c>
      <x:c r="W507" s="14" t="n">
        <x:v>0.01016499444020336</x:v>
      </x:c>
      <x:c r="X507" s="14" t="n">
        <x:v>0.06031956197177056</x:v>
      </x:c>
      <x:c r="Y507" s="16" t="n">
        <x:v>94.63087248322148</x:v>
      </x:c>
      <x:c r="Z507" s="16" t="n">
        <x:v>76.42857142857143</x:v>
      </x:c>
      <x:c r="AA507" s="16" t="n">
        <x:v>96.72131147540983</x:v>
      </x:c>
      <x:c r="AB507" s="16" t="n">
        <x:v>37.24832214765101</x:v>
      </x:c>
      <x:c r="AC507" s="16" t="n">
        <x:v>59.395973154362416</x:v>
      </x:c>
      <x:c r="AD507" s="16" t="n">
        <x:v>4.146341463414634</x:v>
      </x:c>
      <x:c r="AE507" s="16" t="n">
        <x:v>74.6488790869079</x:v>
      </x:c>
      <x:c r="AF507" t="str">
        <x:v>검토</x:v>
      </x:c>
      <x:c r="AG507" t="str">
        <x:v>서울 업종추세·수요 강점 / 직장수요 상대적 약점</x:v>
      </x:c>
    </x:row>
    <x:row r="508">
      <x:c r="A508" t="str">
        <x:v>3120151</x:v>
      </x:c>
      <x:c r="B508" t="str">
        <x:v>보라매공원</x:v>
      </x:c>
      <x:c r="C508" t="str">
        <x:v>발달상권</x:v>
      </x:c>
      <x:c r="D508" t="str">
        <x:v>동작구</x:v>
      </x:c>
      <x:c r="E508" t="str">
        <x:v>신대방2동</x:v>
      </x:c>
      <x:c r="F508" t="str">
        <x:v>CS100010</x:v>
      </x:c>
      <x:c r="G508" t="str">
        <x:v>커피-음료</x:v>
      </x:c>
      <x:c r="H508" t="n">
        <x:v>2894349664</x:v>
      </x:c>
      <x:c r="I508" t="n">
        <x:v>393369</x:v>
      </x:c>
      <x:c r="J508" t="n">
        <x:v>7357.848900142106</x:v>
      </x:c>
      <x:c r="K508" s="14" t="n">
        <x:v>0.06930631545639798</x:v>
      </x:c>
      <x:c r="L508" s="14" t="n">
        <x:v>-0.00844757257331652</x:v>
      </x:c>
      <x:c r="M508" s="14" t="n">
        <x:v>0.016227780215539944</x:v>
      </x:c>
      <x:c r="N508" t="n">
        <x:v>69</x:v>
      </x:c>
      <x:c r="O508" t="n">
        <x:v>1</x:v>
      </x:c>
      <x:c r="P508" s="14" t="n">
        <x:v>0.013513513513513514</x:v>
      </x:c>
      <x:c r="Q508" s="14" t="n">
        <x:v>0.36231884057971014</x:v>
      </x:c>
      <x:c r="R508" s="14" t="n">
        <x:v>0.2777777777777777</x:v>
      </x:c>
      <x:c r="S508" t="n">
        <x:v>10160</x:v>
      </x:c>
      <x:c r="T508" t="n">
        <x:v>848.8666460576995</x:v>
      </x:c>
      <x:c r="U508" s="14" t="n">
        <x:v>0.7535813882921369</x:v>
      </x:c>
      <x:c r="V508" s="14" t="n">
        <x:v>0.16244000503734576</x:v>
      </x:c>
      <x:c r="W508" s="14" t="n">
        <x:v>0.4046046345283595</x:v>
      </x:c>
      <x:c r="X508" s="14" t="n">
        <x:v>0.44929693885113114</x:v>
      </x:c>
      <x:c r="Y508" s="16" t="n">
        <x:v>95.0374531835206</x:v>
      </x:c>
      <x:c r="Z508" s="16" t="n">
        <x:v>76.0910815939279</x:v>
      </x:c>
      <x:c r="AA508" s="16" t="n">
        <x:v>37.704918032786885</x:v>
      </x:c>
      <x:c r="AB508" s="16" t="n">
        <x:v>50.42134831460674</x:v>
      </x:c>
      <x:c r="AC508" s="16" t="n">
        <x:v>81.55430711610487</x:v>
      </x:c>
      <x:c r="AD508" s="16" t="n">
        <x:v>95.85365853658537</x:v>
      </x:c>
      <x:c r="AE508" s="16" t="n">
        <x:v>74.64837852356659</x:v>
      </x:c>
      <x:c r="AF508" t="str">
        <x:v>검토</x:v>
      </x:c>
      <x:c r="AG508" t="str">
        <x:v>직장수요·수요 강점 / 서울 업종추세 상대적 약점</x:v>
      </x:c>
    </x:row>
    <x:row r="509">
      <x:c r="A509" t="str">
        <x:v>3130167</x:v>
      </x:c>
      <x:c r="B509" t="str">
        <x:v>연신내상점가(연빛거리)</x:v>
      </x:c>
      <x:c r="C509" t="str">
        <x:v>전통시장</x:v>
      </x:c>
      <x:c r="D509" t="str">
        <x:v>은평구</x:v>
      </x:c>
      <x:c r="E509" t="str">
        <x:v>갈현1동</x:v>
      </x:c>
      <x:c r="F509" t="str">
        <x:v>CS300010</x:v>
      </x:c>
      <x:c r="G509" t="str">
        <x:v>반찬가게</x:v>
      </x:c>
      <x:c r="H509" t="n">
        <x:v>832568763</x:v>
      </x:c>
      <x:c r="I509" t="n">
        <x:v>16672</x:v>
      </x:c>
      <x:c r="J509" t="n">
        <x:v>49938.14557341651</x:v>
      </x:c>
      <x:c r="K509" s="14" t="n">
        <x:v>0.14853080903207316</x:v>
      </x:c>
      <x:c r="L509" s="14" t="n">
        <x:v>0.02346021551670452</x:v>
      </x:c>
      <x:c r="M509" s="14" t="n">
        <x:v>0.024589273784872745</x:v>
      </x:c>
      <x:c r="N509" t="n">
        <x:v>16</x:v>
      </x:c>
      <x:c r="O509" t="n">
        <x:v>0</x:v>
      </x:c>
      <x:c r="P509" s="14" t="n">
        <x:v>0</x:v>
      </x:c>
      <x:c r="Q509" s="14" t="n">
        <x:v>0</x:v>
      </x:c>
      <x:c r="R509" s="14" t="n">
        <x:v>0.4545454545454546</x:v>
      </x:c>
      <x:c r="S509" t="n">
        <x:v>1492</x:v>
      </x:c>
      <x:c r="T509" t="n">
        <x:v>148.96761052757697</x:v>
      </x:c>
      <x:c r="U509" s="14" t="n">
        <x:v>0.9911702980862375</x:v>
      </x:c>
      <x:c r="V509" s="14" t="n">
        <x:v>0.09181313231661563</x:v>
      </x:c>
      <x:c r="W509" s="14" t="n">
        <x:v>0.0065119053715927125</x:v>
      </x:c>
      <x:c r="X509" s="14" t="n">
        <x:v>0.33223329926924006</x:v>
      </x:c>
      <x:c r="Y509" s="16" t="n">
        <x:v>73.43358395989975</x:v>
      </x:c>
      <x:c r="Z509" s="16" t="n">
        <x:v>80.27777777777777</x:v>
      </x:c>
      <x:c r="AA509" s="16" t="n">
        <x:v>63.9344262295082</x:v>
      </x:c>
      <x:c r="AB509" s="16" t="n">
        <x:v>82.70676691729324</x:v>
      </x:c>
      <x:c r="AC509" s="16" t="n">
        <x:v>73.93483709273183</x:v>
      </x:c>
      <x:c r="AD509" s="16" t="n">
        <x:v>70</x:v>
      </x:c>
      <x:c r="AE509" s="16" t="n">
        <x:v>74.64697262281386</x:v>
      </x:c>
      <x:c r="AF509" t="str">
        <x:v>검토</x:v>
      </x:c>
      <x:c r="AG509" t="str">
        <x:v>경쟁여건·상권 모멘텀 강점 / 서울 업종추세 상대적 약점</x:v>
      </x:c>
    </x:row>
    <x:row r="510">
      <x:c r="A510" t="str">
        <x:v>3120081</x:v>
      </x:c>
      <x:c r="B510" t="str">
        <x:v>노원역</x:v>
      </x:c>
      <x:c r="C510" t="str">
        <x:v>발달상권</x:v>
      </x:c>
      <x:c r="D510" t="str">
        <x:v>노원구</x:v>
      </x:c>
      <x:c r="E510" t="str">
        <x:v>상계2동</x:v>
      </x:c>
      <x:c r="F510" t="str">
        <x:v>CS300011</x:v>
      </x:c>
      <x:c r="G510" t="str">
        <x:v>일반의류</x:v>
      </x:c>
      <x:c r="H510" t="n">
        <x:v>9480283522</x:v>
      </x:c>
      <x:c r="I510" t="n">
        <x:v>254524</x:v>
      </x:c>
      <x:c r="J510" t="n">
        <x:v>37247.11037858905</x:v>
      </x:c>
      <x:c r="K510" s="14" t="n">
        <x:v>0.48795941321610314</x:v>
      </x:c>
      <x:c r="L510" s="14" t="n">
        <x:v>0.06726691045630595</x:v>
      </x:c>
      <x:c r="M510" s="14" t="n">
        <x:v>0.00788849516466894</x:v>
      </x:c>
      <x:c r="N510" t="n">
        <x:v>342</x:v>
      </x:c>
      <x:c r="O510" t="n">
        <x:v>6</x:v>
      </x:c>
      <x:c r="P510" s="14" t="n">
        <x:v>0.01729106628242075</x:v>
      </x:c>
      <x:c r="Q510" s="14" t="n">
        <x:v>0.0029239766081871343</x:v>
      </x:c>
      <x:c r="R510" s="14" t="n">
        <x:v>-0.1471321695760599</x:v>
      </x:c>
      <x:c r="S510" t="n">
        <x:v>5934</x:v>
      </x:c>
      <x:c r="T510" t="n">
        <x:v>221.67184050386078</x:v>
      </x:c>
      <x:c r="U510" s="14" t="n">
        <x:v>0.6841480490481896</x:v>
      </x:c>
      <x:c r="V510" s="14" t="n">
        <x:v>0.34247707206915323</x:v>
      </x:c>
      <x:c r="W510" s="14" t="n">
        <x:v>0.28824635599331816</x:v>
      </x:c>
      <x:c r="X510" s="14" t="n">
        <x:v>0.7063657750804554</x:v>
      </x:c>
      <x:c r="Y510" s="16" t="n">
        <x:v>95.99528857479388</x:v>
      </x:c>
      <x:c r="Z510" s="16" t="n">
        <x:v>91.4560770156438</x:v>
      </x:c>
      <x:c r="AA510" s="16" t="n">
        <x:v>81.9672131147541</x:v>
      </x:c>
      <x:c r="AB510" s="16" t="n">
        <x:v>12.014134275618375</x:v>
      </x:c>
      <x:c r="AC510" s="16" t="n">
        <x:v>47.467608951707895</x:v>
      </x:c>
      <x:c r="AD510" s="16" t="n">
        <x:v>78.23170731707317</x:v>
      </x:c>
      <x:c r="AE510" s="16" t="n">
        <x:v>74.64511477388693</x:v>
      </x:c>
      <x:c r="AF510" t="str">
        <x:v>검토</x:v>
      </x:c>
      <x:c r="AG510" t="str">
        <x:v>수요·상권 모멘텀 강점 / 경쟁여건 상대적 약점</x:v>
      </x:c>
    </x:row>
    <x:row r="511">
      <x:c r="A511" t="str">
        <x:v>3110667</x:v>
      </x:c>
      <x:c r="B511" t="str">
        <x:v>가양역 10번</x:v>
      </x:c>
      <x:c r="C511" t="str">
        <x:v>골목상권</x:v>
      </x:c>
      <x:c r="D511" t="str">
        <x:v>강서구</x:v>
      </x:c>
      <x:c r="E511" t="str">
        <x:v>등촌3동</x:v>
      </x:c>
      <x:c r="F511" t="str">
        <x:v>CS200028</x:v>
      </x:c>
      <x:c r="G511" t="str">
        <x:v>미용실</x:v>
      </x:c>
      <x:c r="H511" t="n">
        <x:v>307732701</x:v>
      </x:c>
      <x:c r="I511" t="n">
        <x:v>4962</x:v>
      </x:c>
      <x:c r="J511" t="n">
        <x:v>62017.87605804111</x:v>
      </x:c>
      <x:c r="K511" s="14" t="n">
        <x:v>1.3735200718577452</x:v>
      </x:c>
      <x:c r="L511" s="14" t="n">
        <x:v>0.02168887159425803</x:v>
      </x:c>
      <x:c r="M511" s="14" t="n">
        <x:v>-0.013481964371473865</x:v>
      </x:c>
      <x:c r="N511" t="n">
        <x:v>53</x:v>
      </x:c>
      <x:c r="O511" t="n">
        <x:v>1</x:v>
      </x:c>
      <x:c r="P511" s="14" t="n">
        <x:v>0.017241379310344827</x:v>
      </x:c>
      <x:c r="Q511" s="14" t="n">
        <x:v>0.11320754716981132</x:v>
      </x:c>
      <x:c r="R511" s="14" t="n">
        <x:v>0.03921568627450989</x:v>
      </x:c>
      <x:c r="S511" t="n">
        <x:v>580</x:v>
      </x:c>
      <x:c r="T511" t="n">
        <x:v>197.66887056097062</x:v>
      </x:c>
      <x:c r="U511" s="14" t="n">
        <x:v>0.5543548295181018</x:v>
      </x:c>
      <x:c r="V511" s="14" t="n">
        <x:v>0.35624787565231814</x:v>
      </x:c>
      <x:c r="W511" s="14" t="n">
        <x:v>0.43877873414564417</x:v>
      </x:c>
      <x:c r="X511" s="14" t="n">
        <x:v>0.6145072538131071</x:v>
      </x:c>
      <x:c r="Y511" s="16" t="n">
        <x:v>86.83974932855864</x:v>
      </x:c>
      <x:c r="Z511" s="16" t="n">
        <x:v>99.91007194244604</x:v>
      </x:c>
      <x:c r="AA511" s="16" t="n">
        <x:v>57.377049180327866</x:v>
      </x:c>
      <x:c r="AB511" s="16" t="n">
        <x:v>56.80393912264996</x:v>
      </x:c>
      <x:c r="AC511" s="16" t="n">
        <x:v>33.39301700984781</x:v>
      </x:c>
      <x:c r="AD511" s="16" t="n">
        <x:v>75.73170731707317</x:v>
      </x:c>
      <x:c r="AE511" s="16" t="n">
        <x:v>74.62896196576983</x:v>
      </x:c>
      <x:c r="AF511" t="str">
        <x:v>검토</x:v>
      </x:c>
      <x:c r="AG511" t="str">
        <x:v>상권 모멘텀·수요 강점 / 안정성 상대적 약점</x:v>
      </x:c>
    </x:row>
    <x:row r="512">
      <x:c r="A512" t="str">
        <x:v>3111042</x:v>
      </x:c>
      <x:c r="B512" t="str">
        <x:v>거여역 1번(거여공원)</x:v>
      </x:c>
      <x:c r="C512" t="str">
        <x:v>골목상권</x:v>
      </x:c>
      <x:c r="D512" t="str">
        <x:v>송파구</x:v>
      </x:c>
      <x:c r="E512" t="str">
        <x:v>거여1동</x:v>
      </x:c>
      <x:c r="F512" t="str">
        <x:v>CS200006</x:v>
      </x:c>
      <x:c r="G512" t="str">
        <x:v>일반의원</x:v>
      </x:c>
      <x:c r="H512" t="n">
        <x:v>1302000000</x:v>
      </x:c>
      <x:c r="I512" t="n">
        <x:v>17672</x:v>
      </x:c>
      <x:c r="J512" t="n">
        <x:v>73675.87143503848</x:v>
      </x:c>
      <x:c r="K512" s="14" t="n">
        <x:v>1.7289213986673597</x:v>
      </x:c>
      <x:c r="L512" s="14" t="n">
        <x:v>0.09973642051122278</x:v>
      </x:c>
      <x:c r="M512" s="14" t="n">
        <x:v>0.06942273842247415</x:v>
      </x:c>
      <x:c r="N512" t="n">
        <x:v>6</x:v>
      </x:c>
      <x:c r="O512" t="n">
        <x:v>0</x:v>
      </x:c>
      <x:c r="P512" s="14" t="n">
        <x:v>0</x:v>
      </x:c>
      <x:c r="Q512" s="14" t="n">
        <x:v>0</x:v>
      </x:c>
      <x:c r="R512" s="14" t="n">
        <x:v>0</x:v>
      </x:c>
      <x:c r="S512" t="n">
        <x:v>1845</x:v>
      </x:c>
      <x:c r="T512" t="n">
        <x:v>126.05472619820313</x:v>
      </x:c>
      <x:c r="U512" s="14" t="n">
        <x:v>0.843726400921659</x:v>
      </x:c>
      <x:c r="V512" s="14" t="n">
        <x:v>0.3142502380952381</x:v>
      </x:c>
      <x:c r="W512" s="14" t="n">
        <x:v>0.33612164900153607</x:v>
      </x:c>
      <x:c r="X512" s="14" t="n">
        <x:v>0.40513245929339475</x:v>
      </x:c>
      <x:c r="Y512" s="16" t="n">
        <x:v>48.74274661508704</x:v>
      </x:c>
      <x:c r="Z512" s="16" t="n">
        <x:v>99.8062015503876</x:v>
      </x:c>
      <x:c r="AA512" s="16" t="n">
        <x:v>90.1639344262295</x:v>
      </x:c>
      <x:c r="AB512" s="16" t="n">
        <x:v>97.09302325581396</x:v>
      </x:c>
      <x:c r="AC512" s="16" t="n">
        <x:v>62.5</x:v>
      </x:c>
      <x:c r="AD512" s="16" t="n">
        <x:v>65.2439024390244</x:v>
      </x:c>
      <x:c r="AE512" s="16" t="n">
        <x:v>74.62194039961572</x:v>
      </x:c>
      <x:c r="AF512" t="str">
        <x:v>검토</x:v>
      </x:c>
      <x:c r="AG512" t="str">
        <x:v>상권 모멘텀·경쟁여건 강점 / 수요 상대적 약점</x:v>
      </x:c>
    </x:row>
    <x:row r="513">
      <x:c r="A513" t="str">
        <x:v>3120144</x:v>
      </x:c>
      <x:c r="B513" t="str">
        <x:v>영중로</x:v>
      </x:c>
      <x:c r="C513" t="str">
        <x:v>발달상권</x:v>
      </x:c>
      <x:c r="D513" t="str">
        <x:v>영등포구</x:v>
      </x:c>
      <x:c r="E513" t="str">
        <x:v>영등포동</x:v>
      </x:c>
      <x:c r="F513" t="str">
        <x:v>CS200024</x:v>
      </x:c>
      <x:c r="G513" t="str">
        <x:v>스포츠클럽</x:v>
      </x:c>
      <x:c r="H513" t="n">
        <x:v>410751214</x:v>
      </x:c>
      <x:c r="I513" t="n">
        <x:v>1173</x:v>
      </x:c>
      <x:c r="J513" t="n">
        <x:v>350171.5379369139</x:v>
      </x:c>
      <x:c r="K513" s="14" t="n">
        <x:v>1.0594170478945366</x:v>
      </x:c>
      <x:c r="L513" s="14" t="n">
        <x:v>0.03927856170757105</x:v>
      </x:c>
      <x:c r="M513" s="14" t="n">
        <x:v>-0.042593628048716026</x:v>
      </x:c>
      <x:c r="N513" t="n">
        <x:v>32</x:v>
      </x:c>
      <x:c r="O513" t="n">
        <x:v>0</x:v>
      </x:c>
      <x:c r="P513" s="14" t="n">
        <x:v>0</x:v>
      </x:c>
      <x:c r="Q513" s="14" t="n">
        <x:v>0</x:v>
      </x:c>
      <x:c r="R513" s="14" t="n">
        <x:v>2.5555555555555554</x:v>
      </x:c>
      <x:c r="S513" t="n">
        <x:v>2392</x:v>
      </x:c>
      <x:c r="T513" t="n">
        <x:v>258.0004961548003</x:v>
      </x:c>
      <x:c r="U513" s="14" t="n">
        <x:v>0.8334408793737612</x:v>
      </x:c>
      <x:c r="V513" s="14" t="n">
        <x:v>0.5472999600191079</x:v>
      </x:c>
      <x:c r="W513" s="14" t="n">
        <x:v>0.6646913111740675</x:v>
      </x:c>
      <x:c r="X513" s="14" t="n">
        <x:v>0.6143804166577582</x:v>
      </x:c>
      <x:c r="Y513" s="16" t="n">
        <x:v>82.6086956521739</x:v>
      </x:c>
      <x:c r="Z513" s="16" t="n">
        <x:v>95.98214285714286</x:v>
      </x:c>
      <x:c r="AA513" s="16" t="n">
        <x:v>75.40983606557377</x:v>
      </x:c>
      <x:c r="AB513" s="16" t="n">
        <x:v>28.26086956521739</x:v>
      </x:c>
      <x:c r="AC513" s="16" t="n">
        <x:v>68.84057971014492</x:v>
      </x:c>
      <x:c r="AD513" s="16" t="n">
        <x:v>81.34146341463415</x:v>
      </x:c>
      <x:c r="AE513" s="16" t="n">
        <x:v>74.6112090360543</x:v>
      </x:c>
      <x:c r="AF513" t="str">
        <x:v>검토</x:v>
      </x:c>
      <x:c r="AG513" t="str">
        <x:v>상권 모멘텀·수요 강점 / 경쟁여건 상대적 약점</x:v>
      </x:c>
    </x:row>
    <x:row r="514">
      <x:c r="A514" t="str">
        <x:v>3130245</x:v>
      </x:c>
      <x:c r="B514" t="str">
        <x:v>영일시장</x:v>
      </x:c>
      <x:c r="C514" t="str">
        <x:v>전통시장</x:v>
      </x:c>
      <x:c r="D514" t="str">
        <x:v>영등포구</x:v>
      </x:c>
      <x:c r="E514" t="str">
        <x:v>문래동</x:v>
      </x:c>
      <x:c r="F514" t="str">
        <x:v>CS300010</x:v>
      </x:c>
      <x:c r="G514" t="str">
        <x:v>반찬가게</x:v>
      </x:c>
      <x:c r="H514" t="n">
        <x:v>5007972365</x:v>
      </x:c>
      <x:c r="I514" t="n">
        <x:v>16647</x:v>
      </x:c>
      <x:c r="J514" t="n">
        <x:v>300833.32522376406</x:v>
      </x:c>
      <x:c r="K514" s="14" t="n">
        <x:v>0.28691446096701445</x:v>
      </x:c>
      <x:c r="L514" s="14" t="n">
        <x:v>0.02346021551670452</x:v>
      </x:c>
      <x:c r="M514" s="14" t="n">
        <x:v>0.024589273784872745</x:v>
      </x:c>
      <x:c r="N514" t="n">
        <x:v>61</x:v>
      </x:c>
      <x:c r="O514" t="n">
        <x:v>0</x:v>
      </x:c>
      <x:c r="P514" s="14" t="n">
        <x:v>0</x:v>
      </x:c>
      <x:c r="Q514" s="14" t="n">
        <x:v>0.06557377049180328</x:v>
      </x:c>
      <x:c r="R514" s="14" t="n">
        <x:v>0.07017543859649122</x:v>
      </x:c>
      <x:c r="S514" t="n">
        <x:v>4794</x:v>
      </x:c>
      <x:c r="T514" t="n">
        <x:v>791.07605485058</x:v>
      </x:c>
      <x:c r="U514" s="14" t="n">
        <x:v>1</x:v>
      </x:c>
      <x:c r="V514" s="14" t="n">
        <x:v>0.07664483328274117</x:v>
      </x:c>
      <x:c r="W514" s="14" t="n">
        <x:v>0</x:v>
      </x:c>
      <x:c r="X514" s="14" t="n">
        <x:v>0.6955201033742127</x:v>
      </x:c>
      <x:c r="Y514" s="16" t="n">
        <x:v>93.23308270676692</x:v>
      </x:c>
      <x:c r="Z514" s="16" t="n">
        <x:v>89.72222222222223</x:v>
      </x:c>
      <x:c r="AA514" s="16" t="n">
        <x:v>63.9344262295082</x:v>
      </x:c>
      <x:c r="AB514" s="16" t="n">
        <x:v>15.41353383458646</x:v>
      </x:c>
      <x:c r="AC514" s="16" t="n">
        <x:v>73.93483709273183</x:v>
      </x:c>
      <x:c r="AD514" s="16" t="n">
        <x:v>94.7560975609756</x:v>
      </x:c>
      <x:c r="AE514" s="16" t="n">
        <x:v>74.60950598874902</x:v>
      </x:c>
      <x:c r="AF514" t="str">
        <x:v>검토</x:v>
      </x:c>
      <x:c r="AG514" t="str">
        <x:v>직장수요·수요 강점 / 경쟁여건 상대적 약점</x:v>
      </x:c>
    </x:row>
    <x:row r="515">
      <x:c r="A515" t="str">
        <x:v>3110128</x:v>
      </x:c>
      <x:c r="B515" t="str">
        <x:v>성원중학교</x:v>
      </x:c>
      <x:c r="C515" t="str">
        <x:v>골목상권</x:v>
      </x:c>
      <x:c r="D515" t="str">
        <x:v>성동구</x:v>
      </x:c>
      <x:c r="E515" t="str">
        <x:v>성수1가1동</x:v>
      </x:c>
      <x:c r="F515" t="str">
        <x:v>CS200003</x:v>
      </x:c>
      <x:c r="G515" t="str">
        <x:v>예술학원</x:v>
      </x:c>
      <x:c r="H515" t="n">
        <x:v>200256466</x:v>
      </x:c>
      <x:c r="I515" t="n">
        <x:v>1044</x:v>
      </x:c>
      <x:c r="J515" t="n">
        <x:v>191816.53831417626</x:v>
      </x:c>
      <x:c r="K515" s="14" t="n">
        <x:v>0.08279095681196336</x:v>
      </x:c>
      <x:c r="L515" s="14" t="n">
        <x:v>0.09364146198394163</x:v>
      </x:c>
      <x:c r="M515" s="14" t="n">
        <x:v>0.053788091189524545</x:v>
      </x:c>
      <x:c r="N515" t="n">
        <x:v>17</x:v>
      </x:c>
      <x:c r="O515" t="n">
        <x:v>0</x:v>
      </x:c>
      <x:c r="P515" s="14" t="n">
        <x:v>0</x:v>
      </x:c>
      <x:c r="Q515" s="14" t="n">
        <x:v>0</x:v>
      </x:c>
      <x:c r="R515" s="14" t="n">
        <x:v>0.3076923076923077</x:v>
      </x:c>
      <x:c r="S515" t="n">
        <x:v>1406</x:v>
      </x:c>
      <x:c r="T515" t="n">
        <x:v>56.84482898035093</x:v>
      </x:c>
      <x:c r="U515" s="14" t="n">
        <x:v>0.8569451135725126</x:v>
      </x:c>
      <x:c r="V515" s="14" t="n">
        <x:v>0.30540795621550615</x:v>
      </x:c>
      <x:c r="W515" s="14" t="n">
        <x:v>0.14874457037507094</x:v>
      </x:c>
      <x:c r="X515" s="14" t="n">
        <x:v>0.7833721533865479</x:v>
      </x:c>
      <x:c r="Y515" s="16" t="n">
        <x:v>77.09163346613546</x:v>
      </x:c>
      <x:c r="Z515" s="16" t="n">
        <x:v>63.80368098159509</x:v>
      </x:c>
      <x:c r="AA515" s="16" t="n">
        <x:v>88.52459016393442</x:v>
      </x:c>
      <x:c r="AB515" s="16" t="n">
        <x:v>81.57370517928287</x:v>
      </x:c>
      <x:c r="AC515" s="16" t="n">
        <x:v>73.20717131474103</x:v>
      </x:c>
      <x:c r="AD515" s="16" t="n">
        <x:v>40.548780487804876</x:v>
      </x:c>
      <x:c r="AE515" s="16" t="n">
        <x:v>74.60570836681336</x:v>
      </x:c>
      <x:c r="AF515" t="str">
        <x:v>검토</x:v>
      </x:c>
      <x:c r="AG515" t="str">
        <x:v>서울 업종추세·경쟁여건 강점 / 직장수요 상대적 약점</x:v>
      </x:c>
    </x:row>
    <x:row r="516">
      <x:c r="A516" t="str">
        <x:v>3120224</x:v>
      </x:c>
      <x:c r="B516" t="str">
        <x:v>수서역</x:v>
      </x:c>
      <x:c r="C516" t="str">
        <x:v>발달상권</x:v>
      </x:c>
      <x:c r="D516" t="str">
        <x:v>강남구</x:v>
      </x:c>
      <x:c r="E516" t="str">
        <x:v>수서동</x:v>
      </x:c>
      <x:c r="F516" t="str">
        <x:v>CS300011</x:v>
      </x:c>
      <x:c r="G516" t="str">
        <x:v>일반의류</x:v>
      </x:c>
      <x:c r="H516" t="n">
        <x:v>347650516</x:v>
      </x:c>
      <x:c r="I516" t="n">
        <x:v>2937</x:v>
      </x:c>
      <x:c r="J516" t="n">
        <x:v>118369.25978890024</x:v>
      </x:c>
      <x:c r="K516" s="14" t="n">
        <x:v>0.08718388997564963</x:v>
      </x:c>
      <x:c r="L516" s="14" t="n">
        <x:v>0.06726691045630595</x:v>
      </x:c>
      <x:c r="M516" s="14" t="n">
        <x:v>0.00788849516466894</x:v>
      </x:c>
      <x:c r="N516" t="n">
        <x:v>23</x:v>
      </x:c>
      <x:c r="O516" t="n">
        <x:v>0</x:v>
      </x:c>
      <x:c r="P516" s="14" t="n">
        <x:v>0</x:v>
      </x:c>
      <x:c r="Q516" s="14" t="n">
        <x:v>0</x:v>
      </x:c>
      <x:c r="R516" s="14" t="n">
        <x:v>0.1499999999999999</x:v>
      </x:c>
      <x:c r="S516" t="n">
        <x:v>19403</x:v>
      </x:c>
      <x:c r="T516" t="n">
        <x:v>3224.0001329279035</x:v>
      </x:c>
      <x:c r="U516" s="14" t="n">
        <x:v>0.8988852730481781</x:v>
      </x:c>
      <x:c r="V516" s="14" t="n">
        <x:v>0.21899765280371394</x:v>
      </x:c>
      <x:c r="W516" s="14" t="n">
        <x:v>0.04358627214003617</x:v>
      </x:c>
      <x:c r="X516" s="14" t="n">
        <x:v>0.938102335507536</x:v>
      </x:c>
      <x:c r="Y516" s="16" t="n">
        <x:v>69.14016489988221</x:v>
      </x:c>
      <x:c r="Z516" s="16" t="n">
        <x:v>54.753309265944644</x:v>
      </x:c>
      <x:c r="AA516" s="16" t="n">
        <x:v>81.9672131147541</x:v>
      </x:c>
      <x:c r="AB516" s="16" t="n">
        <x:v>90.22379269729093</x:v>
      </x:c>
      <x:c r="AC516" s="16" t="n">
        <x:v>86.33686690223793</x:v>
      </x:c>
      <x:c r="AD516" s="16" t="n">
        <x:v>99.63414634146342</x:v>
      </x:c>
      <x:c r="AE516" s="16" t="n">
        <x:v>74.59376444725143</x:v>
      </x:c>
      <x:c r="AF516" t="str">
        <x:v>검토</x:v>
      </x:c>
      <x:c r="AG516" t="str">
        <x:v>직장수요·경쟁여건 강점 / 상권 모멘텀 상대적 약점</x:v>
      </x:c>
    </x:row>
    <x:row r="517">
      <x:c r="A517" t="str">
        <x:v>3120047</x:v>
      </x:c>
      <x:c r="B517" t="str">
        <x:v>한남오거리</x:v>
      </x:c>
      <x:c r="C517" t="str">
        <x:v>발달상권</x:v>
      </x:c>
      <x:c r="D517" t="str">
        <x:v>용산구</x:v>
      </x:c>
      <x:c r="E517" t="str">
        <x:v>한남동</x:v>
      </x:c>
      <x:c r="F517" t="str">
        <x:v>CS200030</x:v>
      </x:c>
      <x:c r="G517" t="str">
        <x:v>피부관리실</x:v>
      </x:c>
      <x:c r="H517" t="n">
        <x:v>761445037</x:v>
      </x:c>
      <x:c r="I517" t="n">
        <x:v>2681</x:v>
      </x:c>
      <x:c r="J517" t="n">
        <x:v>284015.30660201417</x:v>
      </x:c>
      <x:c r="K517" s="14" t="n">
        <x:v>0.17120963058642924</x:v>
      </x:c>
      <x:c r="L517" s="14" t="n">
        <x:v>0.11857168683779085</x:v>
      </x:c>
      <x:c r="M517" s="14" t="n">
        <x:v>0.0314283578178467</x:v>
      </x:c>
      <x:c r="N517" t="n">
        <x:v>46</x:v>
      </x:c>
      <x:c r="O517" t="n">
        <x:v>1</x:v>
      </x:c>
      <x:c r="P517" s="14" t="n">
        <x:v>0.0196078431372549</x:v>
      </x:c>
      <x:c r="Q517" s="14" t="n">
        <x:v>0.06521739130434782</x:v>
      </x:c>
      <x:c r="R517" s="14" t="n">
        <x:v>1</x:v>
      </x:c>
      <x:c r="S517" t="n">
        <x:v>13257</x:v>
      </x:c>
      <x:c r="T517" t="n">
        <x:v>848.6652583061264</x:v>
      </x:c>
      <x:c r="U517" s="14" t="n">
        <x:v>0.6142413927113166</x:v>
      </x:c>
      <x:c r="V517" s="14" t="n">
        <x:v>0.528733192071485</x:v>
      </x:c>
      <x:c r="W517" s="14" t="n">
        <x:v>0.19955292584039785</x:v>
      </x:c>
      <x:c r="X517" s="14" t="n">
        <x:v>0.7163039254269905</x:v>
      </x:c>
      <x:c r="Y517" s="16" t="n">
        <x:v>96.02977667493796</x:v>
      </x:c>
      <x:c r="Z517" s="16" t="n">
        <x:v>68.96551724137932</x:v>
      </x:c>
      <x:c r="AA517" s="16" t="n">
        <x:v>91.80327868852459</x:v>
      </x:c>
      <x:c r="AB517" s="16" t="n">
        <x:v>28.535980148883368</x:v>
      </x:c>
      <x:c r="AC517" s="16" t="n">
        <x:v>43.424317617866</x:v>
      </x:c>
      <x:c r="AD517" s="16" t="n">
        <x:v>95.79268292682927</x:v>
      </x:c>
      <x:c r="AE517" s="16" t="n">
        <x:v>74.5864800182434</x:v>
      </x:c>
      <x:c r="AF517" t="str">
        <x:v>검토</x:v>
      </x:c>
      <x:c r="AG517" t="str">
        <x:v>수요·직장수요 강점 / 경쟁여건 상대적 약점</x:v>
      </x:c>
    </x:row>
    <x:row r="518">
      <x:c r="A518" t="str">
        <x:v>3120094</x:v>
      </x:c>
      <x:c r="B518" t="str">
        <x:v>신촌역(신촌역, 신촌로터리)</x:v>
      </x:c>
      <x:c r="C518" t="str">
        <x:v>발달상권</x:v>
      </x:c>
      <x:c r="D518" t="str">
        <x:v>서대문구</x:v>
      </x:c>
      <x:c r="E518" t="str">
        <x:v>신촌동</x:v>
      </x:c>
      <x:c r="F518" t="str">
        <x:v>CS300035</x:v>
      </x:c>
      <x:c r="G518" t="str">
        <x:v>인테리어</x:v>
      </x:c>
      <x:c r="H518" t="n">
        <x:v>188122090</x:v>
      </x:c>
      <x:c r="I518" t="n">
        <x:v>1728</x:v>
      </x:c>
      <x:c r="J518" t="n">
        <x:v>108866.95023148147</x:v>
      </x:c>
      <x:c r="K518" s="14"/>
      <x:c r="L518" s="14" t="n">
        <x:v>0.20213561276420866</x:v>
      </x:c>
      <x:c r="M518" s="14" t="n">
        <x:v>0.044160820891303576</x:v>
      </x:c>
      <x:c r="N518" t="n">
        <x:v>6</x:v>
      </x:c>
      <x:c r="O518" t="n">
        <x:v>0</x:v>
      </x:c>
      <x:c r="P518" s="14" t="n">
        <x:v>0</x:v>
      </x:c>
      <x:c r="Q518" s="14" t="n">
        <x:v>0</x:v>
      </x:c>
      <x:c r="R518" s="14" t="n">
        <x:v>0</x:v>
      </x:c>
      <x:c r="S518" t="n">
        <x:v>2782</x:v>
      </x:c>
      <x:c r="T518" t="n">
        <x:v>80.91231397002579</x:v>
      </x:c>
      <x:c r="U518" s="14" t="n">
        <x:v>0.8828434555452791</x:v>
      </x:c>
      <x:c r="V518" s="14" t="n">
        <x:v>0</x:v>
      </x:c>
      <x:c r="W518" s="14" t="n">
        <x:v>0.05001374373418879</x:v>
      </x:c>
      <x:c r="X518" s="14" t="n">
        <x:v>0.9346267734958718</x:v>
      </x:c>
      <x:c r="Y518" s="16" t="n">
        <x:v>78.26086956521739</x:v>
      </x:c>
      <x:c r="Z518" s="16" t="n">
        <x:v>50</x:v>
      </x:c>
      <x:c r="AA518" s="16" t="n">
        <x:v>98.36065573770492</x:v>
      </x:c>
      <x:c r="AB518" s="16" t="n">
        <x:v>91.57608695652173</x:v>
      </x:c>
      <x:c r="AC518" s="16" t="n">
        <x:v>60.32608695652174</x:v>
      </x:c>
      <x:c r="AD518" s="16" t="n">
        <x:v>52.74390243902439</x:v>
      </x:c>
      <x:c r="AE518" s="16" t="n">
        <x:v>74.55161956956348</x:v>
      </x:c>
      <x:c r="AF518" t="str">
        <x:v>검토</x:v>
      </x:c>
      <x:c r="AG518" t="str">
        <x:v>서울 업종추세·경쟁여건 강점 / 상권 모멘텀 상대적 약점</x:v>
      </x:c>
    </x:row>
    <x:row r="519">
      <x:c r="A519" t="str">
        <x:v>3120225</x:v>
      </x:c>
      <x:c r="B519" t="str">
        <x:v>잠실새내역(신천)</x:v>
      </x:c>
      <x:c r="C519" t="str">
        <x:v>발달상권</x:v>
      </x:c>
      <x:c r="D519" t="str">
        <x:v>송파구</x:v>
      </x:c>
      <x:c r="E519" t="str">
        <x:v>잠실본동</x:v>
      </x:c>
      <x:c r="F519" t="str">
        <x:v>CS100003</x:v>
      </x:c>
      <x:c r="G519" t="str">
        <x:v>일식음식점</x:v>
      </x:c>
      <x:c r="H519" t="n">
        <x:v>3974347284</x:v>
      </x:c>
      <x:c r="I519" t="n">
        <x:v>101493</x:v>
      </x:c>
      <x:c r="J519" t="n">
        <x:v>39158.83148591528</x:v>
      </x:c>
      <x:c r="K519" s="14" t="n">
        <x:v>0.13688211857445487</x:v>
      </x:c>
      <x:c r="L519" s="14" t="n">
        <x:v>0.048235937606500245</x:v>
      </x:c>
      <x:c r="M519" s="14" t="n">
        <x:v>-0.004288267098710441</x:v>
      </x:c>
      <x:c r="N519" t="n">
        <x:v>53</x:v>
      </x:c>
      <x:c r="O519" t="n">
        <x:v>2</x:v>
      </x:c>
      <x:c r="P519" s="14" t="n">
        <x:v>0.034482758620689655</x:v>
      </x:c>
      <x:c r="Q519" s="14" t="n">
        <x:v>0.20754716981132076</x:v>
      </x:c>
      <x:c r="R519" s="14" t="n">
        <x:v>0.06000000000000005</x:v>
      </x:c>
      <x:c r="S519" t="n">
        <x:v>12478</x:v>
      </x:c>
      <x:c r="T519" t="n">
        <x:v>524.1821993135809</x:v>
      </x:c>
      <x:c r="U519" s="14" t="n">
        <x:v>0.6801444249430116</x:v>
      </x:c>
      <x:c r="V519" s="14" t="n">
        <x:v>0.6509349679669312</x:v>
      </x:c>
      <x:c r="W519" s="14" t="n">
        <x:v>0.4183760474818134</x:v>
      </x:c>
      <x:c r="X519" s="14" t="n">
        <x:v>0.39719036138463437</x:v>
      </x:c>
      <x:c r="Y519" s="16" t="n">
        <x:v>95.83333333333333</x:v>
      </x:c>
      <x:c r="Z519" s="16" t="n">
        <x:v>82.71604938271605</x:v>
      </x:c>
      <x:c r="AA519" s="16" t="n">
        <x:v>78.68852459016394</x:v>
      </x:c>
      <x:c r="AB519" s="16" t="n">
        <x:v>28.42261904761905</x:v>
      </x:c>
      <x:c r="AC519" s="16" t="n">
        <x:v>38.69047619047619</x:v>
      </x:c>
      <x:c r="AD519" s="16" t="n">
        <x:v>90.48780487804878</x:v>
      </x:c>
      <x:c r="AE519" s="16" t="n">
        <x:v>74.54498595182739</x:v>
      </x:c>
      <x:c r="AF519" t="str">
        <x:v>검토</x:v>
      </x:c>
      <x:c r="AG519" t="str">
        <x:v>수요·직장수요 강점 / 경쟁여건 상대적 약점</x:v>
      </x:c>
    </x:row>
    <x:row r="520">
      <x:c r="A520" t="str">
        <x:v>3120083</x:v>
      </x:c>
      <x:c r="B520" t="str">
        <x:v>등나무근린공원</x:v>
      </x:c>
      <x:c r="C520" t="str">
        <x:v>발달상권</x:v>
      </x:c>
      <x:c r="D520" t="str">
        <x:v>노원구</x:v>
      </x:c>
      <x:c r="E520" t="str">
        <x:v>중계2·3동</x:v>
      </x:c>
      <x:c r="F520" t="str">
        <x:v>CS200024</x:v>
      </x:c>
      <x:c r="G520" t="str">
        <x:v>스포츠클럽</x:v>
      </x:c>
      <x:c r="H520" t="n">
        <x:v>777092392</x:v>
      </x:c>
      <x:c r="I520" t="n">
        <x:v>2312</x:v>
      </x:c>
      <x:c r="J520" t="n">
        <x:v>336112.62629757787</x:v>
      </x:c>
      <x:c r="K520" s="14" t="n">
        <x:v>-0.07243485009604478</x:v>
      </x:c>
      <x:c r="L520" s="14" t="n">
        <x:v>0.03927856170757105</x:v>
      </x:c>
      <x:c r="M520" s="14" t="n">
        <x:v>-0.042593628048716026</x:v>
      </x:c>
      <x:c r="N520" t="n">
        <x:v>7</x:v>
      </x:c>
      <x:c r="O520" t="n">
        <x:v>0</x:v>
      </x:c>
      <x:c r="P520" s="14" t="n">
        <x:v>0</x:v>
      </x:c>
      <x:c r="Q520" s="14" t="n">
        <x:v>0</x:v>
      </x:c>
      <x:c r="R520" s="14" t="n">
        <x:v>0.3999999999999999</x:v>
      </x:c>
      <x:c r="S520" t="n">
        <x:v>1099</x:v>
      </x:c>
      <x:c r="T520" t="n">
        <x:v>87.34700365601653</x:v>
      </x:c>
      <x:c r="U520" s="14" t="n">
        <x:v>0.8383339841010823</x:v>
      </x:c>
      <x:c r="V520" s="14" t="n">
        <x:v>0.5977821965344888</x:v>
      </x:c>
      <x:c r="W520" s="14" t="n">
        <x:v>0.32758358287980766</x:v>
      </x:c>
      <x:c r="X520" s="14" t="n">
        <x:v>0.6292345273662131</x:v>
      </x:c>
      <x:c r="Y520" s="16" t="n">
        <x:v>93.1159420289855</x:v>
      </x:c>
      <x:c r="Z520" s="16" t="n">
        <x:v>37.05357142857143</x:v>
      </x:c>
      <x:c r="AA520" s="16" t="n">
        <x:v>75.40983606557377</x:v>
      </x:c>
      <x:c r="AB520" s="16" t="n">
        <x:v>90.39855072463769</x:v>
      </x:c>
      <x:c r="AC520" s="16" t="n">
        <x:v>68.84057971014492</x:v>
      </x:c>
      <x:c r="AD520" s="16" t="n">
        <x:v>55.24390243902439</x:v>
      </x:c>
      <x:c r="AE520" s="16" t="n">
        <x:v>74.51880510735664</x:v>
      </x:c>
      <x:c r="AF520" t="str">
        <x:v>검토</x:v>
      </x:c>
      <x:c r="AG520" t="str">
        <x:v>수요·경쟁여건 강점 / 상권 모멘텀 상대적 약점</x:v>
      </x:c>
    </x:row>
    <x:row r="521">
      <x:c r="A521" t="str">
        <x:v>3110224</x:v>
      </x:c>
      <x:c r="B521" t="str">
        <x:v>외대앞역 2번</x:v>
      </x:c>
      <x:c r="C521" t="str">
        <x:v>골목상권</x:v>
      </x:c>
      <x:c r="D521" t="str">
        <x:v>동대문구</x:v>
      </x:c>
      <x:c r="E521" t="str">
        <x:v>휘경1동</x:v>
      </x:c>
      <x:c r="F521" t="str">
        <x:v>CS300007</x:v>
      </x:c>
      <x:c r="G521" t="str">
        <x:v>육류판매</x:v>
      </x:c>
      <x:c r="H521" t="n">
        <x:v>1434863402</x:v>
      </x:c>
      <x:c r="I521" t="n">
        <x:v>51831</x:v>
      </x:c>
      <x:c r="J521" t="n">
        <x:v>27683.498331114584</x:v>
      </x:c>
      <x:c r="K521" s="14" t="n">
        <x:v>0.03091142856250184</x:v>
      </x:c>
      <x:c r="L521" s="14" t="n">
        <x:v>0.23518223683931017</x:v>
      </x:c>
      <x:c r="M521" s="14" t="n">
        <x:v>0.00863079289162072</x:v>
      </x:c>
      <x:c r="N521" t="n">
        <x:v>5</x:v>
      </x:c>
      <x:c r="O521" t="n">
        <x:v>0</x:v>
      </x:c>
      <x:c r="P521" s="14" t="n">
        <x:v>0</x:v>
      </x:c>
      <x:c r="Q521" s="14" t="n">
        <x:v>0</x:v>
      </x:c>
      <x:c r="R521" s="14" t="n">
        <x:v>-0.4444444444444444</x:v>
      </x:c>
      <x:c r="S521" t="n">
        <x:v>61</x:v>
      </x:c>
      <x:c r="T521" t="n">
        <x:v>13.327507100720997</x:v>
      </x:c>
      <x:c r="U521" s="14" t="n">
        <x:v>0.7056898500502699</x:v>
      </x:c>
      <x:c r="V521" s="14" t="n">
        <x:v>0.39865556205746755</x:v>
      </x:c>
      <x:c r="W521" s="14" t="n">
        <x:v>0.2008972900125583</x:v>
      </x:c>
      <x:c r="X521" s="14" t="n">
        <x:v>0.534692845974477</x:v>
      </x:c>
      <x:c r="Y521" s="16" t="n">
        <x:v>79.95049504950495</x:v>
      </x:c>
      <x:c r="Z521" s="16" t="n">
        <x:v>49.61038961038961</x:v>
      </x:c>
      <x:c r="AA521" s="16" t="n">
        <x:v>100</x:v>
      </x:c>
      <x:c r="AB521" s="16" t="n">
        <x:v>97.27722772277228</x:v>
      </x:c>
      <x:c r="AC521" s="16" t="n">
        <x:v>66.83168316831683</x:v>
      </x:c>
      <x:c r="AD521" s="16" t="n">
        <x:v>6.524390243902439</x:v>
      </x:c>
      <x:c r="AE521" s="16" t="n">
        <x:v>74.5057231768473</x:v>
      </x:c>
      <x:c r="AF521" t="str">
        <x:v>검토</x:v>
      </x:c>
      <x:c r="AG521" t="str">
        <x:v>서울 업종추세·경쟁여건 강점 / 직장수요 상대적 약점</x:v>
      </x:c>
    </x:row>
    <x:row r="522">
      <x:c r="A522" t="str">
        <x:v>3120178</x:v>
      </x:c>
      <x:c r="B522" t="str">
        <x:v>신사역</x:v>
      </x:c>
      <x:c r="C522" t="str">
        <x:v>발달상권</x:v>
      </x:c>
      <x:c r="D522" t="str">
        <x:v>서초구</x:v>
      </x:c>
      <x:c r="E522" t="str">
        <x:v>잠원동</x:v>
      </x:c>
      <x:c r="F522" t="str">
        <x:v>CS300003</x:v>
      </x:c>
      <x:c r="G522" t="str">
        <x:v>컴퓨터및주변장치판매</x:v>
      </x:c>
      <x:c r="H522" t="n">
        <x:v>4491221094</x:v>
      </x:c>
      <x:c r="I522" t="n">
        <x:v>3898</x:v>
      </x:c>
      <x:c r="J522" t="n">
        <x:v>1152186.01693176</x:v>
      </x:c>
      <x:c r="K522" s="14" t="n">
        <x:v>0.41851279227598503</x:v>
      </x:c>
      <x:c r="L522" s="14" t="n">
        <x:v>-0.0032738070361170157</x:v>
      </x:c>
      <x:c r="M522" s="14" t="n">
        <x:v>-0.118230834961212</x:v>
      </x:c>
      <x:c r="N522" t="n">
        <x:v>24</x:v>
      </x:c>
      <x:c r="O522" t="n">
        <x:v>0</x:v>
      </x:c>
      <x:c r="P522" s="14" t="n">
        <x:v>0</x:v>
      </x:c>
      <x:c r="Q522" s="14" t="n">
        <x:v>0</x:v>
      </x:c>
      <x:c r="R522" s="14" t="n">
        <x:v>0.19999999999999996</x:v>
      </x:c>
      <x:c r="S522" t="n">
        <x:v>19438</x:v>
      </x:c>
      <x:c r="T522" t="n">
        <x:v>550.5486226371273</x:v>
      </x:c>
      <x:c r="U522" s="14" t="n">
        <x:v>1</x:v>
      </x:c>
      <x:c r="V522" s="14" t="n">
        <x:v>0.07018238011508592</x:v>
      </x:c>
      <x:c r="W522" s="14" t="n">
        <x:v>0.8078245809022734</x:v>
      </x:c>
      <x:c r="X522" s="14" t="n">
        <x:v>0.17141841893032397</x:v>
      </x:c>
      <x:c r="Y522" s="16" t="n">
        <x:v>89.77272727272727</x:v>
      </x:c>
      <x:c r="Z522" s="16" t="n">
        <x:v>85</x:v>
      </x:c>
      <x:c r="AA522" s="16" t="n">
        <x:v>39.34426229508197</x:v>
      </x:c>
      <x:c r="AB522" s="16" t="n">
        <x:v>62.5</x:v>
      </x:c>
      <x:c r="AC522" s="16" t="n">
        <x:v>62.5</x:v>
      </x:c>
      <x:c r="AD522" s="16" t="n">
        <x:v>91.03658536585365</x:v>
      </x:c>
      <x:c r="AE522" s="16" t="n">
        <x:v>74.4989231580095</x:v>
      </x:c>
      <x:c r="AF522" t="str">
        <x:v>검토</x:v>
      </x:c>
      <x:c r="AG522" t="str">
        <x:v>직장수요·수요 강점 / 서울 업종추세 상대적 약점</x:v>
      </x:c>
    </x:row>
    <x:row r="523">
      <x:c r="A523" t="str">
        <x:v>3120073</x:v>
      </x:c>
      <x:c r="B523" t="str">
        <x:v>미아사거리</x:v>
      </x:c>
      <x:c r="C523" t="str">
        <x:v>발달상권</x:v>
      </x:c>
      <x:c r="D523" t="str">
        <x:v>성북구</x:v>
      </x:c>
      <x:c r="E523" t="str">
        <x:v>길음2동</x:v>
      </x:c>
      <x:c r="F523" t="str">
        <x:v>CS300018</x:v>
      </x:c>
      <x:c r="G523" t="str">
        <x:v>의약품</x:v>
      </x:c>
      <x:c r="H523" t="n">
        <x:v>4065214508</x:v>
      </x:c>
      <x:c r="I523" t="n">
        <x:v>172064</x:v>
      </x:c>
      <x:c r="J523" t="n">
        <x:v>23626.176934164032</x:v>
      </x:c>
      <x:c r="K523" s="14" t="n">
        <x:v>0.03408182514680669</x:v>
      </x:c>
      <x:c r="L523" s="14" t="n">
        <x:v>0.027829225601598617</x:v>
      </x:c>
      <x:c r="M523" s="14" t="n">
        <x:v>0.02632929521123617</x:v>
      </x:c>
      <x:c r="N523" t="n">
        <x:v>15</x:v>
      </x:c>
      <x:c r="O523" t="n">
        <x:v>0</x:v>
      </x:c>
      <x:c r="P523" s="14" t="n">
        <x:v>0</x:v>
      </x:c>
      <x:c r="Q523" s="14" t="n">
        <x:v>0.26666666666666666</x:v>
      </x:c>
      <x:c r="R523" s="14" t="n">
        <x:v>-0.31818181818181823</x:v>
      </x:c>
      <x:c r="S523" t="n">
        <x:v>231</x:v>
      </x:c>
      <x:c r="T523" t="n">
        <x:v>25.524015778482482</x:v>
      </x:c>
      <x:c r="U523" s="14" t="n">
        <x:v>0.7733823452152258</x:v>
      </x:c>
      <x:c r="V523" s="14" t="n">
        <x:v>0.18103301647471146</x:v>
      </x:c>
      <x:c r="W523" s="14" t="n">
        <x:v>0.16161298443344038</x:v>
      </x:c>
      <x:c r="X523" s="14" t="n">
        <x:v>0.5198502241004006</x:v>
      </x:c>
      <x:c r="Y523" s="16" t="n">
        <x:v>84.5360824742268</x:v>
      </x:c>
      <x:c r="Z523" s="16" t="n">
        <x:v>74.82517482517483</x:v>
      </x:c>
      <x:c r="AA523" s="16" t="n">
        <x:v>72.1311475409836</x:v>
      </x:c>
      <x:c r="AB523" s="16" t="n">
        <x:v>77.57731958762886</x:v>
      </x:c>
      <x:c r="AC523" s="16" t="n">
        <x:v>66.32302405498282</x:v>
      </x:c>
      <x:c r="AD523" s="16" t="n">
        <x:v>17.134146341463413</x:v>
      </x:c>
      <x:c r="AE523" s="16" t="n">
        <x:v>74.49794362287767</x:v>
      </x:c>
      <x:c r="AF523" t="str">
        <x:v>검토</x:v>
      </x:c>
      <x:c r="AG523" t="str">
        <x:v>수요·경쟁여건 강점 / 직장수요 상대적 약점</x:v>
      </x:c>
    </x:row>
    <x:row r="524">
      <x:c r="A524" t="str">
        <x:v>3110578</x:v>
      </x:c>
      <x:c r="B524" t="str">
        <x:v>대흥역 2번</x:v>
      </x:c>
      <x:c r="C524" t="str">
        <x:v>골목상권</x:v>
      </x:c>
      <x:c r="D524" t="str">
        <x:v>마포구</x:v>
      </x:c>
      <x:c r="E524" t="str">
        <x:v>염리동</x:v>
      </x:c>
      <x:c r="F524" t="str">
        <x:v>CS300017</x:v>
      </x:c>
      <x:c r="G524" t="str">
        <x:v>시계및귀금속</x:v>
      </x:c>
      <x:c r="H524" t="n">
        <x:v>598501566</x:v>
      </x:c>
      <x:c r="I524" t="n">
        <x:v>473</x:v>
      </x:c>
      <x:c r="J524" t="n">
        <x:v>1265331.0063424946</x:v>
      </x:c>
      <x:c r="K524" s="14" t="n">
        <x:v>-0.048315961657200535</x:v>
      </x:c>
      <x:c r="L524" s="14" t="n">
        <x:v>0.09182238369060247</x:v>
      </x:c>
      <x:c r="M524" s="14" t="n">
        <x:v>0.00817160170707898</x:v>
      </x:c>
      <x:c r="N524" t="n">
        <x:v>3</x:v>
      </x:c>
      <x:c r="O524" t="n">
        <x:v>0</x:v>
      </x:c>
      <x:c r="P524" s="14" t="n">
        <x:v>0</x:v>
      </x:c>
      <x:c r="Q524" s="14" t="n">
        <x:v>0</x:v>
      </x:c>
      <x:c r="R524" s="14" t="n">
        <x:v>0</x:v>
      </x:c>
      <x:c r="S524" t="n">
        <x:v>1260</x:v>
      </x:c>
      <x:c r="T524" t="n">
        <x:v>112.5502456453774</x:v>
      </x:c>
      <x:c r="U524" s="14" t="n">
        <x:v>0.9917879730326387</x:v>
      </x:c>
      <x:c r="V524" s="14" t="n">
        <x:v>0.0097731841189535</x:v>
      </x:c>
      <x:c r="W524" s="14" t="n">
        <x:v>0.14138241369279891</x:v>
      </x:c>
      <x:c r="X524" s="14" t="n">
        <x:v>0.4279993646666582</x:v>
      </x:c>
      <x:c r="Y524" s="16" t="n">
        <x:v>83.24022346368714</x:v>
      </x:c>
      <x:c r="Z524" s="16" t="n">
        <x:v>41.52046783625731</x:v>
      </x:c>
      <x:c r="AA524" s="16" t="n">
        <x:v>86.88524590163935</x:v>
      </x:c>
      <x:c r="AB524" s="16" t="n">
        <x:v>98.31460674157303</x:v>
      </x:c>
      <x:c r="AC524" s="16" t="n">
        <x:v>61.79775280898876</x:v>
      </x:c>
      <x:c r="AD524" s="16" t="n">
        <x:v>61.951219512195124</x:v>
      </x:c>
      <x:c r="AE524" s="16" t="n">
        <x:v>74.49548593253245</x:v>
      </x:c>
      <x:c r="AF524" t="str">
        <x:v>검토</x:v>
      </x:c>
      <x:c r="AG524" t="str">
        <x:v>경쟁여건·서울 업종추세 강점 / 상권 모멘텀 상대적 약점</x:v>
      </x:c>
    </x:row>
    <x:row r="525">
      <x:c r="A525" t="str">
        <x:v>3110241</x:v>
      </x:c>
      <x:c r="B525" t="str">
        <x:v>먹골역 5번</x:v>
      </x:c>
      <x:c r="C525" t="str">
        <x:v>골목상권</x:v>
      </x:c>
      <x:c r="D525" t="str">
        <x:v>중랑구</x:v>
      </x:c>
      <x:c r="E525" t="str">
        <x:v>묵2동</x:v>
      </x:c>
      <x:c r="F525" t="str">
        <x:v>CS300011</x:v>
      </x:c>
      <x:c r="G525" t="str">
        <x:v>일반의류</x:v>
      </x:c>
      <x:c r="H525" t="n">
        <x:v>1264770672</x:v>
      </x:c>
      <x:c r="I525" t="n">
        <x:v>13163</x:v>
      </x:c>
      <x:c r="J525" t="n">
        <x:v>96085.28997948796</x:v>
      </x:c>
      <x:c r="K525" s="14" t="n">
        <x:v>0.06537653373133279</x:v>
      </x:c>
      <x:c r="L525" s="14" t="n">
        <x:v>0.06726691045630595</x:v>
      </x:c>
      <x:c r="M525" s="14" t="n">
        <x:v>0.00788849516466894</x:v>
      </x:c>
      <x:c r="N525" t="n">
        <x:v>35</x:v>
      </x:c>
      <x:c r="O525" t="n">
        <x:v>0</x:v>
      </x:c>
      <x:c r="P525" s="14" t="n">
        <x:v>0</x:v>
      </x:c>
      <x:c r="Q525" s="14" t="n">
        <x:v>0</x:v>
      </x:c>
      <x:c r="R525" s="14" t="n">
        <x:v>-0.14634146341463417</x:v>
      </x:c>
      <x:c r="S525" t="n">
        <x:v>651</x:v>
      </x:c>
      <x:c r="T525" t="n">
        <x:v>65.70713391739675</x:v>
      </x:c>
      <x:c r="U525" s="14" t="n">
        <x:v>0.698046868531436</x:v>
      </x:c>
      <x:c r="V525" s="14" t="n">
        <x:v>0.2832439990354236</x:v>
      </x:c>
      <x:c r="W525" s="14" t="n">
        <x:v>0.04278933896721476</x:v>
      </x:c>
      <x:c r="X525" s="14" t="n">
        <x:v>0.6356404214597411</x:v>
      </x:c>
      <x:c r="Y525" s="16" t="n">
        <x:v>85.27679623085983</x:v>
      </x:c>
      <x:c r="Z525" s="16" t="n">
        <x:v>48.97713598074609</x:v>
      </x:c>
      <x:c r="AA525" s="16" t="n">
        <x:v>81.9672131147541</x:v>
      </x:c>
      <x:c r="AB525" s="16" t="n">
        <x:v>77.50294464075382</x:v>
      </x:c>
      <x:c r="AC525" s="16" t="n">
        <x:v>86.33686690223793</x:v>
      </x:c>
      <x:c r="AD525" s="16" t="n">
        <x:v>45.609756097560975</x:v>
      </x:c>
      <x:c r="AE525" s="16" t="n">
        <x:v>74.47700403537819</x:v>
      </x:c>
      <x:c r="AF525" t="str">
        <x:v>검토</x:v>
      </x:c>
      <x:c r="AG525" t="str">
        <x:v>안정성·수요 강점 / 직장수요 상대적 약점</x:v>
      </x:c>
    </x:row>
    <x:row r="526">
      <x:c r="A526" t="str">
        <x:v>3111053</x:v>
      </x:c>
      <x:c r="B526" t="str">
        <x:v>성내천어린이공원(하니사랑길)</x:v>
      </x:c>
      <x:c r="C526" t="str">
        <x:v>골목상권</x:v>
      </x:c>
      <x:c r="D526" t="str">
        <x:v>강동구</x:v>
      </x:c>
      <x:c r="E526" t="str">
        <x:v>성내1동</x:v>
      </x:c>
      <x:c r="F526" t="str">
        <x:v>CS200025</x:v>
      </x:c>
      <x:c r="G526" t="str">
        <x:v>자동차수리</x:v>
      </x:c>
      <x:c r="H526" t="n">
        <x:v>2069232574</x:v>
      </x:c>
      <x:c r="I526" t="n">
        <x:v>7173</x:v>
      </x:c>
      <x:c r="J526" t="n">
        <x:v>288475.1950369441</x:v>
      </x:c>
      <x:c r="K526" s="14" t="n">
        <x:v>0.17327763474076185</x:v>
      </x:c>
      <x:c r="L526" s="14" t="n">
        <x:v>0.02213950283587751</x:v>
      </x:c>
      <x:c r="M526" s="14" t="n">
        <x:v>0.024356161917000962</x:v>
      </x:c>
      <x:c r="N526" t="n">
        <x:v>19</x:v>
      </x:c>
      <x:c r="O526" t="n">
        <x:v>0</x:v>
      </x:c>
      <x:c r="P526" s="14" t="n">
        <x:v>0</x:v>
      </x:c>
      <x:c r="Q526" s="14" t="n">
        <x:v>0.05263157894736842</x:v>
      </x:c>
      <x:c r="R526" s="14" t="n">
        <x:v>0</x:v>
      </x:c>
      <x:c r="S526" t="n">
        <x:v>2412</x:v>
      </x:c>
      <x:c r="T526" t="n">
        <x:v>172.4766705995924</x:v>
      </x:c>
      <x:c r="U526" s="14" t="n">
        <x:v>0.8736663716371594</x:v>
      </x:c>
      <x:c r="V526" s="14" t="n">
        <x:v>0.19779005035129513</x:v>
      </x:c>
      <x:c r="W526" s="14" t="n">
        <x:v>0.14592681209164068</x:v>
      </x:c>
      <x:c r="X526" s="14" t="n">
        <x:v>0.22662873467794153</x:v>
      </x:c>
      <x:c r="Y526" s="16" t="n">
        <x:v>96.51474530831099</x:v>
      </x:c>
      <x:c r="Z526" s="16" t="n">
        <x:v>83.06010928961749</x:v>
      </x:c>
      <x:c r="AA526" s="16" t="n">
        <x:v>59.01639344262295</x:v>
      </x:c>
      <x:c r="AB526" s="16" t="n">
        <x:v>39.11290322580645</x:v>
      </x:c>
      <x:c r="AC526" s="16" t="n">
        <x:v>56.98924731182796</x:v>
      </x:c>
      <x:c r="AD526" s="16" t="n">
        <x:v>73.10975609756098</x:v>
      </x:c>
      <x:c r="AE526" s="16" t="n">
        <x:v>74.4659897521576</x:v>
      </x:c>
      <x:c r="AF526" t="str">
        <x:v>검토</x:v>
      </x:c>
      <x:c r="AG526" t="str">
        <x:v>수요·상권 모멘텀 강점 / 경쟁여건 상대적 약점</x:v>
      </x:c>
    </x:row>
    <x:row r="527">
      <x:c r="A527" t="str">
        <x:v>3120208</x:v>
      </x:c>
      <x:c r="B527" t="str">
        <x:v>청담사거리(청담동명품거리)</x:v>
      </x:c>
      <x:c r="C527" t="str">
        <x:v>발달상권</x:v>
      </x:c>
      <x:c r="D527" t="str">
        <x:v>강남구</x:v>
      </x:c>
      <x:c r="E527" t="str">
        <x:v>청담동</x:v>
      </x:c>
      <x:c r="F527" t="str">
        <x:v>CS200031</x:v>
      </x:c>
      <x:c r="G527" t="str">
        <x:v>세탁소</x:v>
      </x:c>
      <x:c r="H527" t="n">
        <x:v>366105852</x:v>
      </x:c>
      <x:c r="I527" t="n">
        <x:v>2052</x:v>
      </x:c>
      <x:c r="J527" t="n">
        <x:v>178414.15789473685</x:v>
      </x:c>
      <x:c r="K527" s="14" t="n">
        <x:v>0.4551319297182388</x:v>
      </x:c>
      <x:c r="L527" s="14" t="n">
        <x:v>0.00038108013748794356</x:v>
      </x:c>
      <x:c r="M527" s="14" t="n">
        <x:v>0.043856378214214065</x:v>
      </x:c>
      <x:c r="N527" t="n">
        <x:v>27</x:v>
      </x:c>
      <x:c r="O527" t="n">
        <x:v>0</x:v>
      </x:c>
      <x:c r="P527" s="14" t="n">
        <x:v>0</x:v>
      </x:c>
      <x:c r="Q527" s="14" t="n">
        <x:v>0.1111111111111111</x:v>
      </x:c>
      <x:c r="R527" s="14" t="n">
        <x:v>-0.06896551724137934</x:v>
      </x:c>
      <x:c r="S527" t="n">
        <x:v>18696</x:v>
      </x:c>
      <x:c r="T527" t="n">
        <x:v>564.259349242614</x:v>
      </x:c>
      <x:c r="U527" s="14" t="n">
        <x:v>0.9640806205960346</x:v>
      </x:c>
      <x:c r="V527" s="14" t="n">
        <x:v>0.06369215043303925</x:v>
      </x:c>
      <x:c r="W527" s="14" t="n">
        <x:v>0.04439356517032675</x:v>
      </x:c>
      <x:c r="X527" s="14" t="n">
        <x:v>0.17832911886915154</x:v>
      </x:c>
      <x:c r="Y527" s="16" t="n">
        <x:v>98.36829836829837</x:v>
      </x:c>
      <x:c r="Z527" s="16" t="n">
        <x:v>96.61835748792271</x:v>
      </x:c>
      <x:c r="AA527" s="16" t="n">
        <x:v>42.622950819672134</x:v>
      </x:c>
      <x:c r="AB527" s="16" t="n">
        <x:v>23.31002331002331</x:v>
      </x:c>
      <x:c r="AC527" s="16" t="n">
        <x:v>62.47086247086247</x:v>
      </x:c>
      <x:c r="AD527" s="16" t="n">
        <x:v>91.46341463414635</x:v>
      </x:c>
      <x:c r="AE527" s="16" t="n">
        <x:v>74.46277902473685</x:v>
      </x:c>
      <x:c r="AF527" t="str">
        <x:v>검토</x:v>
      </x:c>
      <x:c r="AG527" t="str">
        <x:v>수요·상권 모멘텀 강점 / 경쟁여건 상대적 약점</x:v>
      </x:c>
    </x:row>
    <x:row r="528">
      <x:c r="A528" t="str">
        <x:v>3120245</x:v>
      </x:c>
      <x:c r="B528" t="str">
        <x:v>둔촌역</x:v>
      </x:c>
      <x:c r="C528" t="str">
        <x:v>발달상권</x:v>
      </x:c>
      <x:c r="D528" t="str">
        <x:v>강동구</x:v>
      </x:c>
      <x:c r="E528" t="str">
        <x:v>성내3동</x:v>
      </x:c>
      <x:c r="F528" t="str">
        <x:v>CS200001</x:v>
      </x:c>
      <x:c r="G528" t="str">
        <x:v>일반교습학원</x:v>
      </x:c>
      <x:c r="H528" t="n">
        <x:v>4953208194</x:v>
      </x:c>
      <x:c r="I528" t="n">
        <x:v>17069</x:v>
      </x:c>
      <x:c r="J528" t="n">
        <x:v>290187.3685628918</x:v>
      </x:c>
      <x:c r="K528" s="14" t="n">
        <x:v>0.20877260562687638</x:v>
      </x:c>
      <x:c r="L528" s="14" t="n">
        <x:v>0.026465986538897424</x:v>
      </x:c>
      <x:c r="M528" s="14" t="n">
        <x:v>0.05930632525283164</x:v>
      </x:c>
      <x:c r="N528" t="n">
        <x:v>106</x:v>
      </x:c>
      <x:c r="O528" t="n">
        <x:v>1</x:v>
      </x:c>
      <x:c r="P528" s="14" t="n">
        <x:v>0.009009009009009009</x:v>
      </x:c>
      <x:c r="Q528" s="14" t="n">
        <x:v>0.05660377358490566</x:v>
      </x:c>
      <x:c r="R528" s="14" t="n">
        <x:v>0.16483516483516492</x:v>
      </x:c>
      <x:c r="S528" t="n">
        <x:v>2095</x:v>
      </x:c>
      <x:c r="T528" t="n">
        <x:v>126.64732196832306</x:v>
      </x:c>
      <x:c r="U528" s="14" t="n">
        <x:v>0.788433805938261</x:v>
      </x:c>
      <x:c r="V528" s="14" t="n">
        <x:v>0.5160942605030343</x:v>
      </x:c>
      <x:c r="W528" s="14" t="n">
        <x:v>0.023605391378790083</x:v>
      </x:c>
      <x:c r="X528" s="14" t="n">
        <x:v>0.5807963211570186</x:v>
      </x:c>
      <x:c r="Y528" s="16" t="n">
        <x:v>96.11801242236025</x:v>
      </x:c>
      <x:c r="Z528" s="16" t="n">
        <x:v>89.93506493506493</x:v>
      </x:c>
      <x:c r="AA528" s="16" t="n">
        <x:v>70.49180327868852</x:v>
      </x:c>
      <x:c r="AB528" s="16" t="n">
        <x:v>16.692546583850927</x:v>
      </x:c>
      <x:c r="AC528" s="16" t="n">
        <x:v>64.90683229813665</x:v>
      </x:c>
      <x:c r="AD528" s="16" t="n">
        <x:v>65.3048780487805</x:v>
      </x:c>
      <x:c r="AE528" s="16" t="n">
        <x:v>74.46189694647268</x:v>
      </x:c>
      <x:c r="AF528" t="str">
        <x:v>검토</x:v>
      </x:c>
      <x:c r="AG528" t="str">
        <x:v>수요·상권 모멘텀 강점 / 경쟁여건 상대적 약점</x:v>
      </x:c>
    </x:row>
    <x:row r="529">
      <x:c r="A529" t="str">
        <x:v>3120236</x:v>
      </x:c>
      <x:c r="B529" t="str">
        <x:v>장지역(가든파이브)</x:v>
      </x:c>
      <x:c r="C529" t="str">
        <x:v>발달상권</x:v>
      </x:c>
      <x:c r="D529" t="str">
        <x:v>송파구</x:v>
      </x:c>
      <x:c r="E529" t="str">
        <x:v>문정2동</x:v>
      </x:c>
      <x:c r="F529" t="str">
        <x:v>CS300015</x:v>
      </x:c>
      <x:c r="G529" t="str">
        <x:v>가방</x:v>
      </x:c>
      <x:c r="H529" t="n">
        <x:v>257452317</x:v>
      </x:c>
      <x:c r="I529" t="n">
        <x:v>9357</x:v>
      </x:c>
      <x:c r="J529" t="n">
        <x:v>27514.40814363578</x:v>
      </x:c>
      <x:c r="K529" s="14" t="n">
        <x:v>0.5436560406388307</x:v>
      </x:c>
      <x:c r="L529" s="14" t="n">
        <x:v>0.08003853878387823</x:v>
      </x:c>
      <x:c r="M529" s="14" t="n">
        <x:v>0.032771077188109565</x:v>
      </x:c>
      <x:c r="N529" t="n">
        <x:v>40</x:v>
      </x:c>
      <x:c r="O529" t="n">
        <x:v>0</x:v>
      </x:c>
      <x:c r="P529" s="14" t="n">
        <x:v>0</x:v>
      </x:c>
      <x:c r="Q529" s="14" t="n">
        <x:v>0</x:v>
      </x:c>
      <x:c r="R529" s="14" t="n">
        <x:v>-0.19999999999999996</x:v>
      </x:c>
      <x:c r="S529" t="n">
        <x:v>12402</x:v>
      </x:c>
      <x:c r="T529" t="n">
        <x:v>586.832467421855</x:v>
      </x:c>
      <x:c r="U529" s="14" t="n">
        <x:v>0.7534381133575115</x:v>
      </x:c>
      <x:c r="V529" s="14" t="n">
        <x:v>0.12868369329921392</x:v>
      </x:c>
      <x:c r="W529" s="14" t="n">
        <x:v>0.16699410399946021</x:v>
      </x:c>
      <x:c r="X529" s="14" t="n">
        <x:v>0.6689587454751864</x:v>
      </x:c>
      <x:c r="Y529" s="16" t="n">
        <x:v>73.77049180327869</x:v>
      </x:c>
      <x:c r="Z529" s="16" t="n">
        <x:v>96.29629629629629</x:v>
      </x:c>
      <x:c r="AA529" s="16" t="n">
        <x:v>83.60655737704919</x:v>
      </x:c>
      <x:c r="AB529" s="16" t="n">
        <x:v>34.42622950819673</x:v>
      </x:c>
      <x:c r="AC529" s="16" t="n">
        <x:v>70.49180327868852</x:v>
      </x:c>
      <x:c r="AD529" s="16" t="n">
        <x:v>92.13414634146342</x:v>
      </x:c>
      <x:c r="AE529" s="16" t="n">
        <x:v>74.4397370681357</x:v>
      </x:c>
      <x:c r="AF529" t="str">
        <x:v>검토</x:v>
      </x:c>
      <x:c r="AG529" t="str">
        <x:v>상권 모멘텀·직장수요 강점 / 경쟁여건 상대적 약점</x:v>
      </x:c>
    </x:row>
    <x:row r="530">
      <x:c r="A530" t="str">
        <x:v>3110593</x:v>
      </x:c>
      <x:c r="B530" t="str">
        <x:v>신월3동주민센터</x:v>
      </x:c>
      <x:c r="C530" t="str">
        <x:v>골목상권</x:v>
      </x:c>
      <x:c r="D530" t="str">
        <x:v>양천구</x:v>
      </x:c>
      <x:c r="E530" t="str">
        <x:v>신월3동</x:v>
      </x:c>
      <x:c r="F530" t="str">
        <x:v>CS200006</x:v>
      </x:c>
      <x:c r="G530" t="str">
        <x:v>일반의원</x:v>
      </x:c>
      <x:c r="H530" t="n">
        <x:v>1677004425</x:v>
      </x:c>
      <x:c r="I530" t="n">
        <x:v>74431</x:v>
      </x:c>
      <x:c r="J530" t="n">
        <x:v>22530.994142225685</x:v>
      </x:c>
      <x:c r="K530" s="14" t="n">
        <x:v>0.404808046178579</x:v>
      </x:c>
      <x:c r="L530" s="14" t="n">
        <x:v>0.09973642051122278</x:v>
      </x:c>
      <x:c r="M530" s="14" t="n">
        <x:v>0.06942273842247415</x:v>
      </x:c>
      <x:c r="N530" t="n">
        <x:v>8</x:v>
      </x:c>
      <x:c r="O530" t="n">
        <x:v>0</x:v>
      </x:c>
      <x:c r="P530" s="14" t="n">
        <x:v>0</x:v>
      </x:c>
      <x:c r="Q530" s="14" t="n">
        <x:v>0</x:v>
      </x:c>
      <x:c r="R530" s="14" t="n">
        <x:v>0.6000000000000001</x:v>
      </x:c>
      <x:c r="S530" t="n">
        <x:v>520</x:v>
      </x:c>
      <x:c r="T530" t="n">
        <x:v>29.26197912270336</x:v>
      </x:c>
      <x:c r="U530" s="14" t="n">
        <x:v>0.7657513795767116</x:v>
      </x:c>
      <x:c r="V530" s="14" t="n">
        <x:v>0.15790618143419627</x:v>
      </x:c>
      <x:c r="W530" s="14" t="n">
        <x:v>0.16275212034696926</x:v>
      </x:c>
      <x:c r="X530" s="14" t="n">
        <x:v>0.5528065967983358</x:v>
      </x:c>
      <x:c r="Y530" s="16" t="n">
        <x:v>56.67311411992263</x:v>
      </x:c>
      <x:c r="Z530" s="16" t="n">
        <x:v>98.06201550387597</x:v>
      </x:c>
      <x:c r="AA530" s="16" t="n">
        <x:v>90.1639344262295</x:v>
      </x:c>
      <x:c r="AB530" s="16" t="n">
        <x:v>94.47674418604652</x:v>
      </x:c>
      <x:c r="AC530" s="16" t="n">
        <x:v>62.5</x:v>
      </x:c>
      <x:c r="AD530" s="16" t="n">
        <x:v>20.73170731707317</x:v>
      </x:c>
      <x:c r="AE530" s="16" t="n">
        <x:v>74.43068020044318</x:v>
      </x:c>
      <x:c r="AF530" t="str">
        <x:v>검토</x:v>
      </x:c>
      <x:c r="AG530" t="str">
        <x:v>상권 모멘텀·경쟁여건 강점 / 직장수요 상대적 약점</x:v>
      </x:c>
    </x:row>
    <x:row r="531">
      <x:c r="A531" t="str">
        <x:v>3111005</x:v>
      </x:c>
      <x:c r="B531" t="str">
        <x:v>삼전역 3번</x:v>
      </x:c>
      <x:c r="C531" t="str">
        <x:v>골목상권</x:v>
      </x:c>
      <x:c r="D531" t="str">
        <x:v>송파구</x:v>
      </x:c>
      <x:c r="E531" t="str">
        <x:v>삼전동</x:v>
      </x:c>
      <x:c r="F531" t="str">
        <x:v>CS300035</x:v>
      </x:c>
      <x:c r="G531" t="str">
        <x:v>인테리어</x:v>
      </x:c>
      <x:c r="H531" t="n">
        <x:v>75447086</x:v>
      </x:c>
      <x:c r="I531" t="n">
        <x:v>1280</x:v>
      </x:c>
      <x:c r="J531" t="n">
        <x:v>58943.0359375</x:v>
      </x:c>
      <x:c r="K531" s="14" t="n">
        <x:v>1.7114130027088055</x:v>
      </x:c>
      <x:c r="L531" s="14" t="n">
        <x:v>0.20213561276420866</x:v>
      </x:c>
      <x:c r="M531" s="14" t="n">
        <x:v>0.044160820891303576</x:v>
      </x:c>
      <x:c r="N531" t="n">
        <x:v>10</x:v>
      </x:c>
      <x:c r="O531" t="n">
        <x:v>0</x:v>
      </x:c>
      <x:c r="P531" s="14" t="n">
        <x:v>0</x:v>
      </x:c>
      <x:c r="Q531" s="14" t="n">
        <x:v>0</x:v>
      </x:c>
      <x:c r="R531" s="14" t="n">
        <x:v>-0.2857142857142857</x:v>
      </x:c>
      <x:c r="S531" t="n">
        <x:v>892</x:v>
      </x:c>
      <x:c r="T531" t="n">
        <x:v>46.05320901032067</x:v>
      </x:c>
      <x:c r="U531" s="14" t="n">
        <x:v>0.7105341749050453</x:v>
      </x:c>
      <x:c r="V531" s="14" t="n">
        <x:v>0</x:v>
      </x:c>
      <x:c r="W531" s="14" t="n">
        <x:v>0.09922411052429514</x:v>
      </x:c>
      <x:c r="X531" s="14" t="n">
        <x:v>0.027603703607585323</x:v>
      </x:c>
      <x:c r="Y531" s="16" t="n">
        <x:v>61.41304347826087</x:v>
      </x:c>
      <x:c r="Z531" s="16" t="n">
        <x:v>95.54140127388536</x:v>
      </x:c>
      <x:c r="AA531" s="16" t="n">
        <x:v>98.36065573770492</x:v>
      </x:c>
      <x:c r="AB531" s="16" t="n">
        <x:v>75.81521739130434</x:v>
      </x:c>
      <x:c r="AC531" s="16" t="n">
        <x:v>60.32608695652174</x:v>
      </x:c>
      <x:c r="AD531" s="16" t="n">
        <x:v>33.353658536585364</x:v>
      </x:c>
      <x:c r="AE531" s="16" t="n">
        <x:v>74.4295180640012</x:v>
      </x:c>
      <x:c r="AF531" t="str">
        <x:v>검토</x:v>
      </x:c>
      <x:c r="AG531" t="str">
        <x:v>서울 업종추세·상권 모멘텀 강점 / 직장수요 상대적 약점</x:v>
      </x:c>
    </x:row>
    <x:row r="532">
      <x:c r="A532" t="str">
        <x:v>3110255</x:v>
      </x:c>
      <x:c r="B532" t="str">
        <x:v>상봉역 4번</x:v>
      </x:c>
      <x:c r="C532" t="str">
        <x:v>골목상권</x:v>
      </x:c>
      <x:c r="D532" t="str">
        <x:v>중랑구</x:v>
      </x:c>
      <x:c r="E532" t="str">
        <x:v>상봉2동</x:v>
      </x:c>
      <x:c r="F532" t="str">
        <x:v>CS300007</x:v>
      </x:c>
      <x:c r="G532" t="str">
        <x:v>육류판매</x:v>
      </x:c>
      <x:c r="H532" t="n">
        <x:v>2303275733</x:v>
      </x:c>
      <x:c r="I532" t="n">
        <x:v>35693</x:v>
      </x:c>
      <x:c r="J532" t="n">
        <x:v>64530.180511584906</x:v>
      </x:c>
      <x:c r="K532" s="14" t="n">
        <x:v>0.09422898134904223</x:v>
      </x:c>
      <x:c r="L532" s="14" t="n">
        <x:v>0.23518223683931017</x:v>
      </x:c>
      <x:c r="M532" s="14" t="n">
        <x:v>0.00863079289162072</x:v>
      </x:c>
      <x:c r="N532" t="n">
        <x:v>12</x:v>
      </x:c>
      <x:c r="O532" t="n">
        <x:v>1</x:v>
      </x:c>
      <x:c r="P532" s="14" t="n">
        <x:v>0.058823529411764705</x:v>
      </x:c>
      <x:c r="Q532" s="14" t="n">
        <x:v>0</x:v>
      </x:c>
      <x:c r="R532" s="14" t="n">
        <x:v>0.09090909090909083</x:v>
      </x:c>
      <x:c r="S532" t="n">
        <x:v>789</x:v>
      </x:c>
      <x:c r="T532" t="n">
        <x:v>41.255980548511076</x:v>
      </x:c>
      <x:c r="U532" s="14" t="n">
        <x:v>0.8627826319394475</x:v>
      </x:c>
      <x:c r="V532" s="14" t="n">
        <x:v>0.15369341799946798</x:v>
      </x:c>
      <x:c r="W532" s="14" t="n">
        <x:v>0.25324964121436344</x:v>
      </x:c>
      <x:c r="X532" s="14" t="n">
        <x:v>0.5837215122519592</x:v>
      </x:c>
      <x:c r="Y532" s="16" t="n">
        <x:v>86.63366336633663</x:v>
      </x:c>
      <x:c r="Z532" s="16" t="n">
        <x:v>81.81818181818181</x:v>
      </x:c>
      <x:c r="AA532" s="16" t="n">
        <x:v>100</x:v>
      </x:c>
      <x:c r="AB532" s="16" t="n">
        <x:v>67.82178217821783</x:v>
      </x:c>
      <x:c r="AC532" s="16" t="n">
        <x:v>10.89108910891089</x:v>
      </x:c>
      <x:c r="AD532" s="16" t="n">
        <x:v>29.634146341463413</x:v>
      </x:c>
      <x:c r="AE532" s="16" t="n">
        <x:v>74.42950209655112</x:v>
      </x:c>
      <x:c r="AF532" t="str">
        <x:v>검토</x:v>
      </x:c>
      <x:c r="AG532" t="str">
        <x:v>서울 업종추세·수요 강점 / 안정성 상대적 약점</x:v>
      </x:c>
    </x:row>
    <x:row r="533">
      <x:c r="A533" t="str">
        <x:v>3110907</x:v>
      </x:c>
      <x:c r="B533" t="str">
        <x:v>방배초등학교</x:v>
      </x:c>
      <x:c r="C533" t="str">
        <x:v>골목상권</x:v>
      </x:c>
      <x:c r="D533" t="str">
        <x:v>서초구</x:v>
      </x:c>
      <x:c r="E533" t="str">
        <x:v>방배4동</x:v>
      </x:c>
      <x:c r="F533" t="str">
        <x:v>CS200026</x:v>
      </x:c>
      <x:c r="G533" t="str">
        <x:v>자동차미용</x:v>
      </x:c>
      <x:c r="H533" t="n">
        <x:v>198509395</x:v>
      </x:c>
      <x:c r="I533" t="n">
        <x:v>754</x:v>
      </x:c>
      <x:c r="J533" t="n">
        <x:v>263275.05968169763</x:v>
      </x:c>
      <x:c r="K533" s="14" t="n">
        <x:v>0.6612432973500264</x:v>
      </x:c>
      <x:c r="L533" s="14" t="n">
        <x:v>-0.019736846042192724</x:v>
      </x:c>
      <x:c r="M533" s="14" t="n">
        <x:v>0.032440828422417356</x:v>
      </x:c>
      <x:c r="N533" t="n">
        <x:v>8</x:v>
      </x:c>
      <x:c r="O533" t="n">
        <x:v>0</x:v>
      </x:c>
      <x:c r="P533" s="14" t="n">
        <x:v>0</x:v>
      </x:c>
      <x:c r="Q533" s="14" t="n">
        <x:v>0</x:v>
      </x:c>
      <x:c r="R533" s="14" t="n">
        <x:v>-0.11111111111111116</x:v>
      </x:c>
      <x:c r="S533" t="n">
        <x:v>2680</x:v>
      </x:c>
      <x:c r="T533" t="n">
        <x:v>257.9701216694902</x:v>
      </x:c>
      <x:c r="U533" s="14" t="n">
        <x:v>0.8469789452534475</x:v>
      </x:c>
      <x:c r="V533" s="14" t="n">
        <x:v>0.6527657847126077</x:v>
      </x:c>
      <x:c r="W533" s="14" t="n">
        <x:v>0.4703569269353725</x:v>
      </x:c>
      <x:c r="X533" s="14" t="n">
        <x:v>0.6716750056086767</x:v>
      </x:c>
      <x:c r="Y533" s="16" t="n">
        <x:v>86.53846153846153</x:v>
      </x:c>
      <x:c r="Z533" s="16" t="n">
        <x:v>95.91836734693878</x:v>
      </x:c>
      <x:c r="AA533" s="16" t="n">
        <x:v>36.0655737704918</x:v>
      </x:c>
      <x:c r="AB533" s="16" t="n">
        <x:v>61.53846153846154</x:v>
      </x:c>
      <x:c r="AC533" s="16" t="n">
        <x:v>62.5</x:v>
      </x:c>
      <x:c r="AD533" s="16" t="n">
        <x:v>81.28048780487805</x:v>
      </x:c>
      <x:c r="AE533" s="16" t="n">
        <x:v>74.42676469443619</x:v>
      </x:c>
      <x:c r="AF533" t="str">
        <x:v>검토</x:v>
      </x:c>
      <x:c r="AG533" t="str">
        <x:v>상권 모멘텀·수요 강점 / 서울 업종추세 상대적 약점</x:v>
      </x:c>
    </x:row>
    <x:row r="534">
      <x:c r="A534" t="str">
        <x:v>3120055</x:v>
      </x:c>
      <x:c r="B534" t="str">
        <x:v>군자역</x:v>
      </x:c>
      <x:c r="C534" t="str">
        <x:v>발달상권</x:v>
      </x:c>
      <x:c r="D534" t="str">
        <x:v>광진구</x:v>
      </x:c>
      <x:c r="E534" t="str">
        <x:v>군자동</x:v>
      </x:c>
      <x:c r="F534" t="str">
        <x:v>CS200028</x:v>
      </x:c>
      <x:c r="G534" t="str">
        <x:v>미용실</x:v>
      </x:c>
      <x:c r="H534" t="n">
        <x:v>718916414</x:v>
      </x:c>
      <x:c r="I534" t="n">
        <x:v>14940</x:v>
      </x:c>
      <x:c r="J534" t="n">
        <x:v>48120.24190093708</x:v>
      </x:c>
      <x:c r="K534" s="14" t="n">
        <x:v>0.040194340807192974</x:v>
      </x:c>
      <x:c r="L534" s="14" t="n">
        <x:v>0.02168887159425803</x:v>
      </x:c>
      <x:c r="M534" s="14" t="n">
        <x:v>-0.013481964371473865</x:v>
      </x:c>
      <x:c r="N534" t="n">
        <x:v>52</x:v>
      </x:c>
      <x:c r="O534" t="n">
        <x:v>0</x:v>
      </x:c>
      <x:c r="P534" s="14" t="n">
        <x:v>0</x:v>
      </x:c>
      <x:c r="Q534" s="14" t="n">
        <x:v>0.057692307692307696</x:v>
      </x:c>
      <x:c r="R534" s="14" t="n">
        <x:v>-0.0714285714285714</x:v>
      </x:c>
      <x:c r="S534" t="n">
        <x:v>3475</x:v>
      </x:c>
      <x:c r="T534" t="n">
        <x:v>120.37008171310008</x:v>
      </x:c>
      <x:c r="U534" s="14" t="n">
        <x:v>0.6455828688312575</x:v>
      </x:c>
      <x:c r="V534" s="14" t="n">
        <x:v>0.4083768728641102</x:v>
      </x:c>
      <x:c r="W534" s="14" t="n">
        <x:v>0.4099252656651681</x:v>
      </x:c>
      <x:c r="X534" s="14" t="n">
        <x:v>0.5842470916236446</x:v>
      </x:c>
      <x:c r="Y534" s="16" t="n">
        <x:v>95.70277529095792</x:v>
      </x:c>
      <x:c r="Z534" s="16" t="n">
        <x:v>63.84892086330935</x:v>
      </x:c>
      <x:c r="AA534" s="16" t="n">
        <x:v>57.377049180327866</x:v>
      </x:c>
      <x:c r="AB534" s="16" t="n">
        <x:v>58.63921217547001</x:v>
      </x:c>
      <x:c r="AC534" s="16" t="n">
        <x:v>75.60429722470904</x:v>
      </x:c>
      <x:c r="AD534" s="16" t="n">
        <x:v>63.90243902439025</x:v>
      </x:c>
      <x:c r="AE534" s="16" t="n">
        <x:v>74.42374640155722</x:v>
      </x:c>
      <x:c r="AF534" t="str">
        <x:v>검토</x:v>
      </x:c>
      <x:c r="AG534" t="str">
        <x:v>수요·안정성 강점 / 서울 업종추세 상대적 약점</x:v>
      </x:c>
    </x:row>
    <x:row r="535">
      <x:c r="A535" t="str">
        <x:v>3120249</x:v>
      </x:c>
      <x:c r="B535" t="str">
        <x:v>고덕역</x:v>
      </x:c>
      <x:c r="C535" t="str">
        <x:v>발달상권</x:v>
      </x:c>
      <x:c r="D535" t="str">
        <x:v>강동구</x:v>
      </x:c>
      <x:c r="E535" t="str">
        <x:v>명일2동</x:v>
      </x:c>
      <x:c r="F535" t="str">
        <x:v>CS100001</x:v>
      </x:c>
      <x:c r="G535" t="str">
        <x:v>한식음식점</x:v>
      </x:c>
      <x:c r="H535" t="n">
        <x:v>4661675492</x:v>
      </x:c>
      <x:c r="I535" t="n">
        <x:v>194305</x:v>
      </x:c>
      <x:c r="J535" t="n">
        <x:v>23991.536460718973</x:v>
      </x:c>
      <x:c r="K535" s="14" t="n">
        <x:v>0.06607723102575491</x:v>
      </x:c>
      <x:c r="L535" s="14" t="n">
        <x:v>-0.0018259958518723751</x:v>
      </x:c>
      <x:c r="M535" s="14" t="n">
        <x:v>0.06341040875687098</x:v>
      </x:c>
      <x:c r="N535" t="n">
        <x:v>48</x:v>
      </x:c>
      <x:c r="O535" t="n">
        <x:v>2</x:v>
      </x:c>
      <x:c r="P535" s="14" t="n">
        <x:v>0.03773584905660377</x:v>
      </x:c>
      <x:c r="Q535" s="14" t="n">
        <x:v>0.22916666666666666</x:v>
      </x:c>
      <x:c r="R535" s="14" t="n">
        <x:v>-0.2727272727272727</x:v>
      </x:c>
      <x:c r="S535" t="n">
        <x:v>2311</x:v>
      </x:c>
      <x:c r="T535" t="n">
        <x:v>250.08927895072884</x:v>
      </x:c>
      <x:c r="U535" s="14" t="n">
        <x:v>0.6793585232251512</x:v>
      </x:c>
      <x:c r="V535" s="14" t="n">
        <x:v>0.5017669784209853</x:v>
      </x:c>
      <x:c r="W535" s="14" t="n">
        <x:v>0.19569387349367218</x:v>
      </x:c>
      <x:c r="X535" s="14" t="n">
        <x:v>0.3920728693227538</x:v>
      </x:c>
      <x:c r="Y535" s="16" t="n">
        <x:v>85.62277580071175</x:v>
      </x:c>
      <x:c r="Z535" s="16" t="n">
        <x:v>79.62830593280916</x:v>
      </x:c>
      <x:c r="AA535" s="16" t="n">
        <x:v>40.98360655737705</x:v>
      </x:c>
      <x:c r="AB535" s="16" t="n">
        <x:v>94.27046263345196</x:v>
      </x:c>
      <x:c r="AC535" s="16" t="n">
        <x:v>41.99288256227758</x:v>
      </x:c>
      <x:c r="AD535" s="16" t="n">
        <x:v>80.67073170731707</x:v>
      </x:c>
      <x:c r="AE535" s="16" t="n">
        <x:v>74.4145679370289</x:v>
      </x:c>
      <x:c r="AF535" t="str">
        <x:v>검토</x:v>
      </x:c>
      <x:c r="AG535" t="str">
        <x:v>경쟁여건·수요 강점 / 서울 업종추세 상대적 약점</x:v>
      </x:c>
    </x:row>
    <x:row r="536">
      <x:c r="A536" t="str">
        <x:v>3130052</x:v>
      </x:c>
      <x:c r="B536" t="str">
        <x:v>서울중앙시장(신중앙시장)</x:v>
      </x:c>
      <x:c r="C536" t="str">
        <x:v>전통시장</x:v>
      </x:c>
      <x:c r="D536" t="str">
        <x:v>중구</x:v>
      </x:c>
      <x:c r="E536" t="str">
        <x:v>황학동</x:v>
      </x:c>
      <x:c r="F536" t="str">
        <x:v>CS300009</x:v>
      </x:c>
      <x:c r="G536" t="str">
        <x:v>청과상</x:v>
      </x:c>
      <x:c r="H536" t="n">
        <x:v>2487664619</x:v>
      </x:c>
      <x:c r="I536" t="n">
        <x:v>118096</x:v>
      </x:c>
      <x:c r="J536" t="n">
        <x:v>21064.76611400894</x:v>
      </x:c>
      <x:c r="K536" s="14" t="n">
        <x:v>0.23854282132181504</x:v>
      </x:c>
      <x:c r="L536" s="14" t="n">
        <x:v>0.19728256051488424</x:v>
      </x:c>
      <x:c r="M536" s="14" t="n">
        <x:v>0.09797365727115581</x:v>
      </x:c>
      <x:c r="N536" t="n">
        <x:v>34</x:v>
      </x:c>
      <x:c r="O536" t="n">
        <x:v>0</x:v>
      </x:c>
      <x:c r="P536" s="14" t="n">
        <x:v>0</x:v>
      </x:c>
      <x:c r="Q536" s="14" t="n">
        <x:v>0</x:v>
      </x:c>
      <x:c r="R536" s="14" t="n">
        <x:v>-0.02857142857142858</x:v>
      </x:c>
      <x:c r="S536" t="n">
        <x:v>407</x:v>
      </x:c>
      <x:c r="T536" t="n">
        <x:v>58.141195965829546</x:v>
      </x:c>
      <x:c r="U536" s="14" t="n">
        <x:v>0.6618663357691144</x:v>
      </x:c>
      <x:c r="V536" s="14" t="n">
        <x:v>0.08665661132675377</x:v>
      </x:c>
      <x:c r="W536" s="14" t="n">
        <x:v>0.13289445911438594</x:v>
      </x:c>
      <x:c r="X536" s="14" t="n">
        <x:v>0.7344736762524177</x:v>
      </x:c>
      <x:c r="Y536" s="16" t="n">
        <x:v>86.08058608058609</x:v>
      </x:c>
      <x:c r="Z536" s="16" t="n">
        <x:v>89.31297709923665</x:v>
      </x:c>
      <x:c r="AA536" s="16" t="n">
        <x:v>95.08196721311475</x:v>
      </x:c>
      <x:c r="AB536" s="16" t="n">
        <x:v>20.6959706959707</x:v>
      </x:c>
      <x:c r="AC536" s="16" t="n">
        <x:v>69.5970695970696</x:v>
      </x:c>
      <x:c r="AD536" s="16" t="n">
        <x:v>41.58536585365854</x:v>
      </x:c>
      <x:c r="AE536" s="16" t="n">
        <x:v>74.39646648680517</x:v>
      </x:c>
      <x:c r="AF536" t="str">
        <x:v>검토</x:v>
      </x:c>
      <x:c r="AG536" t="str">
        <x:v>서울 업종추세·상권 모멘텀 강점 / 경쟁여건 상대적 약점</x:v>
      </x:c>
    </x:row>
    <x:row r="537">
      <x:c r="A537" t="str">
        <x:v>3130320</x:v>
      </x:c>
      <x:c r="B537" t="str">
        <x:v>암사종합시장</x:v>
      </x:c>
      <x:c r="C537" t="str">
        <x:v>전통시장</x:v>
      </x:c>
      <x:c r="D537" t="str">
        <x:v>강동구</x:v>
      </x:c>
      <x:c r="E537" t="str">
        <x:v>암사1동</x:v>
      </x:c>
      <x:c r="F537" t="str">
        <x:v>CS300011</x:v>
      </x:c>
      <x:c r="G537" t="str">
        <x:v>일반의류</x:v>
      </x:c>
      <x:c r="H537" t="n">
        <x:v>715807880</x:v>
      </x:c>
      <x:c r="I537" t="n">
        <x:v>28178</x:v>
      </x:c>
      <x:c r="J537" t="n">
        <x:v>25403.07615870537</x:v>
      </x:c>
      <x:c r="K537" s="14" t="n">
        <x:v>0.12781116175869878</x:v>
      </x:c>
      <x:c r="L537" s="14" t="n">
        <x:v>0.06726691045630595</x:v>
      </x:c>
      <x:c r="M537" s="14" t="n">
        <x:v>0.00788849516466894</x:v>
      </x:c>
      <x:c r="N537" t="n">
        <x:v>57</x:v>
      </x:c>
      <x:c r="O537" t="n">
        <x:v>0</x:v>
      </x:c>
      <x:c r="P537" s="14" t="n">
        <x:v>0</x:v>
      </x:c>
      <x:c r="Q537" s="14" t="n">
        <x:v>0</x:v>
      </x:c>
      <x:c r="R537" s="14" t="n">
        <x:v>-0.14925373134328357</x:v>
      </x:c>
      <x:c r="S537" t="n">
        <x:v>989</x:v>
      </x:c>
      <x:c r="T537" t="n">
        <x:v>265.85306846590146</x:v>
      </x:c>
      <x:c r="U537" s="14" t="n">
        <x:v>0.6657082987127775</x:v>
      </x:c>
      <x:c r="V537" s="14" t="n">
        <x:v>0.30659462983279817</x:v>
      </x:c>
      <x:c r="W537" s="14" t="n">
        <x:v>0.06968788887878687</x:v>
      </x:c>
      <x:c r="X537" s="14" t="n">
        <x:v>0.6557609745788213</x:v>
      </x:c>
      <x:c r="Y537" s="16" t="n">
        <x:v>80.0942285041225</x:v>
      </x:c>
      <x:c r="Z537" s="16" t="n">
        <x:v>65.1022864019254</x:v>
      </x:c>
      <x:c r="AA537" s="16" t="n">
        <x:v>81.9672131147541</x:v>
      </x:c>
      <x:c r="AB537" s="16" t="n">
        <x:v>55.477031802120145</x:v>
      </x:c>
      <x:c r="AC537" s="16" t="n">
        <x:v>86.33686690223793</x:v>
      </x:c>
      <x:c r="AD537" s="16" t="n">
        <x:v>81.76829268292683</x:v>
      </x:c>
      <x:c r="AE537" s="16" t="n">
        <x:v>74.39217531872923</x:v>
      </x:c>
      <x:c r="AF537" t="str">
        <x:v>검토</x:v>
      </x:c>
      <x:c r="AG537" t="str">
        <x:v>안정성·서울 업종추세 강점 / 경쟁여건 상대적 약점</x:v>
      </x:c>
    </x:row>
    <x:row r="538">
      <x:c r="A538" t="str">
        <x:v>3120083</x:v>
      </x:c>
      <x:c r="B538" t="str">
        <x:v>등나무근린공원</x:v>
      </x:c>
      <x:c r="C538" t="str">
        <x:v>발달상권</x:v>
      </x:c>
      <x:c r="D538" t="str">
        <x:v>노원구</x:v>
      </x:c>
      <x:c r="E538" t="str">
        <x:v>중계2·3동</x:v>
      </x:c>
      <x:c r="F538" t="str">
        <x:v>CS200006</x:v>
      </x:c>
      <x:c r="G538" t="str">
        <x:v>일반의원</x:v>
      </x:c>
      <x:c r="H538" t="n">
        <x:v>7026849227</x:v>
      </x:c>
      <x:c r="I538" t="n">
        <x:v>306809</x:v>
      </x:c>
      <x:c r="J538" t="n">
        <x:v>22903.008800263357</x:v>
      </x:c>
      <x:c r="K538" s="14" t="n">
        <x:v>0.04592767237522155</x:v>
      </x:c>
      <x:c r="L538" s="14" t="n">
        <x:v>0.09973642051122278</x:v>
      </x:c>
      <x:c r="M538" s="14" t="n">
        <x:v>0.06942273842247415</x:v>
      </x:c>
      <x:c r="N538" t="n">
        <x:v>23</x:v>
      </x:c>
      <x:c r="O538" t="n">
        <x:v>0</x:v>
      </x:c>
      <x:c r="P538" s="14" t="n">
        <x:v>0</x:v>
      </x:c>
      <x:c r="Q538" s="14" t="n">
        <x:v>0</x:v>
      </x:c>
      <x:c r="R538" s="14" t="n">
        <x:v>0.09523809523809534</x:v>
      </x:c>
      <x:c r="S538" t="n">
        <x:v>1099</x:v>
      </x:c>
      <x:c r="T538" t="n">
        <x:v>87.34700365601653</x:v>
      </x:c>
      <x:c r="U538" s="14" t="n">
        <x:v>0.8425251898463709</x:v>
      </x:c>
      <x:c r="V538" s="14" t="n">
        <x:v>0.18272356735170348</x:v>
      </x:c>
      <x:c r="W538" s="14" t="n">
        <x:v>0.16241006091534288</x:v>
      </x:c>
      <x:c r="X538" s="14" t="n">
        <x:v>0.5654523379742925</x:v>
      </x:c>
      <x:c r="Y538" s="16" t="n">
        <x:v>88.58800773694391</x:v>
      </x:c>
      <x:c r="Z538" s="16" t="n">
        <x:v>61.04651162790697</x:v>
      </x:c>
      <x:c r="AA538" s="16" t="n">
        <x:v>90.1639344262295</x:v>
      </x:c>
      <x:c r="AB538" s="16" t="n">
        <x:v>57.55813953488372</x:v>
      </x:c>
      <x:c r="AC538" s="16" t="n">
        <x:v>62.5</x:v>
      </x:c>
      <x:c r="AD538" s="16" t="n">
        <x:v>55.24390243902439</x:v>
      </x:c>
      <x:c r="AE538" s="16" t="n">
        <x:v>74.38561124962997</x:v>
      </x:c>
      <x:c r="AF538" t="str">
        <x:v>검토</x:v>
      </x:c>
      <x:c r="AG538" t="str">
        <x:v>서울 업종추세·수요 강점 / 직장수요 상대적 약점</x:v>
      </x:c>
    </x:row>
    <x:row r="539">
      <x:c r="A539" t="str">
        <x:v>3120056</x:v>
      </x:c>
      <x:c r="B539" t="str">
        <x:v>구의역</x:v>
      </x:c>
      <x:c r="C539" t="str">
        <x:v>발달상권</x:v>
      </x:c>
      <x:c r="D539" t="str">
        <x:v>광진구</x:v>
      </x:c>
      <x:c r="E539" t="str">
        <x:v>구의1동</x:v>
      </x:c>
      <x:c r="F539" t="str">
        <x:v>CS300020</x:v>
      </x:c>
      <x:c r="G539" t="str">
        <x:v>서적</x:v>
      </x:c>
      <x:c r="H539" t="n">
        <x:v>96785986</x:v>
      </x:c>
      <x:c r="I539" t="n">
        <x:v>211</x:v>
      </x:c>
      <x:c r="J539" t="n">
        <x:v>458701.355450237</x:v>
      </x:c>
      <x:c r="K539" s="14" t="n">
        <x:v>1.5995812179231628</x:v>
      </x:c>
      <x:c r="L539" s="14" t="n">
        <x:v>0.20039418624921757</x:v>
      </x:c>
      <x:c r="M539" s="14" t="n">
        <x:v>-0.01061516125540185</x:v>
      </x:c>
      <x:c r="N539" t="n">
        <x:v>8</x:v>
      </x:c>
      <x:c r="O539" t="n">
        <x:v>0</x:v>
      </x:c>
      <x:c r="P539" s="14" t="n">
        <x:v>0</x:v>
      </x:c>
      <x:c r="Q539" s="14" t="n">
        <x:v>0</x:v>
      </x:c>
      <x:c r="R539" s="14" t="n">
        <x:v>-0.2727272727272727</x:v>
      </x:c>
      <x:c r="S539" t="n">
        <x:v>7498</x:v>
      </x:c>
      <x:c r="T539" t="n">
        <x:v>472.3625688258344</x:v>
      </x:c>
      <x:c r="U539" s="14" t="n">
        <x:v>0.9783891853930176</x:v>
      </x:c>
      <x:c r="V539" s="14" t="n">
        <x:v>0.9548900395559332</x:v>
      </x:c>
      <x:c r="W539" s="14" t="n">
        <x:v>0.010700505752971302</x:v>
      </x:c>
      <x:c r="X539" s="14" t="n">
        <x:v>0.036507589022237164</x:v>
      </x:c>
      <x:c r="Y539" s="16" t="n">
        <x:v>48.993288590604024</x:v>
      </x:c>
      <x:c r="Z539" s="16" t="n">
        <x:v>100</x:v>
      </x:c>
      <x:c r="AA539" s="16" t="n">
        <x:v>96.72131147540983</x:v>
      </x:c>
      <x:c r="AB539" s="16" t="n">
        <x:v>81.87919463087249</x:v>
      </x:c>
      <x:c r="AC539" s="16" t="n">
        <x:v>59.395973154362416</x:v>
      </x:c>
      <x:c r="AD539" s="16" t="n">
        <x:v>89.39024390243902</x:v>
      </x:c>
      <x:c r="AE539" s="16" t="n">
        <x:v>74.34683643321195</x:v>
      </x:c>
      <x:c r="AF539" t="str">
        <x:v>검토</x:v>
      </x:c>
      <x:c r="AG539" t="str">
        <x:v>상권 모멘텀·서울 업종추세 강점 / 수요 상대적 약점</x:v>
      </x:c>
    </x:row>
    <x:row r="540">
      <x:c r="A540" t="str">
        <x:v>3120046</x:v>
      </x:c>
      <x:c r="B540" t="str">
        <x:v>이태원(이태원역)</x:v>
      </x:c>
      <x:c r="C540" t="str">
        <x:v>발달상권</x:v>
      </x:c>
      <x:c r="D540" t="str">
        <x:v>용산구</x:v>
      </x:c>
      <x:c r="E540" t="str">
        <x:v>이태원1동</x:v>
      </x:c>
      <x:c r="F540" t="str">
        <x:v>CS100001</x:v>
      </x:c>
      <x:c r="G540" t="str">
        <x:v>한식음식점</x:v>
      </x:c>
      <x:c r="H540" t="n">
        <x:v>14884919186</x:v>
      </x:c>
      <x:c r="I540" t="n">
        <x:v>302942</x:v>
      </x:c>
      <x:c r="J540" t="n">
        <x:v>49134.55112199695</x:v>
      </x:c>
      <x:c r="K540" s="14" t="n">
        <x:v>0.08861293240629253</x:v>
      </x:c>
      <x:c r="L540" s="14" t="n">
        <x:v>-0.0018259958518723751</x:v>
      </x:c>
      <x:c r="M540" s="14" t="n">
        <x:v>0.06341040875687098</x:v>
      </x:c>
      <x:c r="N540" t="n">
        <x:v>157</x:v>
      </x:c>
      <x:c r="O540" t="n">
        <x:v>5</x:v>
      </x:c>
      <x:c r="P540" s="14" t="n">
        <x:v>0.030864197530864196</x:v>
      </x:c>
      <x:c r="Q540" s="14" t="n">
        <x:v>0.09554140127388536</x:v>
      </x:c>
      <x:c r="R540" s="14" t="n">
        <x:v>0.35344827586206895</x:v>
      </x:c>
      <x:c r="S540" t="n">
        <x:v>22140</x:v>
      </x:c>
      <x:c r="T540" t="n">
        <x:v>781.1480123769975</x:v>
      </x:c>
      <x:c r="U540" s="14" t="n">
        <x:v>0.5613256126280187</x:v>
      </x:c>
      <x:c r="V540" s="14" t="n">
        <x:v>0.5278005857357431</x:v>
      </x:c>
      <x:c r="W540" s="14" t="n">
        <x:v>0.6626159740441603</x:v>
      </x:c>
      <x:c r="X540" s="14" t="n">
        <x:v>0.3452023699821517</x:v>
      </x:c>
      <x:c r="Y540" s="16" t="n">
        <x:v>96.44128113879003</x:v>
      </x:c>
      <x:c r="Z540" s="16" t="n">
        <x:v>86.84774839170836</x:v>
      </x:c>
      <x:c r="AA540" s="16" t="n">
        <x:v>40.98360655737705</x:v>
      </x:c>
      <x:c r="AB540" s="16" t="n">
        <x:v>44.555160142348754</x:v>
      </x:c>
      <x:c r="AC540" s="16" t="n">
        <x:v>56.29893238434164</x:v>
      </x:c>
      <x:c r="AD540" s="16" t="n">
        <x:v>94.6951219512195</x:v>
      </x:c>
      <x:c r="AE540" s="16" t="n">
        <x:v>74.3194624178722</x:v>
      </x:c>
      <x:c r="AF540" t="str">
        <x:v>검토</x:v>
      </x:c>
      <x:c r="AG540" t="str">
        <x:v>수요·직장수요 강점 / 서울 업종추세 상대적 약점</x:v>
      </x:c>
    </x:row>
    <x:row r="541">
      <x:c r="A541" t="str">
        <x:v>3120203</x:v>
      </x:c>
      <x:c r="B541" t="str">
        <x:v>강남구청역</x:v>
      </x:c>
      <x:c r="C541" t="str">
        <x:v>발달상권</x:v>
      </x:c>
      <x:c r="D541" t="str">
        <x:v>강남구</x:v>
      </x:c>
      <x:c r="E541" t="str">
        <x:v>논현2동</x:v>
      </x:c>
      <x:c r="F541" t="str">
        <x:v>CS200030</x:v>
      </x:c>
      <x:c r="G541" t="str">
        <x:v>피부관리실</x:v>
      </x:c>
      <x:c r="H541" t="n">
        <x:v>829802656</x:v>
      </x:c>
      <x:c r="I541" t="n">
        <x:v>3953</x:v>
      </x:c>
      <x:c r="J541" t="n">
        <x:v>209917.19099418164</x:v>
      </x:c>
      <x:c r="K541" s="14" t="n">
        <x:v>0.11474817316923658</x:v>
      </x:c>
      <x:c r="L541" s="14" t="n">
        <x:v>0.11857168683779085</x:v>
      </x:c>
      <x:c r="M541" s="14" t="n">
        <x:v>0.0314283578178467</x:v>
      </x:c>
      <x:c r="N541" t="n">
        <x:v>110</x:v>
      </x:c>
      <x:c r="O541" t="n">
        <x:v>0</x:v>
      </x:c>
      <x:c r="P541" s="14" t="n">
        <x:v>0</x:v>
      </x:c>
      <x:c r="Q541" s="14" t="n">
        <x:v>0.045454545454545456</x:v>
      </x:c>
      <x:c r="R541" s="14" t="n">
        <x:v>0.8333333333333333</x:v>
      </x:c>
      <x:c r="S541" t="n">
        <x:v>15763</x:v>
      </x:c>
      <x:c r="T541" t="n">
        <x:v>909.8307667443954</x:v>
      </x:c>
      <x:c r="U541" s="14" t="n">
        <x:v>0.8438613023672944</x:v>
      </x:c>
      <x:c r="V541" s="14" t="n">
        <x:v>0.4432050227132558</x:v>
      </x:c>
      <x:c r="W541" s="14" t="n">
        <x:v>0.4449568307961646</x:v>
      </x:c>
      <x:c r="X541" s="14" t="n">
        <x:v>0.8039123943223435</x:v>
      </x:c>
      <x:c r="Y541" s="16" t="n">
        <x:v>96.7741935483871</x:v>
      </x:c>
      <x:c r="Z541" s="16" t="n">
        <x:v>63.39522546419098</x:v>
      </x:c>
      <x:c r="AA541" s="16" t="n">
        <x:v>91.80327868852459</x:v>
      </x:c>
      <x:c r="AB541" s="16" t="n">
        <x:v>8.312655086848636</x:v>
      </x:c>
      <x:c r="AC541" s="16" t="n">
        <x:v>79.15632754342431</x:v>
      </x:c>
      <x:c r="AD541" s="16" t="n">
        <x:v>96.52439024390245</x:v>
      </x:c>
      <x:c r="AE541" s="16" t="n">
        <x:v>74.30925516761721</x:v>
      </x:c>
      <x:c r="AF541" t="str">
        <x:v>검토</x:v>
      </x:c>
      <x:c r="AG541" t="str">
        <x:v>수요·직장수요 강점 / 경쟁여건 상대적 약점</x:v>
      </x:c>
    </x:row>
    <x:row r="542">
      <x:c r="A542" t="str">
        <x:v>3120099</x:v>
      </x:c>
      <x:c r="B542" t="str">
        <x:v>월드컵경기장역(월드컵경기장)</x:v>
      </x:c>
      <x:c r="C542" t="str">
        <x:v>발달상권</x:v>
      </x:c>
      <x:c r="D542" t="str">
        <x:v>마포구</x:v>
      </x:c>
      <x:c r="E542" t="str">
        <x:v>성산2동</x:v>
      </x:c>
      <x:c r="F542" t="str">
        <x:v>CS300011</x:v>
      </x:c>
      <x:c r="G542" t="str">
        <x:v>일반의류</x:v>
      </x:c>
      <x:c r="H542" t="n">
        <x:v>15500870339</x:v>
      </x:c>
      <x:c r="I542" t="n">
        <x:v>322884</x:v>
      </x:c>
      <x:c r="J542" t="n">
        <x:v>48007.55174923502</x:v>
      </x:c>
      <x:c r="K542" s="14" t="n">
        <x:v>2.856000411292915</x:v>
      </x:c>
      <x:c r="L542" s="14" t="n">
        <x:v>0.06726691045630595</x:v>
      </x:c>
      <x:c r="M542" s="14" t="n">
        <x:v>0.00788849516466894</x:v>
      </x:c>
      <x:c r="N542" t="n">
        <x:v>104</x:v>
      </x:c>
      <x:c r="O542" t="n">
        <x:v>5</x:v>
      </x:c>
      <x:c r="P542" s="14" t="n">
        <x:v>0.045871559633027525</x:v>
      </x:c>
      <x:c r="Q542" s="14" t="n">
        <x:v>0</x:v>
      </x:c>
      <x:c r="R542" s="14" t="n">
        <x:v>-0.054545454545454564</x:v>
      </x:c>
      <x:c r="S542"/>
      <x:c r="T542"/>
      <x:c r="U542" s="14" t="n">
        <x:v>0.6106639384102264</x:v>
      </x:c>
      <x:c r="V542" s="14" t="n">
        <x:v>0.4168207048828731</x:v>
      </x:c>
      <x:c r="W542" s="14" t="n">
        <x:v>0.23267924768879006</x:v>
      </x:c>
      <x:c r="X542" s="14" t="n">
        <x:v>0.6081758449576307</x:v>
      </x:c>
      <x:c r="Y542" s="16" t="n">
        <x:v>97.40871613663133</x:v>
      </x:c>
      <x:c r="Z542" s="16" t="n">
        <x:v>99.15764139590854</x:v>
      </x:c>
      <x:c r="AA542" s="16" t="n">
        <x:v>81.9672131147541</x:v>
      </x:c>
      <x:c r="AB542" s="16" t="n">
        <x:v>29.799764428739692</x:v>
      </x:c>
      <x:c r="AC542" s="16" t="n">
        <x:v>11.071849234393397</x:v>
      </x:c>
      <x:c r="AD542" s="16" t="n">
        <x:v>50</x:v>
      </x:c>
      <x:c r="AE542" s="16" t="n">
        <x:v>74.29681048196608</x:v>
      </x:c>
      <x:c r="AF542" t="str">
        <x:v>검토</x:v>
      </x:c>
      <x:c r="AG542" t="str">
        <x:v>상권 모멘텀·수요 강점 / 안정성 상대적 약점</x:v>
      </x:c>
    </x:row>
    <x:row r="543">
      <x:c r="A543" t="str">
        <x:v>3120164</x:v>
      </x:c>
      <x:c r="B543" t="str">
        <x:v>내방역</x:v>
      </x:c>
      <x:c r="C543" t="str">
        <x:v>발달상권</x:v>
      </x:c>
      <x:c r="D543" t="str">
        <x:v>서초구</x:v>
      </x:c>
      <x:c r="E543" t="str">
        <x:v>방배4동</x:v>
      </x:c>
      <x:c r="F543" t="str">
        <x:v>CS300010</x:v>
      </x:c>
      <x:c r="G543" t="str">
        <x:v>반찬가게</x:v>
      </x:c>
      <x:c r="H543" t="n">
        <x:v>14073503400</x:v>
      </x:c>
      <x:c r="I543" t="n">
        <x:v>1540583</x:v>
      </x:c>
      <x:c r="J543" t="n">
        <x:v>9135.180253189865</x:v>
      </x:c>
      <x:c r="K543" s="14" t="n">
        <x:v>0.15529102054061283</x:v>
      </x:c>
      <x:c r="L543" s="14" t="n">
        <x:v>0.02346021551670452</x:v>
      </x:c>
      <x:c r="M543" s="14" t="n">
        <x:v>0.024589273784872745</x:v>
      </x:c>
      <x:c r="N543" t="n">
        <x:v>32</x:v>
      </x:c>
      <x:c r="O543" t="n">
        <x:v>1</x:v>
      </x:c>
      <x:c r="P543" s="14" t="n">
        <x:v>0.02702702702702703</x:v>
      </x:c>
      <x:c r="Q543" s="14" t="n">
        <x:v>0</x:v>
      </x:c>
      <x:c r="R543" s="14" t="n">
        <x:v>0.28</x:v>
      </x:c>
      <x:c r="S543" t="n">
        <x:v>12182</x:v>
      </x:c>
      <x:c r="T543" t="n">
        <x:v>573.1546087144719</x:v>
      </x:c>
      <x:c r="U543" s="14" t="n">
        <x:v>0.9339407467653008</x:v>
      </x:c>
      <x:c r="V543" s="14" t="n">
        <x:v>0.10203793569979171</x:v>
      </x:c>
      <x:c r="W543" s="14" t="n">
        <x:v>0.16355637310607393</x:v>
      </x:c>
      <x:c r="X543" s="14" t="n">
        <x:v>0.6253428387277045</x:v>
      </x:c>
      <x:c r="Y543" s="16" t="n">
        <x:v>97.74436090225564</x:v>
      </x:c>
      <x:c r="Z543" s="16" t="n">
        <x:v>81.38888888888889</x:v>
      </x:c>
      <x:c r="AA543" s="16" t="n">
        <x:v>63.9344262295082</x:v>
      </x:c>
      <x:c r="AB543" s="16" t="n">
        <x:v>44.48621553884712</x:v>
      </x:c>
      <x:c r="AC543" s="16" t="n">
        <x:v>29.573934837092736</x:v>
      </x:c>
      <x:c r="AD543" s="16" t="n">
        <x:v>91.70731707317073</x:v>
      </x:c>
      <x:c r="AE543" s="16" t="n">
        <x:v>74.29415969618834</x:v>
      </x:c>
      <x:c r="AF543" t="str">
        <x:v>검토</x:v>
      </x:c>
      <x:c r="AG543" t="str">
        <x:v>수요·직장수요 강점 / 안정성 상대적 약점</x:v>
      </x:c>
    </x:row>
    <x:row r="544">
      <x:c r="A544" t="str">
        <x:v>3120187</x:v>
      </x:c>
      <x:c r="B544" t="str">
        <x:v>신논현역</x:v>
      </x:c>
      <x:c r="C544" t="str">
        <x:v>발달상권</x:v>
      </x:c>
      <x:c r="D544" t="str">
        <x:v>강남구</x:v>
      </x:c>
      <x:c r="E544" t="str">
        <x:v>논현1동</x:v>
      </x:c>
      <x:c r="F544" t="str">
        <x:v>CS200003</x:v>
      </x:c>
      <x:c r="G544" t="str">
        <x:v>예술학원</x:v>
      </x:c>
      <x:c r="H544" t="n">
        <x:v>853209859</x:v>
      </x:c>
      <x:c r="I544" t="n">
        <x:v>1634</x:v>
      </x:c>
      <x:c r="J544" t="n">
        <x:v>522160.2564259486</x:v>
      </x:c>
      <x:c r="K544" s="14" t="n">
        <x:v>0.17875614211982183</x:v>
      </x:c>
      <x:c r="L544" s="14" t="n">
        <x:v>0.09364146198394163</x:v>
      </x:c>
      <x:c r="M544" s="14" t="n">
        <x:v>0.053788091189524545</x:v>
      </x:c>
      <x:c r="N544" t="n">
        <x:v>43</x:v>
      </x:c>
      <x:c r="O544" t="n">
        <x:v>1</x:v>
      </x:c>
      <x:c r="P544" s="14" t="n">
        <x:v>0.020833333333333332</x:v>
      </x:c>
      <x:c r="Q544" s="14" t="n">
        <x:v>0.023255813953488372</x:v>
      </x:c>
      <x:c r="R544" s="14" t="n">
        <x:v>0.023809523809523725</x:v>
      </x:c>
      <x:c r="S544" t="n">
        <x:v>25051</x:v>
      </x:c>
      <x:c r="T544" t="n">
        <x:v>655.1130776794494</x:v>
      </x:c>
      <x:c r="U544" s="14" t="n">
        <x:v>0.8902487799311751</x:v>
      </x:c>
      <x:c r="V544" s="14" t="n">
        <x:v>0.6377319662453642</x:v>
      </x:c>
      <x:c r="W544" s="14" t="n">
        <x:v>0.15686412854730034</x:v>
      </x:c>
      <x:c r="X544" s="14" t="n">
        <x:v>0.7728348753175859</x:v>
      </x:c>
      <x:c r="Y544" s="16" t="n">
        <x:v>94.62151394422311</x:v>
      </x:c>
      <x:c r="Z544" s="16" t="n">
        <x:v>80.3680981595092</x:v>
      </x:c>
      <x:c r="AA544" s="16" t="n">
        <x:v>88.52459016393442</x:v>
      </x:c>
      <x:c r="AB544" s="16" t="n">
        <x:v>23.10756972111554</x:v>
      </x:c>
      <x:c r="AC544" s="16" t="n">
        <x:v>36.75298804780876</x:v>
      </x:c>
      <x:c r="AD544" s="16" t="n">
        <x:v>93.53658536585365</x:v>
      </x:c>
      <x:c r="AE544" s="16" t="n">
        <x:v>74.28810156821098</x:v>
      </x:c>
      <x:c r="AF544" t="str">
        <x:v>검토</x:v>
      </x:c>
      <x:c r="AG544" t="str">
        <x:v>수요·직장수요 강점 / 경쟁여건 상대적 약점</x:v>
      </x:c>
    </x:row>
    <x:row r="545">
      <x:c r="A545" t="str">
        <x:v>3110988</x:v>
      </x:c>
      <x:c r="B545" t="str">
        <x:v>청담역 3번</x:v>
      </x:c>
      <x:c r="C545" t="str">
        <x:v>골목상권</x:v>
      </x:c>
      <x:c r="D545" t="str">
        <x:v>강남구</x:v>
      </x:c>
      <x:c r="E545" t="str">
        <x:v>삼성1동</x:v>
      </x:c>
      <x:c r="F545" t="str">
        <x:v>CS200028</x:v>
      </x:c>
      <x:c r="G545" t="str">
        <x:v>미용실</x:v>
      </x:c>
      <x:c r="H545" t="n">
        <x:v>370609238</x:v>
      </x:c>
      <x:c r="I545" t="n">
        <x:v>2761</x:v>
      </x:c>
      <x:c r="J545" t="n">
        <x:v>134230.07533502355</x:v>
      </x:c>
      <x:c r="K545" s="14" t="n">
        <x:v>0.1010782000647652</x:v>
      </x:c>
      <x:c r="L545" s="14" t="n">
        <x:v>0.02168887159425803</x:v>
      </x:c>
      <x:c r="M545" s="14" t="n">
        <x:v>-0.013481964371473865</x:v>
      </x:c>
      <x:c r="N545" t="n">
        <x:v>32</x:v>
      </x:c>
      <x:c r="O545" t="n">
        <x:v>1</x:v>
      </x:c>
      <x:c r="P545" s="14" t="n">
        <x:v>0.02702702702702703</x:v>
      </x:c>
      <x:c r="Q545" s="14" t="n">
        <x:v>0.1875</x:v>
      </x:c>
      <x:c r="R545" s="14" t="n">
        <x:v>-0.1351351351351351</x:v>
      </x:c>
      <x:c r="S545" t="n">
        <x:v>863</x:v>
      </x:c>
      <x:c r="T545" t="n">
        <x:v>108.98528761760434</x:v>
      </x:c>
      <x:c r="U545" s="14" t="n">
        <x:v>0.475674200544348</x:v>
      </x:c>
      <x:c r="V545" s="14" t="n">
        <x:v>0.09572071163536404</x:v>
      </x:c>
      <x:c r="W545" s="14" t="n">
        <x:v>0.1601812364968625</x:v>
      </x:c>
      <x:c r="X545" s="14" t="n">
        <x:v>0.5515130197591027</x:v>
      </x:c>
      <x:c r="Y545" s="16" t="n">
        <x:v>89.61504028648164</x:v>
      </x:c>
      <x:c r="Z545" s="16" t="n">
        <x:v>85.16187050359713</x:v>
      </x:c>
      <x:c r="AA545" s="16" t="n">
        <x:v>57.377049180327866</x:v>
      </x:c>
      <x:c r="AB545" s="16" t="n">
        <x:v>84.24350940017905</x:v>
      </x:c>
      <x:c r="AC545" s="16" t="n">
        <x:v>15.890778871978512</x:v>
      </x:c>
      <x:c r="AD545" s="16" t="n">
        <x:v>61.03658536585366</x:v>
      </x:c>
      <x:c r="AE545" s="16" t="n">
        <x:v>74.28162914355455</x:v>
      </x:c>
      <x:c r="AF545" t="str">
        <x:v>검토</x:v>
      </x:c>
      <x:c r="AG545" t="str">
        <x:v>수요·상권 모멘텀 강점 / 안정성 상대적 약점</x:v>
      </x:c>
    </x:row>
    <x:row r="546">
      <x:c r="A546" t="str">
        <x:v>3120131</x:v>
      </x:c>
      <x:c r="B546" t="str">
        <x:v>가산디지털단지</x:v>
      </x:c>
      <x:c r="C546" t="str">
        <x:v>발달상권</x:v>
      </x:c>
      <x:c r="D546" t="str">
        <x:v>금천구</x:v>
      </x:c>
      <x:c r="E546" t="str">
        <x:v>가산동</x:v>
      </x:c>
      <x:c r="F546" t="str">
        <x:v>CS200028</x:v>
      </x:c>
      <x:c r="G546" t="str">
        <x:v>미용실</x:v>
      </x:c>
      <x:c r="H546" t="n">
        <x:v>667019571</x:v>
      </x:c>
      <x:c r="I546" t="n">
        <x:v>13338</x:v>
      </x:c>
      <x:c r="J546" t="n">
        <x:v>50008.964687359425</x:v>
      </x:c>
      <x:c r="K546" s="14" t="n">
        <x:v>0.10489155181130982</x:v>
      </x:c>
      <x:c r="L546" s="14" t="n">
        <x:v>0.02168887159425803</x:v>
      </x:c>
      <x:c r="M546" s="14" t="n">
        <x:v>-0.013481964371473865</x:v>
      </x:c>
      <x:c r="N546" t="n">
        <x:v>64</x:v>
      </x:c>
      <x:c r="O546" t="n">
        <x:v>1</x:v>
      </x:c>
      <x:c r="P546" s="14" t="n">
        <x:v>0.014492753623188406</x:v>
      </x:c>
      <x:c r="Q546" s="14" t="n">
        <x:v>0.140625</x:v>
      </x:c>
      <x:c r="R546" s="14" t="n">
        <x:v>0.1428571428571428</x:v>
      </x:c>
      <x:c r="S546" t="n">
        <x:v>104860</x:v>
      </x:c>
      <x:c r="T546" t="n">
        <x:v>611.9209626404921</x:v>
      </x:c>
      <x:c r="U546" s="14" t="n">
        <x:v>0.7093640960049131</x:v>
      </x:c>
      <x:c r="V546" s="14" t="n">
        <x:v>0.4777764249439092</x:v>
      </x:c>
      <x:c r="W546" s="14" t="n">
        <x:v>0.5415202337443858</x:v>
      </x:c>
      <x:c r="X546" s="14" t="n">
        <x:v>0.406675574141437</x:v>
      </x:c>
      <x:c r="Y546" s="16" t="n">
        <x:v>95.43419874664279</x:v>
      </x:c>
      <x:c r="Z546" s="16" t="n">
        <x:v>86.42086330935251</x:v>
      </x:c>
      <x:c r="AA546" s="16" t="n">
        <x:v>57.377049180327866</x:v>
      </x:c>
      <x:c r="AB546" s="16" t="n">
        <x:v>42.30080572963295</x:v>
      </x:c>
      <x:c r="AC546" s="16" t="n">
        <x:v>39.79409131602507</x:v>
      </x:c>
      <x:c r="AD546" s="16" t="n">
        <x:v>92.7439024390244</x:v>
      </x:c>
      <x:c r="AE546" s="16" t="n">
        <x:v>74.25442471324332</x:v>
      </x:c>
      <x:c r="AF546" t="str">
        <x:v>검토</x:v>
      </x:c>
      <x:c r="AG546" t="str">
        <x:v>수요·직장수요 강점 / 안정성 상대적 약점</x:v>
      </x:c>
    </x:row>
    <x:row r="547">
      <x:c r="A547" t="str">
        <x:v>3001491</x:v>
      </x:c>
      <x:c r="B547" t="str">
        <x:v>이태원 관광특구</x:v>
      </x:c>
      <x:c r="C547" t="str">
        <x:v>관광특구</x:v>
      </x:c>
      <x:c r="D547" t="str">
        <x:v>용산구</x:v>
      </x:c>
      <x:c r="E547" t="str">
        <x:v>이태원1동</x:v>
      </x:c>
      <x:c r="F547" t="str">
        <x:v>CS300002</x:v>
      </x:c>
      <x:c r="G547" t="str">
        <x:v>편의점</x:v>
      </x:c>
      <x:c r="H547" t="n">
        <x:v>5443233163</x:v>
      </x:c>
      <x:c r="I547" t="n">
        <x:v>854773</x:v>
      </x:c>
      <x:c r="J547" t="n">
        <x:v>6368.045274008421</x:v>
      </x:c>
      <x:c r="K547" s="14" t="n">
        <x:v>0.06223003758029155</x:v>
      </x:c>
      <x:c r="L547" s="14" t="n">
        <x:v>-0.03570715280155945</x:v>
      </x:c>
      <x:c r="M547" s="14" t="n">
        <x:v>-0.014869839696300402</x:v>
      </x:c>
      <x:c r="N547" t="n">
        <x:v>26</x:v>
      </x:c>
      <x:c r="O547" t="n">
        <x:v>0</x:v>
      </x:c>
      <x:c r="P547" s="14" t="n">
        <x:v>0</x:v>
      </x:c>
      <x:c r="Q547" s="14" t="n">
        <x:v>0.7307692307692307</x:v>
      </x:c>
      <x:c r="R547" s="14" t="n">
        <x:v>0</x:v>
      </x:c>
      <x:c r="S547" t="n">
        <x:v>35826</x:v>
      </x:c>
      <x:c r="T547" t="n">
        <x:v>961.6040154067075</x:v>
      </x:c>
      <x:c r="U547" s="14" t="n">
        <x:v>0.6184039364473574</x:v>
      </x:c>
      <x:c r="V547" s="14" t="n">
        <x:v>0.384023940993174</x:v>
      </x:c>
      <x:c r="W547" s="14" t="n">
        <x:v>0.6516806211999484</x:v>
      </x:c>
      <x:c r="X547" s="14" t="n">
        <x:v>0.31811128370728586</x:v>
      </x:c>
      <x:c r="Y547" s="16" t="n">
        <x:v>96.26865671641791</x:v>
      </x:c>
      <x:c r="Z547" s="16" t="n">
        <x:v>85.25835866261399</x:v>
      </x:c>
      <x:c r="AA547" s="16" t="n">
        <x:v>29.508196721311474</x:v>
      </x:c>
      <x:c r="AB547" s="16" t="n">
        <x:v>45.223880597014926</x:v>
      </x:c>
      <x:c r="AC547" s="16" t="n">
        <x:v>74.40298507462687</x:v>
      </x:c>
      <x:c r="AD547" s="16" t="n">
        <x:v>96.76829268292683</x:v>
      </x:c>
      <x:c r="AE547" s="16" t="n">
        <x:v>74.23422632262707</x:v>
      </x:c>
      <x:c r="AF547" t="str">
        <x:v>검토</x:v>
      </x:c>
      <x:c r="AG547" t="str">
        <x:v>직장수요·수요 강점 / 서울 업종추세 상대적 약점</x:v>
      </x:c>
    </x:row>
    <x:row r="548">
      <x:c r="A548" t="str">
        <x:v>3120208</x:v>
      </x:c>
      <x:c r="B548" t="str">
        <x:v>청담사거리(청담동명품거리)</x:v>
      </x:c>
      <x:c r="C548" t="str">
        <x:v>발달상권</x:v>
      </x:c>
      <x:c r="D548" t="str">
        <x:v>강남구</x:v>
      </x:c>
      <x:c r="E548" t="str">
        <x:v>청담동</x:v>
      </x:c>
      <x:c r="F548" t="str">
        <x:v>CS300029</x:v>
      </x:c>
      <x:c r="G548" t="str">
        <x:v>애완동물</x:v>
      </x:c>
      <x:c r="H548" t="n">
        <x:v>435782632</x:v>
      </x:c>
      <x:c r="I548" t="n">
        <x:v>1602</x:v>
      </x:c>
      <x:c r="J548" t="n">
        <x:v>272024.11485642946</x:v>
      </x:c>
      <x:c r="K548" s="14" t="n">
        <x:v>0.16635159889674522</x:v>
      </x:c>
      <x:c r="L548" s="14" t="n">
        <x:v>0.041190648357217086</x:v>
      </x:c>
      <x:c r="M548" s="14" t="n">
        <x:v>-0.09713695399403299</x:v>
      </x:c>
      <x:c r="N548" t="n">
        <x:v>22</x:v>
      </x:c>
      <x:c r="O548" t="n">
        <x:v>0</x:v>
      </x:c>
      <x:c r="P548" s="14" t="n">
        <x:v>0</x:v>
      </x:c>
      <x:c r="Q548" s="14" t="n">
        <x:v>0</x:v>
      </x:c>
      <x:c r="R548" s="14" t="n">
        <x:v>0.6923076923076923</x:v>
      </x:c>
      <x:c r="S548" t="n">
        <x:v>18696</x:v>
      </x:c>
      <x:c r="T548" t="n">
        <x:v>564.259349242614</x:v>
      </x:c>
      <x:c r="U548" s="14" t="n">
        <x:v>0.7139991962782032</x:v>
      </x:c>
      <x:c r="V548" s="14" t="n">
        <x:v>0.30602353376946884</x:v>
      </x:c>
      <x:c r="W548" s="14" t="n">
        <x:v>0.27318157553373995</x:v>
      </x:c>
      <x:c r="X548" s="14" t="n">
        <x:v>0.7611645959309365</x:v>
      </x:c>
      <x:c r="Y548" s="16" t="n">
        <x:v>97.1830985915493</x:v>
      </x:c>
      <x:c r="Z548" s="16" t="n">
        <x:v>81.53846153846153</x:v>
      </x:c>
      <x:c r="AA548" s="16" t="n">
        <x:v>77.04918032786885</x:v>
      </x:c>
      <x:c r="AB548" s="16" t="n">
        <x:v>9.154929577464785</x:v>
      </x:c>
      <x:c r="AC548" s="16" t="n">
        <x:v>64.08450704225352</x:v>
      </x:c>
      <x:c r="AD548" s="16" t="n">
        <x:v>91.46341463414635</x:v>
      </x:c>
      <x:c r="AE548" s="16" t="n">
        <x:v>74.23401473646727</x:v>
      </x:c>
      <x:c r="AF548" t="str">
        <x:v>검토</x:v>
      </x:c>
      <x:c r="AG548" t="str">
        <x:v>수요·직장수요 강점 / 경쟁여건 상대적 약점</x:v>
      </x:c>
    </x:row>
    <x:row r="549">
      <x:c r="A549" t="str">
        <x:v>3110045</x:v>
      </x:c>
      <x:c r="B549" t="str">
        <x:v>동대문역사문화공원역 5번</x:v>
      </x:c>
      <x:c r="C549" t="str">
        <x:v>골목상권</x:v>
      </x:c>
      <x:c r="D549" t="str">
        <x:v>중구</x:v>
      </x:c>
      <x:c r="E549" t="str">
        <x:v>장충동</x:v>
      </x:c>
      <x:c r="F549" t="str">
        <x:v>CS300010</x:v>
      </x:c>
      <x:c r="G549" t="str">
        <x:v>반찬가게</x:v>
      </x:c>
      <x:c r="H549" t="n">
        <x:v>1938000000</x:v>
      </x:c>
      <x:c r="I549" t="n">
        <x:v>4970</x:v>
      </x:c>
      <x:c r="J549" t="n">
        <x:v>389939.63782696176</x:v>
      </x:c>
      <x:c r="K549" s="14" t="n">
        <x:v>0</x:v>
      </x:c>
      <x:c r="L549" s="14" t="n">
        <x:v>0.02346021551670452</x:v>
      </x:c>
      <x:c r="M549" s="14" t="n">
        <x:v>0.024589273784872745</x:v>
      </x:c>
      <x:c r="N549" t="n">
        <x:v>7</x:v>
      </x:c>
      <x:c r="O549" t="n">
        <x:v>0</x:v>
      </x:c>
      <x:c r="P549" s="14" t="n">
        <x:v>0</x:v>
      </x:c>
      <x:c r="Q549" s="14" t="n">
        <x:v>0</x:v>
      </x:c>
      <x:c r="R549" s="14" t="n">
        <x:v>0.3999999999999999</x:v>
      </x:c>
      <x:c r="S549" t="n">
        <x:v>1216</x:v>
      </x:c>
      <x:c r="T549" t="n">
        <x:v>271.3074520303436</x:v>
      </x:c>
      <x:c r="U549" s="14" t="n">
        <x:v>1</x:v>
      </x:c>
      <x:c r="V549" s="14" t="n">
        <x:v>0</x:v>
      </x:c>
      <x:c r="W549" s="14" t="n">
        <x:v>0</x:v>
      </x:c>
      <x:c r="X549" s="14" t="n">
        <x:v>0.9644619752321981</x:v>
      </x:c>
      <x:c r="Y549" s="16" t="n">
        <x:v>85.71428571428571</x:v>
      </x:c>
      <x:c r="Z549" s="16" t="n">
        <x:v>41.80555555555556</x:v>
      </x:c>
      <x:c r="AA549" s="16" t="n">
        <x:v>63.9344262295082</x:v>
      </x:c>
      <x:c r="AB549" s="16" t="n">
        <x:v>98.49624060150376</x:v>
      </x:c>
      <x:c r="AC549" s="16" t="n">
        <x:v>73.93483709273183</x:v>
      </x:c>
      <x:c r="AD549" s="16" t="n">
        <x:v>82.2560975609756</x:v>
      </x:c>
      <x:c r="AE549" s="16" t="n">
        <x:v>74.23199972308485</x:v>
      </x:c>
      <x:c r="AF549" t="str">
        <x:v>검토</x:v>
      </x:c>
      <x:c r="AG549" t="str">
        <x:v>경쟁여건·수요 강점 / 상권 모멘텀 상대적 약점</x:v>
      </x:c>
    </x:row>
    <x:row r="550">
      <x:c r="A550" t="str">
        <x:v>3130056</x:v>
      </x:c>
      <x:c r="B550" t="str">
        <x:v>용산용문시장</x:v>
      </x:c>
      <x:c r="C550" t="str">
        <x:v>전통시장</x:v>
      </x:c>
      <x:c r="D550" t="str">
        <x:v>용산구</x:v>
      </x:c>
      <x:c r="E550" t="str">
        <x:v>용문동</x:v>
      </x:c>
      <x:c r="F550" t="str">
        <x:v>CS200028</x:v>
      </x:c>
      <x:c r="G550" t="str">
        <x:v>미용실</x:v>
      </x:c>
      <x:c r="H550" t="n">
        <x:v>167935287</x:v>
      </x:c>
      <x:c r="I550" t="n">
        <x:v>7108</x:v>
      </x:c>
      <x:c r="J550" t="n">
        <x:v>23626.236212718064</x:v>
      </x:c>
      <x:c r="K550" s="14" t="n">
        <x:v>0.06677687445976965</x:v>
      </x:c>
      <x:c r="L550" s="14" t="n">
        <x:v>0.02168887159425803</x:v>
      </x:c>
      <x:c r="M550" s="14" t="n">
        <x:v>-0.013481964371473865</x:v>
      </x:c>
      <x:c r="N550" t="n">
        <x:v>28</x:v>
      </x:c>
      <x:c r="O550" t="n">
        <x:v>0</x:v>
      </x:c>
      <x:c r="P550" s="14" t="n">
        <x:v>0</x:v>
      </x:c>
      <x:c r="Q550" s="14" t="n">
        <x:v>0.07142857142857142</x:v>
      </x:c>
      <x:c r="R550" s="14" t="n">
        <x:v>-0.03448275862068961</x:v>
      </x:c>
      <x:c r="S550" t="n">
        <x:v>909</x:v>
      </x:c>
      <x:c r="T550" t="n">
        <x:v>225.86095512597524</x:v>
      </x:c>
      <x:c r="U550" s="14" t="n">
        <x:v>0.7668597547339768</x:v>
      </x:c>
      <x:c r="V550" s="14" t="n">
        <x:v>0.4228382567387401</x:v>
      </x:c>
      <x:c r="W550" s="14" t="n">
        <x:v>0.04825233067306456</x:v>
      </x:c>
      <x:c r="X550" s="14" t="n">
        <x:v>0.7078660781995151</x:v>
      </x:c>
      <x:c r="Y550" s="16" t="n">
        <x:v>73.14234556848702</x:v>
      </x:c>
      <x:c r="Z550" s="16" t="n">
        <x:v>75.35971223021583</x:v>
      </x:c>
      <x:c r="AA550" s="16" t="n">
        <x:v>57.377049180327866</x:v>
      </x:c>
      <x:c r="AB550" s="16" t="n">
        <x:v>89.6598030438675</x:v>
      </x:c>
      <x:c r="AC550" s="16" t="n">
        <x:v>75.60429722470904</x:v>
      </x:c>
      <x:c r="AD550" s="16" t="n">
        <x:v>78.78048780487805</x:v>
      </x:c>
      <x:c r="AE550" s="16" t="n">
        <x:v>74.22674534135773</x:v>
      </x:c>
      <x:c r="AF550" t="str">
        <x:v>검토</x:v>
      </x:c>
      <x:c r="AG550" t="str">
        <x:v>경쟁여건·직장수요 강점 / 서울 업종추세 상대적 약점</x:v>
      </x:c>
    </x:row>
    <x:row r="551">
      <x:c r="A551" t="str">
        <x:v>3120159</x:v>
      </x:c>
      <x:c r="B551" t="str">
        <x:v>서울대입구역</x:v>
      </x:c>
      <x:c r="C551" t="str">
        <x:v>발달상권</x:v>
      </x:c>
      <x:c r="D551" t="str">
        <x:v>관악구</x:v>
      </x:c>
      <x:c r="E551" t="str">
        <x:v>청룡동</x:v>
      </x:c>
      <x:c r="F551" t="str">
        <x:v>CS300032</x:v>
      </x:c>
      <x:c r="G551" t="str">
        <x:v>가전제품</x:v>
      </x:c>
      <x:c r="H551" t="n">
        <x:v>1769620261</x:v>
      </x:c>
      <x:c r="I551" t="n">
        <x:v>4700</x:v>
      </x:c>
      <x:c r="J551" t="n">
        <x:v>376514.9491489362</x:v>
      </x:c>
      <x:c r="K551" s="14" t="n">
        <x:v>0.028447027169944406</x:v>
      </x:c>
      <x:c r="L551" s="14" t="n">
        <x:v>0.08324168862116821</x:v>
      </x:c>
      <x:c r="M551" s="14" t="n">
        <x:v>-0.006486947916917396</x:v>
      </x:c>
      <x:c r="N551" t="n">
        <x:v>10</x:v>
      </x:c>
      <x:c r="O551" t="n">
        <x:v>0</x:v>
      </x:c>
      <x:c r="P551" s="14" t="n">
        <x:v>0</x:v>
      </x:c>
      <x:c r="Q551" s="14" t="n">
        <x:v>0</x:v>
      </x:c>
      <x:c r="R551" s="14" t="n">
        <x:v>0</x:v>
      </x:c>
      <x:c r="S551" t="n">
        <x:v>6550</x:v>
      </x:c>
      <x:c r="T551" t="n">
        <x:v>278.2285126880697</x:v>
      </x:c>
      <x:c r="U551" s="14" t="n">
        <x:v>0.5879044131265176</x:v>
      </x:c>
      <x:c r="V551" s="14" t="n">
        <x:v>0.3592537585666804</x:v>
      </x:c>
      <x:c r="W551" s="14" t="n">
        <x:v>0.20884209632136438</x:v>
      </x:c>
      <x:c r="X551" s="14" t="n">
        <x:v>0.44256045506477165</x:v>
      </x:c>
      <x:c r="Y551" s="16" t="n">
        <x:v>87.27272727272727</x:v>
      </x:c>
      <x:c r="Z551" s="16" t="n">
        <x:v>57.142857142857146</x:v>
      </x:c>
      <x:c r="AA551" s="16" t="n">
        <x:v>85.24590163934427</x:v>
      </x:c>
      <x:c r="AB551" s="16" t="n">
        <x:v>62.72727272727273</x:v>
      </x:c>
      <x:c r="AC551" s="16" t="n">
        <x:v>59.09090909090909</x:v>
      </x:c>
      <x:c r="AD551" s="16" t="n">
        <x:v>82.8048780487805</x:v>
      </x:c>
      <x:c r="AE551" s="16" t="n">
        <x:v>74.21933694054844</x:v>
      </x:c>
      <x:c r="AF551" t="str">
        <x:v>검토</x:v>
      </x:c>
      <x:c r="AG551" t="str">
        <x:v>수요·서울 업종추세 강점 / 상권 모멘텀 상대적 약점</x:v>
      </x:c>
    </x:row>
    <x:row r="552">
      <x:c r="A552" t="str">
        <x:v>3120249</x:v>
      </x:c>
      <x:c r="B552" t="str">
        <x:v>고덕역</x:v>
      </x:c>
      <x:c r="C552" t="str">
        <x:v>발달상권</x:v>
      </x:c>
      <x:c r="D552" t="str">
        <x:v>강동구</x:v>
      </x:c>
      <x:c r="E552" t="str">
        <x:v>명일2동</x:v>
      </x:c>
      <x:c r="F552" t="str">
        <x:v>CS300016</x:v>
      </x:c>
      <x:c r="G552" t="str">
        <x:v>안경</x:v>
      </x:c>
      <x:c r="H552" t="n">
        <x:v>401254773</x:v>
      </x:c>
      <x:c r="I552" t="n">
        <x:v>4496</x:v>
      </x:c>
      <x:c r="J552" t="n">
        <x:v>89247.05805160143</x:v>
      </x:c>
      <x:c r="K552" s="14" t="n">
        <x:v>0.0732119909008424</x:v>
      </x:c>
      <x:c r="L552" s="14" t="n">
        <x:v>0.02313988190963734</x:v>
      </x:c>
      <x:c r="M552" s="14" t="n">
        <x:v>0.009707725123368816</x:v>
      </x:c>
      <x:c r="N552" t="n">
        <x:v>4</x:v>
      </x:c>
      <x:c r="O552" t="n">
        <x:v>0</x:v>
      </x:c>
      <x:c r="P552" s="14" t="n">
        <x:v>0</x:v>
      </x:c>
      <x:c r="Q552" s="14" t="n">
        <x:v>0.25</x:v>
      </x:c>
      <x:c r="R552" s="14" t="n">
        <x:v>-0.5</x:v>
      </x:c>
      <x:c r="S552" t="n">
        <x:v>2311</x:v>
      </x:c>
      <x:c r="T552" t="n">
        <x:v>250.08927895072884</x:v>
      </x:c>
      <x:c r="U552" s="14" t="n">
        <x:v>0.6931148280695966</x:v>
      </x:c>
      <x:c r="V552" s="14" t="n">
        <x:v>0.3613800003321082</x:v>
      </x:c>
      <x:c r="W552" s="14" t="n">
        <x:v>0.23058297925841745</x:v>
      </x:c>
      <x:c r="X552" s="14" t="n">
        <x:v>0.5646553243617117</x:v>
      </x:c>
      <x:c r="Y552" s="16" t="n">
        <x:v>69.56521739130434</x:v>
      </x:c>
      <x:c r="Z552" s="16" t="n">
        <x:v>82.92682926829268</x:v>
      </x:c>
      <x:c r="AA552" s="16" t="n">
        <x:v>62.295081967213115</x:v>
      </x:c>
      <x:c r="AB552" s="16" t="n">
        <x:v>94.41747572815534</x:v>
      </x:c>
      <x:c r="AC552" s="16" t="n">
        <x:v>57.28155339805825</x:v>
      </x:c>
      <x:c r="AD552" s="16" t="n">
        <x:v>80.67073170731707</x:v>
      </x:c>
      <x:c r="AE552" s="16" t="n">
        <x:v>74.201767520092</x:v>
      </x:c>
      <x:c r="AF552" t="str">
        <x:v>검토</x:v>
      </x:c>
      <x:c r="AG552" t="str">
        <x:v>경쟁여건·상권 모멘텀 강점 / 안정성 상대적 약점</x:v>
      </x:c>
    </x:row>
    <x:row r="553">
      <x:c r="A553" t="str">
        <x:v>3120244</x:v>
      </x:c>
      <x:c r="B553" t="str">
        <x:v>암사역</x:v>
      </x:c>
      <x:c r="C553" t="str">
        <x:v>발달상권</x:v>
      </x:c>
      <x:c r="D553" t="str">
        <x:v>강동구</x:v>
      </x:c>
      <x:c r="E553" t="str">
        <x:v>암사2동</x:v>
      </x:c>
      <x:c r="F553" t="str">
        <x:v>CS300018</x:v>
      </x:c>
      <x:c r="G553" t="str">
        <x:v>의약품</x:v>
      </x:c>
      <x:c r="H553" t="n">
        <x:v>3657967730</x:v>
      </x:c>
      <x:c r="I553" t="n">
        <x:v>277714</x:v>
      </x:c>
      <x:c r="J553" t="n">
        <x:v>13171.708052168779</x:v>
      </x:c>
      <x:c r="K553" s="14" t="n">
        <x:v>0.014570807352714432</x:v>
      </x:c>
      <x:c r="L553" s="14" t="n">
        <x:v>0.027829225601598617</x:v>
      </x:c>
      <x:c r="M553" s="14" t="n">
        <x:v>0.02632929521123617</x:v>
      </x:c>
      <x:c r="N553" t="n">
        <x:v>11</x:v>
      </x:c>
      <x:c r="O553" t="n">
        <x:v>0</x:v>
      </x:c>
      <x:c r="P553" s="14" t="n">
        <x:v>0</x:v>
      </x:c>
      <x:c r="Q553" s="14" t="n">
        <x:v>0.36363636363636365</x:v>
      </x:c>
      <x:c r="R553" s="14" t="n">
        <x:v>-0.08333333333333337</x:v>
      </x:c>
      <x:c r="S553" t="n">
        <x:v>1399</x:v>
      </x:c>
      <x:c r="T553" t="n">
        <x:v>173.5624340921779</x:v>
      </x:c>
      <x:c r="U553" s="14" t="n">
        <x:v>0.830535745322171</x:v>
      </x:c>
      <x:c r="V553" s="14" t="n">
        <x:v>0.21976675638961965</x:v>
      </x:c>
      <x:c r="W553" s="14" t="n">
        <x:v>0.16652725637904958</x:v>
      </x:c>
      <x:c r="X553" s="14" t="n">
        <x:v>0.49640517441087434</x:v>
      </x:c>
      <x:c r="Y553" s="16" t="n">
        <x:v>81.27147766323024</x:v>
      </x:c>
      <x:c r="Z553" s="16" t="n">
        <x:v>55.24475524475525</x:v>
      </x:c>
      <x:c r="AA553" s="16" t="n">
        <x:v>72.1311475409836</x:v>
      </x:c>
      <x:c r="AB553" s="16" t="n">
        <x:v>90.54982817869416</x:v>
      </x:c>
      <x:c r="AC553" s="16" t="n">
        <x:v>66.32302405498282</x:v>
      </x:c>
      <x:c r="AD553" s="16" t="n">
        <x:v>73.23170731707317</x:v>
      </x:c>
      <x:c r="AE553" s="16" t="n">
        <x:v>74.19000236038524</x:v>
      </x:c>
      <x:c r="AF553" t="str">
        <x:v>검토</x:v>
      </x:c>
      <x:c r="AG553" t="str">
        <x:v>경쟁여건·수요 강점 / 상권 모멘텀 상대적 약점</x:v>
      </x:c>
    </x:row>
    <x:row r="554">
      <x:c r="A554" t="str">
        <x:v>3120149</x:v>
      </x:c>
      <x:c r="B554" t="str">
        <x:v>여의도역(여의도)</x:v>
      </x:c>
      <x:c r="C554" t="str">
        <x:v>발달상권</x:v>
      </x:c>
      <x:c r="D554" t="str">
        <x:v>영등포구</x:v>
      </x:c>
      <x:c r="E554" t="str">
        <x:v>여의동</x:v>
      </x:c>
      <x:c r="F554" t="str">
        <x:v>CS300017</x:v>
      </x:c>
      <x:c r="G554" t="str">
        <x:v>시계및귀금속</x:v>
      </x:c>
      <x:c r="H554" t="n">
        <x:v>1077578193</x:v>
      </x:c>
      <x:c r="I554" t="n">
        <x:v>1932</x:v>
      </x:c>
      <x:c r="J554" t="n">
        <x:v>557752.6878881988</x:v>
      </x:c>
      <x:c r="K554" s="14" t="n">
        <x:v>0.2805300983694672</x:v>
      </x:c>
      <x:c r="L554" s="14" t="n">
        <x:v>0.09182238369060247</x:v>
      </x:c>
      <x:c r="M554" s="14" t="n">
        <x:v>0.00817160170707898</x:v>
      </x:c>
      <x:c r="N554" t="n">
        <x:v>33</x:v>
      </x:c>
      <x:c r="O554" t="n">
        <x:v>0</x:v>
      </x:c>
      <x:c r="P554" s="14" t="n">
        <x:v>0</x:v>
      </x:c>
      <x:c r="Q554" s="14" t="n">
        <x:v>0.12121212121212122</x:v>
      </x:c>
      <x:c r="R554" s="14" t="n">
        <x:v>-0.05714285714285716</x:v>
      </x:c>
      <x:c r="S554" t="n">
        <x:v>166492</x:v>
      </x:c>
      <x:c r="T554" t="n">
        <x:v>2781.087031326734</x:v>
      </x:c>
      <x:c r="U554" s="14" t="n">
        <x:v>0.7797246394350521</x:v>
      </x:c>
      <x:c r="V554" s="14" t="n">
        <x:v>0.22479694334348876</x:v>
      </x:c>
      <x:c r="W554" s="14" t="n">
        <x:v>0.28296622832641155</x:v>
      </x:c>
      <x:c r="X554" s="14" t="n">
        <x:v>0.6805751830948569</x:v>
      </x:c>
      <x:c r="Y554" s="16" t="n">
        <x:v>86.59217877094972</x:v>
      </x:c>
      <x:c r="Z554" s="16" t="n">
        <x:v>80.70175438596492</x:v>
      </x:c>
      <x:c r="AA554" s="16" t="n">
        <x:v>86.88524590163935</x:v>
      </x:c>
      <x:c r="AB554" s="16" t="n">
        <x:v>23.595505617977523</x:v>
      </x:c>
      <x:c r="AC554" s="16" t="n">
        <x:v>61.79775280898876</x:v>
      </x:c>
      <x:c r="AD554" s="16" t="n">
        <x:v>99.39024390243902</x:v>
      </x:c>
      <x:c r="AE554" s="16" t="n">
        <x:v>74.16901365098875</x:v>
      </x:c>
      <x:c r="AF554" t="str">
        <x:v>검토</x:v>
      </x:c>
      <x:c r="AG554" t="str">
        <x:v>직장수요·서울 업종추세 강점 / 경쟁여건 상대적 약점</x:v>
      </x:c>
    </x:row>
    <x:row r="555">
      <x:c r="A555" t="str">
        <x:v>3130271</x:v>
      </x:c>
      <x:c r="B555" t="str">
        <x:v>남성역골목시장</x:v>
      </x:c>
      <x:c r="C555" t="str">
        <x:v>전통시장</x:v>
      </x:c>
      <x:c r="D555" t="str">
        <x:v>동작구</x:v>
      </x:c>
      <x:c r="E555" t="str">
        <x:v>사당4동</x:v>
      </x:c>
      <x:c r="F555" t="str">
        <x:v>CS200028</x:v>
      </x:c>
      <x:c r="G555" t="str">
        <x:v>미용실</x:v>
      </x:c>
      <x:c r="H555" t="n">
        <x:v>120685308</x:v>
      </x:c>
      <x:c r="I555" t="n">
        <x:v>2873</x:v>
      </x:c>
      <x:c r="J555" t="n">
        <x:v>42006.72050121824</x:v>
      </x:c>
      <x:c r="K555" s="14" t="n">
        <x:v>0.43561148817915574</x:v>
      </x:c>
      <x:c r="L555" s="14" t="n">
        <x:v>0.02168887159425803</x:v>
      </x:c>
      <x:c r="M555" s="14" t="n">
        <x:v>-0.013481964371473865</x:v>
      </x:c>
      <x:c r="N555" t="n">
        <x:v>31</x:v>
      </x:c>
      <x:c r="O555" t="n">
        <x:v>0</x:v>
      </x:c>
      <x:c r="P555" s="14" t="n">
        <x:v>0</x:v>
      </x:c>
      <x:c r="Q555" s="14" t="n">
        <x:v>0.03225806451612903</x:v>
      </x:c>
      <x:c r="R555" s="14" t="n">
        <x:v>0.03333333333333344</x:v>
      </x:c>
      <x:c r="S555" t="n">
        <x:v>267</x:v>
      </x:c>
      <x:c r="T555" t="n">
        <x:v>91.91999173752883</x:v>
      </x:c>
      <x:c r="U555" s="14" t="n">
        <x:v>0.6999372201958501</x:v>
      </x:c>
      <x:c r="V555" s="14" t="n">
        <x:v>0.3848096157653258</x:v>
      </x:c>
      <x:c r="W555" s="14" t="n">
        <x:v>0.35998998320491504</x:v>
      </x:c>
      <x:c r="X555" s="14" t="n">
        <x:v>0.5635446859861352</x:v>
      </x:c>
      <x:c r="Y555" s="16" t="n">
        <x:v>64.36884512085945</x:v>
      </x:c>
      <x:c r="Z555" s="16" t="n">
        <x:v>98.83093525179856</x:v>
      </x:c>
      <x:c r="AA555" s="16" t="n">
        <x:v>57.377049180327866</x:v>
      </x:c>
      <x:c r="AB555" s="16" t="n">
        <x:v>85.72068039391226</x:v>
      </x:c>
      <x:c r="AC555" s="16" t="n">
        <x:v>75.60429722470904</x:v>
      </x:c>
      <x:c r="AD555" s="16" t="n">
        <x:v>56.76829268292683</x:v>
      </x:c>
      <x:c r="AE555" s="16" t="n">
        <x:v>74.15878663541379</x:v>
      </x:c>
      <x:c r="AF555" t="str">
        <x:v>검토</x:v>
      </x:c>
      <x:c r="AG555" t="str">
        <x:v>상권 모멘텀·경쟁여건 강점 / 직장수요 상대적 약점</x:v>
      </x:c>
    </x:row>
    <x:row r="556">
      <x:c r="A556" t="str">
        <x:v>3120213</x:v>
      </x:c>
      <x:c r="B556" t="str">
        <x:v>삼성중앙역</x:v>
      </x:c>
      <x:c r="C556" t="str">
        <x:v>발달상권</x:v>
      </x:c>
      <x:c r="D556" t="str">
        <x:v>강남구</x:v>
      </x:c>
      <x:c r="E556" t="str">
        <x:v>삼성2동</x:v>
      </x:c>
      <x:c r="F556" t="str">
        <x:v>CS300028</x:v>
      </x:c>
      <x:c r="G556" t="str">
        <x:v>화초</x:v>
      </x:c>
      <x:c r="H556" t="n">
        <x:v>1700707349</x:v>
      </x:c>
      <x:c r="I556" t="n">
        <x:v>50904</x:v>
      </x:c>
      <x:c r="J556" t="n">
        <x:v>33410.09250746503</x:v>
      </x:c>
      <x:c r="K556" s="14" t="n">
        <x:v>0.18492554737832378</x:v>
      </x:c>
      <x:c r="L556" s="14" t="n">
        <x:v>0.028008199294863756</x:v>
      </x:c>
      <x:c r="M556" s="14" t="n">
        <x:v>-0.0030123365554672876</x:v>
      </x:c>
      <x:c r="N556" t="n">
        <x:v>43</x:v>
      </x:c>
      <x:c r="O556" t="n">
        <x:v>1</x:v>
      </x:c>
      <x:c r="P556" s="14" t="n">
        <x:v>0.020833333333333332</x:v>
      </x:c>
      <x:c r="Q556" s="14" t="n">
        <x:v>0.023255813953488372</x:v>
      </x:c>
      <x:c r="R556" s="14" t="n">
        <x:v>0.10256410256410264</x:v>
      </x:c>
      <x:c r="S556" t="n">
        <x:v>19227</x:v>
      </x:c>
      <x:c r="T556" t="n">
        <x:v>839.8820574423937</x:v>
      </x:c>
      <x:c r="U556" s="14" t="n">
        <x:v>0.520280395989516</x:v>
      </x:c>
      <x:c r="V556" s="14" t="n">
        <x:v>0.23967234647376126</x:v>
      </x:c>
      <x:c r="W556" s="14" t="n">
        <x:v>0.24546116958068134</x:v>
      </x:c>
      <x:c r="X556" s="14" t="n">
        <x:v>0.21861057119475058</x:v>
      </x:c>
      <x:c r="Y556" s="16" t="n">
        <x:v>98.99328859060402</x:v>
      </x:c>
      <x:c r="Z556" s="16" t="n">
        <x:v>90.41095890410959</x:v>
      </x:c>
      <x:c r="AA556" s="16" t="n">
        <x:v>73.77049180327869</x:v>
      </x:c>
      <x:c r="AB556" s="16" t="n">
        <x:v>20.30201342281879</x:v>
      </x:c>
      <x:c r="AC556" s="16" t="n">
        <x:v>25.335570469798654</x:v>
      </x:c>
      <x:c r="AD556" s="16" t="n">
        <x:v>95.54878048780488</x:v>
      </x:c>
      <x:c r="AE556" s="16" t="n">
        <x:v>74.15171464281806</x:v>
      </x:c>
      <x:c r="AF556" t="str">
        <x:v>검토</x:v>
      </x:c>
      <x:c r="AG556" t="str">
        <x:v>수요·직장수요 강점 / 경쟁여건 상대적 약점</x:v>
      </x:c>
    </x:row>
    <x:row r="557">
      <x:c r="A557" t="str">
        <x:v>3120179</x:v>
      </x:c>
      <x:c r="B557" t="str">
        <x:v>양재역</x:v>
      </x:c>
      <x:c r="C557" t="str">
        <x:v>발달상권</x:v>
      </x:c>
      <x:c r="D557" t="str">
        <x:v>서초구</x:v>
      </x:c>
      <x:c r="E557" t="str">
        <x:v>도곡1동</x:v>
      </x:c>
      <x:c r="F557" t="str">
        <x:v>CS300018</x:v>
      </x:c>
      <x:c r="G557" t="str">
        <x:v>의약품</x:v>
      </x:c>
      <x:c r="H557" t="n">
        <x:v>6162926882</x:v>
      </x:c>
      <x:c r="I557" t="n">
        <x:v>351365</x:v>
      </x:c>
      <x:c r="J557" t="n">
        <x:v>17539.956688913237</x:v>
      </x:c>
      <x:c r="K557" s="14" t="n">
        <x:v>0.04794573355833087</x:v>
      </x:c>
      <x:c r="L557" s="14" t="n">
        <x:v>0.027829225601598617</x:v>
      </x:c>
      <x:c r="M557" s="14" t="n">
        <x:v>0.02632929521123617</x:v>
      </x:c>
      <x:c r="N557" t="n">
        <x:v>43</x:v>
      </x:c>
      <x:c r="O557" t="n">
        <x:v>0</x:v>
      </x:c>
      <x:c r="P557" s="14" t="n">
        <x:v>0</x:v>
      </x:c>
      <x:c r="Q557" s="14" t="n">
        <x:v>0.023255813953488372</x:v>
      </x:c>
      <x:c r="R557" s="14" t="n">
        <x:v>-0.0444444444444444</x:v>
      </x:c>
      <x:c r="S557" t="n">
        <x:v>27837</x:v>
      </x:c>
      <x:c r="T557" t="n">
        <x:v>798.9839411030267</x:v>
      </x:c>
      <x:c r="U557" s="14" t="n">
        <x:v>0.8764146635871122</x:v>
      </x:c>
      <x:c r="V557" s="14" t="n">
        <x:v>0.19206869522616543</x:v>
      </x:c>
      <x:c r="W557" s="14" t="n">
        <x:v>0.23158872388517168</x:v>
      </x:c>
      <x:c r="X557" s="14" t="n">
        <x:v>0.48374685406498064</x:v>
      </x:c>
      <x:c r="Y557" s="16" t="n">
        <x:v>91.23711340206185</x:v>
      </x:c>
      <x:c r="Z557" s="16" t="n">
        <x:v>83.56643356643356</x:v>
      </x:c>
      <x:c r="AA557" s="16" t="n">
        <x:v>72.1311475409836</x:v>
      </x:c>
      <x:c r="AB557" s="16" t="n">
        <x:v>21.993127147766316</x:v>
      </x:c>
      <x:c r="AC557" s="16" t="n">
        <x:v>66.32302405498282</x:v>
      </x:c>
      <x:c r="AD557" s="16" t="n">
        <x:v>95</x:v>
      </x:c>
      <x:c r="AE557" s="16" t="n">
        <x:v>74.14722001281913</x:v>
      </x:c>
      <x:c r="AF557" t="str">
        <x:v>검토</x:v>
      </x:c>
      <x:c r="AG557" t="str">
        <x:v>직장수요·수요 강점 / 경쟁여건 상대적 약점</x:v>
      </x:c>
    </x:row>
    <x:row r="558">
      <x:c r="A558" t="str">
        <x:v>3120209</x:v>
      </x:c>
      <x:c r="B558" t="str">
        <x:v>강남구청(청담역_8번, 강남세무서)</x:v>
      </x:c>
      <x:c r="C558" t="str">
        <x:v>발달상권</x:v>
      </x:c>
      <x:c r="D558" t="str">
        <x:v>강남구</x:v>
      </x:c>
      <x:c r="E558" t="str">
        <x:v>청담동</x:v>
      </x:c>
      <x:c r="F558" t="str">
        <x:v>CS200006</x:v>
      </x:c>
      <x:c r="G558" t="str">
        <x:v>일반의원</x:v>
      </x:c>
      <x:c r="H558" t="n">
        <x:v>19166038119</x:v>
      </x:c>
      <x:c r="I558" t="n">
        <x:v>75233</x:v>
      </x:c>
      <x:c r="J558" t="n">
        <x:v>254755.73377374292</x:v>
      </x:c>
      <x:c r="K558" s="14" t="n">
        <x:v>0.0735114095082241</x:v>
      </x:c>
      <x:c r="L558" s="14" t="n">
        <x:v>0.09973642051122278</x:v>
      </x:c>
      <x:c r="M558" s="14" t="n">
        <x:v>0.06942273842247415</x:v>
      </x:c>
      <x:c r="N558" t="n">
        <x:v>276</x:v>
      </x:c>
      <x:c r="O558" t="n">
        <x:v>0</x:v>
      </x:c>
      <x:c r="P558" s="14" t="n">
        <x:v>0</x:v>
      </x:c>
      <x:c r="Q558" s="14" t="n">
        <x:v>0</x:v>
      </x:c>
      <x:c r="R558" s="14" t="n">
        <x:v>0.3529411764705883</x:v>
      </x:c>
      <x:c r="S558" t="n">
        <x:v>8856</x:v>
      </x:c>
      <x:c r="T558" t="n">
        <x:v>660.1663833974417</x:v>
      </x:c>
      <x:c r="U558" s="14" t="n">
        <x:v>0.8123261501064115</x:v>
      </x:c>
      <x:c r="V558" s="14" t="n">
        <x:v>0.13003905838678562</x:v>
      </x:c>
      <x:c r="W558" s="14" t="n">
        <x:v>0.4073107754210869</x:v>
      </x:c>
      <x:c r="X558" s="14" t="n">
        <x:v>0.5823252321999621</x:v>
      </x:c>
      <x:c r="Y558" s="16" t="n">
        <x:v>98.06576402321083</x:v>
      </x:c>
      <x:c r="Z558" s="16" t="n">
        <x:v>74.2248062015504</x:v>
      </x:c>
      <x:c r="AA558" s="16" t="n">
        <x:v>90.1639344262295</x:v>
      </x:c>
      <x:c r="AB558" s="16" t="n">
        <x:v>3.4883720930232585</x:v>
      </x:c>
      <x:c r="AC558" s="16" t="n">
        <x:v>62.5</x:v>
      </x:c>
      <x:c r="AD558" s="16" t="n">
        <x:v>93.59756097560975</x:v>
      </x:c>
      <x:c r="AE558" s="16" t="n">
        <x:v>74.14570267510229</x:v>
      </x:c>
      <x:c r="AF558" t="str">
        <x:v>검토</x:v>
      </x:c>
      <x:c r="AG558" t="str">
        <x:v>수요·직장수요 강점 / 경쟁여건 상대적 약점</x:v>
      </x:c>
    </x:row>
    <x:row r="559">
      <x:c r="A559" t="str">
        <x:v>3130165</x:v>
      </x:c>
      <x:c r="B559" t="str">
        <x:v>대림골목시장(대림시장, 양지시장)</x:v>
      </x:c>
      <x:c r="C559" t="str">
        <x:v>전통시장</x:v>
      </x:c>
      <x:c r="D559" t="str">
        <x:v>은평구</x:v>
      </x:c>
      <x:c r="E559" t="str">
        <x:v>응암3동</x:v>
      </x:c>
      <x:c r="F559" t="str">
        <x:v>CS300007</x:v>
      </x:c>
      <x:c r="G559" t="str">
        <x:v>육류판매</x:v>
      </x:c>
      <x:c r="H559" t="n">
        <x:v>1875472112</x:v>
      </x:c>
      <x:c r="I559" t="n">
        <x:v>55215</x:v>
      </x:c>
      <x:c r="J559" t="n">
        <x:v>33966.71397265236</x:v>
      </x:c>
      <x:c r="K559" s="14" t="n">
        <x:v>0.11500551432092432</x:v>
      </x:c>
      <x:c r="L559" s="14" t="n">
        <x:v>0.23518223683931017</x:v>
      </x:c>
      <x:c r="M559" s="14" t="n">
        <x:v>0.00863079289162072</x:v>
      </x:c>
      <x:c r="N559" t="n">
        <x:v>24</x:v>
      </x:c>
      <x:c r="O559" t="n">
        <x:v>0</x:v>
      </x:c>
      <x:c r="P559" s="14" t="n">
        <x:v>0</x:v>
      </x:c>
      <x:c r="Q559" s="14" t="n">
        <x:v>0</x:v>
      </x:c>
      <x:c r="R559" s="14" t="n">
        <x:v>-0.040000000000000036</x:v>
      </x:c>
      <x:c r="S559" t="n">
        <x:v>199</x:v>
      </x:c>
      <x:c r="T559" t="n">
        <x:v>78.56296881168575</x:v>
      </x:c>
      <x:c r="U559" s="14" t="n">
        <x:v>0.6823203751269643</x:v>
      </x:c>
      <x:c r="V559" s="14" t="n">
        <x:v>0.24645597129518929</x:v>
      </x:c>
      <x:c r="W559" s="14" t="n">
        <x:v>0.08801033294170359</x:v>
      </x:c>
      <x:c r="X559" s="14" t="n">
        <x:v>0.6417162704256729</x:v>
      </x:c>
      <x:c r="Y559" s="16" t="n">
        <x:v>84.15841584158416</x:v>
      </x:c>
      <x:c r="Z559" s="16" t="n">
        <x:v>85.97402597402598</x:v>
      </x:c>
      <x:c r="AA559" s="16" t="n">
        <x:v>100</x:v>
      </x:c>
      <x:c r="AB559" s="16" t="n">
        <x:v>21.534653465346537</x:v>
      </x:c>
      <x:c r="AC559" s="16" t="n">
        <x:v>66.83168316831683</x:v>
      </x:c>
      <x:c r="AD559" s="16" t="n">
        <x:v>51.58536585365854</x:v>
      </x:c>
      <x:c r="AE559" s="16" t="n">
        <x:v>74.14288536867623</x:v>
      </x:c>
      <x:c r="AF559" t="str">
        <x:v>검토</x:v>
      </x:c>
      <x:c r="AG559" t="str">
        <x:v>서울 업종추세·상권 모멘텀 강점 / 경쟁여건 상대적 약점</x:v>
      </x:c>
    </x:row>
    <x:row r="560">
      <x:c r="A560" t="str">
        <x:v>3120245</x:v>
      </x:c>
      <x:c r="B560" t="str">
        <x:v>둔촌역</x:v>
      </x:c>
      <x:c r="C560" t="str">
        <x:v>발달상권</x:v>
      </x:c>
      <x:c r="D560" t="str">
        <x:v>강동구</x:v>
      </x:c>
      <x:c r="E560" t="str">
        <x:v>성내3동</x:v>
      </x:c>
      <x:c r="F560" t="str">
        <x:v>CS200016</x:v>
      </x:c>
      <x:c r="G560" t="str">
        <x:v>당구장</x:v>
      </x:c>
      <x:c r="H560" t="n">
        <x:v>209754049</x:v>
      </x:c>
      <x:c r="I560" t="n">
        <x:v>7810</x:v>
      </x:c>
      <x:c r="J560" t="n">
        <x:v>26857.112548015364</x:v>
      </x:c>
      <x:c r="K560" s="14" t="n">
        <x:v>0.08420916789537536</x:v>
      </x:c>
      <x:c r="L560" s="14" t="n">
        <x:v>0.052763611334009974</x:v>
      </x:c>
      <x:c r="M560" s="14" t="n">
        <x:v>0.07602781601598463</x:v>
      </x:c>
      <x:c r="N560" t="n">
        <x:v>20</x:v>
      </x:c>
      <x:c r="O560" t="n">
        <x:v>0</x:v>
      </x:c>
      <x:c r="P560" s="14" t="n">
        <x:v>0</x:v>
      </x:c>
      <x:c r="Q560" s="14" t="n">
        <x:v>0</x:v>
      </x:c>
      <x:c r="R560" s="14" t="n">
        <x:v>-0.04761904761904767</x:v>
      </x:c>
      <x:c r="S560" t="n">
        <x:v>2095</x:v>
      </x:c>
      <x:c r="T560" t="n">
        <x:v>126.64732196832306</x:v>
      </x:c>
      <x:c r="U560" s="14" t="n">
        <x:v>0.6653015885285724</x:v>
      </x:c>
      <x:c r="V560" s="14" t="n">
        <x:v>0.646310388983242</x:v>
      </x:c>
      <x:c r="W560" s="14" t="n">
        <x:v>0.3316426468601805</x:v>
      </x:c>
      <x:c r="X560" s="14" t="n">
        <x:v>0.25258495963527267</x:v>
      </x:c>
      <x:c r="Y560" s="16" t="n">
        <x:v>92.92035398230088</x:v>
      </x:c>
      <x:c r="Z560" s="16" t="n">
        <x:v>79.93827160493827</x:v>
      </x:c>
      <x:c r="AA560" s="16" t="n">
        <x:v>80.32786885245902</x:v>
      </x:c>
      <x:c r="AB560" s="16" t="n">
        <x:v>22.56637168141593</x:v>
      </x:c>
      <x:c r="AC560" s="16" t="n">
        <x:v>69.32153392330383</x:v>
      </x:c>
      <x:c r="AD560" s="16" t="n">
        <x:v>65.3048780487805</x:v>
      </x:c>
      <x:c r="AE560" s="16" t="n">
        <x:v>74.1413115896436</x:v>
      </x:c>
      <x:c r="AF560" t="str">
        <x:v>검토</x:v>
      </x:c>
      <x:c r="AG560" t="str">
        <x:v>수요·서울 업종추세 강점 / 경쟁여건 상대적 약점</x:v>
      </x:c>
    </x:row>
    <x:row r="561">
      <x:c r="A561" t="str">
        <x:v>3130248</x:v>
      </x:c>
      <x:c r="B561" t="str">
        <x:v>영등포역지하도상점가</x:v>
      </x:c>
      <x:c r="C561" t="str">
        <x:v>전통시장</x:v>
      </x:c>
      <x:c r="D561" t="str">
        <x:v>영등포구</x:v>
      </x:c>
      <x:c r="E561" t="str">
        <x:v>영등포본동</x:v>
      </x:c>
      <x:c r="F561" t="str">
        <x:v>CS300015</x:v>
      </x:c>
      <x:c r="G561" t="str">
        <x:v>가방</x:v>
      </x:c>
      <x:c r="H561" t="n">
        <x:v>17834239754</x:v>
      </x:c>
      <x:c r="I561" t="n">
        <x:v>800176</x:v>
      </x:c>
      <x:c r="J561" t="n">
        <x:v>22287.896355301833</x:v>
      </x:c>
      <x:c r="K561" s="14" t="n">
        <x:v>0.09756625730135715</x:v>
      </x:c>
      <x:c r="L561" s="14" t="n">
        <x:v>0.08003853878387823</x:v>
      </x:c>
      <x:c r="M561" s="14" t="n">
        <x:v>0.032771077188109565</x:v>
      </x:c>
      <x:c r="N561" t="n">
        <x:v>19</x:v>
      </x:c>
      <x:c r="O561" t="n">
        <x:v>2</x:v>
      </x:c>
      <x:c r="P561" s="14" t="n">
        <x:v>0.08333333333333333</x:v>
      </x:c>
      <x:c r="Q561" s="14" t="n">
        <x:v>0.05263157894736842</x:v>
      </x:c>
      <x:c r="R561" s="14" t="n">
        <x:v>-0.20833333333333337</x:v>
      </x:c>
      <x:c r="S561" t="n">
        <x:v>1605</x:v>
      </x:c>
      <x:c r="T561" t="n">
        <x:v>103.59784671391503</x:v>
      </x:c>
      <x:c r="U561" s="14" t="n">
        <x:v>0.6415265429205579</x:v>
      </x:c>
      <x:c r="V561" s="14" t="n">
        <x:v>0.37954441901465535</x:v>
      </x:c>
      <x:c r="W561" s="14" t="n">
        <x:v>0.39637786608843184</x:v>
      </x:c>
      <x:c r="X561" s="14" t="n">
        <x:v>0.6299620922994573</x:v>
      </x:c>
      <x:c r="Y561" s="16" t="n">
        <x:v>100</x:v>
      </x:c>
      <x:c r="Z561" s="16" t="n">
        <x:v>72.22222222222223</x:v>
      </x:c>
      <x:c r="AA561" s="16" t="n">
        <x:v>83.60655737704919</x:v>
      </x:c>
      <x:c r="AB561" s="16" t="n">
        <x:v>59.83606557377049</x:v>
      </x:c>
      <x:c r="AC561" s="16" t="n">
        <x:v>1.639344262295083</x:v>
      </x:c>
      <x:c r="AD561" s="16" t="n">
        <x:v>60.0609756097561</x:v>
      </x:c>
      <x:c r="AE561" s="16" t="n">
        <x:v>74.12782109378469</x:v>
      </x:c>
      <x:c r="AF561" t="str">
        <x:v>검토</x:v>
      </x:c>
      <x:c r="AG561" t="str">
        <x:v>수요·서울 업종추세 강점 / 안정성 상대적 약점</x:v>
      </x:c>
    </x:row>
    <x:row r="562">
      <x:c r="A562" t="str">
        <x:v>3120001</x:v>
      </x:c>
      <x:c r="B562" t="str">
        <x:v>서대문역</x:v>
      </x:c>
      <x:c r="C562" t="str">
        <x:v>발달상권</x:v>
      </x:c>
      <x:c r="D562" t="str">
        <x:v>종로구</x:v>
      </x:c>
      <x:c r="E562" t="str">
        <x:v>교남동</x:v>
      </x:c>
      <x:c r="F562" t="str">
        <x:v>CS300028</x:v>
      </x:c>
      <x:c r="G562" t="str">
        <x:v>화초</x:v>
      </x:c>
      <x:c r="H562" t="n">
        <x:v>135009385</x:v>
      </x:c>
      <x:c r="I562" t="n">
        <x:v>2839</x:v>
      </x:c>
      <x:c r="J562" t="n">
        <x:v>47555.260655160266</x:v>
      </x:c>
      <x:c r="K562" s="14" t="n">
        <x:v>-0.011428358509018355</x:v>
      </x:c>
      <x:c r="L562" s="14" t="n">
        <x:v>0.028008199294863756</x:v>
      </x:c>
      <x:c r="M562" s="14" t="n">
        <x:v>-0.0030123365554672876</x:v>
      </x:c>
      <x:c r="N562" t="n">
        <x:v>9</x:v>
      </x:c>
      <x:c r="O562" t="n">
        <x:v>0</x:v>
      </x:c>
      <x:c r="P562" s="14" t="n">
        <x:v>0</x:v>
      </x:c>
      <x:c r="Q562" s="14" t="n">
        <x:v>0</x:v>
      </x:c>
      <x:c r="R562" s="14" t="n">
        <x:v>0</x:v>
      </x:c>
      <x:c r="S562" t="n">
        <x:v>4645</x:v>
      </x:c>
      <x:c r="T562" t="n">
        <x:v>313.23335041674534</x:v>
      </x:c>
      <x:c r="U562" s="14" t="n">
        <x:v>0.8119589760371103</x:v>
      </x:c>
      <x:c r="V562" s="14" t="n">
        <x:v>0.20383744433766585</x:v>
      </x:c>
      <x:c r="W562" s="14" t="n">
        <x:v>0.42492565979765035</x:v>
      </x:c>
      <x:c r="X562" s="14" t="n">
        <x:v>0.5139994082633589</x:v>
      </x:c>
      <x:c r="Y562" s="16" t="n">
        <x:v>77.85234899328859</x:v>
      </x:c>
      <x:c r="Z562" s="16" t="n">
        <x:v>61.64383561643836</x:v>
      </x:c>
      <x:c r="AA562" s="16" t="n">
        <x:v>73.77049180327869</x:v>
      </x:c>
      <x:c r="AB562" s="16" t="n">
        <x:v>83.89261744966443</x:v>
      </x:c>
      <x:c r="AC562" s="16" t="n">
        <x:v>66.7785234899329</x:v>
      </x:c>
      <x:c r="AD562" s="16" t="n">
        <x:v>84.39024390243902</x:v>
      </x:c>
      <x:c r="AE562" s="16" t="n">
        <x:v>74.12392020299538</x:v>
      </x:c>
      <x:c r="AF562" t="str">
        <x:v>검토</x:v>
      </x:c>
      <x:c r="AG562" t="str">
        <x:v>직장수요·경쟁여건 강점 / 상권 모멘텀 상대적 약점</x:v>
      </x:c>
    </x:row>
    <x:row r="563">
      <x:c r="A563" t="str">
        <x:v>3120169</x:v>
      </x:c>
      <x:c r="B563" t="str">
        <x:v>서초역</x:v>
      </x:c>
      <x:c r="C563" t="str">
        <x:v>발달상권</x:v>
      </x:c>
      <x:c r="D563" t="str">
        <x:v>서초구</x:v>
      </x:c>
      <x:c r="E563" t="str">
        <x:v>서초3동</x:v>
      </x:c>
      <x:c r="F563" t="str">
        <x:v>CS300011</x:v>
      </x:c>
      <x:c r="G563" t="str">
        <x:v>일반의류</x:v>
      </x:c>
      <x:c r="H563" t="n">
        <x:v>1792831104</x:v>
      </x:c>
      <x:c r="I563" t="n">
        <x:v>948</x:v>
      </x:c>
      <x:c r="J563" t="n">
        <x:v>1891172.0506329115</x:v>
      </x:c>
      <x:c r="K563" s="14" t="n">
        <x:v>0.8977252904481252</x:v>
      </x:c>
      <x:c r="L563" s="14" t="n">
        <x:v>0.06726691045630595</x:v>
      </x:c>
      <x:c r="M563" s="14" t="n">
        <x:v>0.00788849516466894</x:v>
      </x:c>
      <x:c r="N563" t="n">
        <x:v>106</x:v>
      </x:c>
      <x:c r="O563" t="n">
        <x:v>3</x:v>
      </x:c>
      <x:c r="P563" s="14" t="n">
        <x:v>0.02702702702702703</x:v>
      </x:c>
      <x:c r="Q563" s="14" t="n">
        <x:v>0</x:v>
      </x:c>
      <x:c r="R563" s="14" t="n">
        <x:v>-0.08620689655172409</x:v>
      </x:c>
      <x:c r="S563" t="n">
        <x:v>15721</x:v>
      </x:c>
      <x:c r="T563" t="n">
        <x:v>647.4343134832386</x:v>
      </x:c>
      <x:c r="U563" s="14" t="n">
        <x:v>0.9700768645299005</x:v>
      </x:c>
      <x:c r="V563" s="14" t="n">
        <x:v>0.27738240980450996</x:v>
      </x:c>
      <x:c r="W563" s="14" t="n">
        <x:v>0.054876710238066014</x:v>
      </x:c>
      <x:c r="X563" s="14" t="n">
        <x:v>0.9890370320125816</x:v>
      </x:c>
      <x:c r="Y563" s="16" t="n">
        <x:v>87.98586572438163</x:v>
      </x:c>
      <x:c r="Z563" s="16" t="n">
        <x:v>96.63056558363418</x:v>
      </x:c>
      <x:c r="AA563" s="16" t="n">
        <x:v>81.9672131147541</x:v>
      </x:c>
      <x:c r="AB563" s="16" t="n">
        <x:v>29.0341578327444</x:v>
      </x:c>
      <x:c r="AC563" s="16" t="n">
        <x:v>26.678445229681984</x:v>
      </x:c>
      <x:c r="AD563" s="16" t="n">
        <x:v>93.47560975609755</x:v>
      </x:c>
      <x:c r="AE563" s="16" t="n">
        <x:v>74.11299677315824</x:v>
      </x:c>
      <x:c r="AF563" t="str">
        <x:v>검토</x:v>
      </x:c>
      <x:c r="AG563" t="str">
        <x:v>상권 모멘텀·직장수요 강점 / 안정성 상대적 약점</x:v>
      </x:c>
    </x:row>
    <x:row r="564">
      <x:c r="A564" t="str">
        <x:v>3130326</x:v>
      </x:c>
      <x:c r="B564" t="str">
        <x:v>고덕 골목형상점가</x:v>
      </x:c>
      <x:c r="C564" t="str">
        <x:v>전통시장</x:v>
      </x:c>
      <x:c r="D564" t="str">
        <x:v>강동구</x:v>
      </x:c>
      <x:c r="E564" t="str">
        <x:v>고덕2동</x:v>
      </x:c>
      <x:c r="F564" t="str">
        <x:v>CS100008</x:v>
      </x:c>
      <x:c r="G564" t="str">
        <x:v>분식전문점</x:v>
      </x:c>
      <x:c r="H564" t="n">
        <x:v>350346554</x:v>
      </x:c>
      <x:c r="I564" t="n">
        <x:v>33287</x:v>
      </x:c>
      <x:c r="J564" t="n">
        <x:v>10525.026406705321</x:v>
      </x:c>
      <x:c r="K564" s="14" t="n">
        <x:v>0.3603011714623807</x:v>
      </x:c>
      <x:c r="L564" s="14" t="n">
        <x:v>-0.021494731595524064</x:v>
      </x:c>
      <x:c r="M564" s="14" t="n">
        <x:v>0.009923521656473921</x:v>
      </x:c>
      <x:c r="N564" t="n">
        <x:v>17</x:v>
      </x:c>
      <x:c r="O564" t="n">
        <x:v>0</x:v>
      </x:c>
      <x:c r="P564" s="14" t="n">
        <x:v>0</x:v>
      </x:c>
      <x:c r="Q564" s="14" t="n">
        <x:v>0.47058823529411764</x:v>
      </x:c>
      <x:c r="R564" s="14" t="n">
        <x:v>0.3076923076923077</x:v>
      </x:c>
      <x:c r="S564" t="n">
        <x:v>278</x:v>
      </x:c>
      <x:c r="T564" t="n">
        <x:v>95.59177498108795</x:v>
      </x:c>
      <x:c r="U564" s="14" t="n">
        <x:v>0.7590655080340821</x:v>
      </x:c>
      <x:c r="V564" s="14" t="n">
        <x:v>0.41402932708737306</x:v>
      </x:c>
      <x:c r="W564" s="14" t="n">
        <x:v>0.30298976766872954</x:v>
      </x:c>
      <x:c r="X564" s="14" t="n">
        <x:v>0.5290306009403478</x:v>
      </x:c>
      <x:c r="Y564" s="16" t="n">
        <x:v>74.10714285714286</x:v>
      </x:c>
      <x:c r="Z564" s="16" t="n">
        <x:v>95.56135770234987</x:v>
      </x:c>
      <x:c r="AA564" s="16" t="n">
        <x:v>34.42622950819672</x:v>
      </x:c>
      <x:c r="AB564" s="16" t="n">
        <x:v>84.82142857142857</x:v>
      </x:c>
      <x:c r="AC564" s="16" t="n">
        <x:v>82.71683673469389</x:v>
      </x:c>
      <x:c r="AD564" s="16" t="n">
        <x:v>58.048780487804876</x:v>
      </x:c>
      <x:c r="AE564" s="16" t="n">
        <x:v>74.1110429502734</x:v>
      </x:c>
      <x:c r="AF564" t="str">
        <x:v>검토</x:v>
      </x:c>
      <x:c r="AG564" t="str">
        <x:v>상권 모멘텀·경쟁여건 강점 / 서울 업종추세 상대적 약점</x:v>
      </x:c>
    </x:row>
    <x:row r="565">
      <x:c r="A565" t="str">
        <x:v>3120001</x:v>
      </x:c>
      <x:c r="B565" t="str">
        <x:v>서대문역</x:v>
      </x:c>
      <x:c r="C565" t="str">
        <x:v>발달상권</x:v>
      </x:c>
      <x:c r="D565" t="str">
        <x:v>종로구</x:v>
      </x:c>
      <x:c r="E565" t="str">
        <x:v>교남동</x:v>
      </x:c>
      <x:c r="F565" t="str">
        <x:v>CS200030</x:v>
      </x:c>
      <x:c r="G565" t="str">
        <x:v>피부관리실</x:v>
      </x:c>
      <x:c r="H565" t="n">
        <x:v>17743491</x:v>
      </x:c>
      <x:c r="I565" t="n">
        <x:v>27</x:v>
      </x:c>
      <x:c r="J565" t="n">
        <x:v>657166.3333333334</x:v>
      </x:c>
      <x:c r="K565" s="14" t="n">
        <x:v>0.6183074660792454</x:v>
      </x:c>
      <x:c r="L565" s="14" t="n">
        <x:v>0.11857168683779085</x:v>
      </x:c>
      <x:c r="M565" s="14" t="n">
        <x:v>0.0314283578178467</x:v>
      </x:c>
      <x:c r="N565" t="n">
        <x:v>1</x:v>
      </x:c>
      <x:c r="O565" t="n">
        <x:v>0</x:v>
      </x:c>
      <x:c r="P565" s="14" t="n">
        <x:v>0</x:v>
      </x:c>
      <x:c r="Q565" s="14" t="n">
        <x:v>0</x:v>
      </x:c>
      <x:c r="R565" s="14"/>
      <x:c r="S565" t="n">
        <x:v>4645</x:v>
      </x:c>
      <x:c r="T565" t="n">
        <x:v>313.23335041674534</x:v>
      </x:c>
      <x:c r="U565" s="14" t="n">
        <x:v>1</x:v>
      </x:c>
      <x:c r="V565" s="14" t="n">
        <x:v>0.5000000281793475</x:v>
      </x:c>
      <x:c r="W565" s="14" t="n">
        <x:v>0.4999999718206524</x:v>
      </x:c>
      <x:c r="X565" s="14" t="n">
        <x:v>0.7499999859103262</x:v>
      </x:c>
      <x:c r="Y565" s="16" t="n">
        <x:v>42.67990074441688</x:v>
      </x:c>
      <x:c r="Z565" s="16" t="n">
        <x:v>91.24668435013263</x:v>
      </x:c>
      <x:c r="AA565" s="16" t="n">
        <x:v>91.80327868852459</x:v>
      </x:c>
      <x:c r="AB565" s="16" t="n">
        <x:v>100</x:v>
      </x:c>
      <x:c r="AC565" s="16" t="n">
        <x:v>79.15632754342431</x:v>
      </x:c>
      <x:c r="AD565" s="16" t="n">
        <x:v>84.39024390243902</x:v>
      </x:c>
      <x:c r="AE565" s="16" t="n">
        <x:v>74.0929388833155</x:v>
      </x:c>
      <x:c r="AF565" t="str">
        <x:v>검토</x:v>
      </x:c>
      <x:c r="AG565" t="str">
        <x:v>경쟁여건·서울 업종추세 강점 / 수요 상대적 약점</x:v>
      </x:c>
    </x:row>
    <x:row r="566">
      <x:c r="A566" t="str">
        <x:v>3130137</x:v>
      </x:c>
      <x:c r="B566" t="str">
        <x:v>수유전통시장(수유시장, 수유골목시장)</x:v>
      </x:c>
      <x:c r="C566" t="str">
        <x:v>전통시장</x:v>
      </x:c>
      <x:c r="D566" t="str">
        <x:v>강북구</x:v>
      </x:c>
      <x:c r="E566" t="str">
        <x:v>수유1동</x:v>
      </x:c>
      <x:c r="F566" t="str">
        <x:v>CS300007</x:v>
      </x:c>
      <x:c r="G566" t="str">
        <x:v>육류판매</x:v>
      </x:c>
      <x:c r="H566" t="n">
        <x:v>12079664878</x:v>
      </x:c>
      <x:c r="I566" t="n">
        <x:v>406281</x:v>
      </x:c>
      <x:c r="J566" t="n">
        <x:v>29732.290897186922</x:v>
      </x:c>
      <x:c r="K566" s="14" t="n">
        <x:v>0.15113395337674218</x:v>
      </x:c>
      <x:c r="L566" s="14" t="n">
        <x:v>0.23518223683931017</x:v>
      </x:c>
      <x:c r="M566" s="14" t="n">
        <x:v>0.00863079289162072</x:v>
      </x:c>
      <x:c r="N566" t="n">
        <x:v>28</x:v>
      </x:c>
      <x:c r="O566" t="n">
        <x:v>1</x:v>
      </x:c>
      <x:c r="P566" s="14" t="n">
        <x:v>0.030303030303030304</x:v>
      </x:c>
      <x:c r="Q566" s="14" t="n">
        <x:v>0</x:v>
      </x:c>
      <x:c r="R566" s="14" t="n">
        <x:v>-0.09677419354838712</x:v>
      </x:c>
      <x:c r="S566" t="n">
        <x:v>156</x:v>
      </x:c>
      <x:c r="T566" t="n">
        <x:v>42.1359695324528</x:v>
      </x:c>
      <x:c r="U566" s="14" t="n">
        <x:v>0.6247323251280018</x:v>
      </x:c>
      <x:c r="V566" s="14" t="n">
        <x:v>0.1989957452692174</x:v>
      </x:c>
      <x:c r="W566" s="14" t="n">
        <x:v>0.08963752942948158</x:v>
      </x:c>
      <x:c r="X566" s="14" t="n">
        <x:v>0.6113047585822273</x:v>
      </x:c>
      <x:c r="Y566" s="16" t="n">
        <x:v>98.26732673267327</x:v>
      </x:c>
      <x:c r="Z566" s="16" t="n">
        <x:v>90.12987012987013</x:v>
      </x:c>
      <x:c r="AA566" s="16" t="n">
        <x:v>100</x:v>
      </x:c>
      <x:c r="AB566" s="16" t="n">
        <x:v>16.707920792079207</x:v>
      </x:c>
      <x:c r="AC566" s="16" t="n">
        <x:v>26.361386138613867</x:v>
      </x:c>
      <x:c r="AD566" s="16" t="n">
        <x:v>30.426829268292682</x:v>
      </x:c>
      <x:c r="AE566" s="16" t="n">
        <x:v>74.08320657849757</x:v>
      </x:c>
      <x:c r="AF566" t="str">
        <x:v>검토</x:v>
      </x:c>
      <x:c r="AG566" t="str">
        <x:v>서울 업종추세·수요 강점 / 경쟁여건 상대적 약점</x:v>
      </x:c>
    </x:row>
    <x:row r="567">
      <x:c r="A567" t="str">
        <x:v>3110736</x:v>
      </x:c>
      <x:c r="B567" t="str">
        <x:v>독산119안전센터</x:v>
      </x:c>
      <x:c r="C567" t="str">
        <x:v>골목상권</x:v>
      </x:c>
      <x:c r="D567" t="str">
        <x:v>금천구</x:v>
      </x:c>
      <x:c r="E567" t="str">
        <x:v>독산4동</x:v>
      </x:c>
      <x:c r="F567" t="str">
        <x:v>CS200025</x:v>
      </x:c>
      <x:c r="G567" t="str">
        <x:v>자동차수리</x:v>
      </x:c>
      <x:c r="H567" t="n">
        <x:v>2268655770</x:v>
      </x:c>
      <x:c r="I567" t="n">
        <x:v>5980</x:v>
      </x:c>
      <x:c r="J567" t="n">
        <x:v>379373.8745819398</x:v>
      </x:c>
      <x:c r="K567" s="14" t="n">
        <x:v>0.08619646472615194</x:v>
      </x:c>
      <x:c r="L567" s="14" t="n">
        <x:v>0.02213950283587751</x:v>
      </x:c>
      <x:c r="M567" s="14" t="n">
        <x:v>0.024356161917000962</x:v>
      </x:c>
      <x:c r="N567" t="n">
        <x:v>9</x:v>
      </x:c>
      <x:c r="O567" t="n">
        <x:v>0</x:v>
      </x:c>
      <x:c r="P567" s="14" t="n">
        <x:v>0</x:v>
      </x:c>
      <x:c r="Q567" s="14" t="n">
        <x:v>0</x:v>
      </x:c>
      <x:c r="R567" s="14" t="n">
        <x:v>0.2857142857142858</x:v>
      </x:c>
      <x:c r="S567" t="n">
        <x:v>477</x:v>
      </x:c>
      <x:c r="T567" t="n">
        <x:v>38.3274141449853</x:v>
      </x:c>
      <x:c r="U567" s="14" t="n">
        <x:v>0.9362281330146441</x:v>
      </x:c>
      <x:c r="V567" s="14" t="n">
        <x:v>0.6221544954790563</x:v>
      </x:c>
      <x:c r="W567" s="14" t="n">
        <x:v>0.06001448646393807</x:v>
      </x:c>
      <x:c r="X567" s="14" t="n">
        <x:v>0.09574401011926106</x:v>
      </x:c>
      <x:c r="Y567" s="16" t="n">
        <x:v>97.05093833780161</x:v>
      </x:c>
      <x:c r="Z567" s="16" t="n">
        <x:v>60.65573770491803</x:v>
      </x:c>
      <x:c r="AA567" s="16" t="n">
        <x:v>59.01639344262295</x:v>
      </x:c>
      <x:c r="AB567" s="16" t="n">
        <x:v>80.3763440860215</x:v>
      </x:c>
      <x:c r="AC567" s="16" t="n">
        <x:v>56.98924731182796</x:v>
      </x:c>
      <x:c r="AD567" s="16" t="n">
        <x:v>27.4390243902439</x:v>
      </x:c>
      <x:c r="AE567" s="16" t="n">
        <x:v>74.07876253920584</x:v>
      </x:c>
      <x:c r="AF567" t="str">
        <x:v>검토</x:v>
      </x:c>
      <x:c r="AG567" t="str">
        <x:v>수요·경쟁여건 강점 / 직장수요 상대적 약점</x:v>
      </x:c>
    </x:row>
    <x:row r="568">
      <x:c r="A568" t="str">
        <x:v>3110867</x:v>
      </x:c>
      <x:c r="B568" t="str">
        <x:v>국제신학대학원대학교(남서울중학교)</x:v>
      </x:c>
      <x:c r="C568" t="str">
        <x:v>골목상권</x:v>
      </x:c>
      <x:c r="D568" t="str">
        <x:v>관악구</x:v>
      </x:c>
      <x:c r="E568" t="str">
        <x:v>신원동</x:v>
      </x:c>
      <x:c r="F568" t="str">
        <x:v>CS300029</x:v>
      </x:c>
      <x:c r="G568" t="str">
        <x:v>애완동물</x:v>
      </x:c>
      <x:c r="H568" t="n">
        <x:v>189307381</x:v>
      </x:c>
      <x:c r="I568" t="n">
        <x:v>4567</x:v>
      </x:c>
      <x:c r="J568" t="n">
        <x:v>41451.145390847385</x:v>
      </x:c>
      <x:c r="K568" s="14" t="n">
        <x:v>0.029068328045519287</x:v>
      </x:c>
      <x:c r="L568" s="14" t="n">
        <x:v>0.041190648357217086</x:v>
      </x:c>
      <x:c r="M568" s="14" t="n">
        <x:v>-0.09713695399403299</x:v>
      </x:c>
      <x:c r="N568" t="n">
        <x:v>6</x:v>
      </x:c>
      <x:c r="O568" t="n">
        <x:v>0</x:v>
      </x:c>
      <x:c r="P568" s="14" t="n">
        <x:v>0</x:v>
      </x:c>
      <x:c r="Q568" s="14" t="n">
        <x:v>0</x:v>
      </x:c>
      <x:c r="R568" s="14" t="n">
        <x:v>0.19999999999999996</x:v>
      </x:c>
      <x:c r="S568" t="n">
        <x:v>274</x:v>
      </x:c>
      <x:c r="T568" t="n">
        <x:v>28.56011173883133</x:v>
      </x:c>
      <x:c r="U568" s="14" t="n">
        <x:v>0.7559080382608008</x:v>
      </x:c>
      <x:c r="V568" s="14" t="n">
        <x:v>0.3851195215679414</x:v>
      </x:c>
      <x:c r="W568" s="14" t="n">
        <x:v>0.42255472331530486</x:v>
      </x:c>
      <x:c r="X568" s="14" t="n">
        <x:v>0.6186354508808085</x:v>
      </x:c>
      <x:c r="Y568" s="16" t="n">
        <x:v>88.73239436619718</x:v>
      </x:c>
      <x:c r="Z568" s="16" t="n">
        <x:v>58.46153846153846</x:v>
      </x:c>
      <x:c r="AA568" s="16" t="n">
        <x:v>77.04918032786885</x:v>
      </x:c>
      <x:c r="AB568" s="16" t="n">
        <x:v>82.3943661971831</x:v>
      </x:c>
      <x:c r="AC568" s="16" t="n">
        <x:v>64.08450704225352</x:v>
      </x:c>
      <x:c r="AD568" s="16" t="n">
        <x:v>20.0609756097561</x:v>
      </x:c>
      <x:c r="AE568" s="16" t="n">
        <x:v>74.07667718394765</x:v>
      </x:c>
      <x:c r="AF568" t="str">
        <x:v>검토</x:v>
      </x:c>
      <x:c r="AG568" t="str">
        <x:v>수요·경쟁여건 강점 / 직장수요 상대적 약점</x:v>
      </x:c>
    </x:row>
    <x:row r="569">
      <x:c r="A569" t="str">
        <x:v>3120248</x:v>
      </x:c>
      <x:c r="B569" t="str">
        <x:v>명일역</x:v>
      </x:c>
      <x:c r="C569" t="str">
        <x:v>발달상권</x:v>
      </x:c>
      <x:c r="D569" t="str">
        <x:v>강동구</x:v>
      </x:c>
      <x:c r="E569" t="str">
        <x:v>명일1동</x:v>
      </x:c>
      <x:c r="F569" t="str">
        <x:v>CS300002</x:v>
      </x:c>
      <x:c r="G569" t="str">
        <x:v>편의점</x:v>
      </x:c>
      <x:c r="H569" t="n">
        <x:v>1305075534</x:v>
      </x:c>
      <x:c r="I569" t="n">
        <x:v>199321</x:v>
      </x:c>
      <x:c r="J569" t="n">
        <x:v>6547.60679506926</x:v>
      </x:c>
      <x:c r="K569" s="14" t="n">
        <x:v>0.14160043415632573</x:v>
      </x:c>
      <x:c r="L569" s="14" t="n">
        <x:v>-0.03570715280155945</x:v>
      </x:c>
      <x:c r="M569" s="14" t="n">
        <x:v>-0.014869839696300402</x:v>
      </x:c>
      <x:c r="N569" t="n">
        <x:v>14</x:v>
      </x:c>
      <x:c r="O569" t="n">
        <x:v>0</x:v>
      </x:c>
      <x:c r="P569" s="14" t="n">
        <x:v>0</x:v>
      </x:c>
      <x:c r="Q569" s="14" t="n">
        <x:v>0.7142857142857143</x:v>
      </x:c>
      <x:c r="R569" s="14" t="n">
        <x:v>-0.06666666666666665</x:v>
      </x:c>
      <x:c r="S569" t="n">
        <x:v>2489</x:v>
      </x:c>
      <x:c r="T569" t="n">
        <x:v>173.93552715253074</x:v>
      </x:c>
      <x:c r="U569" s="14" t="n">
        <x:v>0.6973009563751427</x:v>
      </x:c>
      <x:c r="V569" s="14" t="n">
        <x:v>0.494762539161967</x:v>
      </x:c>
      <x:c r="W569" s="14" t="n">
        <x:v>0.35035102267115215</x:v>
      </x:c>
      <x:c r="X569" s="14" t="n">
        <x:v>0.3247521127769452</x:v>
      </x:c>
      <x:c r="Y569" s="16" t="n">
        <x:v>74.92537313432835</x:v>
      </x:c>
      <x:c r="Z569" s="16" t="n">
        <x:v>97.11246200607903</x:v>
      </x:c>
      <x:c r="AA569" s="16" t="n">
        <x:v>29.508196721311474</x:v>
      </x:c>
      <x:c r="AB569" s="16" t="n">
        <x:v>85.97014925373134</x:v>
      </x:c>
      <x:c r="AC569" s="16" t="n">
        <x:v>74.40298507462687</x:v>
      </x:c>
      <x:c r="AD569" s="16" t="n">
        <x:v>73.35365853658537</x:v>
      </x:c>
      <x:c r="AE569" s="16" t="n">
        <x:v>74.0761063287791</x:v>
      </x:c>
      <x:c r="AF569" t="str">
        <x:v>검토</x:v>
      </x:c>
      <x:c r="AG569" t="str">
        <x:v>상권 모멘텀·경쟁여건 강점 / 서울 업종추세 상대적 약점</x:v>
      </x:c>
    </x:row>
    <x:row r="570">
      <x:c r="A570" t="str">
        <x:v>3001496</x:v>
      </x:c>
      <x:c r="B570" t="str">
        <x:v>강남 마이스 관광특구</x:v>
      </x:c>
      <x:c r="C570" t="str">
        <x:v>관광특구</x:v>
      </x:c>
      <x:c r="D570" t="str">
        <x:v>강남구</x:v>
      </x:c>
      <x:c r="E570" t="str">
        <x:v>삼성1동</x:v>
      </x:c>
      <x:c r="F570" t="str">
        <x:v>CS200028</x:v>
      </x:c>
      <x:c r="G570" t="str">
        <x:v>미용실</x:v>
      </x:c>
      <x:c r="H570" t="n">
        <x:v>892093438</x:v>
      </x:c>
      <x:c r="I570" t="n">
        <x:v>8024</x:v>
      </x:c>
      <x:c r="J570" t="n">
        <x:v>111178.14531405782</x:v>
      </x:c>
      <x:c r="K570" s="14" t="n">
        <x:v>0.0381278049010092</x:v>
      </x:c>
      <x:c r="L570" s="14" t="n">
        <x:v>0.02168887159425803</x:v>
      </x:c>
      <x:c r="M570" s="14" t="n">
        <x:v>-0.013481964371473865</x:v>
      </x:c>
      <x:c r="N570" t="n">
        <x:v>32</x:v>
      </x:c>
      <x:c r="O570" t="n">
        <x:v>1</x:v>
      </x:c>
      <x:c r="P570" s="14" t="n">
        <x:v>0.02702702702702703</x:v>
      </x:c>
      <x:c r="Q570" s="14" t="n">
        <x:v>0.1875</x:v>
      </x:c>
      <x:c r="R570" s="14" t="n">
        <x:v>-0.1351351351351351</x:v>
      </x:c>
      <x:c r="S570" t="n">
        <x:v>102032</x:v>
      </x:c>
      <x:c r="T570" t="n">
        <x:v>4289.005094748878</x:v>
      </x:c>
      <x:c r="U570" s="14" t="n">
        <x:v>0.7409609799192358</x:v>
      </x:c>
      <x:c r="V570" s="14" t="n">
        <x:v>0.3438791161694432</x:v>
      </x:c>
      <x:c r="W570" s="14" t="n">
        <x:v>0.19111295491896668</x:v>
      </x:c>
      <x:c r="X570" s="14" t="n">
        <x:v>0.48537497369193744</x:v>
      </x:c>
      <x:c r="Y570" s="16" t="n">
        <x:v>96.41897940913161</x:v>
      </x:c>
      <x:c r="Z570" s="16" t="n">
        <x:v>62.5</x:v>
      </x:c>
      <x:c r="AA570" s="16" t="n">
        <x:v>57.377049180327866</x:v>
      </x:c>
      <x:c r="AB570" s="16" t="n">
        <x:v>84.24350940017905</x:v>
      </x:c>
      <x:c r="AC570" s="16" t="n">
        <x:v>15.890778871978512</x:v>
      </x:c>
      <x:c r="AD570" s="16" t="n">
        <x:v>99.9390243902439</x:v>
      </x:c>
      <x:c r="AE570" s="16" t="n">
        <x:v>74.07575568698213</x:v>
      </x:c>
      <x:c r="AF570" t="str">
        <x:v>검토</x:v>
      </x:c>
      <x:c r="AG570" t="str">
        <x:v>직장수요·수요 강점 / 안정성 상대적 약점</x:v>
      </x:c>
    </x:row>
    <x:row r="571">
      <x:c r="A571" t="str">
        <x:v>3120206</x:v>
      </x:c>
      <x:c r="B571" t="str">
        <x:v>개나리아파트</x:v>
      </x:c>
      <x:c r="C571" t="str">
        <x:v>발달상권</x:v>
      </x:c>
      <x:c r="D571" t="str">
        <x:v>강남구</x:v>
      </x:c>
      <x:c r="E571" t="str">
        <x:v>역삼2동</x:v>
      </x:c>
      <x:c r="F571" t="str">
        <x:v>CS200001</x:v>
      </x:c>
      <x:c r="G571" t="str">
        <x:v>일반교습학원</x:v>
      </x:c>
      <x:c r="H571" t="n">
        <x:v>3183406526</x:v>
      </x:c>
      <x:c r="I571" t="n">
        <x:v>11661</x:v>
      </x:c>
      <x:c r="J571" t="n">
        <x:v>272996.01457850955</x:v>
      </x:c>
      <x:c r="K571" s="14" t="n">
        <x:v>0.4223360844295012</x:v>
      </x:c>
      <x:c r="L571" s="14" t="n">
        <x:v>0.026465986538897424</x:v>
      </x:c>
      <x:c r="M571" s="14" t="n">
        <x:v>0.05930632525283164</x:v>
      </x:c>
      <x:c r="N571" t="n">
        <x:v>119</x:v>
      </x:c>
      <x:c r="O571" t="n">
        <x:v>2</x:v>
      </x:c>
      <x:c r="P571" s="14" t="n">
        <x:v>0.016129032258064516</x:v>
      </x:c>
      <x:c r="Q571" s="14" t="n">
        <x:v>0.03361344537815126</x:v>
      </x:c>
      <x:c r="R571" s="14" t="n">
        <x:v>0.6081081081081081</x:v>
      </x:c>
      <x:c r="S571" t="n">
        <x:v>6788</x:v>
      </x:c>
      <x:c r="T571" t="n">
        <x:v>457.37541438697684</x:v>
      </x:c>
      <x:c r="U571" s="14" t="n">
        <x:v>0.8231275812871158</x:v>
      </x:c>
      <x:c r="V571" s="14" t="n">
        <x:v>0.41562574751095427</x:v>
      </x:c>
      <x:c r="W571" s="14" t="n">
        <x:v>0.0736812675617415</x:v>
      </x:c>
      <x:c r="X571" s="14" t="n">
        <x:v>0.5707458234317887</x:v>
      </x:c>
      <x:c r="Y571" s="16" t="n">
        <x:v>93.7888198757764</x:v>
      </x:c>
      <x:c r="Z571" s="16" t="n">
        <x:v>96.42857142857143</x:v>
      </x:c>
      <x:c r="AA571" s="16" t="n">
        <x:v>70.49180327868852</x:v>
      </x:c>
      <x:c r="AB571" s="16" t="n">
        <x:v>12.888198757763973</x:v>
      </x:c>
      <x:c r="AC571" s="16" t="n">
        <x:v>49.922360248447205</x:v>
      </x:c>
      <x:c r="AD571" s="16" t="n">
        <x:v>88.90243902439025</x:v>
      </x:c>
      <x:c r="AE571" s="16" t="n">
        <x:v>74.05615952376812</x:v>
      </x:c>
      <x:c r="AF571" t="str">
        <x:v>검토</x:v>
      </x:c>
      <x:c r="AG571" t="str">
        <x:v>상권 모멘텀·수요 강점 / 경쟁여건 상대적 약점</x:v>
      </x:c>
    </x:row>
    <x:row r="572">
      <x:c r="A572" t="str">
        <x:v>3120225</x:v>
      </x:c>
      <x:c r="B572" t="str">
        <x:v>잠실새내역(신천)</x:v>
      </x:c>
      <x:c r="C572" t="str">
        <x:v>발달상권</x:v>
      </x:c>
      <x:c r="D572" t="str">
        <x:v>송파구</x:v>
      </x:c>
      <x:c r="E572" t="str">
        <x:v>잠실본동</x:v>
      </x:c>
      <x:c r="F572" t="str">
        <x:v>CS300016</x:v>
      </x:c>
      <x:c r="G572" t="str">
        <x:v>안경</x:v>
      </x:c>
      <x:c r="H572" t="n">
        <x:v>1715823650</x:v>
      </x:c>
      <x:c r="I572" t="n">
        <x:v>15679</x:v>
      </x:c>
      <x:c r="J572" t="n">
        <x:v>109434.50794055744</x:v>
      </x:c>
      <x:c r="K572" s="14" t="n">
        <x:v>0.06076388000447319</x:v>
      </x:c>
      <x:c r="L572" s="14" t="n">
        <x:v>0.02313988190963734</x:v>
      </x:c>
      <x:c r="M572" s="14" t="n">
        <x:v>0.009707725123368816</x:v>
      </x:c>
      <x:c r="N572" t="n">
        <x:v>12</x:v>
      </x:c>
      <x:c r="O572" t="n">
        <x:v>0</x:v>
      </x:c>
      <x:c r="P572" s="14" t="n">
        <x:v>0</x:v>
      </x:c>
      <x:c r="Q572" s="14" t="n">
        <x:v>0.25</x:v>
      </x:c>
      <x:c r="R572" s="14" t="n">
        <x:v>-0.07692307692307687</x:v>
      </x:c>
      <x:c r="S572" t="n">
        <x:v>12478</x:v>
      </x:c>
      <x:c r="T572" t="n">
        <x:v>524.1821993135809</x:v>
      </x:c>
      <x:c r="U572" s="14" t="n">
        <x:v>0.6933485454638652</x:v>
      </x:c>
      <x:c r="V572" s="14" t="n">
        <x:v>0.3515044923177274</x:v>
      </x:c>
      <x:c r="W572" s="14" t="n">
        <x:v>0.23833772019636168</x:v>
      </x:c>
      <x:c r="X572" s="14" t="n">
        <x:v>0.5155981426179782</x:v>
      </x:c>
      <x:c r="Y572" s="16" t="n">
        <x:v>95.16908212560386</x:v>
      </x:c>
      <x:c r="Z572" s="16" t="n">
        <x:v>80.97560975609755</x:v>
      </x:c>
      <x:c r="AA572" s="16" t="n">
        <x:v>62.295081967213115</x:v>
      </x:c>
      <x:c r="AB572" s="16" t="n">
        <x:v>33.009708737864074</x:v>
      </x:c>
      <x:c r="AC572" s="16" t="n">
        <x:v>57.28155339805825</x:v>
      </x:c>
      <x:c r="AD572" s="16" t="n">
        <x:v>90.48780487804878</x:v>
      </x:c>
      <x:c r="AE572" s="16" t="n">
        <x:v>74.05256488465072</x:v>
      </x:c>
      <x:c r="AF572" t="str">
        <x:v>검토</x:v>
      </x:c>
      <x:c r="AG572" t="str">
        <x:v>수요·직장수요 강점 / 경쟁여건 상대적 약점</x:v>
      </x:c>
    </x:row>
    <x:row r="573">
      <x:c r="A573" t="str">
        <x:v>3110651</x:v>
      </x:c>
      <x:c r="B573" t="str">
        <x:v>화원중학교</x:v>
      </x:c>
      <x:c r="C573" t="str">
        <x:v>골목상권</x:v>
      </x:c>
      <x:c r="D573" t="str">
        <x:v>강서구</x:v>
      </x:c>
      <x:c r="E573" t="str">
        <x:v>화곡1동</x:v>
      </x:c>
      <x:c r="F573" t="str">
        <x:v>CS300036</x:v>
      </x:c>
      <x:c r="G573" t="str">
        <x:v>조명용품</x:v>
      </x:c>
      <x:c r="H573" t="n">
        <x:v>4779686866</x:v>
      </x:c>
      <x:c r="I573" t="n">
        <x:v>7051</x:v>
      </x:c>
      <x:c r="J573" t="n">
        <x:v>677873.6159410012</x:v>
      </x:c>
      <x:c r="K573" s="14" t="n">
        <x:v>2.4198257296201593</x:v>
      </x:c>
      <x:c r="L573" s="14" t="n">
        <x:v>0.025028299232514595</x:v>
      </x:c>
      <x:c r="M573" s="14" t="n">
        <x:v>-0.03086161384017172</x:v>
      </x:c>
      <x:c r="N573" t="n">
        <x:v>24</x:v>
      </x:c>
      <x:c r="O573" t="n">
        <x:v>0</x:v>
      </x:c>
      <x:c r="P573" s="14" t="n">
        <x:v>0</x:v>
      </x:c>
      <x:c r="Q573" s="14" t="n">
        <x:v>0</x:v>
      </x:c>
      <x:c r="R573" s="14" t="n">
        <x:v>-0.040000000000000036</x:v>
      </x:c>
      <x:c r="S573" t="n">
        <x:v>502</x:v>
      </x:c>
      <x:c r="T573" t="n">
        <x:v>35.13585396923163</x:v>
      </x:c>
      <x:c r="U573" s="14" t="n">
        <x:v>0.9864800515574194</x:v>
      </x:c>
      <x:c r="V573" s="14" t="n">
        <x:v>0.8595370751637017</x:v>
      </x:c>
      <x:c r="W573" s="14" t="n">
        <x:v>0.00650208828973107</x:v>
      </x:c>
      <x:c r="X573" s="14" t="n">
        <x:v>0.01531771935119902</x:v>
      </x:c>
      <x:c r="Y573" s="16" t="n">
        <x:v>89.6103896103896</x:v>
      </x:c>
      <x:c r="Z573" s="16" t="n">
        <x:v>99.32885906040268</x:v>
      </x:c>
      <x:c r="AA573" s="16" t="n">
        <x:v>67.21311475409836</x:v>
      </x:c>
      <x:c r="AB573" s="16" t="n">
        <x:v>37.33766233766234</x:v>
      </x:c>
      <x:c r="AC573" s="16" t="n">
        <x:v>58.44155844155844</x:v>
      </x:c>
      <x:c r="AD573" s="16" t="n">
        <x:v>25.79268292682927</x:v>
      </x:c>
      <x:c r="AE573" s="16" t="n">
        <x:v>74.04581472997832</x:v>
      </x:c>
      <x:c r="AF573" t="str">
        <x:v>검토</x:v>
      </x:c>
      <x:c r="AG573" t="str">
        <x:v>상권 모멘텀·수요 강점 / 직장수요 상대적 약점</x:v>
      </x:c>
    </x:row>
    <x:row r="574">
      <x:c r="A574" t="str">
        <x:v>3120149</x:v>
      </x:c>
      <x:c r="B574" t="str">
        <x:v>여의도역(여의도)</x:v>
      </x:c>
      <x:c r="C574" t="str">
        <x:v>발달상권</x:v>
      </x:c>
      <x:c r="D574" t="str">
        <x:v>영등포구</x:v>
      </x:c>
      <x:c r="E574" t="str">
        <x:v>여의동</x:v>
      </x:c>
      <x:c r="F574" t="str">
        <x:v>CS200030</x:v>
      </x:c>
      <x:c r="G574" t="str">
        <x:v>피부관리실</x:v>
      </x:c>
      <x:c r="H574" t="n">
        <x:v>1944197018</x:v>
      </x:c>
      <x:c r="I574" t="n">
        <x:v>10314</x:v>
      </x:c>
      <x:c r="J574" t="n">
        <x:v>188500.7773899554</x:v>
      </x:c>
      <x:c r="K574" s="14" t="n">
        <x:v>0.06868642989983087</x:v>
      </x:c>
      <x:c r="L574" s="14" t="n">
        <x:v>0.11857168683779085</x:v>
      </x:c>
      <x:c r="M574" s="14" t="n">
        <x:v>0.0314283578178467</x:v>
      </x:c>
      <x:c r="N574" t="n">
        <x:v>83</x:v>
      </x:c>
      <x:c r="O574" t="n">
        <x:v>0</x:v>
      </x:c>
      <x:c r="P574" s="14" t="n">
        <x:v>0</x:v>
      </x:c>
      <x:c r="Q574" s="14" t="n">
        <x:v>0.060240963855421686</x:v>
      </x:c>
      <x:c r="R574" s="14" t="n">
        <x:v>0.509090909090909</x:v>
      </x:c>
      <x:c r="S574" t="n">
        <x:v>166492</x:v>
      </x:c>
      <x:c r="T574" t="n">
        <x:v>2781.087031326734</x:v>
      </x:c>
      <x:c r="U574" s="14" t="n">
        <x:v>0.8741478544948575</x:v>
      </x:c>
      <x:c r="V574" s="14" t="n">
        <x:v>0.47704893661142317</x:v>
      </x:c>
      <x:c r="W574" s="14" t="n">
        <x:v>0.6756098187781502</x:v>
      </x:c>
      <x:c r="X574" s="14" t="n">
        <x:v>0.7637720515215809</x:v>
      </x:c>
      <x:c r="Y574" s="16" t="n">
        <x:v>99.75186104218362</x:v>
      </x:c>
      <x:c r="Z574" s="16" t="n">
        <x:v>54.641909814323604</x:v>
      </x:c>
      <x:c r="AA574" s="16" t="n">
        <x:v>91.80327868852459</x:v>
      </x:c>
      <x:c r="AB574" s="16" t="n">
        <x:v>10.297766749379647</x:v>
      </x:c>
      <x:c r="AC574" s="16" t="n">
        <x:v>79.15632754342431</x:v>
      </x:c>
      <x:c r="AD574" s="16" t="n">
        <x:v>99.39024390243902</x:v>
      </x:c>
      <x:c r="AE574" s="16" t="n">
        <x:v>74.041835092779</x:v>
      </x:c>
      <x:c r="AF574" t="str">
        <x:v>검토</x:v>
      </x:c>
      <x:c r="AG574" t="str">
        <x:v>수요·직장수요 강점 / 경쟁여건 상대적 약점</x:v>
      </x:c>
    </x:row>
    <x:row r="575">
      <x:c r="A575" t="str">
        <x:v>3130248</x:v>
      </x:c>
      <x:c r="B575" t="str">
        <x:v>영등포역지하도상점가</x:v>
      </x:c>
      <x:c r="C575" t="str">
        <x:v>전통시장</x:v>
      </x:c>
      <x:c r="D575" t="str">
        <x:v>영등포구</x:v>
      </x:c>
      <x:c r="E575" t="str">
        <x:v>영등포본동</x:v>
      </x:c>
      <x:c r="F575" t="str">
        <x:v>CS100010</x:v>
      </x:c>
      <x:c r="G575" t="str">
        <x:v>커피-음료</x:v>
      </x:c>
      <x:c r="H575" t="n">
        <x:v>650784887</x:v>
      </x:c>
      <x:c r="I575" t="n">
        <x:v>93912</x:v>
      </x:c>
      <x:c r="J575" t="n">
        <x:v>6929.7308863617</x:v>
      </x:c>
      <x:c r="K575" s="14" t="n">
        <x:v>0.24685196172479484</x:v>
      </x:c>
      <x:c r="L575" s="14" t="n">
        <x:v>-0.00844757257331652</x:v>
      </x:c>
      <x:c r="M575" s="14" t="n">
        <x:v>0.016227780215539944</x:v>
      </x:c>
      <x:c r="N575" t="n">
        <x:v>41</x:v>
      </x:c>
      <x:c r="O575" t="n">
        <x:v>1</x:v>
      </x:c>
      <x:c r="P575" s="14" t="n">
        <x:v>0.021739130434782608</x:v>
      </x:c>
      <x:c r="Q575" s="14" t="n">
        <x:v>0.36585365853658536</x:v>
      </x:c>
      <x:c r="R575" s="14" t="n">
        <x:v>-0.14583333333333337</x:v>
      </x:c>
      <x:c r="S575" t="n">
        <x:v>1605</x:v>
      </x:c>
      <x:c r="T575" t="n">
        <x:v>103.59784671391503</x:v>
      </x:c>
      <x:c r="U575" s="14" t="n">
        <x:v>0.6466476225960668</x:v>
      </x:c>
      <x:c r="V575" s="14" t="n">
        <x:v>0.31669187025850526</x:v>
      </x:c>
      <x:c r="W575" s="14" t="n">
        <x:v>0.4895260359664744</x:v>
      </x:c>
      <x:c r="X575" s="14" t="n">
        <x:v>0.5835016863260378</x:v>
      </x:c>
      <x:c r="Y575" s="16" t="n">
        <x:v>80.80524344569288</x:v>
      </x:c>
      <x:c r="Z575" s="16" t="n">
        <x:v>94.78178368121442</x:v>
      </x:c>
      <x:c r="AA575" s="16" t="n">
        <x:v>37.704918032786885</x:v>
      </x:c>
      <x:c r="AB575" s="16" t="n">
        <x:v>76.35767790262173</x:v>
      </x:c>
      <x:c r="AC575" s="16" t="n">
        <x:v>66.76029962546816</x:v>
      </x:c>
      <x:c r="AD575" s="16" t="n">
        <x:v>60.0609756097561</x:v>
      </x:c>
      <x:c r="AE575" s="16" t="n">
        <x:v>74.0266600755813</x:v>
      </x:c>
      <x:c r="AF575" t="str">
        <x:v>검토</x:v>
      </x:c>
      <x:c r="AG575" t="str">
        <x:v>상권 모멘텀·수요 강점 / 서울 업종추세 상대적 약점</x:v>
      </x:c>
    </x:row>
    <x:row r="576">
      <x:c r="A576" t="str">
        <x:v>3110333</x:v>
      </x:c>
      <x:c r="B576" t="str">
        <x:v>돌곶이역 5번</x:v>
      </x:c>
      <x:c r="C576" t="str">
        <x:v>골목상권</x:v>
      </x:c>
      <x:c r="D576" t="str">
        <x:v>성북구</x:v>
      </x:c>
      <x:c r="E576" t="str">
        <x:v>석관동</x:v>
      </x:c>
      <x:c r="F576" t="str">
        <x:v>CS300011</x:v>
      </x:c>
      <x:c r="G576" t="str">
        <x:v>일반의류</x:v>
      </x:c>
      <x:c r="H576" t="n">
        <x:v>454501215</x:v>
      </x:c>
      <x:c r="I576" t="n">
        <x:v>5883</x:v>
      </x:c>
      <x:c r="J576" t="n">
        <x:v>77256.70831208567</x:v>
      </x:c>
      <x:c r="K576" s="14" t="n">
        <x:v>0.5698544014122995</x:v>
      </x:c>
      <x:c r="L576" s="14" t="n">
        <x:v>0.06726691045630595</x:v>
      </x:c>
      <x:c r="M576" s="14" t="n">
        <x:v>0.00788849516466894</x:v>
      </x:c>
      <x:c r="N576" t="n">
        <x:v>65</x:v>
      </x:c>
      <x:c r="O576" t="n">
        <x:v>0</x:v>
      </x:c>
      <x:c r="P576" s="14" t="n">
        <x:v>0</x:v>
      </x:c>
      <x:c r="Q576" s="14" t="n">
        <x:v>0</x:v>
      </x:c>
      <x:c r="R576" s="14" t="n">
        <x:v>0.1206896551724137</x:v>
      </x:c>
      <x:c r="S576" t="n">
        <x:v>232</x:v>
      </x:c>
      <x:c r="T576" t="n">
        <x:v>34.435159485253735</x:v>
      </x:c>
      <x:c r="U576" s="14" t="n">
        <x:v>0.6496659816409952</x:v>
      </x:c>
      <x:c r="V576" s="14" t="n">
        <x:v>0.26562585976805364</x:v>
      </x:c>
      <x:c r="W576" s="14" t="n">
        <x:v>0.08252327994326704</x:v>
      </x:c>
      <x:c r="X576" s="14" t="n">
        <x:v>0.8470016147261564</x:v>
      </x:c>
      <x:c r="Y576" s="16" t="n">
        <x:v>73.26266195524146</x:v>
      </x:c>
      <x:c r="Z576" s="16" t="n">
        <x:v>93.02045728038507</x:v>
      </x:c>
      <x:c r="AA576" s="16" t="n">
        <x:v>81.9672131147541</x:v>
      </x:c>
      <x:c r="AB576" s="16" t="n">
        <x:v>50.53003533568904</x:v>
      </x:c>
      <x:c r="AC576" s="16" t="n">
        <x:v>86.33686690223793</x:v>
      </x:c>
      <x:c r="AD576" s="16" t="n">
        <x:v>25.304878048780488</x:v>
      </x:c>
      <x:c r="AE576" s="16" t="n">
        <x:v>74.01954100064081</x:v>
      </x:c>
      <x:c r="AF576" t="str">
        <x:v>검토</x:v>
      </x:c>
      <x:c r="AG576" t="str">
        <x:v>상권 모멘텀·안정성 강점 / 직장수요 상대적 약점</x:v>
      </x:c>
    </x:row>
    <x:row r="577">
      <x:c r="A577" t="str">
        <x:v>3130066</x:v>
      </x:c>
      <x:c r="B577" t="str">
        <x:v>행당시장상점가</x:v>
      </x:c>
      <x:c r="C577" t="str">
        <x:v>전통시장</x:v>
      </x:c>
      <x:c r="D577" t="str">
        <x:v>성동구</x:v>
      </x:c>
      <x:c r="E577" t="str">
        <x:v>행당1동</x:v>
      </x:c>
      <x:c r="F577" t="str">
        <x:v>CS200016</x:v>
      </x:c>
      <x:c r="G577" t="str">
        <x:v>당구장</x:v>
      </x:c>
      <x:c r="H577" t="n">
        <x:v>164709500</x:v>
      </x:c>
      <x:c r="I577" t="n">
        <x:v>9988</x:v>
      </x:c>
      <x:c r="J577" t="n">
        <x:v>16490.738886663996</x:v>
      </x:c>
      <x:c r="K577" s="14" t="n">
        <x:v>0.03833132843013476</x:v>
      </x:c>
      <x:c r="L577" s="14" t="n">
        <x:v>0.052763611334009974</x:v>
      </x:c>
      <x:c r="M577" s="14" t="n">
        <x:v>0.07602781601598463</x:v>
      </x:c>
      <x:c r="N577" t="n">
        <x:v>6</x:v>
      </x:c>
      <x:c r="O577" t="n">
        <x:v>1</x:v>
      </x:c>
      <x:c r="P577" s="14" t="n">
        <x:v>0.09090909090909091</x:v>
      </x:c>
      <x:c r="Q577" s="14" t="n">
        <x:v>0</x:v>
      </x:c>
      <x:c r="R577" s="14" t="n">
        <x:v>0</x:v>
      </x:c>
      <x:c r="S577" t="n">
        <x:v>625</x:v>
      </x:c>
      <x:c r="T577" t="n">
        <x:v>77.15287379024294</x:v>
      </x:c>
      <x:c r="U577" s="14" t="n">
        <x:v>0.5907100379759516</x:v>
      </x:c>
      <x:c r="V577" s="14" t="n">
        <x:v>0.7186164428888437</x:v>
      </x:c>
      <x:c r="W577" s="14" t="n">
        <x:v>0.05505037657208601</x:v>
      </x:c>
      <x:c r="X577" s="14" t="n">
        <x:v>0.028347879144797354</x:v>
      </x:c>
      <x:c r="Y577" s="16" t="n">
        <x:v>89.6755162241888</x:v>
      </x:c>
      <x:c r="Z577" s="16" t="n">
        <x:v>68.20987654320987</x:v>
      </x:c>
      <x:c r="AA577" s="16" t="n">
        <x:v>80.32786885245902</x:v>
      </x:c>
      <x:c r="AB577" s="16" t="n">
        <x:v>90.70796460176992</x:v>
      </x:c>
      <x:c r="AC577" s="16" t="n">
        <x:v>7.817109144542769</x:v>
      </x:c>
      <x:c r="AD577" s="16" t="n">
        <x:v>50.73170731707317</x:v>
      </x:c>
      <x:c r="AE577" s="16" t="n">
        <x:v>74.00207728555033</x:v>
      </x:c>
      <x:c r="AF577" t="str">
        <x:v>검토</x:v>
      </x:c>
      <x:c r="AG577" t="str">
        <x:v>경쟁여건·수요 강점 / 안정성 상대적 약점</x:v>
      </x:c>
    </x:row>
    <x:row r="578">
      <x:c r="A578" t="str">
        <x:v>3120157</x:v>
      </x:c>
      <x:c r="B578" t="str">
        <x:v>신림역(신림)</x:v>
      </x:c>
      <x:c r="C578" t="str">
        <x:v>발달상권</x:v>
      </x:c>
      <x:c r="D578" t="str">
        <x:v>관악구</x:v>
      </x:c>
      <x:c r="E578" t="str">
        <x:v>신림동</x:v>
      </x:c>
      <x:c r="F578" t="str">
        <x:v>CS300011</x:v>
      </x:c>
      <x:c r="G578" t="str">
        <x:v>일반의류</x:v>
      </x:c>
      <x:c r="H578" t="n">
        <x:v>4642385115</x:v>
      </x:c>
      <x:c r="I578" t="n">
        <x:v>52224</x:v>
      </x:c>
      <x:c r="J578" t="n">
        <x:v>88893.7100758272</x:v>
      </x:c>
      <x:c r="K578" s="14" t="n">
        <x:v>0.0971276858003185</x:v>
      </x:c>
      <x:c r="L578" s="14" t="n">
        <x:v>0.06726691045630595</x:v>
      </x:c>
      <x:c r="M578" s="14" t="n">
        <x:v>0.00788849516466894</x:v>
      </x:c>
      <x:c r="N578" t="n">
        <x:v>76</x:v>
      </x:c>
      <x:c r="O578" t="n">
        <x:v>0</x:v>
      </x:c>
      <x:c r="P578" s="14" t="n">
        <x:v>0</x:v>
      </x:c>
      <x:c r="Q578" s="14" t="n">
        <x:v>0.013157894736842105</x:v>
      </x:c>
      <x:c r="R578" s="14" t="n">
        <x:v>-0.12643678160919536</x:v>
      </x:c>
      <x:c r="S578" t="n">
        <x:v>1622</x:v>
      </x:c>
      <x:c r="T578" t="n">
        <x:v>68.17560893596452</x:v>
      </x:c>
      <x:c r="U578" s="14" t="n">
        <x:v>0.6607189205585758</x:v>
      </x:c>
      <x:c r="V578" s="14" t="n">
        <x:v>0.4503665428885901</x:v>
      </x:c>
      <x:c r="W578" s="14" t="n">
        <x:v>0.33746881790094657</x:v>
      </x:c>
      <x:c r="X578" s="14" t="n">
        <x:v>0.6578096022522681</x:v>
      </x:c>
      <x:c r="Y578" s="16" t="n">
        <x:v>93.75736160188457</x:v>
      </x:c>
      <x:c r="Z578" s="16" t="n">
        <x:v>57.8820697954272</x:v>
      </x:c>
      <x:c r="AA578" s="16" t="n">
        <x:v>81.9672131147541</x:v>
      </x:c>
      <x:c r="AB578" s="16" t="n">
        <x:v>42.226148409893995</x:v>
      </x:c>
      <x:c r="AC578" s="16" t="n">
        <x:v>86.33686690223793</x:v>
      </x:c>
      <x:c r="AD578" s="16" t="n">
        <x:v>46.76829268292683</x:v>
      </x:c>
      <x:c r="AE578" s="16" t="n">
        <x:v>73.99259607281239</x:v>
      </x:c>
      <x:c r="AF578" t="str">
        <x:v>검토</x:v>
      </x:c>
      <x:c r="AG578" t="str">
        <x:v>수요·안정성 강점 / 경쟁여건 상대적 약점</x:v>
      </x:c>
    </x:row>
    <x:row r="579">
      <x:c r="A579" t="str">
        <x:v>3120132</x:v>
      </x:c>
      <x:c r="B579" t="str">
        <x:v>독산동</x:v>
      </x:c>
      <x:c r="C579" t="str">
        <x:v>발달상권</x:v>
      </x:c>
      <x:c r="D579" t="str">
        <x:v>금천구</x:v>
      </x:c>
      <x:c r="E579" t="str">
        <x:v>독산1동</x:v>
      </x:c>
      <x:c r="F579" t="str">
        <x:v>CS300011</x:v>
      </x:c>
      <x:c r="G579" t="str">
        <x:v>일반의류</x:v>
      </x:c>
      <x:c r="H579" t="n">
        <x:v>9757515454</x:v>
      </x:c>
      <x:c r="I579" t="n">
        <x:v>146662</x:v>
      </x:c>
      <x:c r="J579" t="n">
        <x:v>66530.63134281545</x:v>
      </x:c>
      <x:c r="K579" s="14" t="n">
        <x:v>2.000019312261083</x:v>
      </x:c>
      <x:c r="L579" s="14" t="n">
        <x:v>0.06726691045630595</x:v>
      </x:c>
      <x:c r="M579" s="14" t="n">
        <x:v>0.00788849516466894</x:v>
      </x:c>
      <x:c r="N579" t="n">
        <x:v>110</x:v>
      </x:c>
      <x:c r="O579" t="n">
        <x:v>6</x:v>
      </x:c>
      <x:c r="P579" s="14" t="n">
        <x:v>0.05217391304347826</x:v>
      </x:c>
      <x:c r="Q579" s="14" t="n">
        <x:v>0</x:v>
      </x:c>
      <x:c r="R579" s="14" t="n">
        <x:v>-0.09090909090909094</x:v>
      </x:c>
      <x:c r="S579" t="n">
        <x:v>7998</x:v>
      </x:c>
      <x:c r="T579" t="n">
        <x:v>150.89968133338112</x:v>
      </x:c>
      <x:c r="U579" s="14" t="n">
        <x:v>0.6455178349133875</x:v>
      </x:c>
      <x:c r="V579" s="14" t="n">
        <x:v>0.29241408875559033</x:v>
      </x:c>
      <x:c r="W579" s="14" t="n">
        <x:v>0.27061545343671867</x:v>
      </x:c>
      <x:c r="X579" s="14" t="n">
        <x:v>0.5719361726157713</x:v>
      </x:c>
      <x:c r="Y579" s="16" t="n">
        <x:v>96.23085983510012</x:v>
      </x:c>
      <x:c r="Z579" s="16" t="n">
        <x:v>98.79663056558364</x:v>
      </x:c>
      <x:c r="AA579" s="16" t="n">
        <x:v>81.9672131147541</x:v>
      </x:c>
      <x:c r="AB579" s="16" t="n">
        <x:v>27.26737338044758</x:v>
      </x:c>
      <x:c r="AC579" s="16" t="n">
        <x:v>6.419316843345115</x:v>
      </x:c>
      <x:c r="AD579" s="16" t="n">
        <x:v>70.3048780487805</x:v>
      </x:c>
      <x:c r="AE579" s="16" t="n">
        <x:v>73.98249061645555</x:v>
      </x:c>
      <x:c r="AF579" t="str">
        <x:v>검토</x:v>
      </x:c>
      <x:c r="AG579" t="str">
        <x:v>상권 모멘텀·수요 강점 / 안정성 상대적 약점</x:v>
      </x:c>
    </x:row>
    <x:row r="580">
      <x:c r="A580" t="str">
        <x:v>3120215</x:v>
      </x:c>
      <x:c r="B580" t="str">
        <x:v>포스코사거리</x:v>
      </x:c>
      <x:c r="C580" t="str">
        <x:v>발달상권</x:v>
      </x:c>
      <x:c r="D580" t="str">
        <x:v>강남구</x:v>
      </x:c>
      <x:c r="E580" t="str">
        <x:v>삼성2동</x:v>
      </x:c>
      <x:c r="F580" t="str">
        <x:v>CS100001</x:v>
      </x:c>
      <x:c r="G580" t="str">
        <x:v>한식음식점</x:v>
      </x:c>
      <x:c r="H580" t="n">
        <x:v>32674920761</x:v>
      </x:c>
      <x:c r="I580" t="n">
        <x:v>688808</x:v>
      </x:c>
      <x:c r="J580" t="n">
        <x:v>47436.90659951685</x:v>
      </x:c>
      <x:c r="K580" s="14" t="n">
        <x:v>0.07133742972598345</x:v>
      </x:c>
      <x:c r="L580" s="14" t="n">
        <x:v>-0.0018259958518723751</x:v>
      </x:c>
      <x:c r="M580" s="14" t="n">
        <x:v>0.06341040875687098</x:v>
      </x:c>
      <x:c r="N580" t="n">
        <x:v>212</x:v>
      </x:c>
      <x:c r="O580" t="n">
        <x:v>5</x:v>
      </x:c>
      <x:c r="P580" s="14" t="n">
        <x:v>0.02304147465437788</x:v>
      </x:c>
      <x:c r="Q580" s="14" t="n">
        <x:v>0.10377358490566038</x:v>
      </x:c>
      <x:c r="R580" s="14" t="n">
        <x:v>0.12765957446808507</x:v>
      </x:c>
      <x:c r="S580" t="n">
        <x:v>94741</x:v>
      </x:c>
      <x:c r="T580" t="n">
        <x:v>2973.4233866664995</x:v>
      </x:c>
      <x:c r="U580" s="14" t="n">
        <x:v>0.8704521325097637</x:v>
      </x:c>
      <x:c r="V580" s="14" t="n">
        <x:v>0.5194861142023015</x:v>
      </x:c>
      <x:c r="W580" s="14" t="n">
        <x:v>0.2165421239657647</x:v>
      </x:c>
      <x:c r="X580" s="14" t="n">
        <x:v>0.1747261397130707</x:v>
      </x:c>
      <x:c r="Y580" s="16" t="n">
        <x:v>99.00355871886121</x:v>
      </x:c>
      <x:c r="Z580" s="16" t="n">
        <x:v>81.62973552537527</x:v>
      </x:c>
      <x:c r="AA580" s="16" t="n">
        <x:v>40.98360655737705</x:v>
      </x:c>
      <x:c r="AB580" s="16" t="n">
        <x:v>31.85053380782918</x:v>
      </x:c>
      <x:c r="AC580" s="16" t="n">
        <x:v>70.92526690391459</x:v>
      </x:c>
      <x:c r="AD580" s="16" t="n">
        <x:v>99.45121951219512</x:v>
      </x:c>
      <x:c r="AE580" s="16" t="n">
        <x:v>73.96740137745863</x:v>
      </x:c>
      <x:c r="AF580" t="str">
        <x:v>검토</x:v>
      </x:c>
      <x:c r="AG580" t="str">
        <x:v>직장수요·수요 강점 / 경쟁여건 상대적 약점</x:v>
      </x:c>
    </x:row>
    <x:row r="581">
      <x:c r="A581" t="str">
        <x:v>3120224</x:v>
      </x:c>
      <x:c r="B581" t="str">
        <x:v>수서역</x:v>
      </x:c>
      <x:c r="C581" t="str">
        <x:v>발달상권</x:v>
      </x:c>
      <x:c r="D581" t="str">
        <x:v>강남구</x:v>
      </x:c>
      <x:c r="E581" t="str">
        <x:v>수서동</x:v>
      </x:c>
      <x:c r="F581" t="str">
        <x:v>CS200030</x:v>
      </x:c>
      <x:c r="G581" t="str">
        <x:v>피부관리실</x:v>
      </x:c>
      <x:c r="H581" t="n">
        <x:v>41515300</x:v>
      </x:c>
      <x:c r="I581" t="n">
        <x:v>1200</x:v>
      </x:c>
      <x:c r="J581" t="n">
        <x:v>34596.083333333336</x:v>
      </x:c>
      <x:c r="K581" s="14" t="n">
        <x:v>0.14348195221574178</x:v>
      </x:c>
      <x:c r="L581" s="14" t="n">
        <x:v>0.11857168683779085</x:v>
      </x:c>
      <x:c r="M581" s="14" t="n">
        <x:v>0.0314283578178467</x:v>
      </x:c>
      <x:c r="N581" t="n">
        <x:v>10</x:v>
      </x:c>
      <x:c r="O581" t="n">
        <x:v>0</x:v>
      </x:c>
      <x:c r="P581" s="14" t="n">
        <x:v>0</x:v>
      </x:c>
      <x:c r="Q581" s="14" t="n">
        <x:v>0</x:v>
      </x:c>
      <x:c r="R581" s="14" t="n">
        <x:v>0</x:v>
      </x:c>
      <x:c r="S581" t="n">
        <x:v>19403</x:v>
      </x:c>
      <x:c r="T581" t="n">
        <x:v>3224.0001329279035</x:v>
      </x:c>
      <x:c r="U581" s="14" t="n">
        <x:v>0.731010759888523</x:v>
      </x:c>
      <x:c r="V581" s="14" t="n">
        <x:v>0.4430107695235251</x:v>
      </x:c>
      <x:c r="W581" s="14" t="n">
        <x:v>0.19414208737501595</x:v>
      </x:c>
      <x:c r="X581" s="14" t="n">
        <x:v>0.751843464939432</x:v>
      </x:c>
      <x:c r="Y581" s="16" t="n">
        <x:v>58.312655086848636</x:v>
      </x:c>
      <x:c r="Z581" s="16" t="n">
        <x:v>66.57824933687003</x:v>
      </x:c>
      <x:c r="AA581" s="16" t="n">
        <x:v>91.80327868852459</x:v>
      </x:c>
      <x:c r="AB581" s="16" t="n">
        <x:v>90.44665012406948</x:v>
      </x:c>
      <x:c r="AC581" s="16" t="n">
        <x:v>79.15632754342431</x:v>
      </x:c>
      <x:c r="AD581" s="16" t="n">
        <x:v>99.63414634146342</x:v>
      </x:c>
      <x:c r="AE581" s="16" t="n">
        <x:v>73.95990854107573</x:v>
      </x:c>
      <x:c r="AF581" t="str">
        <x:v>검토</x:v>
      </x:c>
      <x:c r="AG581" t="str">
        <x:v>직장수요·서울 업종추세 강점 / 수요 상대적 약점</x:v>
      </x:c>
    </x:row>
    <x:row r="582">
      <x:c r="A582" t="str">
        <x:v>3120160</x:v>
      </x:c>
      <x:c r="B582" t="str">
        <x:v>사당역(사당)</x:v>
      </x:c>
      <x:c r="C582" t="str">
        <x:v>발달상권</x:v>
      </x:c>
      <x:c r="D582" t="str">
        <x:v>서초구</x:v>
      </x:c>
      <x:c r="E582" t="str">
        <x:v>방배2동</x:v>
      </x:c>
      <x:c r="F582" t="str">
        <x:v>CS300016</x:v>
      </x:c>
      <x:c r="G582" t="str">
        <x:v>안경</x:v>
      </x:c>
      <x:c r="H582" t="n">
        <x:v>653243690</x:v>
      </x:c>
      <x:c r="I582" t="n">
        <x:v>10227</x:v>
      </x:c>
      <x:c r="J582" t="n">
        <x:v>63874.41967341351</x:v>
      </x:c>
      <x:c r="K582" s="14" t="n">
        <x:v>0.08075153722986106</x:v>
      </x:c>
      <x:c r="L582" s="14" t="n">
        <x:v>0.02313988190963734</x:v>
      </x:c>
      <x:c r="M582" s="14" t="n">
        <x:v>0.009707725123368816</x:v>
      </x:c>
      <x:c r="N582" t="n">
        <x:v>8</x:v>
      </x:c>
      <x:c r="O582" t="n">
        <x:v>0</x:v>
      </x:c>
      <x:c r="P582" s="14" t="n">
        <x:v>0</x:v>
      </x:c>
      <x:c r="Q582" s="14" t="n">
        <x:v>0.25</x:v>
      </x:c>
      <x:c r="R582" s="14" t="n">
        <x:v>0.6000000000000001</x:v>
      </x:c>
      <x:c r="S582" t="n">
        <x:v>12897</x:v>
      </x:c>
      <x:c r="T582" t="n">
        <x:v>507.2426717848476</x:v>
      </x:c>
      <x:c r="U582" s="14" t="n">
        <x:v>0.7833088705380377</x:v>
      </x:c>
      <x:c r="V582" s="14" t="n">
        <x:v>0.42486690533512844</x:v>
      </x:c>
      <x:c r="W582" s="14" t="n">
        <x:v>0.5230608580390573</x:v>
      </x:c>
      <x:c r="X582" s="14" t="n">
        <x:v>0.62886308783174</x:v>
      </x:c>
      <x:c r="Y582" s="16" t="n">
        <x:v>81.64251207729468</x:v>
      </x:c>
      <x:c r="Z582" s="16" t="n">
        <x:v>85.85365853658537</x:v>
      </x:c>
      <x:c r="AA582" s="16" t="n">
        <x:v>62.295081967213115</x:v>
      </x:c>
      <x:c r="AB582" s="16" t="n">
        <x:v>57.52427184466019</x:v>
      </x:c>
      <x:c r="AC582" s="16" t="n">
        <x:v>57.28155339805825</x:v>
      </x:c>
      <x:c r="AD582" s="16" t="n">
        <x:v>90.1829268292683</x:v>
      </x:c>
      <x:c r="AE582" s="16" t="n">
        <x:v>73.95581568742045</x:v>
      </x:c>
      <x:c r="AF582" t="str">
        <x:v>검토</x:v>
      </x:c>
      <x:c r="AG582" t="str">
        <x:v>직장수요·상권 모멘텀 강점 / 안정성 상대적 약점</x:v>
      </x:c>
    </x:row>
    <x:row r="583">
      <x:c r="A583" t="str">
        <x:v>3120152</x:v>
      </x:c>
      <x:c r="B583" t="str">
        <x:v>신대방삼거리역</x:v>
      </x:c>
      <x:c r="C583" t="str">
        <x:v>발달상권</x:v>
      </x:c>
      <x:c r="D583" t="str">
        <x:v>동작구</x:v>
      </x:c>
      <x:c r="E583" t="str">
        <x:v>대방동</x:v>
      </x:c>
      <x:c r="F583" t="str">
        <x:v>CS100003</x:v>
      </x:c>
      <x:c r="G583" t="str">
        <x:v>일식음식점</x:v>
      </x:c>
      <x:c r="H583" t="n">
        <x:v>816165777</x:v>
      </x:c>
      <x:c r="I583" t="n">
        <x:v>19245</x:v>
      </x:c>
      <x:c r="J583" t="n">
        <x:v>42409.23756819953</x:v>
      </x:c>
      <x:c r="K583" s="14" t="n">
        <x:v>0.05774555187238706</x:v>
      </x:c>
      <x:c r="L583" s="14" t="n">
        <x:v>0.048235937606500245</x:v>
      </x:c>
      <x:c r="M583" s="14" t="n">
        <x:v>-0.004288267098710441</x:v>
      </x:c>
      <x:c r="N583" t="n">
        <x:v>11</x:v>
      </x:c>
      <x:c r="O583" t="n">
        <x:v>0</x:v>
      </x:c>
      <x:c r="P583" s="14" t="n">
        <x:v>0</x:v>
      </x:c>
      <x:c r="Q583" s="14" t="n">
        <x:v>0</x:v>
      </x:c>
      <x:c r="R583" s="14" t="n">
        <x:v>0.375</x:v>
      </x:c>
      <x:c r="S583" t="n">
        <x:v>3098</x:v>
      </x:c>
      <x:c r="T583" t="n">
        <x:v>276.11900390381294</x:v>
      </x:c>
      <x:c r="U583" s="14" t="n">
        <x:v>0.6729826396531203</x:v>
      </x:c>
      <x:c r="V583" s="14" t="n">
        <x:v>0.7446659258784383</x:v>
      </x:c>
      <x:c r="W583" s="14" t="n">
        <x:v>0.4290836872470334</x:v>
      </x:c>
      <x:c r="X583" s="14" t="n">
        <x:v>0.37381782181734385</x:v>
      </x:c>
      <x:c r="Y583" s="16" t="n">
        <x:v>74.70238095238095</x:v>
      </x:c>
      <x:c r="Z583" s="16" t="n">
        <x:v>57.098765432098766</x:v>
      </x:c>
      <x:c r="AA583" s="16" t="n">
        <x:v>78.68852459016394</x:v>
      </x:c>
      <x:c r="AB583" s="16" t="n">
        <x:v>82.29166666666667</x:v>
      </x:c>
      <x:c r="AC583" s="16" t="n">
        <x:v>81.10119047619048</x:v>
      </x:c>
      <x:c r="AD583" s="16" t="n">
        <x:v>82.6219512195122</x:v>
      </x:c>
      <x:c r="AE583" s="16" t="n">
        <x:v>73.95383171687233</x:v>
      </x:c>
      <x:c r="AF583" t="str">
        <x:v>검토</x:v>
      </x:c>
      <x:c r="AG583" t="str">
        <x:v>직장수요·경쟁여건 강점 / 상권 모멘텀 상대적 약점</x:v>
      </x:c>
    </x:row>
    <x:row r="584">
      <x:c r="A584" t="str">
        <x:v>3120110</x:v>
      </x:c>
      <x:c r="B584" t="str">
        <x:v>목동역 8번출구</x:v>
      </x:c>
      <x:c r="C584" t="str">
        <x:v>발달상권</x:v>
      </x:c>
      <x:c r="D584" t="str">
        <x:v>양천구</x:v>
      </x:c>
      <x:c r="E584" t="str">
        <x:v>신정4동</x:v>
      </x:c>
      <x:c r="F584" t="str">
        <x:v>CS200001</x:v>
      </x:c>
      <x:c r="G584" t="str">
        <x:v>일반교습학원</x:v>
      </x:c>
      <x:c r="H584" t="n">
        <x:v>3731773362</x:v>
      </x:c>
      <x:c r="I584" t="n">
        <x:v>9149</x:v>
      </x:c>
      <x:c r="J584" t="n">
        <x:v>407888.66127445624</x:v>
      </x:c>
      <x:c r="K584" s="14" t="n">
        <x:v>0.13467101803081216</x:v>
      </x:c>
      <x:c r="L584" s="14" t="n">
        <x:v>0.026465986538897424</x:v>
      </x:c>
      <x:c r="M584" s="14" t="n">
        <x:v>0.05930632525283164</x:v>
      </x:c>
      <x:c r="N584" t="n">
        <x:v>97</x:v>
      </x:c>
      <x:c r="O584" t="n">
        <x:v>1</x:v>
      </x:c>
      <x:c r="P584" s="14" t="n">
        <x:v>0.00980392156862745</x:v>
      </x:c>
      <x:c r="Q584" s="14" t="n">
        <x:v>0.09278350515463918</x:v>
      </x:c>
      <x:c r="R584" s="14" t="n">
        <x:v>0.3287671232876712</x:v>
      </x:c>
      <x:c r="S584" t="n">
        <x:v>2332</x:v>
      </x:c>
      <x:c r="T584" t="n">
        <x:v>184.1047786716351</x:v>
      </x:c>
      <x:c r="U584" s="14" t="n">
        <x:v>0.8484274986365048</x:v>
      </x:c>
      <x:c r="V584" s="14" t="n">
        <x:v>0.3831652952347753</x:v>
      </x:c>
      <x:c r="W584" s="14" t="n">
        <x:v>0.09016522209689325</x:v>
      </x:c>
      <x:c r="X584" s="14" t="n">
        <x:v>0.6129400448836796</x:v>
      </x:c>
      <x:c r="Y584" s="16" t="n">
        <x:v>94.87577639751552</x:v>
      </x:c>
      <x:c r="Z584" s="16" t="n">
        <x:v>84.25324675324676</x:v>
      </x:c>
      <x:c r="AA584" s="16" t="n">
        <x:v>70.49180327868852</x:v>
      </x:c>
      <x:c r="AB584" s="16" t="n">
        <x:v>22.127329192546583</x:v>
      </x:c>
      <x:c r="AC584" s="16" t="n">
        <x:v>62.88819875776397</x:v>
      </x:c>
      <x:c r="AD584" s="16" t="n">
        <x:v>74.14634146341463</x:v>
      </x:c>
      <x:c r="AE584" s="16" t="n">
        <x:v>73.94617790941219</x:v>
      </x:c>
      <x:c r="AF584" t="str">
        <x:v>검토</x:v>
      </x:c>
      <x:c r="AG584" t="str">
        <x:v>수요·상권 모멘텀 강점 / 경쟁여건 상대적 약점</x:v>
      </x:c>
    </x:row>
    <x:row r="585">
      <x:c r="A585" t="str">
        <x:v>3110846</x:v>
      </x:c>
      <x:c r="B585" t="str">
        <x:v>남성역 1번</x:v>
      </x:c>
      <x:c r="C585" t="str">
        <x:v>골목상권</x:v>
      </x:c>
      <x:c r="D585" t="str">
        <x:v>동작구</x:v>
      </x:c>
      <x:c r="E585" t="str">
        <x:v>사당4동</x:v>
      </x:c>
      <x:c r="F585" t="str">
        <x:v>CS200028</x:v>
      </x:c>
      <x:c r="G585" t="str">
        <x:v>미용실</x:v>
      </x:c>
      <x:c r="H585" t="n">
        <x:v>269368251</x:v>
      </x:c>
      <x:c r="I585" t="n">
        <x:v>6898</x:v>
      </x:c>
      <x:c r="J585" t="n">
        <x:v>39050.19585387069</x:v>
      </x:c>
      <x:c r="K585" s="14" t="n">
        <x:v>0.048916236204100016</x:v>
      </x:c>
      <x:c r="L585" s="14" t="n">
        <x:v>0.02168887159425803</x:v>
      </x:c>
      <x:c r="M585" s="14" t="n">
        <x:v>-0.013481964371473865</x:v>
      </x:c>
      <x:c r="N585" t="n">
        <x:v>31</x:v>
      </x:c>
      <x:c r="O585" t="n">
        <x:v>0</x:v>
      </x:c>
      <x:c r="P585" s="14" t="n">
        <x:v>0</x:v>
      </x:c>
      <x:c r="Q585" s="14" t="n">
        <x:v>0.03225806451612903</x:v>
      </x:c>
      <x:c r="R585" s="14" t="n">
        <x:v>0.03333333333333344</x:v>
      </x:c>
      <x:c r="S585" t="n">
        <x:v>1000</x:v>
      </x:c>
      <x:c r="T585" t="n">
        <x:v>47.08186594851127</x:v>
      </x:c>
      <x:c r="U585" s="14" t="n">
        <x:v>0.6966698907660057</x:v>
      </x:c>
      <x:c r="V585" s="14" t="n">
        <x:v>0.4143683139554557</x:v>
      </x:c>
      <x:c r="W585" s="14" t="n">
        <x:v>0.16017825352402054</x:v>
      </x:c>
      <x:c r="X585" s="14" t="n">
        <x:v>0.7142477232775291</x:v>
      </x:c>
      <x:c r="Y585" s="16" t="n">
        <x:v>84.6016114592659</x:v>
      </x:c>
      <x:c r="Z585" s="16" t="n">
        <x:v>67.98561151079137</x:v>
      </x:c>
      <x:c r="AA585" s="16" t="n">
        <x:v>57.377049180327866</x:v>
      </x:c>
      <x:c r="AB585" s="16" t="n">
        <x:v>85.72068039391226</x:v>
      </x:c>
      <x:c r="AC585" s="16" t="n">
        <x:v>75.60429722470904</x:v>
      </x:c>
      <x:c r="AD585" s="16" t="n">
        <x:v>33.96341463414634</x:v>
      </x:c>
      <x:c r="AE585" s="16" t="n">
        <x:v>73.93094620321558</x:v>
      </x:c>
      <x:c r="AF585" t="str">
        <x:v>검토</x:v>
      </x:c>
      <x:c r="AG585" t="str">
        <x:v>경쟁여건·수요 강점 / 직장수요 상대적 약점</x:v>
      </x:c>
    </x:row>
    <x:row r="586">
      <x:c r="A586" t="str">
        <x:v>3001493</x:v>
      </x:c>
      <x:c r="B586" t="str">
        <x:v>동대문패션타운 관광특구</x:v>
      </x:c>
      <x:c r="C586" t="str">
        <x:v>관광특구</x:v>
      </x:c>
      <x:c r="D586" t="str">
        <x:v>중구</x:v>
      </x:c>
      <x:c r="E586" t="str">
        <x:v>광희동</x:v>
      </x:c>
      <x:c r="F586" t="str">
        <x:v>CS300011</x:v>
      </x:c>
      <x:c r="G586" t="str">
        <x:v>일반의류</x:v>
      </x:c>
      <x:c r="H586" t="n">
        <x:v>84453856133</x:v>
      </x:c>
      <x:c r="I586" t="n">
        <x:v>1343571</x:v>
      </x:c>
      <x:c r="J586" t="n">
        <x:v>62857.75454590788</x:v>
      </x:c>
      <x:c r="K586" s="14" t="n">
        <x:v>0.28015438308114393</x:v>
      </x:c>
      <x:c r="L586" s="14" t="n">
        <x:v>0.06726691045630595</x:v>
      </x:c>
      <x:c r="M586" s="14" t="n">
        <x:v>0.00788849516466894</x:v>
      </x:c>
      <x:c r="N586" t="n">
        <x:v>2138</x:v>
      </x:c>
      <x:c r="O586" t="n">
        <x:v>32</x:v>
      </x:c>
      <x:c r="P586" s="14" t="n">
        <x:v>0.014932337844143724</x:v>
      </x:c>
      <x:c r="Q586" s="14" t="n">
        <x:v>0.001403180542563143</x:v>
      </x:c>
      <x:c r="R586" s="14" t="n">
        <x:v>-0.15427215189873422</x:v>
      </x:c>
      <x:c r="S586" t="n">
        <x:v>33754</x:v>
      </x:c>
      <x:c r="T586" t="n">
        <x:v>556.9433948565978</x:v>
      </x:c>
      <x:c r="U586" s="14" t="n">
        <x:v>0.7612708745560531</x:v>
      </x:c>
      <x:c r="V586" s="14" t="n">
        <x:v>0.3613418700614633</x:v>
      </x:c>
      <x:c r="W586" s="14" t="n">
        <x:v>0.303003217339189</x:v>
      </x:c>
      <x:c r="X586" s="14" t="n">
        <x:v>0.6086557714433878</x:v>
      </x:c>
      <x:c r="Y586" s="16" t="n">
        <x:v>99.64664310954063</x:v>
      </x:c>
      <x:c r="Z586" s="16" t="n">
        <x:v>82.9121540312876</x:v>
      </x:c>
      <x:c r="AA586" s="16" t="n">
        <x:v>81.9672131147541</x:v>
      </x:c>
      <x:c r="AB586" s="16" t="n">
        <x:v>1.7667844522968181</x:v>
      </x:c>
      <x:c r="AC586" s="16" t="n">
        <x:v>53.35689045936396</x:v>
      </x:c>
      <x:c r="AD586" s="16" t="n">
        <x:v>91.28048780487805</x:v>
      </x:c>
      <x:c r="AE586" s="16" t="n">
        <x:v>73.91856896583467</x:v>
      </x:c>
      <x:c r="AF586" t="str">
        <x:v>검토</x:v>
      </x:c>
      <x:c r="AG586" t="str">
        <x:v>수요·직장수요 강점 / 경쟁여건 상대적 약점</x:v>
      </x:c>
    </x:row>
    <x:row r="587">
      <x:c r="A587" t="str">
        <x:v>3130007</x:v>
      </x:c>
      <x:c r="B587" t="str">
        <x:v>광장시장(광장전통시장)</x:v>
      </x:c>
      <x:c r="C587" t="str">
        <x:v>전통시장</x:v>
      </x:c>
      <x:c r="D587" t="str">
        <x:v>종로구</x:v>
      </x:c>
      <x:c r="E587" t="str">
        <x:v>종로1·2·3·4가동</x:v>
      </x:c>
      <x:c r="F587" t="str">
        <x:v>CS300007</x:v>
      </x:c>
      <x:c r="G587" t="str">
        <x:v>육류판매</x:v>
      </x:c>
      <x:c r="H587" t="n">
        <x:v>695566637</x:v>
      </x:c>
      <x:c r="I587" t="n">
        <x:v>10340</x:v>
      </x:c>
      <x:c r="J587" t="n">
        <x:v>67269.50067698258</x:v>
      </x:c>
      <x:c r="K587" s="14" t="n">
        <x:v>0.24628842350666802</x:v>
      </x:c>
      <x:c r="L587" s="14" t="n">
        <x:v>0.23518223683931017</x:v>
      </x:c>
      <x:c r="M587" s="14" t="n">
        <x:v>0.00863079289162072</x:v>
      </x:c>
      <x:c r="N587" t="n">
        <x:v>15</x:v>
      </x:c>
      <x:c r="O587" t="n">
        <x:v>0</x:v>
      </x:c>
      <x:c r="P587" s="14" t="n">
        <x:v>0</x:v>
      </x:c>
      <x:c r="Q587" s="14" t="n">
        <x:v>0</x:v>
      </x:c>
      <x:c r="R587" s="14" t="n">
        <x:v>-0.16666666666666663</x:v>
      </x:c>
      <x:c r="S587" t="n">
        <x:v>6074</x:v>
      </x:c>
      <x:c r="T587" t="n">
        <x:v>915.1311527277659</x:v>
      </x:c>
      <x:c r="U587" s="14" t="n">
        <x:v>0.8218775104936495</x:v>
      </x:c>
      <x:c r="V587" s="14" t="n">
        <x:v>0.1224281822476198</x:v>
      </x:c>
      <x:c r="W587" s="14" t="n">
        <x:v>0.0233237552479102</x:v>
      </x:c>
      <x:c r="X587" s="14" t="n">
        <x:v>0.6904921188737234</x:v>
      </x:c>
      <x:c r="Y587" s="16" t="n">
        <x:v>58.663366336633665</x:v>
      </x:c>
      <x:c r="Z587" s="16" t="n">
        <x:v>96.1038961038961</x:v>
      </x:c>
      <x:c r="AA587" s="16" t="n">
        <x:v>100</x:v>
      </x:c>
      <x:c r="AB587" s="16" t="n">
        <x:v>50.99009900990099</x:v>
      </x:c>
      <x:c r="AC587" s="16" t="n">
        <x:v>66.83168316831683</x:v>
      </x:c>
      <x:c r="AD587" s="16" t="n">
        <x:v>96.58536585365853</x:v>
      </x:c>
      <x:c r="AE587" s="16" t="n">
        <x:v>73.91390889960076</x:v>
      </x:c>
      <x:c r="AF587" t="str">
        <x:v>검토</x:v>
      </x:c>
      <x:c r="AG587" t="str">
        <x:v>서울 업종추세·직장수요 강점 / 경쟁여건 상대적 약점</x:v>
      </x:c>
    </x:row>
    <x:row r="588">
      <x:c r="A588" t="str">
        <x:v>3130120</x:v>
      </x:c>
      <x:c r="B588" t="str">
        <x:v>돈암시장(돈암제일시장)</x:v>
      </x:c>
      <x:c r="C588" t="str">
        <x:v>전통시장</x:v>
      </x:c>
      <x:c r="D588" t="str">
        <x:v>성북구</x:v>
      </x:c>
      <x:c r="E588" t="str">
        <x:v>삼선동</x:v>
      </x:c>
      <x:c r="F588" t="str">
        <x:v>CS300010</x:v>
      </x:c>
      <x:c r="G588" t="str">
        <x:v>반찬가게</x:v>
      </x:c>
      <x:c r="H588" t="n">
        <x:v>2058000000</x:v>
      </x:c>
      <x:c r="I588" t="n">
        <x:v>129788</x:v>
      </x:c>
      <x:c r="J588" t="n">
        <x:v>15856.627731377323</x:v>
      </x:c>
      <x:c r="K588" s="14" t="n">
        <x:v>0.05989954695404753</x:v>
      </x:c>
      <x:c r="L588" s="14" t="n">
        <x:v>0.02346021551670452</x:v>
      </x:c>
      <x:c r="M588" s="14" t="n">
        <x:v>0.024589273784872745</x:v>
      </x:c>
      <x:c r="N588" t="n">
        <x:v>21</x:v>
      </x:c>
      <x:c r="O588" t="n">
        <x:v>0</x:v>
      </x:c>
      <x:c r="P588" s="14" t="n">
        <x:v>0</x:v>
      </x:c>
      <x:c r="Q588" s="14" t="n">
        <x:v>0</x:v>
      </x:c>
      <x:c r="R588" s="14" t="n">
        <x:v>-0.30000000000000004</x:v>
      </x:c>
      <x:c r="S588" t="n">
        <x:v>319</x:v>
      </x:c>
      <x:c r="T588" t="n">
        <x:v>156.8955341333858</x:v>
      </x:c>
      <x:c r="U588" s="14" t="n">
        <x:v>0.7495775505344995</x:v>
      </x:c>
      <x:c r="V588" s="14" t="n">
        <x:v>0.2380978814382896</x:v>
      </x:c>
      <x:c r="W588" s="14" t="n">
        <x:v>0.07028894071914481</x:v>
      </x:c>
      <x:c r="X588" s="14" t="n">
        <x:v>0.5982577672497571</x:v>
      </x:c>
      <x:c r="Y588" s="16" t="n">
        <x:v>86.2155388471178</x:v>
      </x:c>
      <x:c r="Z588" s="16" t="n">
        <x:v>66.66666666666667</x:v>
      </x:c>
      <x:c r="AA588" s="16" t="n">
        <x:v>63.9344262295082</x:v>
      </x:c>
      <x:c r="AB588" s="16" t="n">
        <x:v>65.6641604010025</x:v>
      </x:c>
      <x:c r="AC588" s="16" t="n">
        <x:v>73.93483709273183</x:v>
      </x:c>
      <x:c r="AD588" s="16" t="n">
        <x:v>71.09756097560975</x:v>
      </x:c>
      <x:c r="AE588" s="16" t="n">
        <x:v>73.89692168245483</x:v>
      </x:c>
      <x:c r="AF588" t="str">
        <x:v>검토</x:v>
      </x:c>
      <x:c r="AG588" t="str">
        <x:v>수요·안정성 강점 / 서울 업종추세 상대적 약점</x:v>
      </x:c>
    </x:row>
    <x:row r="589">
      <x:c r="A589" t="str">
        <x:v>3120040</x:v>
      </x:c>
      <x:c r="B589" t="str">
        <x:v>용산전자상가(용산역)</x:v>
      </x:c>
      <x:c r="C589" t="str">
        <x:v>발달상권</x:v>
      </x:c>
      <x:c r="D589" t="str">
        <x:v>용산구</x:v>
      </x:c>
      <x:c r="E589" t="str">
        <x:v>한강로동</x:v>
      </x:c>
      <x:c r="F589" t="str">
        <x:v>CS300010</x:v>
      </x:c>
      <x:c r="G589" t="str">
        <x:v>반찬가게</x:v>
      </x:c>
      <x:c r="H589" t="n">
        <x:v>2716645357</x:v>
      </x:c>
      <x:c r="I589" t="n">
        <x:v>152189</x:v>
      </x:c>
      <x:c r="J589" t="n">
        <x:v>17850.471170715362</x:v>
      </x:c>
      <x:c r="K589" s="14" t="n">
        <x:v>0.3403714011384402</x:v>
      </x:c>
      <x:c r="L589" s="14" t="n">
        <x:v>0.02346021551670452</x:v>
      </x:c>
      <x:c r="M589" s="14" t="n">
        <x:v>0.024589273784872745</x:v>
      </x:c>
      <x:c r="N589" t="n">
        <x:v>47</x:v>
      </x:c>
      <x:c r="O589" t="n">
        <x:v>0</x:v>
      </x:c>
      <x:c r="P589" s="14" t="n">
        <x:v>0</x:v>
      </x:c>
      <x:c r="Q589" s="14" t="n">
        <x:v>0.02127659574468085</x:v>
      </x:c>
      <x:c r="R589" s="14" t="n">
        <x:v>0.38235294117647056</x:v>
      </x:c>
      <x:c r="S589" t="n">
        <x:v>15346</x:v>
      </x:c>
      <x:c r="T589" t="n">
        <x:v>420.4095609889734</x:v>
      </x:c>
      <x:c r="U589" s="14" t="n">
        <x:v>1</x:v>
      </x:c>
      <x:c r="V589" s="14" t="n">
        <x:v>0</x:v>
      </x:c>
      <x:c r="W589" s="14" t="n">
        <x:v>0.2116286862834706</x:v>
      </x:c>
      <x:c r="X589" s="14" t="n">
        <x:v>0.09819034836942098</x:v>
      </x:c>
      <x:c r="Y589" s="16" t="n">
        <x:v>87.96992481203007</x:v>
      </x:c>
      <x:c r="Z589" s="16" t="n">
        <x:v>90.27777777777777</x:v>
      </x:c>
      <x:c r="AA589" s="16" t="n">
        <x:v>63.9344262295082</x:v>
      </x:c>
      <x:c r="AB589" s="16" t="n">
        <x:v>24.310776942355886</x:v>
      </x:c>
      <x:c r="AC589" s="16" t="n">
        <x:v>73.93483709273183</x:v>
      </x:c>
      <x:c r="AD589" s="16" t="n">
        <x:v>88.04878048780488</x:v>
      </x:c>
      <x:c r="AE589" s="16" t="n">
        <x:v>73.87773244920912</x:v>
      </x:c>
      <x:c r="AF589" t="str">
        <x:v>검토</x:v>
      </x:c>
      <x:c r="AG589" t="str">
        <x:v>상권 모멘텀·직장수요 강점 / 경쟁여건 상대적 약점</x:v>
      </x:c>
    </x:row>
    <x:row r="590">
      <x:c r="A590" t="str">
        <x:v>3120166</x:v>
      </x:c>
      <x:c r="B590" t="str">
        <x:v>방배역</x:v>
      </x:c>
      <x:c r="C590" t="str">
        <x:v>발달상권</x:v>
      </x:c>
      <x:c r="D590" t="str">
        <x:v>서초구</x:v>
      </x:c>
      <x:c r="E590" t="str">
        <x:v>방배1동</x:v>
      </x:c>
      <x:c r="F590" t="str">
        <x:v>CS300033</x:v>
      </x:c>
      <x:c r="G590" t="str">
        <x:v>철물점</x:v>
      </x:c>
      <x:c r="H590" t="n">
        <x:v>108840477</x:v>
      </x:c>
      <x:c r="I590" t="n">
        <x:v>5207</x:v>
      </x:c>
      <x:c r="J590" t="n">
        <x:v>20902.722681006337</x:v>
      </x:c>
      <x:c r="K590" s="14" t="n">
        <x:v>0.10434867494374989</x:v>
      </x:c>
      <x:c r="L590" s="14" t="n">
        <x:v>0.018800721364975237</x:v>
      </x:c>
      <x:c r="M590" s="14" t="n">
        <x:v>-0.020555839555512545</x:v>
      </x:c>
      <x:c r="N590" t="n">
        <x:v>4</x:v>
      </x:c>
      <x:c r="O590" t="n">
        <x:v>0</x:v>
      </x:c>
      <x:c r="P590" s="14" t="n">
        <x:v>0</x:v>
      </x:c>
      <x:c r="Q590" s="14" t="n">
        <x:v>0</x:v>
      </x:c>
      <x:c r="R590" s="14" t="n">
        <x:v>0</x:v>
      </x:c>
      <x:c r="S590" t="n">
        <x:v>10702</x:v>
      </x:c>
      <x:c r="T590" t="n">
        <x:v>552.7407200813979</x:v>
      </x:c>
      <x:c r="U590" s="14" t="n">
        <x:v>0.868518887509102</x:v>
      </x:c>
      <x:c r="V590" s="14" t="n">
        <x:v>0.05001821151518842</x:v>
      </x:c>
      <x:c r="W590" s="14" t="n">
        <x:v>0.08166292766247248</x:v>
      </x:c>
      <x:c r="X590" s="14" t="n">
        <x:v>0.10640456858710753</x:v>
      </x:c>
      <x:c r="Y590" s="16" t="n">
        <x:v>80.81395348837209</x:v>
      </x:c>
      <x:c r="Z590" s="16" t="n">
        <x:v>68.09815950920246</x:v>
      </x:c>
      <x:c r="AA590" s="16" t="n">
        <x:v>54.09836065573771</x:v>
      </x:c>
      <x:c r="AB590" s="16" t="n">
        <x:v>92.15116279069767</x:v>
      </x:c>
      <x:c r="AC590" s="16" t="n">
        <x:v>54.651162790697676</x:v>
      </x:c>
      <x:c r="AD590" s="16" t="n">
        <x:v>91.09756097560975</x:v>
      </x:c>
      <x:c r="AE590" s="16" t="n">
        <x:v>73.8619384675863</x:v>
      </x:c>
      <x:c r="AF590" t="str">
        <x:v>검토</x:v>
      </x:c>
      <x:c r="AG590" t="str">
        <x:v>경쟁여건·직장수요 강점 / 서울 업종추세 상대적 약점</x:v>
      </x:c>
    </x:row>
    <x:row r="591">
      <x:c r="A591" t="str">
        <x:v>3111023</x:v>
      </x:c>
      <x:c r="B591" t="str">
        <x:v>문정역 1번</x:v>
      </x:c>
      <x:c r="C591" t="str">
        <x:v>골목상권</x:v>
      </x:c>
      <x:c r="D591" t="str">
        <x:v>송파구</x:v>
      </x:c>
      <x:c r="E591" t="str">
        <x:v>문정1동</x:v>
      </x:c>
      <x:c r="F591" t="str">
        <x:v>CS300011</x:v>
      </x:c>
      <x:c r="G591" t="str">
        <x:v>일반의류</x:v>
      </x:c>
      <x:c r="H591" t="n">
        <x:v>2691230734</x:v>
      </x:c>
      <x:c r="I591" t="n">
        <x:v>4938</x:v>
      </x:c>
      <x:c r="J591" t="n">
        <x:v>545004.1988659377</x:v>
      </x:c>
      <x:c r="K591" s="14" t="n">
        <x:v>0.3628296215316291</x:v>
      </x:c>
      <x:c r="L591" s="14" t="n">
        <x:v>0.06726691045630595</x:v>
      </x:c>
      <x:c r="M591" s="14" t="n">
        <x:v>0.00788849516466894</x:v>
      </x:c>
      <x:c r="N591" t="n">
        <x:v>87</x:v>
      </x:c>
      <x:c r="O591" t="n">
        <x:v>3</x:v>
      </x:c>
      <x:c r="P591" s="14" t="n">
        <x:v>0.03260869565217391</x:v>
      </x:c>
      <x:c r="Q591" s="14" t="n">
        <x:v>0</x:v>
      </x:c>
      <x:c r="R591" s="14" t="n">
        <x:v>-0.19444444444444442</x:v>
      </x:c>
      <x:c r="S591" t="n">
        <x:v>5173</x:v>
      </x:c>
      <x:c r="T591" t="n">
        <x:v>836.5406384423817</x:v>
      </x:c>
      <x:c r="U591" s="14" t="n">
        <x:v>0.48199529962710363</x:v>
      </x:c>
      <x:c r="V591" s="14" t="n">
        <x:v>0.34594661625917655</x:v>
      </x:c>
      <x:c r="W591" s="14" t="n">
        <x:v>0.31933393861130005</x:v>
      </x:c>
      <x:c r="X591" s="14" t="n">
        <x:v>0.30518019121284307</x:v>
      </x:c>
      <x:c r="Y591" s="16" t="n">
        <x:v>90.93050647820967</x:v>
      </x:c>
      <x:c r="Z591" s="16" t="n">
        <x:v>87.00361010830325</x:v>
      </x:c>
      <x:c r="AA591" s="16" t="n">
        <x:v>81.9672131147541</x:v>
      </x:c>
      <x:c r="AB591" s="16" t="n">
        <x:v>35.98351001177856</x:v>
      </x:c>
      <x:c r="AC591" s="16" t="n">
        <x:v>21.73144876325088</x:v>
      </x:c>
      <x:c r="AD591" s="16" t="n">
        <x:v>95.36585365853658</x:v>
      </x:c>
      <x:c r="AE591" s="16" t="n">
        <x:v>73.86044531726584</x:v>
      </x:c>
      <x:c r="AF591" t="str">
        <x:v>검토</x:v>
      </x:c>
      <x:c r="AG591" t="str">
        <x:v>직장수요·수요 강점 / 안정성 상대적 약점</x:v>
      </x:c>
    </x:row>
    <x:row r="592">
      <x:c r="A592" t="str">
        <x:v>3130295</x:v>
      </x:c>
      <x:c r="B592" t="str">
        <x:v>인헌시장(원당종합시장)</x:v>
      </x:c>
      <x:c r="C592" t="str">
        <x:v>전통시장</x:v>
      </x:c>
      <x:c r="D592" t="str">
        <x:v>관악구</x:v>
      </x:c>
      <x:c r="E592" t="str">
        <x:v>인헌동</x:v>
      </x:c>
      <x:c r="F592" t="str">
        <x:v>CS300009</x:v>
      </x:c>
      <x:c r="G592" t="str">
        <x:v>청과상</x:v>
      </x:c>
      <x:c r="H592" t="n">
        <x:v>4700287967</x:v>
      </x:c>
      <x:c r="I592" t="n">
        <x:v>393960</x:v>
      </x:c>
      <x:c r="J592" t="n">
        <x:v>11930.876147324601</x:v>
      </x:c>
      <x:c r="K592" s="14" t="n">
        <x:v>0.004523722656576856</x:v>
      </x:c>
      <x:c r="L592" s="14" t="n">
        <x:v>0.19728256051488424</x:v>
      </x:c>
      <x:c r="M592" s="14" t="n">
        <x:v>0.09797365727115581</x:v>
      </x:c>
      <x:c r="N592" t="n">
        <x:v>17</x:v>
      </x:c>
      <x:c r="O592" t="n">
        <x:v>0</x:v>
      </x:c>
      <x:c r="P592" s="14" t="n">
        <x:v>0</x:v>
      </x:c>
      <x:c r="Q592" s="14" t="n">
        <x:v>0</x:v>
      </x:c>
      <x:c r="R592" s="14" t="n">
        <x:v>0</x:v>
      </x:c>
      <x:c r="S592" t="n">
        <x:v>528</x:v>
      </x:c>
      <x:c r="T592" t="n">
        <x:v>125.20452443622395</x:v>
      </x:c>
      <x:c r="U592" s="14" t="n">
        <x:v>0.7276476003198891</x:v>
      </x:c>
      <x:c r="V592" s="14" t="n">
        <x:v>0.28568581147104855</x:v>
      </x:c>
      <x:c r="W592" s="14" t="n">
        <x:v>0.11454511357176173</x:v>
      </x:c>
      <x:c r="X592" s="14" t="n">
        <x:v>0.6472837835384481</x:v>
      </x:c>
      <x:c r="Y592" s="16" t="n">
        <x:v>91.94139194139194</x:v>
      </x:c>
      <x:c r="Z592" s="16" t="n">
        <x:v>45.80152671755725</x:v>
      </x:c>
      <x:c r="AA592" s="16" t="n">
        <x:v>95.08196721311475</x:v>
      </x:c>
      <x:c r="AB592" s="16" t="n">
        <x:v>53.663003663003664</x:v>
      </x:c>
      <x:c r="AC592" s="16" t="n">
        <x:v>69.5970695970696</x:v>
      </x:c>
      <x:c r="AD592" s="16" t="n">
        <x:v>64.9390243902439</x:v>
      </x:c>
      <x:c r="AE592" s="16" t="n">
        <x:v>73.85819633363555</x:v>
      </x:c>
      <x:c r="AF592" t="str">
        <x:v>검토</x:v>
      </x:c>
      <x:c r="AG592" t="str">
        <x:v>서울 업종추세·수요 강점 / 상권 모멘텀 상대적 약점</x:v>
      </x:c>
    </x:row>
    <x:row r="593">
      <x:c r="A593" t="str">
        <x:v>3001491</x:v>
      </x:c>
      <x:c r="B593" t="str">
        <x:v>이태원 관광특구</x:v>
      </x:c>
      <x:c r="C593" t="str">
        <x:v>관광특구</x:v>
      </x:c>
      <x:c r="D593" t="str">
        <x:v>용산구</x:v>
      </x:c>
      <x:c r="E593" t="str">
        <x:v>이태원1동</x:v>
      </x:c>
      <x:c r="F593" t="str">
        <x:v>CS100001</x:v>
      </x:c>
      <x:c r="G593" t="str">
        <x:v>한식음식점</x:v>
      </x:c>
      <x:c r="H593" t="n">
        <x:v>15687582528</x:v>
      </x:c>
      <x:c r="I593" t="n">
        <x:v>334490</x:v>
      </x:c>
      <x:c r="J593" t="n">
        <x:v>46900.00456814853</x:v>
      </x:c>
      <x:c r="K593" s="14" t="n">
        <x:v>0.07745346416538346</x:v>
      </x:c>
      <x:c r="L593" s="14" t="n">
        <x:v>-0.0018259958518723751</x:v>
      </x:c>
      <x:c r="M593" s="14" t="n">
        <x:v>0.06341040875687098</x:v>
      </x:c>
      <x:c r="N593" t="n">
        <x:v>157</x:v>
      </x:c>
      <x:c r="O593" t="n">
        <x:v>5</x:v>
      </x:c>
      <x:c r="P593" s="14" t="n">
        <x:v>0.030864197530864196</x:v>
      </x:c>
      <x:c r="Q593" s="14" t="n">
        <x:v>0.09554140127388536</x:v>
      </x:c>
      <x:c r="R593" s="14" t="n">
        <x:v>0.35344827586206895</x:v>
      </x:c>
      <x:c r="S593" t="n">
        <x:v>35826</x:v>
      </x:c>
      <x:c r="T593" t="n">
        <x:v>961.6040154067075</x:v>
      </x:c>
      <x:c r="U593" s="14" t="n">
        <x:v>0.570469038363742</x:v>
      </x:c>
      <x:c r="V593" s="14" t="n">
        <x:v>0.5267243814814498</x:v>
      </x:c>
      <x:c r="W593" s="14" t="n">
        <x:v>0.628540146794503</x:v>
      </x:c>
      <x:c r="X593" s="14" t="n">
        <x:v>0.3512720471216252</x:v>
      </x:c>
      <x:c r="Y593" s="16" t="n">
        <x:v>96.65480427046263</x:v>
      </x:c>
      <x:c r="Z593" s="16" t="n">
        <x:v>83.63116511794139</x:v>
      </x:c>
      <x:c r="AA593" s="16" t="n">
        <x:v>40.98360655737705</x:v>
      </x:c>
      <x:c r="AB593" s="16" t="n">
        <x:v>44.555160142348754</x:v>
      </x:c>
      <x:c r="AC593" s="16" t="n">
        <x:v>56.29893238434164</x:v>
      </x:c>
      <x:c r="AD593" s="16" t="n">
        <x:v>96.76829268292683</x:v>
      </x:c>
      <x:c r="AE593" s="16" t="n">
        <x:v>73.85453739578958</x:v>
      </x:c>
      <x:c r="AF593" t="str">
        <x:v>검토</x:v>
      </x:c>
      <x:c r="AG593" t="str">
        <x:v>직장수요·수요 강점 / 서울 업종추세 상대적 약점</x:v>
      </x:c>
    </x:row>
    <x:row r="594">
      <x:c r="A594" t="str">
        <x:v>3120081</x:v>
      </x:c>
      <x:c r="B594" t="str">
        <x:v>노원역</x:v>
      </x:c>
      <x:c r="C594" t="str">
        <x:v>발달상권</x:v>
      </x:c>
      <x:c r="D594" t="str">
        <x:v>노원구</x:v>
      </x:c>
      <x:c r="E594" t="str">
        <x:v>상계2동</x:v>
      </x:c>
      <x:c r="F594" t="str">
        <x:v>CS300028</x:v>
      </x:c>
      <x:c r="G594" t="str">
        <x:v>화초</x:v>
      </x:c>
      <x:c r="H594" t="n">
        <x:v>281986529</x:v>
      </x:c>
      <x:c r="I594" t="n">
        <x:v>8022</x:v>
      </x:c>
      <x:c r="J594" t="n">
        <x:v>35151.649090002495</x:v>
      </x:c>
      <x:c r="K594" s="14" t="n">
        <x:v>-0.0398180873380386</x:v>
      </x:c>
      <x:c r="L594" s="14" t="n">
        <x:v>0.028008199294863756</x:v>
      </x:c>
      <x:c r="M594" s="14" t="n">
        <x:v>-0.0030123365554672876</x:v>
      </x:c>
      <x:c r="N594" t="n">
        <x:v>13</x:v>
      </x:c>
      <x:c r="O594" t="n">
        <x:v>0</x:v>
      </x:c>
      <x:c r="P594" s="14" t="n">
        <x:v>0</x:v>
      </x:c>
      <x:c r="Q594" s="14" t="n">
        <x:v>0</x:v>
      </x:c>
      <x:c r="R594" s="14" t="n">
        <x:v>0.08333333333333326</x:v>
      </x:c>
      <x:c r="S594" t="n">
        <x:v>5934</x:v>
      </x:c>
      <x:c r="T594" t="n">
        <x:v>221.67184050386078</x:v>
      </x:c>
      <x:c r="U594" s="14" t="n">
        <x:v>0.7241973037655285</x:v>
      </x:c>
      <x:c r="V594" s="14" t="n">
        <x:v>0.34580278123853214</x:v>
      </x:c>
      <x:c r="W594" s="14" t="n">
        <x:v>0.4468781556582797</x:v>
      </x:c>
      <x:c r="X594" s="14" t="n">
        <x:v>0.3252572820597398</x:v>
      </x:c>
      <x:c r="Y594" s="16" t="n">
        <x:v>88.59060402684564</x:v>
      </x:c>
      <x:c r="Z594" s="16" t="n">
        <x:v>54.10958904109589</x:v>
      </x:c>
      <x:c r="AA594" s="16" t="n">
        <x:v>73.77049180327869</x:v>
      </x:c>
      <x:c r="AB594" s="16" t="n">
        <x:v>69.12751677852349</x:v>
      </x:c>
      <x:c r="AC594" s="16" t="n">
        <x:v>66.7785234899329</x:v>
      </x:c>
      <x:c r="AD594" s="16" t="n">
        <x:v>78.23170731707317</x:v>
      </x:c>
      <x:c r="AE594" s="16" t="n">
        <x:v>73.85276821973241</x:v>
      </x:c>
      <x:c r="AF594" t="str">
        <x:v>검토</x:v>
      </x:c>
      <x:c r="AG594" t="str">
        <x:v>수요·직장수요 강점 / 상권 모멘텀 상대적 약점</x:v>
      </x:c>
    </x:row>
    <x:row r="595">
      <x:c r="A595" t="str">
        <x:v>3130261</x:v>
      </x:c>
      <x:c r="B595" t="str">
        <x:v>성대전통시장(성대시장)</x:v>
      </x:c>
      <x:c r="C595" t="str">
        <x:v>전통시장</x:v>
      </x:c>
      <x:c r="D595" t="str">
        <x:v>동작구</x:v>
      </x:c>
      <x:c r="E595" t="str">
        <x:v>상도3동</x:v>
      </x:c>
      <x:c r="F595" t="str">
        <x:v>CS200006</x:v>
      </x:c>
      <x:c r="G595" t="str">
        <x:v>일반의원</x:v>
      </x:c>
      <x:c r="H595" t="n">
        <x:v>12487875776</x:v>
      </x:c>
      <x:c r="I595" t="n">
        <x:v>354647</x:v>
      </x:c>
      <x:c r="J595" t="n">
        <x:v>35212.12861239486</x:v>
      </x:c>
      <x:c r="K595" s="14" t="n">
        <x:v>0.0239988719039943</x:v>
      </x:c>
      <x:c r="L595" s="14" t="n">
        <x:v>0.09973642051122278</x:v>
      </x:c>
      <x:c r="M595" s="14" t="n">
        <x:v>0.06942273842247415</x:v>
      </x:c>
      <x:c r="N595" t="n">
        <x:v>22</x:v>
      </x:c>
      <x:c r="O595" t="n">
        <x:v>0</x:v>
      </x:c>
      <x:c r="P595" s="14" t="n">
        <x:v>0</x:v>
      </x:c>
      <x:c r="Q595" s="14" t="n">
        <x:v>0</x:v>
      </x:c>
      <x:c r="R595" s="14" t="n">
        <x:v>0.375</x:v>
      </x:c>
      <x:c r="S595" t="n">
        <x:v>389</x:v>
      </x:c>
      <x:c r="T595" t="n">
        <x:v>73.26904241693664</x:v>
      </x:c>
      <x:c r="U595" s="14" t="n">
        <x:v>0.8699225081080755</x:v>
      </x:c>
      <x:c r="V595" s="14" t="n">
        <x:v>0.21109555518371614</x:v>
      </x:c>
      <x:c r="W595" s="14" t="n">
        <x:v>0.34778460924049476</x:v>
      </x:c>
      <x:c r="X595" s="14" t="n">
        <x:v>0.5524695498860799</x:v>
      </x:c>
      <x:c r="Y595" s="16" t="n">
        <x:v>94.77756286266924</x:v>
      </x:c>
      <x:c r="Z595" s="16" t="n">
        <x:v>47.48062015503876</x:v>
      </x:c>
      <x:c r="AA595" s="16" t="n">
        <x:v>90.1639344262295</x:v>
      </x:c>
      <x:c r="AB595" s="16" t="n">
        <x:v>59.689922480620154</x:v>
      </x:c>
      <x:c r="AC595" s="16" t="n">
        <x:v>62.5</x:v>
      </x:c>
      <x:c r="AD595" s="16" t="n">
        <x:v>48.96341463414634</x:v>
      </x:c>
      <x:c r="AE595" s="16" t="n">
        <x:v>73.84452030067676</x:v>
      </x:c>
      <x:c r="AF595" t="str">
        <x:v>검토</x:v>
      </x:c>
      <x:c r="AG595" t="str">
        <x:v>수요·서울 업종추세 강점 / 상권 모멘텀 상대적 약점</x:v>
      </x:c>
    </x:row>
    <x:row r="596">
      <x:c r="A596" t="str">
        <x:v>3120179</x:v>
      </x:c>
      <x:c r="B596" t="str">
        <x:v>양재역</x:v>
      </x:c>
      <x:c r="C596" t="str">
        <x:v>발달상권</x:v>
      </x:c>
      <x:c r="D596" t="str">
        <x:v>서초구</x:v>
      </x:c>
      <x:c r="E596" t="str">
        <x:v>도곡1동</x:v>
      </x:c>
      <x:c r="F596" t="str">
        <x:v>CS100007</x:v>
      </x:c>
      <x:c r="G596" t="str">
        <x:v>치킨전문점</x:v>
      </x:c>
      <x:c r="H596" t="n">
        <x:v>766566999</x:v>
      </x:c>
      <x:c r="I596" t="n">
        <x:v>16964</x:v>
      </x:c>
      <x:c r="J596" t="n">
        <x:v>45187.86836830936</x:v>
      </x:c>
      <x:c r="K596" s="14" t="n">
        <x:v>0.059879657369774186</x:v>
      </x:c>
      <x:c r="L596" s="14" t="n">
        <x:v>-0.0724550541763268</x:v>
      </x:c>
      <x:c r="M596" s="14" t="n">
        <x:v>-0.037092372220345116</x:v>
      </x:c>
      <x:c r="N596" t="n">
        <x:v>12</x:v>
      </x:c>
      <x:c r="O596" t="n">
        <x:v>0</x:v>
      </x:c>
      <x:c r="P596" s="14" t="n">
        <x:v>0</x:v>
      </x:c>
      <x:c r="Q596" s="14" t="n">
        <x:v>0.6666666666666666</x:v>
      </x:c>
      <x:c r="R596" s="14" t="n">
        <x:v>-0.07692307692307687</x:v>
      </x:c>
      <x:c r="S596" t="n">
        <x:v>27837</x:v>
      </x:c>
      <x:c r="T596" t="n">
        <x:v>798.9839411030267</x:v>
      </x:c>
      <x:c r="U596" s="14" t="n">
        <x:v>0.8386198164525994</x:v>
      </x:c>
      <x:c r="V596" s="14" t="n">
        <x:v>0.874641547150662</x:v>
      </x:c>
      <x:c r="W596" s="14" t="n">
        <x:v>0.34625868495025053</x:v>
      </x:c>
      <x:c r="X596" s="14" t="n">
        <x:v>0.26223161088623903</x:v>
      </x:c>
      <x:c r="Y596" s="16" t="n">
        <x:v>96.81274900398407</x:v>
      </x:c>
      <x:c r="Z596" s="16" t="n">
        <x:v>69.24643584521385</x:v>
      </x:c>
      <x:c r="AA596" s="16" t="n">
        <x:v>16.39344262295082</x:v>
      </x:c>
      <x:c r="AB596" s="16" t="n">
        <x:v>75.0996015936255</x:v>
      </x:c>
      <x:c r="AC596" s="16" t="n">
        <x:v>76.29482071713147</x:v>
      </x:c>
      <x:c r="AD596" s="16" t="n">
        <x:v>95</x:v>
      </x:c>
      <x:c r="AE596" s="16" t="n">
        <x:v>73.83718802463679</x:v>
      </x:c>
      <x:c r="AF596" t="str">
        <x:v>검토</x:v>
      </x:c>
      <x:c r="AG596" t="str">
        <x:v>수요·직장수요 강점 / 서울 업종추세 상대적 약점</x:v>
      </x:c>
    </x:row>
    <x:row r="597">
      <x:c r="A597" t="str">
        <x:v>3110713</x:v>
      </x:c>
      <x:c r="B597" t="str">
        <x:v>구로보건소</x:v>
      </x:c>
      <x:c r="C597" t="str">
        <x:v>골목상권</x:v>
      </x:c>
      <x:c r="D597" t="str">
        <x:v>구로구</x:v>
      </x:c>
      <x:c r="E597" t="str">
        <x:v>구로5동</x:v>
      </x:c>
      <x:c r="F597" t="str">
        <x:v>CS300033</x:v>
      </x:c>
      <x:c r="G597" t="str">
        <x:v>철물점</x:v>
      </x:c>
      <x:c r="H597" t="n">
        <x:v>245626516</x:v>
      </x:c>
      <x:c r="I597" t="n">
        <x:v>1866</x:v>
      </x:c>
      <x:c r="J597" t="n">
        <x:v>131632.64523043943</x:v>
      </x:c>
      <x:c r="K597" s="14" t="n">
        <x:v>1.2743188009595405</x:v>
      </x:c>
      <x:c r="L597" s="14" t="n">
        <x:v>0.018800721364975237</x:v>
      </x:c>
      <x:c r="M597" s="14" t="n">
        <x:v>-0.020555839555512545</x:v>
      </x:c>
      <x:c r="N597" t="n">
        <x:v>9</x:v>
      </x:c>
      <x:c r="O597" t="n">
        <x:v>0</x:v>
      </x:c>
      <x:c r="P597" s="14" t="n">
        <x:v>0</x:v>
      </x:c>
      <x:c r="Q597" s="14" t="n">
        <x:v>0</x:v>
      </x:c>
      <x:c r="R597" s="14" t="n">
        <x:v>0.2857142857142858</x:v>
      </x:c>
      <x:c r="S597" t="n">
        <x:v>2241</x:v>
      </x:c>
      <x:c r="T597" t="n">
        <x:v>89.29496425810669</x:v>
      </x:c>
      <x:c r="U597" s="14" t="n">
        <x:v>1</x:v>
      </x:c>
      <x:c r="V597" s="14" t="n">
        <x:v>0.06700317322418073</x:v>
      </x:c>
      <x:c r="W597" s="14" t="n">
        <x:v>0</x:v>
      </x:c>
      <x:c r="X597" s="14" t="n">
        <x:v>0.0035735026262392615</x:v>
      </x:c>
      <x:c r="Y597" s="16" t="n">
        <x:v>88.95348837209302</x:v>
      </x:c>
      <x:c r="Z597" s="16" t="n">
        <x:v>100</x:v>
      </x:c>
      <x:c r="AA597" s="16" t="n">
        <x:v>54.09836065573771</x:v>
      </x:c>
      <x:c r="AB597" s="16" t="n">
        <x:v>42.151162790697676</x:v>
      </x:c>
      <x:c r="AC597" s="16" t="n">
        <x:v>54.651162790697676</x:v>
      </x:c>
      <x:c r="AD597" s="16" t="n">
        <x:v>55.97560975609756</x:v>
      </x:c>
      <x:c r="AE597" s="16" t="n">
        <x:v>73.8350462140725</x:v>
      </x:c>
      <x:c r="AF597" t="str">
        <x:v>검토</x:v>
      </x:c>
      <x:c r="AG597" t="str">
        <x:v>상권 모멘텀·수요 강점 / 경쟁여건 상대적 약점</x:v>
      </x:c>
    </x:row>
    <x:row r="598">
      <x:c r="A598" t="str">
        <x:v>3110331</x:v>
      </x:c>
      <x:c r="B598" t="str">
        <x:v>돌곶이역 8번</x:v>
      </x:c>
      <x:c r="C598" t="str">
        <x:v>골목상권</x:v>
      </x:c>
      <x:c r="D598" t="str">
        <x:v>성북구</x:v>
      </x:c>
      <x:c r="E598" t="str">
        <x:v>석관동</x:v>
      </x:c>
      <x:c r="F598" t="str">
        <x:v>CS300004</x:v>
      </x:c>
      <x:c r="G598" t="str">
        <x:v>핸드폰</x:v>
      </x:c>
      <x:c r="H598" t="n">
        <x:v>542908856</x:v>
      </x:c>
      <x:c r="I598" t="n">
        <x:v>1805</x:v>
      </x:c>
      <x:c r="J598" t="n">
        <x:v>300780.5296398892</x:v>
      </x:c>
      <x:c r="K598" s="14" t="n">
        <x:v>1.6007057365883126</x:v>
      </x:c>
      <x:c r="L598" s="14" t="n">
        <x:v>0.021417847123978317</x:v>
      </x:c>
      <x:c r="M598" s="14" t="n">
        <x:v>-0.06496332404204874</x:v>
      </x:c>
      <x:c r="N598" t="n">
        <x:v>14</x:v>
      </x:c>
      <x:c r="O598" t="n">
        <x:v>0</x:v>
      </x:c>
      <x:c r="P598" s="14" t="n">
        <x:v>0</x:v>
      </x:c>
      <x:c r="Q598" s="14" t="n">
        <x:v>0</x:v>
      </x:c>
      <x:c r="R598" s="14" t="n">
        <x:v>-0.30000000000000004</x:v>
      </x:c>
      <x:c r="S598" t="n">
        <x:v>289</x:v>
      </x:c>
      <x:c r="T598" t="n">
        <x:v>27.28190992249672</x:v>
      </x:c>
      <x:c r="U598" s="14" t="n">
        <x:v>0.9990240977023223</x:v>
      </x:c>
      <x:c r="V598" s="14" t="n">
        <x:v>0.002927706893033257</x:v>
      </x:c>
      <x:c r="W598" s="14" t="n">
        <x:v>0.0019518045953555048</x:v>
      </x:c>
      <x:c r="X598" s="14" t="n">
        <x:v>0.0019518045953555048</x:v>
      </x:c>
      <x:c r="Y598" s="16" t="n">
        <x:v>83.9080459770115</x:v>
      </x:c>
      <x:c r="Z598" s="16" t="n">
        <x:v>94.51219512195122</x:v>
      </x:c>
      <x:c r="AA598" s="16" t="n">
        <x:v>55.73770491803279</x:v>
      </x:c>
      <x:c r="AB598" s="16" t="n">
        <x:v>68.10344827586206</x:v>
      </x:c>
      <x:c r="AC598" s="16" t="n">
        <x:v>60.3448275862069</x:v>
      </x:c>
      <x:c r="AD598" s="16" t="n">
        <x:v>19.024390243902438</x:v>
      </x:c>
      <x:c r="AE598" s="16" t="n">
        <x:v>73.8321303662443</x:v>
      </x:c>
      <x:c r="AF598" t="str">
        <x:v>검토</x:v>
      </x:c>
      <x:c r="AG598" t="str">
        <x:v>상권 모멘텀·수요 강점 / 직장수요 상대적 약점</x:v>
      </x:c>
    </x:row>
    <x:row r="599">
      <x:c r="A599" t="str">
        <x:v>3110882</x:v>
      </x:c>
      <x:c r="B599" t="str">
        <x:v>신성초등학교</x:v>
      </x:c>
      <x:c r="C599" t="str">
        <x:v>골목상권</x:v>
      </x:c>
      <x:c r="D599" t="str">
        <x:v>관악구</x:v>
      </x:c>
      <x:c r="E599" t="str">
        <x:v>서림동</x:v>
      </x:c>
      <x:c r="F599" t="str">
        <x:v>CS300011</x:v>
      </x:c>
      <x:c r="G599" t="str">
        <x:v>일반의류</x:v>
      </x:c>
      <x:c r="H599" t="n">
        <x:v>206131716</x:v>
      </x:c>
      <x:c r="I599" t="n">
        <x:v>3333</x:v>
      </x:c>
      <x:c r="J599" t="n">
        <x:v>61845.69936993699</x:v>
      </x:c>
      <x:c r="K599" s="14" t="n">
        <x:v>0.25472244500861674</x:v>
      </x:c>
      <x:c r="L599" s="14" t="n">
        <x:v>0.06726691045630595</x:v>
      </x:c>
      <x:c r="M599" s="14" t="n">
        <x:v>0.00788849516466894</x:v>
      </x:c>
      <x:c r="N599" t="n">
        <x:v>12</x:v>
      </x:c>
      <x:c r="O599" t="n">
        <x:v>0</x:v>
      </x:c>
      <x:c r="P599" s="14" t="n">
        <x:v>0</x:v>
      </x:c>
      <x:c r="Q599" s="14" t="n">
        <x:v>0</x:v>
      </x:c>
      <x:c r="R599" s="14" t="n">
        <x:v>-0.19999999999999996</x:v>
      </x:c>
      <x:c r="S599" t="n">
        <x:v>666</x:v>
      </x:c>
      <x:c r="T599" t="n">
        <x:v>45.304889662866316</x:v>
      </x:c>
      <x:c r="U599" s="14" t="n">
        <x:v>0.7329094082736884</x:v>
      </x:c>
      <x:c r="V599" s="14" t="n">
        <x:v>0.3889000128442146</x:v>
      </x:c>
      <x:c r="W599" s="14" t="n">
        <x:v>0.06980207742509649</x:v>
      </x:c>
      <x:c r="X599" s="14" t="n">
        <x:v>0.5656750657429156</x:v>
      </x:c>
      <x:c r="Y599" s="16" t="n">
        <x:v>57.59717314487632</x:v>
      </x:c>
      <x:c r="Z599" s="16" t="n">
        <x:v>81.34777376654633</x:v>
      </x:c>
      <x:c r="AA599" s="16" t="n">
        <x:v>81.9672131147541</x:v>
      </x:c>
      <x:c r="AB599" s="16" t="n">
        <x:v>98.93992932862191</x:v>
      </x:c>
      <x:c r="AC599" s="16" t="n">
        <x:v>86.33686690223793</x:v>
      </x:c>
      <x:c r="AD599" s="16" t="n">
        <x:v>32.6219512195122</x:v>
      </x:c>
      <x:c r="AE599" s="16" t="n">
        <x:v>73.82942097172177</x:v>
      </x:c>
      <x:c r="AF599" t="str">
        <x:v>검토</x:v>
      </x:c>
      <x:c r="AG599" t="str">
        <x:v>경쟁여건·안정성 강점 / 직장수요 상대적 약점</x:v>
      </x:c>
    </x:row>
    <x:row r="600">
      <x:c r="A600" t="str">
        <x:v>3130160</x:v>
      </x:c>
      <x:c r="B600" t="str">
        <x:v>수일시장</x:v>
      </x:c>
      <x:c r="C600" t="str">
        <x:v>전통시장</x:v>
      </x:c>
      <x:c r="D600" t="str">
        <x:v>은평구</x:v>
      </x:c>
      <x:c r="E600" t="str">
        <x:v>수색동</x:v>
      </x:c>
      <x:c r="F600" t="str">
        <x:v>CS300011</x:v>
      </x:c>
      <x:c r="G600" t="str">
        <x:v>일반의류</x:v>
      </x:c>
      <x:c r="H600" t="n">
        <x:v>112646919</x:v>
      </x:c>
      <x:c r="I600" t="n">
        <x:v>1495</x:v>
      </x:c>
      <x:c r="J600" t="n">
        <x:v>75349.10969899666</x:v>
      </x:c>
      <x:c r="K600" s="14" t="n">
        <x:v>0.5766421799775283</x:v>
      </x:c>
      <x:c r="L600" s="14" t="n">
        <x:v>0.06726691045630595</x:v>
      </x:c>
      <x:c r="M600" s="14" t="n">
        <x:v>0.00788849516466894</x:v>
      </x:c>
      <x:c r="N600" t="n">
        <x:v>12</x:v>
      </x:c>
      <x:c r="O600" t="n">
        <x:v>0</x:v>
      </x:c>
      <x:c r="P600" s="14" t="n">
        <x:v>0</x:v>
      </x:c>
      <x:c r="Q600" s="14" t="n">
        <x:v>0</x:v>
      </x:c>
      <x:c r="R600" s="14" t="n">
        <x:v>0.33333333333333326</x:v>
      </x:c>
      <x:c r="S600" t="n">
        <x:v>125</x:v>
      </x:c>
      <x:c r="T600" t="n">
        <x:v>106.3558240449247</x:v>
      </x:c>
      <x:c r="U600" s="14" t="n">
        <x:v>0.9176340455436691</x:v>
      </x:c>
      <x:c r="V600" s="14" t="n">
        <x:v>0.7965726963202606</x:v>
      </x:c>
      <x:c r="W600" s="14" t="n">
        <x:v>0</x:v>
      </x:c>
      <x:c r="X600" s="14" t="n">
        <x:v>0.9250967352245115</x:v>
      </x:c>
      <x:c r="Y600" s="16" t="n">
        <x:v>46.76089517078916</x:v>
      </x:c>
      <x:c r="Z600" s="16" t="n">
        <x:v>93.26113116726835</x:v>
      </x:c>
      <x:c r="AA600" s="16" t="n">
        <x:v>81.9672131147541</x:v>
      </x:c>
      <x:c r="AB600" s="16" t="n">
        <x:v>98.93992932862191</x:v>
      </x:c>
      <x:c r="AC600" s="16" t="n">
        <x:v>86.33686690223793</x:v>
      </x:c>
      <x:c r="AD600" s="16" t="n">
        <x:v>60.670731707317074</x:v>
      </x:c>
      <x:c r="AE600" s="16" t="n">
        <x:v>73.82183418532593</x:v>
      </x:c>
      <x:c r="AF600" t="str">
        <x:v>검토</x:v>
      </x:c>
      <x:c r="AG600" t="str">
        <x:v>경쟁여건·상권 모멘텀 강점 / 수요 상대적 약점</x:v>
      </x:c>
    </x:row>
    <x:row r="601">
      <x:c r="A601" t="str">
        <x:v>3130167</x:v>
      </x:c>
      <x:c r="B601" t="str">
        <x:v>연신내상점가(연빛거리)</x:v>
      </x:c>
      <x:c r="C601" t="str">
        <x:v>전통시장</x:v>
      </x:c>
      <x:c r="D601" t="str">
        <x:v>은평구</x:v>
      </x:c>
      <x:c r="E601" t="str">
        <x:v>갈현1동</x:v>
      </x:c>
      <x:c r="F601" t="str">
        <x:v>CS200016</x:v>
      </x:c>
      <x:c r="G601" t="str">
        <x:v>당구장</x:v>
      </x:c>
      <x:c r="H601" t="n">
        <x:v>120641327</x:v>
      </x:c>
      <x:c r="I601" t="n">
        <x:v>7437</x:v>
      </x:c>
      <x:c r="J601" t="n">
        <x:v>16221.773161220923</x:v>
      </x:c>
      <x:c r="K601" s="14" t="n">
        <x:v>0.047571589147604953</x:v>
      </x:c>
      <x:c r="L601" s="14" t="n">
        <x:v>0.052763611334009974</x:v>
      </x:c>
      <x:c r="M601" s="14" t="n">
        <x:v>0.07602781601598463</x:v>
      </x:c>
      <x:c r="N601" t="n">
        <x:v>13</x:v>
      </x:c>
      <x:c r="O601" t="n">
        <x:v>0</x:v>
      </x:c>
      <x:c r="P601" s="14" t="n">
        <x:v>0</x:v>
      </x:c>
      <x:c r="Q601" s="14" t="n">
        <x:v>0.07692307692307693</x:v>
      </x:c>
      <x:c r="R601" s="14" t="n">
        <x:v>-0.2777777777777778</x:v>
      </x:c>
      <x:c r="S601" t="n">
        <x:v>1492</x:v>
      </x:c>
      <x:c r="T601" t="n">
        <x:v>148.96761052757697</x:v>
      </x:c>
      <x:c r="U601" s="14" t="n">
        <x:v>0.6269344998169657</x:v>
      </x:c>
      <x:c r="V601" s="14" t="n">
        <x:v>0.7124000053480845</x:v>
      </x:c>
      <x:c r="W601" s="14" t="n">
        <x:v>0.24933953188363056</x:v>
      </x:c>
      <x:c r="X601" s="14" t="n">
        <x:v>0.10865973813434596</x:v>
      </x:c>
      <x:c r="Y601" s="16" t="n">
        <x:v>84.070796460177</x:v>
      </x:c>
      <x:c r="Z601" s="16" t="n">
        <x:v>71.29629629629629</x:v>
      </x:c>
      <x:c r="AA601" s="16" t="n">
        <x:v>80.32786885245902</x:v>
      </x:c>
      <x:c r="AB601" s="16" t="n">
        <x:v>51.03244837758112</x:v>
      </x:c>
      <x:c r="AC601" s="16" t="n">
        <x:v>69.32153392330383</x:v>
      </x:c>
      <x:c r="AD601" s="16" t="n">
        <x:v>70</x:v>
      </x:c>
      <x:c r="AE601" s="16" t="n">
        <x:v>73.8202389971576</x:v>
      </x:c>
      <x:c r="AF601" t="str">
        <x:v>검토</x:v>
      </x:c>
      <x:c r="AG601" t="str">
        <x:v>수요·서울 업종추세 강점 / 경쟁여건 상대적 약점</x:v>
      </x:c>
    </x:row>
    <x:row r="602">
      <x:c r="A602" t="str">
        <x:v>3110903</x:v>
      </x:c>
      <x:c r="B602" t="str">
        <x:v>방배아이파크아파트</x:v>
      </x:c>
      <x:c r="C602" t="str">
        <x:v>골목상권</x:v>
      </x:c>
      <x:c r="D602" t="str">
        <x:v>서초구</x:v>
      </x:c>
      <x:c r="E602" t="str">
        <x:v>방배본동</x:v>
      </x:c>
      <x:c r="F602" t="str">
        <x:v>CS200030</x:v>
      </x:c>
      <x:c r="G602" t="str">
        <x:v>피부관리실</x:v>
      </x:c>
      <x:c r="H602" t="n">
        <x:v>33820000</x:v>
      </x:c>
      <x:c r="I602" t="n">
        <x:v>64</x:v>
      </x:c>
      <x:c r="J602" t="n">
        <x:v>528437.5</x:v>
      </x:c>
      <x:c r="K602" s="14" t="n">
        <x:v>0.9912278655026836</x:v>
      </x:c>
      <x:c r="L602" s="14" t="n">
        <x:v>0.11857168683779085</x:v>
      </x:c>
      <x:c r="M602" s="14" t="n">
        <x:v>0.0314283578178467</x:v>
      </x:c>
      <x:c r="N602" t="n">
        <x:v>23</x:v>
      </x:c>
      <x:c r="O602" t="n">
        <x:v>0</x:v>
      </x:c>
      <x:c r="P602" s="14" t="n">
        <x:v>0</x:v>
      </x:c>
      <x:c r="Q602" s="14" t="n">
        <x:v>0</x:v>
      </x:c>
      <x:c r="R602" s="14" t="n">
        <x:v>0.3529411764705883</x:v>
      </x:c>
      <x:c r="S602" t="n">
        <x:v>2902</x:v>
      </x:c>
      <x:c r="T602" t="n">
        <x:v>312.70540823033735</x:v>
      </x:c>
      <x:c r="U602" s="14" t="n">
        <x:v>1</x:v>
      </x:c>
      <x:c r="V602" s="14" t="n">
        <x:v>0.3445692785334122</x:v>
      </x:c>
      <x:c r="W602" s="14" t="n">
        <x:v>0.3445692785334122</x:v>
      </x:c>
      <x:c r="X602" s="14" t="n">
        <x:v>0</x:v>
      </x:c>
      <x:c r="Y602" s="16" t="n">
        <x:v>54.83870967741935</x:v>
      </x:c>
      <x:c r="Z602" s="16" t="n">
        <x:v>94.16445623342175</x:v>
      </x:c>
      <x:c r="AA602" s="16" t="n">
        <x:v>91.80327868852459</x:v>
      </x:c>
      <x:c r="AB602" s="16" t="n">
        <x:v>65.88089330024815</x:v>
      </x:c>
      <x:c r="AC602" s="16" t="n">
        <x:v>79.15632754342431</x:v>
      </x:c>
      <x:c r="AD602" s="16" t="n">
        <x:v>84.32926829268293</x:v>
      </x:c>
      <x:c r="AE602" s="16" t="n">
        <x:v>73.81116160107361</x:v>
      </x:c>
      <x:c r="AF602" t="str">
        <x:v>검토</x:v>
      </x:c>
      <x:c r="AG602" t="str">
        <x:v>상권 모멘텀·서울 업종추세 강점 / 수요 상대적 약점</x:v>
      </x:c>
    </x:row>
    <x:row r="603">
      <x:c r="A603" t="str">
        <x:v>3110469</x:v>
      </x:c>
      <x:c r="B603" t="str">
        <x:v>응암정보도서관</x:v>
      </x:c>
      <x:c r="C603" t="str">
        <x:v>골목상권</x:v>
      </x:c>
      <x:c r="D603" t="str">
        <x:v>은평구</x:v>
      </x:c>
      <x:c r="E603" t="str">
        <x:v>응암3동</x:v>
      </x:c>
      <x:c r="F603" t="str">
        <x:v>CS300009</x:v>
      </x:c>
      <x:c r="G603" t="str">
        <x:v>청과상</x:v>
      </x:c>
      <x:c r="H603" t="n">
        <x:v>1637909374</x:v>
      </x:c>
      <x:c r="I603" t="n">
        <x:v>88726</x:v>
      </x:c>
      <x:c r="J603" t="n">
        <x:v>18460.308973694297</x:v>
      </x:c>
      <x:c r="K603" s="14" t="n">
        <x:v>0.5682613208297216</x:v>
      </x:c>
      <x:c r="L603" s="14" t="n">
        <x:v>0.19728256051488424</x:v>
      </x:c>
      <x:c r="M603" s="14" t="n">
        <x:v>0.09797365727115581</x:v>
      </x:c>
      <x:c r="N603" t="n">
        <x:v>27</x:v>
      </x:c>
      <x:c r="O603" t="n">
        <x:v>0</x:v>
      </x:c>
      <x:c r="P603" s="14" t="n">
        <x:v>0</x:v>
      </x:c>
      <x:c r="Q603" s="14" t="n">
        <x:v>0</x:v>
      </x:c>
      <x:c r="R603" s="14" t="n">
        <x:v>0.08000000000000007</x:v>
      </x:c>
      <x:c r="S603" t="n">
        <x:v>543</x:v>
      </x:c>
      <x:c r="T603" t="n">
        <x:v>27.55981444073371</x:v>
      </x:c>
      <x:c r="U603" s="14" t="n">
        <x:v>0.7482790986212403</x:v>
      </x:c>
      <x:c r="V603" s="14" t="n">
        <x:v>0.12388742638699862</x:v>
      </x:c>
      <x:c r="W603" s="14" t="n">
        <x:v>0.04376901380381257</x:v>
      </x:c>
      <x:c r="X603" s="14" t="n">
        <x:v>0.6884396321917625</x:v>
      </x:c>
      <x:c r="Y603" s="16" t="n">
        <x:v>80.21978021978022</x:v>
      </x:c>
      <x:c r="Z603" s="16" t="n">
        <x:v>96.18320610687023</x:v>
      </x:c>
      <x:c r="AA603" s="16" t="n">
        <x:v>95.08196721311475</x:v>
      </x:c>
      <x:c r="AB603" s="16" t="n">
        <x:v>28.75457875457876</x:v>
      </x:c>
      <x:c r="AC603" s="16" t="n">
        <x:v>69.5970695970696</x:v>
      </x:c>
      <x:c r="AD603" s="16" t="n">
        <x:v>19.146341463414632</x:v>
      </x:c>
      <x:c r="AE603" s="16" t="n">
        <x:v>73.80607022632884</x:v>
      </x:c>
      <x:c r="AF603" t="str">
        <x:v>검토</x:v>
      </x:c>
      <x:c r="AG603" t="str">
        <x:v>상권 모멘텀·서울 업종추세 강점 / 직장수요 상대적 약점</x:v>
      </x:c>
    </x:row>
    <x:row r="604">
      <x:c r="A604" t="str">
        <x:v>3120184</x:v>
      </x:c>
      <x:c r="B604" t="str">
        <x:v>포이사거리(삼호물산)</x:v>
      </x:c>
      <x:c r="C604" t="str">
        <x:v>발달상권</x:v>
      </x:c>
      <x:c r="D604" t="str">
        <x:v>서초구</x:v>
      </x:c>
      <x:c r="E604" t="str">
        <x:v>양재2동</x:v>
      </x:c>
      <x:c r="F604" t="str">
        <x:v>CS200028</x:v>
      </x:c>
      <x:c r="G604" t="str">
        <x:v>미용실</x:v>
      </x:c>
      <x:c r="H604" t="n">
        <x:v>265917393</x:v>
      </x:c>
      <x:c r="I604" t="n">
        <x:v>7049</x:v>
      </x:c>
      <x:c r="J604" t="n">
        <x:v>37724.13008937438</x:v>
      </x:c>
      <x:c r="K604" s="14" t="n">
        <x:v>0.050262684381953804</x:v>
      </x:c>
      <x:c r="L604" s="14" t="n">
        <x:v>0.02168887159425803</x:v>
      </x:c>
      <x:c r="M604" s="14" t="n">
        <x:v>-0.013481964371473865</x:v>
      </x:c>
      <x:c r="N604" t="n">
        <x:v>46</x:v>
      </x:c>
      <x:c r="O604" t="n">
        <x:v>0</x:v>
      </x:c>
      <x:c r="P604" s="14" t="n">
        <x:v>0</x:v>
      </x:c>
      <x:c r="Q604" s="14" t="n">
        <x:v>0.021739130434782608</x:v>
      </x:c>
      <x:c r="R604" s="14" t="n">
        <x:v>0.022222222222222143</x:v>
      </x:c>
      <x:c r="S604" t="n">
        <x:v>15262</x:v>
      </x:c>
      <x:c r="T604" t="n">
        <x:v>433.64237432127953</x:v>
      </x:c>
      <x:c r="U604" s="14" t="n">
        <x:v>0.7180303696795042</x:v>
      </x:c>
      <x:c r="V604" s="14" t="n">
        <x:v>0.2645369157932441</x:v>
      </x:c>
      <x:c r="W604" s="14" t="n">
        <x:v>0.11569478270268692</x:v>
      </x:c>
      <x:c r="X604" s="14" t="n">
        <x:v>0.5300331445412448</x:v>
      </x:c>
      <x:c r="Y604" s="16" t="n">
        <x:v>84.06445837063563</x:v>
      </x:c>
      <x:c r="Z604" s="16" t="n">
        <x:v>68.25539568345324</x:v>
      </x:c>
      <x:c r="AA604" s="16" t="n">
        <x:v>57.377049180327866</x:v>
      </x:c>
      <x:c r="AB604" s="16" t="n">
        <x:v>67.59176365264099</x:v>
      </x:c>
      <x:c r="AC604" s="16" t="n">
        <x:v>75.60429722470904</x:v>
      </x:c>
      <x:c r="AD604" s="16" t="n">
        <x:v>88.35365853658537</x:v>
      </x:c>
      <x:c r="AE604" s="16" t="n">
        <x:v>73.79707414065862</x:v>
      </x:c>
      <x:c r="AF604" t="str">
        <x:v>검토</x:v>
      </x:c>
      <x:c r="AG604" t="str">
        <x:v>직장수요·수요 강점 / 서울 업종추세 상대적 약점</x:v>
      </x:c>
    </x:row>
    <x:row r="605">
      <x:c r="A605" t="str">
        <x:v>3110507</x:v>
      </x:c>
      <x:c r="B605" t="str">
        <x:v>명지대학교</x:v>
      </x:c>
      <x:c r="C605" t="str">
        <x:v>골목상권</x:v>
      </x:c>
      <x:c r="D605" t="str">
        <x:v>서대문구</x:v>
      </x:c>
      <x:c r="E605" t="str">
        <x:v>홍은2동</x:v>
      </x:c>
      <x:c r="F605" t="str">
        <x:v>CS200028</x:v>
      </x:c>
      <x:c r="G605" t="str">
        <x:v>미용실</x:v>
      </x:c>
      <x:c r="H605" t="n">
        <x:v>545437457</x:v>
      </x:c>
      <x:c r="I605" t="n">
        <x:v>17725</x:v>
      </x:c>
      <x:c r="J605" t="n">
        <x:v>30772.211960507757</x:v>
      </x:c>
      <x:c r="K605" s="14" t="n">
        <x:v>0.020274329859468088</x:v>
      </x:c>
      <x:c r="L605" s="14" t="n">
        <x:v>0.02168887159425803</x:v>
      </x:c>
      <x:c r="M605" s="14" t="n">
        <x:v>-0.013481964371473865</x:v>
      </x:c>
      <x:c r="N605" t="n">
        <x:v>32</x:v>
      </x:c>
      <x:c r="O605" t="n">
        <x:v>0</x:v>
      </x:c>
      <x:c r="P605" s="14" t="n">
        <x:v>0</x:v>
      </x:c>
      <x:c r="Q605" s="14" t="n">
        <x:v>0.03125</x:v>
      </x:c>
      <x:c r="R605" s="14" t="n">
        <x:v>0.032258064516129004</x:v>
      </x:c>
      <x:c r="S605" t="n">
        <x:v>912</x:v>
      </x:c>
      <x:c r="T605" t="n">
        <x:v>51.52571483454708</x:v>
      </x:c>
      <x:c r="U605" s="14" t="n">
        <x:v>0.5985140730809766</x:v>
      </x:c>
      <x:c r="V605" s="14" t="n">
        <x:v>0.39151324181976743</x:v>
      </x:c>
      <x:c r="W605" s="14" t="n">
        <x:v>0.25661700751145883</x:v>
      </x:c>
      <x:c r="X605" s="14" t="n">
        <x:v>0.4911925346557195</x:v>
      </x:c>
      <x:c r="Y605" s="16" t="n">
        <x:v>93.82273948075202</x:v>
      </x:c>
      <x:c r="Z605" s="16" t="n">
        <x:v>51.43884892086331</x:v>
      </x:c>
      <x:c r="AA605" s="16" t="n">
        <x:v>57.377049180327866</x:v>
      </x:c>
      <x:c r="AB605" s="16" t="n">
        <x:v>84.24350940017905</x:v>
      </x:c>
      <x:c r="AC605" s="16" t="n">
        <x:v>75.60429722470904</x:v>
      </x:c>
      <x:c r="AD605" s="16" t="n">
        <x:v>37.01219512195122</x:v>
      </x:c>
      <x:c r="AE605" s="16" t="n">
        <x:v>73.77985186808036</x:v>
      </x:c>
      <x:c r="AF605" t="str">
        <x:v>검토</x:v>
      </x:c>
      <x:c r="AG605" t="str">
        <x:v>수요·경쟁여건 강점 / 직장수요 상대적 약점</x:v>
      </x:c>
    </x:row>
    <x:row r="606">
      <x:c r="A606" t="str">
        <x:v>3120156</x:v>
      </x:c>
      <x:c r="B606" t="str">
        <x:v>총신대입구역(이수, 총신대)</x:v>
      </x:c>
      <x:c r="C606" t="str">
        <x:v>발달상권</x:v>
      </x:c>
      <x:c r="D606" t="str">
        <x:v>동작구</x:v>
      </x:c>
      <x:c r="E606" t="str">
        <x:v>사당2동</x:v>
      </x:c>
      <x:c r="F606" t="str">
        <x:v>CS200006</x:v>
      </x:c>
      <x:c r="G606" t="str">
        <x:v>일반의원</x:v>
      </x:c>
      <x:c r="H606" t="n">
        <x:v>17292568367</x:v>
      </x:c>
      <x:c r="I606" t="n">
        <x:v>271152</x:v>
      </x:c>
      <x:c r="J606" t="n">
        <x:v>63774.445207853896</x:v>
      </x:c>
      <x:c r="K606" s="14" t="n">
        <x:v>0.04388105899974315</x:v>
      </x:c>
      <x:c r="L606" s="14" t="n">
        <x:v>0.09973642051122278</x:v>
      </x:c>
      <x:c r="M606" s="14" t="n">
        <x:v>0.06942273842247415</x:v>
      </x:c>
      <x:c r="N606" t="n">
        <x:v>39</x:v>
      </x:c>
      <x:c r="O606" t="n">
        <x:v>0</x:v>
      </x:c>
      <x:c r="P606" s="14" t="n">
        <x:v>0</x:v>
      </x:c>
      <x:c r="Q606" s="14" t="n">
        <x:v>0</x:v>
      </x:c>
      <x:c r="R606" s="14" t="n">
        <x:v>0.25806451612903225</x:v>
      </x:c>
      <x:c r="S606" t="n">
        <x:v>7436</x:v>
      </x:c>
      <x:c r="T606" t="n">
        <x:v>301.0952969044197</x:v>
      </x:c>
      <x:c r="U606" s="14" t="n">
        <x:v>0.8447189256672667</x:v>
      </x:c>
      <x:c r="V606" s="14" t="n">
        <x:v>0.21174998729441194</x:v>
      </x:c>
      <x:c r="W606" s="14" t="n">
        <x:v>0.33172249421010486</x:v>
      </x:c>
      <x:c r="X606" s="14" t="n">
        <x:v>0.6470857894859523</x:v>
      </x:c>
      <x:c r="Y606" s="16" t="n">
        <x:v>96.90522243713733</x:v>
      </x:c>
      <x:c r="Z606" s="16" t="n">
        <x:v>58.52713178294574</x:v>
      </x:c>
      <x:c r="AA606" s="16" t="n">
        <x:v>90.1639344262295</x:v>
      </x:c>
      <x:c r="AB606" s="16" t="n">
        <x:v>27.906976744186053</x:v>
      </x:c>
      <x:c r="AC606" s="16" t="n">
        <x:v>62.5</x:v>
      </x:c>
      <x:c r="AD606" s="16" t="n">
        <x:v>83.90243902439025</x:v>
      </x:c>
      <x:c r="AE606" s="16" t="n">
        <x:v>73.77801283636904</x:v>
      </x:c>
      <x:c r="AF606" t="str">
        <x:v>검토</x:v>
      </x:c>
      <x:c r="AG606" t="str">
        <x:v>수요·서울 업종추세 강점 / 경쟁여건 상대적 약점</x:v>
      </x:c>
    </x:row>
    <x:row r="607">
      <x:c r="A607" t="str">
        <x:v>3120190</x:v>
      </x:c>
      <x:c r="B607" t="str">
        <x:v>강남을지병원</x:v>
      </x:c>
      <x:c r="C607" t="str">
        <x:v>발달상권</x:v>
      </x:c>
      <x:c r="D607" t="str">
        <x:v>강남구</x:v>
      </x:c>
      <x:c r="E607" t="str">
        <x:v>압구정동</x:v>
      </x:c>
      <x:c r="F607" t="str">
        <x:v>CS200001</x:v>
      </x:c>
      <x:c r="G607" t="str">
        <x:v>일반교습학원</x:v>
      </x:c>
      <x:c r="H607" t="n">
        <x:v>2089295871</x:v>
      </x:c>
      <x:c r="I607" t="n">
        <x:v>660</x:v>
      </x:c>
      <x:c r="J607" t="n">
        <x:v>3165599.8045454547</x:v>
      </x:c>
      <x:c r="K607" s="14" t="n">
        <x:v>2.082487788104129</x:v>
      </x:c>
      <x:c r="L607" s="14" t="n">
        <x:v>0.026465986538897424</x:v>
      </x:c>
      <x:c r="M607" s="14" t="n">
        <x:v>0.05930632525283164</x:v>
      </x:c>
      <x:c r="N607" t="n">
        <x:v>199</x:v>
      </x:c>
      <x:c r="O607" t="n">
        <x:v>1</x:v>
      </x:c>
      <x:c r="P607" s="14" t="n">
        <x:v>0.004901960784313725</x:v>
      </x:c>
      <x:c r="Q607" s="14" t="n">
        <x:v>0.05025125628140704</x:v>
      </x:c>
      <x:c r="R607" s="14" t="n">
        <x:v>0.45255474452554734</x:v>
      </x:c>
      <x:c r="S607" t="n">
        <x:v>15495</x:v>
      </x:c>
      <x:c r="T607" t="n">
        <x:v>524.9072646894426</x:v>
      </x:c>
      <x:c r="U607" s="14" t="n">
        <x:v>0.9743557081868182</x:v>
      </x:c>
      <x:c r="V607" s="14" t="n">
        <x:v>0.017828909020037975</x:v>
      </x:c>
      <x:c r="W607" s="14" t="n">
        <x:v>0.0012941024952611894</x:v>
      </x:c>
      <x:c r="X607" s="14" t="n">
        <x:v>0.2256532995369137</x:v>
      </x:c>
      <x:c r="Y607" s="16" t="n">
        <x:v>89.59627329192547</x:v>
      </x:c>
      <x:c r="Z607" s="16" t="n">
        <x:v>99.67532467532467</x:v>
      </x:c>
      <x:c r="AA607" s="16" t="n">
        <x:v>70.49180327868852</x:v>
      </x:c>
      <x:c r="AB607" s="16" t="n">
        <x:v>4.192546583850927</x:v>
      </x:c>
      <x:c r="AC607" s="16" t="n">
        <x:v>67.3913043478261</x:v>
      </x:c>
      <x:c r="AD607" s="16" t="n">
        <x:v>90.54878048780488</x:v>
      </x:c>
      <x:c r="AE607" s="16" t="n">
        <x:v>73.76298252579262</x:v>
      </x:c>
      <x:c r="AF607" t="str">
        <x:v>검토</x:v>
      </x:c>
      <x:c r="AG607" t="str">
        <x:v>상권 모멘텀·직장수요 강점 / 경쟁여건 상대적 약점</x:v>
      </x:c>
    </x:row>
    <x:row r="608">
      <x:c r="A608" t="str">
        <x:v>3120088</x:v>
      </x:c>
      <x:c r="B608" t="str">
        <x:v>구산역</x:v>
      </x:c>
      <x:c r="C608" t="str">
        <x:v>발달상권</x:v>
      </x:c>
      <x:c r="D608" t="str">
        <x:v>은평구</x:v>
      </x:c>
      <x:c r="E608" t="str">
        <x:v>갈현2동</x:v>
      </x:c>
      <x:c r="F608" t="str">
        <x:v>CS300018</x:v>
      </x:c>
      <x:c r="G608" t="str">
        <x:v>의약품</x:v>
      </x:c>
      <x:c r="H608" t="n">
        <x:v>3196770125</x:v>
      </x:c>
      <x:c r="I608" t="n">
        <x:v>220912</x:v>
      </x:c>
      <x:c r="J608" t="n">
        <x:v>14470.785312703701</x:v>
      </x:c>
      <x:c r="K608" s="14" t="n">
        <x:v>0.031777858884106</x:v>
      </x:c>
      <x:c r="L608" s="14" t="n">
        <x:v>0.027829225601598617</x:v>
      </x:c>
      <x:c r="M608" s="14" t="n">
        <x:v>0.02632929521123617</x:v>
      </x:c>
      <x:c r="N608" t="n">
        <x:v>18</x:v>
      </x:c>
      <x:c r="O608" t="n">
        <x:v>0</x:v>
      </x:c>
      <x:c r="P608" s="14" t="n">
        <x:v>0</x:v>
      </x:c>
      <x:c r="Q608" s="14" t="n">
        <x:v>0.1111111111111111</x:v>
      </x:c>
      <x:c r="R608" s="14" t="n">
        <x:v>0</x:v>
      </x:c>
      <x:c r="S608" t="n">
        <x:v>1239</x:v>
      </x:c>
      <x:c r="T608" t="n">
        <x:v>208.68422825574345</x:v>
      </x:c>
      <x:c r="U608" s="14" t="n">
        <x:v>0.8426987608312937</x:v>
      </x:c>
      <x:c r="V608" s="14" t="n">
        <x:v>0.14740523859218685</x:v>
      </x:c>
      <x:c r="W608" s="14" t="n">
        <x:v>0.15747807327872848</x:v>
      </x:c>
      <x:c r="X608" s="14" t="n">
        <x:v>0.5322372840305494</x:v>
      </x:c>
      <x:c r="Y608" s="16" t="n">
        <x:v>78.35051546391753</x:v>
      </x:c>
      <x:c r="Z608" s="16" t="n">
        <x:v>73.42657342657343</x:v>
      </x:c>
      <x:c r="AA608" s="16" t="n">
        <x:v>72.1311475409836</x:v>
      </x:c>
      <x:c r="AB608" s="16" t="n">
        <x:v>68.90034364261169</x:v>
      </x:c>
      <x:c r="AC608" s="16" t="n">
        <x:v>66.32302405498282</x:v>
      </x:c>
      <x:c r="AD608" s="16" t="n">
        <x:v>77.2560975609756</x:v>
      </x:c>
      <x:c r="AE608" s="16" t="n">
        <x:v>73.75782605877218</x:v>
      </x:c>
      <x:c r="AF608" t="str">
        <x:v>검토</x:v>
      </x:c>
      <x:c r="AG608" t="str">
        <x:v>수요·직장수요 강점 / 안정성 상대적 약점</x:v>
      </x:c>
    </x:row>
    <x:row r="609">
      <x:c r="A609" t="str">
        <x:v>3120069</x:v>
      </x:c>
      <x:c r="B609" t="str">
        <x:v>상봉역</x:v>
      </x:c>
      <x:c r="C609" t="str">
        <x:v>발달상권</x:v>
      </x:c>
      <x:c r="D609" t="str">
        <x:v>중랑구</x:v>
      </x:c>
      <x:c r="E609" t="str">
        <x:v>상봉2동</x:v>
      </x:c>
      <x:c r="F609" t="str">
        <x:v>CS200028</x:v>
      </x:c>
      <x:c r="G609" t="str">
        <x:v>미용실</x:v>
      </x:c>
      <x:c r="H609" t="n">
        <x:v>369816518</x:v>
      </x:c>
      <x:c r="I609" t="n">
        <x:v>7074</x:v>
      </x:c>
      <x:c r="J609" t="n">
        <x:v>52278.27509188578</x:v>
      </x:c>
      <x:c r="K609" s="14" t="n">
        <x:v>0.13972830899875954</x:v>
      </x:c>
      <x:c r="L609" s="14" t="n">
        <x:v>0.02168887159425803</x:v>
      </x:c>
      <x:c r="M609" s="14" t="n">
        <x:v>-0.013481964371473865</x:v>
      </x:c>
      <x:c r="N609" t="n">
        <x:v>71</x:v>
      </x:c>
      <x:c r="O609" t="n">
        <x:v>0</x:v>
      </x:c>
      <x:c r="P609" s="14" t="n">
        <x:v>0</x:v>
      </x:c>
      <x:c r="Q609" s="14" t="n">
        <x:v>0.07042253521126761</x:v>
      </x:c>
      <x:c r="R609" s="14" t="n">
        <x:v>0.5434782608695652</x:v>
      </x:c>
      <x:c r="S609" t="n">
        <x:v>2554</x:v>
      </x:c>
      <x:c r="T609" t="n">
        <x:v>124.08418679674291</x:v>
      </x:c>
      <x:c r="U609" s="14" t="n">
        <x:v>0.6719424414676902</x:v>
      </x:c>
      <x:c r="V609" s="14" t="n">
        <x:v>0.4055969236073982</x:v>
      </x:c>
      <x:c r="W609" s="14" t="n">
        <x:v>0.47815526184798485</x:v>
      </x:c>
      <x:c r="X609" s="14" t="n">
        <x:v>0.6112709167847392</x:v>
      </x:c>
      <x:c r="Y609" s="16" t="n">
        <x:v>89.43598925693823</x:v>
      </x:c>
      <x:c r="Z609" s="16" t="n">
        <x:v>91.54676258992805</x:v>
      </x:c>
      <x:c r="AA609" s="16" t="n">
        <x:v>57.377049180327866</x:v>
      </x:c>
      <x:c r="AB609" s="16" t="n">
        <x:v>31.557743957027753</x:v>
      </x:c>
      <x:c r="AC609" s="16" t="n">
        <x:v>75.60429722470904</x:v>
      </x:c>
      <x:c r="AD609" s="16" t="n">
        <x:v>64.8170731707317</x:v>
      </x:c>
      <x:c r="AE609" s="16" t="n">
        <x:v>73.75345110952482</x:v>
      </x:c>
      <x:c r="AF609" t="str">
        <x:v>검토</x:v>
      </x:c>
      <x:c r="AG609" t="str">
        <x:v>상권 모멘텀·수요 강점 / 경쟁여건 상대적 약점</x:v>
      </x:c>
    </x:row>
    <x:row r="610">
      <x:c r="A610" t="str">
        <x:v>3120205</x:v>
      </x:c>
      <x:c r="B610" t="str">
        <x:v>매봉역</x:v>
      </x:c>
      <x:c r="C610" t="str">
        <x:v>발달상권</x:v>
      </x:c>
      <x:c r="D610" t="str">
        <x:v>강남구</x:v>
      </x:c>
      <x:c r="E610" t="str">
        <x:v>도곡2동</x:v>
      </x:c>
      <x:c r="F610" t="str">
        <x:v>CS100003</x:v>
      </x:c>
      <x:c r="G610" t="str">
        <x:v>일식음식점</x:v>
      </x:c>
      <x:c r="H610" t="n">
        <x:v>1709036150</x:v>
      </x:c>
      <x:c r="I610" t="n">
        <x:v>52308</x:v>
      </x:c>
      <x:c r="J610" t="n">
        <x:v>32672.557734954502</x:v>
      </x:c>
      <x:c r="K610" s="14" t="n">
        <x:v>0.05600973071317372</x:v>
      </x:c>
      <x:c r="L610" s="14" t="n">
        <x:v>0.048235937606500245</x:v>
      </x:c>
      <x:c r="M610" s="14" t="n">
        <x:v>-0.004288267098710441</x:v>
      </x:c>
      <x:c r="N610" t="n">
        <x:v>26</x:v>
      </x:c>
      <x:c r="O610" t="n">
        <x:v>0</x:v>
      </x:c>
      <x:c r="P610" s="14" t="n">
        <x:v>0</x:v>
      </x:c>
      <x:c r="Q610" s="14" t="n">
        <x:v>0.07692307692307693</x:v>
      </x:c>
      <x:c r="R610" s="14" t="n">
        <x:v>0.13043478260869557</x:v>
      </x:c>
      <x:c r="S610" t="n">
        <x:v>67744</x:v>
      </x:c>
      <x:c r="T610" t="n">
        <x:v>5532.696846696013</x:v>
      </x:c>
      <x:c r="U610" s="14" t="n">
        <x:v>0.7774496022216967</x:v>
      </x:c>
      <x:c r="V610" s="14" t="n">
        <x:v>0.5241242890034831</x:v>
      </x:c>
      <x:c r="W610" s="14" t="n">
        <x:v>0.30829076318836207</x:v>
      </x:c>
      <x:c r="X610" s="14" t="n">
        <x:v>0.2534049744939567</x:v>
      </x:c>
      <x:c r="Y610" s="16" t="n">
        <x:v>86.30952380952381</x:v>
      </x:c>
      <x:c r="Z610" s="16" t="n">
        <x:v>56.48148148148148</x:v>
      </x:c>
      <x:c r="AA610" s="16" t="n">
        <x:v>78.68852459016394</x:v>
      </x:c>
      <x:c r="AB610" s="16" t="n">
        <x:v>48.51190476190476</x:v>
      </x:c>
      <x:c r="AC610" s="16" t="n">
        <x:v>81.10119047619048</x:v>
      </x:c>
      <x:c r="AD610" s="16" t="n">
        <x:v>100</x:v>
      </x:c>
      <x:c r="AE610" s="16" t="n">
        <x:v>73.69481308005899</x:v>
      </x:c>
      <x:c r="AF610" t="str">
        <x:v>검토</x:v>
      </x:c>
      <x:c r="AG610" t="str">
        <x:v>직장수요·수요 강점 / 경쟁여건 상대적 약점</x:v>
      </x:c>
    </x:row>
    <x:row r="611">
      <x:c r="A611" t="str">
        <x:v>3120028</x:v>
      </x:c>
      <x:c r="B611" t="str">
        <x:v>명동(명동거리)</x:v>
      </x:c>
      <x:c r="C611" t="str">
        <x:v>발달상권</x:v>
      </x:c>
      <x:c r="D611" t="str">
        <x:v>중구</x:v>
      </x:c>
      <x:c r="E611" t="str">
        <x:v>명동</x:v>
      </x:c>
      <x:c r="F611" t="str">
        <x:v>CS200030</x:v>
      </x:c>
      <x:c r="G611" t="str">
        <x:v>피부관리실</x:v>
      </x:c>
      <x:c r="H611" t="n">
        <x:v>945966158</x:v>
      </x:c>
      <x:c r="I611" t="n">
        <x:v>8143</x:v>
      </x:c>
      <x:c r="J611" t="n">
        <x:v>116169.24450448238</x:v>
      </x:c>
      <x:c r="K611" s="14" t="n">
        <x:v>0.3384276616604147</x:v>
      </x:c>
      <x:c r="L611" s="14" t="n">
        <x:v>0.11857168683779085</x:v>
      </x:c>
      <x:c r="M611" s="14" t="n">
        <x:v>0.0314283578178467</x:v>
      </x:c>
      <x:c r="N611" t="n">
        <x:v>73</x:v>
      </x:c>
      <x:c r="O611" t="n">
        <x:v>3</x:v>
      </x:c>
      <x:c r="P611" s="14" t="n">
        <x:v>0.038461538461538464</x:v>
      </x:c>
      <x:c r="Q611" s="14" t="n">
        <x:v>0.0410958904109589</x:v>
      </x:c>
      <x:c r="R611" s="14" t="n">
        <x:v>0.48979591836734704</x:v>
      </x:c>
      <x:c r="S611" t="n">
        <x:v>37526</x:v>
      </x:c>
      <x:c r="T611" t="n">
        <x:v>1694.0613502471615</x:v>
      </x:c>
      <x:c r="U611" s="14" t="n">
        <x:v>0.729930139847561</x:v>
      </x:c>
      <x:c r="V611" s="14" t="n">
        <x:v>0.3711877502493065</x:v>
      </x:c>
      <x:c r="W611" s="14" t="n">
        <x:v>0.6661838646874723</x:v>
      </x:c>
      <x:c r="X611" s="14" t="n">
        <x:v>0.7082611141359668</x:v>
      </x:c>
      <x:c r="Y611" s="16" t="n">
        <x:v>97.51861042183623</x:v>
      </x:c>
      <x:c r="Z611" s="16" t="n">
        <x:v>84.61538461538461</x:v>
      </x:c>
      <x:c r="AA611" s="16" t="n">
        <x:v>91.80327868852459</x:v>
      </x:c>
      <x:c r="AB611" s="16" t="n">
        <x:v>14.640198511166247</x:v>
      </x:c>
      <x:c r="AC611" s="16" t="n">
        <x:v>17.493796526054595</x:v>
      </x:c>
      <x:c r="AD611" s="16" t="n">
        <x:v>98.23170731707317</x:v>
      </x:c>
      <x:c r="AE611" s="16" t="n">
        <x:v>73.68207716913233</x:v>
      </x:c>
      <x:c r="AF611" t="str">
        <x:v>검토</x:v>
      </x:c>
      <x:c r="AG611" t="str">
        <x:v>직장수요·수요 강점 / 경쟁여건 상대적 약점</x:v>
      </x:c>
    </x:row>
    <x:row r="612">
      <x:c r="A612" t="str">
        <x:v>3120131</x:v>
      </x:c>
      <x:c r="B612" t="str">
        <x:v>가산디지털단지</x:v>
      </x:c>
      <x:c r="C612" t="str">
        <x:v>발달상권</x:v>
      </x:c>
      <x:c r="D612" t="str">
        <x:v>금천구</x:v>
      </x:c>
      <x:c r="E612" t="str">
        <x:v>가산동</x:v>
      </x:c>
      <x:c r="F612" t="str">
        <x:v>CS300035</x:v>
      </x:c>
      <x:c r="G612" t="str">
        <x:v>인테리어</x:v>
      </x:c>
      <x:c r="H612" t="n">
        <x:v>1982888146</x:v>
      </x:c>
      <x:c r="I612" t="n">
        <x:v>956</x:v>
      </x:c>
      <x:c r="J612" t="n">
        <x:v>2074150.780334728</x:v>
      </x:c>
      <x:c r="K612" s="14" t="n">
        <x:v>1.0475417773659021</x:v>
      </x:c>
      <x:c r="L612" s="14" t="n">
        <x:v>0.20213561276420866</x:v>
      </x:c>
      <x:c r="M612" s="14" t="n">
        <x:v>0.044160820891303576</x:v>
      </x:c>
      <x:c r="N612" t="n">
        <x:v>58</x:v>
      </x:c>
      <x:c r="O612" t="n">
        <x:v>1</x:v>
      </x:c>
      <x:c r="P612" s="14" t="n">
        <x:v>0.015873015873015872</x:v>
      </x:c>
      <x:c r="Q612" s="14" t="n">
        <x:v>0</x:v>
      </x:c>
      <x:c r="R612" s="14" t="n">
        <x:v>0.6571428571428573</x:v>
      </x:c>
      <x:c r="S612" t="n">
        <x:v>104860</x:v>
      </x:c>
      <x:c r="T612" t="n">
        <x:v>611.9209626404921</x:v>
      </x:c>
      <x:c r="U612" s="14" t="n">
        <x:v>0.9721766781896936</x:v>
      </x:c>
      <x:c r="V612" s="14" t="n">
        <x:v>0.02782332181030649</x:v>
      </x:c>
      <x:c r="W612" s="14" t="n">
        <x:v>0.008694787971161739</x:v>
      </x:c>
      <x:c r="X612" s="14" t="n">
        <x:v>0.1435880690367494</x:v>
      </x:c>
      <x:c r="Y612" s="16" t="n">
        <x:v>97.82608695652173</x:v>
      </x:c>
      <x:c r="Z612" s="16" t="n">
        <x:v>88.53503184713375</x:v>
      </x:c>
      <x:c r="AA612" s="16" t="n">
        <x:v>98.36065573770492</x:v>
      </x:c>
      <x:c r="AB612" s="16" t="n">
        <x:v>2.173913043478265</x:v>
      </x:c>
      <x:c r="AC612" s="16" t="n">
        <x:v>20.108695652173907</x:v>
      </x:c>
      <x:c r="AD612" s="16" t="n">
        <x:v>92.7439024390244</x:v>
      </x:c>
      <x:c r="AE612" s="16" t="n">
        <x:v>73.67438680855544</x:v>
      </x:c>
      <x:c r="AF612" t="str">
        <x:v>검토</x:v>
      </x:c>
      <x:c r="AG612" t="str">
        <x:v>서울 업종추세·수요 강점 / 경쟁여건 상대적 약점</x:v>
      </x:c>
    </x:row>
    <x:row r="613">
      <x:c r="A613" t="str">
        <x:v>3130056</x:v>
      </x:c>
      <x:c r="B613" t="str">
        <x:v>용산용문시장</x:v>
      </x:c>
      <x:c r="C613" t="str">
        <x:v>전통시장</x:v>
      </x:c>
      <x:c r="D613" t="str">
        <x:v>용산구</x:v>
      </x:c>
      <x:c r="E613" t="str">
        <x:v>용문동</x:v>
      </x:c>
      <x:c r="F613" t="str">
        <x:v>CS300011</x:v>
      </x:c>
      <x:c r="G613" t="str">
        <x:v>일반의류</x:v>
      </x:c>
      <x:c r="H613" t="n">
        <x:v>622373736</x:v>
      </x:c>
      <x:c r="I613" t="n">
        <x:v>6877</x:v>
      </x:c>
      <x:c r="J613" t="n">
        <x:v>90500.76137850808</x:v>
      </x:c>
      <x:c r="K613" s="14" t="n">
        <x:v>0.034565063859134604</x:v>
      </x:c>
      <x:c r="L613" s="14" t="n">
        <x:v>0.06726691045630595</x:v>
      </x:c>
      <x:c r="M613" s="14" t="n">
        <x:v>0.00788849516466894</x:v>
      </x:c>
      <x:c r="N613" t="n">
        <x:v>26</x:v>
      </x:c>
      <x:c r="O613" t="n">
        <x:v>0</x:v>
      </x:c>
      <x:c r="P613" s="14" t="n">
        <x:v>0</x:v>
      </x:c>
      <x:c r="Q613" s="14" t="n">
        <x:v>0</x:v>
      </x:c>
      <x:c r="R613" s="14" t="n">
        <x:v>-0.03703703703703709</x:v>
      </x:c>
      <x:c r="S613" t="n">
        <x:v>909</x:v>
      </x:c>
      <x:c r="T613" t="n">
        <x:v>225.86095512597524</x:v>
      </x:c>
      <x:c r="U613" s="14" t="n">
        <x:v>0.7926260227022176</x:v>
      </x:c>
      <x:c r="V613" s="14" t="n">
        <x:v>0.19600686523828506</x:v>
      </x:c>
      <x:c r="W613" s="14" t="n">
        <x:v>0.021433907358841375</x:v>
      </x:c>
      <x:c r="X613" s="14" t="n">
        <x:v>0.8206722270812533</x:v>
      </x:c>
      <x:c r="Y613" s="16" t="n">
        <x:v>77.97408716136631</x:v>
      </x:c>
      <x:c r="Z613" s="16" t="n">
        <x:v>42.1179302045728</x:v>
      </x:c>
      <x:c r="AA613" s="16" t="n">
        <x:v>81.9672131147541</x:v>
      </x:c>
      <x:c r="AB613" s="16" t="n">
        <x:v>87.27915194346289</x:v>
      </x:c>
      <x:c r="AC613" s="16" t="n">
        <x:v>86.33686690223793</x:v>
      </x:c>
      <x:c r="AD613" s="16" t="n">
        <x:v>78.78048780487805</x:v>
      </x:c>
      <x:c r="AE613" s="16" t="n">
        <x:v>73.67418238659302</x:v>
      </x:c>
      <x:c r="AF613" t="str">
        <x:v>검토</x:v>
      </x:c>
      <x:c r="AG613" t="str">
        <x:v>경쟁여건·안정성 강점 / 상권 모멘텀 상대적 약점</x:v>
      </x:c>
    </x:row>
    <x:row r="614">
      <x:c r="A614" t="str">
        <x:v>3001495</x:v>
      </x:c>
      <x:c r="B614" t="str">
        <x:v>잠실 관광특구</x:v>
      </x:c>
      <x:c r="C614" t="str">
        <x:v>관광특구</x:v>
      </x:c>
      <x:c r="D614" t="str">
        <x:v>송파구</x:v>
      </x:c>
      <x:c r="E614" t="str">
        <x:v>방이2동</x:v>
      </x:c>
      <x:c r="F614" t="str">
        <x:v>CS200025</x:v>
      </x:c>
      <x:c r="G614" t="str">
        <x:v>자동차수리</x:v>
      </x:c>
      <x:c r="H614" t="n">
        <x:v>586677396</x:v>
      </x:c>
      <x:c r="I614" t="n">
        <x:v>6159</x:v>
      </x:c>
      <x:c r="J614" t="n">
        <x:v>95255.30053580126</x:v>
      </x:c>
      <x:c r="K614" s="14" t="n">
        <x:v>0.23040856612144478</x:v>
      </x:c>
      <x:c r="L614" s="14" t="n">
        <x:v>0.02213950283587751</x:v>
      </x:c>
      <x:c r="M614" s="14" t="n">
        <x:v>0.024356161917000962</x:v>
      </x:c>
      <x:c r="N614" t="n">
        <x:v>13</x:v>
      </x:c>
      <x:c r="O614" t="n">
        <x:v>0</x:v>
      </x:c>
      <x:c r="P614" s="14" t="n">
        <x:v>0</x:v>
      </x:c>
      <x:c r="Q614" s="14" t="n">
        <x:v>0.3076923076923077</x:v>
      </x:c>
      <x:c r="R614" s="14" t="n">
        <x:v>-0.40909090909090906</x:v>
      </x:c>
      <x:c r="S614" t="n">
        <x:v>137602</x:v>
      </x:c>
      <x:c r="T614" t="n">
        <x:v>558.7367535430136</x:v>
      </x:c>
      <x:c r="U614" s="14" t="n">
        <x:v>0.7602898373810877</x:v>
      </x:c>
      <x:c r="V614" s="14" t="n">
        <x:v>0.034885898348127255</x:v>
      </x:c>
      <x:c r="W614" s="14" t="n">
        <x:v>0.21518463104380453</x:v>
      </x:c>
      <x:c r="X614" s="14" t="n">
        <x:v>0.3186832819446141</x:v>
      </x:c>
      <x:c r="Y614" s="16" t="n">
        <x:v>76.13941018766756</x:v>
      </x:c>
      <x:c r="Z614" s="16" t="n">
        <x:v>87.97814207650273</x:v>
      </x:c>
      <x:c r="AA614" s="16" t="n">
        <x:v>59.01639344262295</x:v>
      </x:c>
      <x:c r="AB614" s="16" t="n">
        <x:v>68.68279569892474</x:v>
      </x:c>
      <x:c r="AC614" s="16" t="n">
        <x:v>56.98924731182796</x:v>
      </x:c>
      <x:c r="AD614" s="16" t="n">
        <x:v>91.34146341463415</x:v>
      </x:c>
      <x:c r="AE614" s="16" t="n">
        <x:v>73.66529825413085</x:v>
      </x:c>
      <x:c r="AF614" t="str">
        <x:v>검토</x:v>
      </x:c>
      <x:c r="AG614" t="str">
        <x:v>직장수요·상권 모멘텀 강점 / 안정성 상대적 약점</x:v>
      </x:c>
    </x:row>
    <x:row r="615">
      <x:c r="A615" t="str">
        <x:v>3120249</x:v>
      </x:c>
      <x:c r="B615" t="str">
        <x:v>고덕역</x:v>
      </x:c>
      <x:c r="C615" t="str">
        <x:v>발달상권</x:v>
      </x:c>
      <x:c r="D615" t="str">
        <x:v>강동구</x:v>
      </x:c>
      <x:c r="E615" t="str">
        <x:v>명일2동</x:v>
      </x:c>
      <x:c r="F615" t="str">
        <x:v>CS200003</x:v>
      </x:c>
      <x:c r="G615" t="str">
        <x:v>예술학원</x:v>
      </x:c>
      <x:c r="H615" t="n">
        <x:v>557161862</x:v>
      </x:c>
      <x:c r="I615" t="n">
        <x:v>1576</x:v>
      </x:c>
      <x:c r="J615" t="n">
        <x:v>353529.1002538071</x:v>
      </x:c>
      <x:c r="K615" s="14" t="n">
        <x:v>0.1405375727407916</x:v>
      </x:c>
      <x:c r="L615" s="14" t="n">
        <x:v>0.09364146198394163</x:v>
      </x:c>
      <x:c r="M615" s="14" t="n">
        <x:v>0.053788091189524545</x:v>
      </x:c>
      <x:c r="N615" t="n">
        <x:v>33</x:v>
      </x:c>
      <x:c r="O615" t="n">
        <x:v>1</x:v>
      </x:c>
      <x:c r="P615" s="14" t="n">
        <x:v>0.02631578947368421</x:v>
      </x:c>
      <x:c r="Q615" s="14" t="n">
        <x:v>0.06060606060606061</x:v>
      </x:c>
      <x:c r="R615" s="14" t="n">
        <x:v>0.375</x:v>
      </x:c>
      <x:c r="S615" t="n">
        <x:v>2311</x:v>
      </x:c>
      <x:c r="T615" t="n">
        <x:v>250.08927895072884</x:v>
      </x:c>
      <x:c r="U615" s="14" t="n">
        <x:v>0.9109555151138468</x:v>
      </x:c>
      <x:c r="V615" s="14" t="n">
        <x:v>0.43531604465777307</x:v>
      </x:c>
      <x:c r="W615" s="14" t="n">
        <x:v>0.0915419709757521</x:v>
      </x:c>
      <x:c r="X615" s="14" t="n">
        <x:v>0.4452241941139898</x:v>
      </x:c>
      <x:c r="Y615" s="16" t="n">
        <x:v>91.83266932270917</x:v>
      </x:c>
      <x:c r="Z615" s="16" t="n">
        <x:v>74.23312883435582</x:v>
      </x:c>
      <x:c r="AA615" s="16" t="n">
        <x:v>88.52459016393442</x:v>
      </x:c>
      <x:c r="AB615" s="16" t="n">
        <x:v>42.62948207171315</x:v>
      </x:c>
      <x:c r="AC615" s="16" t="n">
        <x:v>29.681274900398407</x:v>
      </x:c>
      <x:c r="AD615" s="16" t="n">
        <x:v>80.67073170731707</x:v>
      </x:c>
      <x:c r="AE615" s="16" t="n">
        <x:v>73.6628349405722</x:v>
      </x:c>
      <x:c r="AF615" t="str">
        <x:v>검토</x:v>
      </x:c>
      <x:c r="AG615" t="str">
        <x:v>수요·서울 업종추세 강점 / 안정성 상대적 약점</x:v>
      </x:c>
    </x:row>
    <x:row r="616">
      <x:c r="A616" t="str">
        <x:v>3001492</x:v>
      </x:c>
      <x:c r="B616" t="str">
        <x:v>명동 남대문 북창동 다동 무교동 관광특구</x:v>
      </x:c>
      <x:c r="C616" t="str">
        <x:v>관광특구</x:v>
      </x:c>
      <x:c r="D616" t="str">
        <x:v>중구</x:v>
      </x:c>
      <x:c r="E616" t="str">
        <x:v>소공동</x:v>
      </x:c>
      <x:c r="F616" t="str">
        <x:v>CS300035</x:v>
      </x:c>
      <x:c r="G616" t="str">
        <x:v>인테리어</x:v>
      </x:c>
      <x:c r="H616" t="n">
        <x:v>4076288561</x:v>
      </x:c>
      <x:c r="I616" t="n">
        <x:v>41118</x:v>
      </x:c>
      <x:c r="J616" t="n">
        <x:v>99136.3529597743</x:v>
      </x:c>
      <x:c r="K616" s="14" t="n">
        <x:v>0.02066846164304237</x:v>
      </x:c>
      <x:c r="L616" s="14" t="n">
        <x:v>0.20213561276420866</x:v>
      </x:c>
      <x:c r="M616" s="14" t="n">
        <x:v>0.044160820891303576</x:v>
      </x:c>
      <x:c r="N616" t="n">
        <x:v>19</x:v>
      </x:c>
      <x:c r="O616" t="n">
        <x:v>0</x:v>
      </x:c>
      <x:c r="P616" s="14" t="n">
        <x:v>0</x:v>
      </x:c>
      <x:c r="Q616" s="14" t="n">
        <x:v>0</x:v>
      </x:c>
      <x:c r="R616" s="14" t="n">
        <x:v>-0.24</x:v>
      </x:c>
      <x:c r="S616" t="n">
        <x:v>199667</x:v>
      </x:c>
      <x:c r="T616" t="n">
        <x:v>2029.9242185482574</x:v>
      </x:c>
      <x:c r="U616" s="14" t="n">
        <x:v>0.8260896824669131</x:v>
      </x:c>
      <x:c r="V616" s="14" t="n">
        <x:v>0.09034336320627327</x:v>
      </x:c>
      <x:c r="W616" s="14" t="n">
        <x:v>0.12983945127529453</x:v>
      </x:c>
      <x:c r="X616" s="14" t="n">
        <x:v>0.4487394583643658</x:v>
      </x:c>
      <x:c r="Y616" s="16" t="n">
        <x:v>98.91304347826087</x:v>
      </x:c>
      <x:c r="Z616" s="16" t="n">
        <x:v>43.31210191082803</x:v>
      </x:c>
      <x:c r="AA616" s="16" t="n">
        <x:v>98.36065573770492</x:v>
      </x:c>
      <x:c r="AB616" s="16" t="n">
        <x:v>30.97826086956522</x:v>
      </x:c>
      <x:c r="AC616" s="16" t="n">
        <x:v>60.32608695652174</x:v>
      </x:c>
      <x:c r="AD616" s="16" t="n">
        <x:v>98.84146341463415</x:v>
      </x:c>
      <x:c r="AE616" s="16" t="n">
        <x:v>73.6575049570313</x:v>
      </x:c>
      <x:c r="AF616" t="str">
        <x:v>검토</x:v>
      </x:c>
      <x:c r="AG616" t="str">
        <x:v>수요·직장수요 강점 / 경쟁여건 상대적 약점</x:v>
      </x:c>
    </x:row>
    <x:row r="617">
      <x:c r="A617" t="str">
        <x:v>3120151</x:v>
      </x:c>
      <x:c r="B617" t="str">
        <x:v>보라매공원</x:v>
      </x:c>
      <x:c r="C617" t="str">
        <x:v>발달상권</x:v>
      </x:c>
      <x:c r="D617" t="str">
        <x:v>동작구</x:v>
      </x:c>
      <x:c r="E617" t="str">
        <x:v>신대방2동</x:v>
      </x:c>
      <x:c r="F617" t="str">
        <x:v>CS300028</x:v>
      </x:c>
      <x:c r="G617" t="str">
        <x:v>화초</x:v>
      </x:c>
      <x:c r="H617" t="n">
        <x:v>52284546</x:v>
      </x:c>
      <x:c r="I617" t="n">
        <x:v>1051</x:v>
      </x:c>
      <x:c r="J617" t="n">
        <x:v>49747.427212178874</x:v>
      </x:c>
      <x:c r="K617" s="14" t="n">
        <x:v>0.6353214161690379</x:v>
      </x:c>
      <x:c r="L617" s="14" t="n">
        <x:v>0.028008199294863756</x:v>
      </x:c>
      <x:c r="M617" s="14" t="n">
        <x:v>-0.0030123365554672876</x:v>
      </x:c>
      <x:c r="N617" t="n">
        <x:v>10</x:v>
      </x:c>
      <x:c r="O617" t="n">
        <x:v>0</x:v>
      </x:c>
      <x:c r="P617" s="14" t="n">
        <x:v>0</x:v>
      </x:c>
      <x:c r="Q617" s="14" t="n">
        <x:v>0</x:v>
      </x:c>
      <x:c r="R617" s="14" t="n">
        <x:v>-0.16666666666666663</x:v>
      </x:c>
      <x:c r="S617" t="n">
        <x:v>10160</x:v>
      </x:c>
      <x:c r="T617" t="n">
        <x:v>848.8666460576995</x:v>
      </x:c>
      <x:c r="U617" s="14" t="n">
        <x:v>0.8172209432592185</x:v>
      </x:c>
      <x:c r="V617" s="14" t="n">
        <x:v>0.43181231792660113</x:v>
      </x:c>
      <x:c r="W617" s="14" t="n">
        <x:v>0.23640113466797627</x:v>
      </x:c>
      <x:c r="X617" s="14" t="n">
        <x:v>0.27017270074411665</x:v>
      </x:c>
      <x:c r="Y617" s="16" t="n">
        <x:v>56.711409395973156</x:v>
      </x:c>
      <x:c r="Z617" s="16" t="n">
        <x:v>96.91780821917808</x:v>
      </x:c>
      <x:c r="AA617" s="16" t="n">
        <x:v>73.77049180327869</x:v>
      </x:c>
      <x:c r="AB617" s="16" t="n">
        <x:v>79.19463087248322</x:v>
      </x:c>
      <x:c r="AC617" s="16" t="n">
        <x:v>66.7785234899329</x:v>
      </x:c>
      <x:c r="AD617" s="16" t="n">
        <x:v>95.85365853658537</x:v>
      </x:c>
      <x:c r="AE617" s="16" t="n">
        <x:v>73.64785860961307</x:v>
      </x:c>
      <x:c r="AF617" t="str">
        <x:v>검토</x:v>
      </x:c>
      <x:c r="AG617" t="str">
        <x:v>상권 모멘텀·직장수요 강점 / 수요 상대적 약점</x:v>
      </x:c>
    </x:row>
    <x:row r="618">
      <x:c r="A618" t="str">
        <x:v>3120152</x:v>
      </x:c>
      <x:c r="B618" t="str">
        <x:v>신대방삼거리역</x:v>
      </x:c>
      <x:c r="C618" t="str">
        <x:v>발달상권</x:v>
      </x:c>
      <x:c r="D618" t="str">
        <x:v>동작구</x:v>
      </x:c>
      <x:c r="E618" t="str">
        <x:v>대방동</x:v>
      </x:c>
      <x:c r="F618" t="str">
        <x:v>CS100005</x:v>
      </x:c>
      <x:c r="G618" t="str">
        <x:v>제과점</x:v>
      </x:c>
      <x:c r="H618" t="n">
        <x:v>1373669131</x:v>
      </x:c>
      <x:c r="I618" t="n">
        <x:v>138631</x:v>
      </x:c>
      <x:c r="J618" t="n">
        <x:v>9908.816433553822</x:v>
      </x:c>
      <x:c r="K618" s="14" t="n">
        <x:v>0.08291155713836384</x:v>
      </x:c>
      <x:c r="L618" s="14" t="n">
        <x:v>0.015772977300780644</x:v>
      </x:c>
      <x:c r="M618" s="14" t="n">
        <x:v>-0.01180050626373963</x:v>
      </x:c>
      <x:c r="N618" t="n">
        <x:v>13</x:v>
      </x:c>
      <x:c r="O618" t="n">
        <x:v>1</x:v>
      </x:c>
      <x:c r="P618" s="14" t="n">
        <x:v>0.05555555555555555</x:v>
      </x:c>
      <x:c r="Q618" s="14" t="n">
        <x:v>0.38461538461538464</x:v>
      </x:c>
      <x:c r="R618" s="14" t="n">
        <x:v>-0.0714285714285714</x:v>
      </x:c>
      <x:c r="S618" t="n">
        <x:v>3098</x:v>
      </x:c>
      <x:c r="T618" t="n">
        <x:v>276.11900390381294</x:v>
      </x:c>
      <x:c r="U618" s="14" t="n">
        <x:v>0.7031178449040943</x:v>
      </x:c>
      <x:c r="V618" s="14" t="n">
        <x:v>0.41624894240999</x:v>
      </x:c>
      <x:c r="W618" s="14" t="n">
        <x:v>0.30139835689443034</x:v>
      </x:c>
      <x:c r="X618" s="14" t="n">
        <x:v>0.564981347025698</x:v>
      </x:c>
      <x:c r="Y618" s="16" t="n">
        <x:v>92.07459207459208</x:v>
      </x:c>
      <x:c r="Z618" s="16" t="n">
        <x:v>82.38213399503722</x:v>
      </x:c>
      <x:c r="AA618" s="16" t="n">
        <x:v>52.459016393442624</x:v>
      </x:c>
      <x:c r="AB618" s="16" t="n">
        <x:v>74.82517482517483</x:v>
      </x:c>
      <x:c r="AC618" s="16" t="n">
        <x:v>17.016317016317018</x:v>
      </x:c>
      <x:c r="AD618" s="16" t="n">
        <x:v>82.6219512195122</x:v>
      </x:c>
      <x:c r="AE618" s="16" t="n">
        <x:v>73.6278919705146</x:v>
      </x:c>
      <x:c r="AF618" t="str">
        <x:v>검토</x:v>
      </x:c>
      <x:c r="AG618" t="str">
        <x:v>수요·직장수요 강점 / 안정성 상대적 약점</x:v>
      </x:c>
    </x:row>
    <x:row r="619">
      <x:c r="A619" t="str">
        <x:v>3110254</x:v>
      </x:c>
      <x:c r="B619" t="str">
        <x:v>오거리공원</x:v>
      </x:c>
      <x:c r="C619" t="str">
        <x:v>골목상권</x:v>
      </x:c>
      <x:c r="D619" t="str">
        <x:v>중랑구</x:v>
      </x:c>
      <x:c r="E619" t="str">
        <x:v>면목7동</x:v>
      </x:c>
      <x:c r="F619" t="str">
        <x:v>CS200003</x:v>
      </x:c>
      <x:c r="G619" t="str">
        <x:v>예술학원</x:v>
      </x:c>
      <x:c r="H619" t="n">
        <x:v>173709390</x:v>
      </x:c>
      <x:c r="I619" t="n">
        <x:v>1417</x:v>
      </x:c>
      <x:c r="J619" t="n">
        <x:v>122589.5483415667</x:v>
      </x:c>
      <x:c r="K619" s="14" t="n">
        <x:v>0.07041927141450399</x:v>
      </x:c>
      <x:c r="L619" s="14" t="n">
        <x:v>0.09364146198394163</x:v>
      </x:c>
      <x:c r="M619" s="14" t="n">
        <x:v>0.053788091189524545</x:v>
      </x:c>
      <x:c r="N619" t="n">
        <x:v>8</x:v>
      </x:c>
      <x:c r="O619" t="n">
        <x:v>0</x:v>
      </x:c>
      <x:c r="P619" s="14" t="n">
        <x:v>0</x:v>
      </x:c>
      <x:c r="Q619" s="14" t="n">
        <x:v>0</x:v>
      </x:c>
      <x:c r="R619" s="14" t="n">
        <x:v>0</x:v>
      </x:c>
      <x:c r="S619" t="n">
        <x:v>300</x:v>
      </x:c>
      <x:c r="T619" t="n">
        <x:v>18.114301240829633</x:v>
      </x:c>
      <x:c r="U619" s="14" t="n">
        <x:v>0.9329550751401522</x:v>
      </x:c>
      <x:c r="V619" s="14" t="n">
        <x:v>0.12827549506678942</x:v>
      </x:c>
      <x:c r="W619" s="14" t="n">
        <x:v>0.35707976408183806</x:v>
      </x:c>
      <x:c r="X619" s="14" t="n">
        <x:v>0.5898746981956473</x:v>
      </x:c>
      <x:c r="Y619" s="16" t="n">
        <x:v>73.50597609561753</x:v>
      </x:c>
      <x:c r="Z619" s="16" t="n">
        <x:v>61.14519427402863</x:v>
      </x:c>
      <x:c r="AA619" s="16" t="n">
        <x:v>88.52459016393442</x:v>
      </x:c>
      <x:c r="AB619" s="16" t="n">
        <x:v>97.01195219123505</x:v>
      </x:c>
      <x:c r="AC619" s="16" t="n">
        <x:v>73.20717131474103</x:v>
      </x:c>
      <x:c r="AD619" s="16" t="n">
        <x:v>10.365853658536585</x:v>
      </x:c>
      <x:c r="AE619" s="16" t="n">
        <x:v>73.62562165594821</x:v>
      </x:c>
      <x:c r="AF619" t="str">
        <x:v>검토</x:v>
      </x:c>
      <x:c r="AG619" t="str">
        <x:v>경쟁여건·서울 업종추세 강점 / 직장수요 상대적 약점</x:v>
      </x:c>
    </x:row>
    <x:row r="620">
      <x:c r="A620" t="str">
        <x:v>3120223</x:v>
      </x:c>
      <x:c r="B620" t="str">
        <x:v>휘문고교사거리</x:v>
      </x:c>
      <x:c r="C620" t="str">
        <x:v>발달상권</x:v>
      </x:c>
      <x:c r="D620" t="str">
        <x:v>강남구</x:v>
      </x:c>
      <x:c r="E620" t="str">
        <x:v>대치2동</x:v>
      </x:c>
      <x:c r="F620" t="str">
        <x:v>CS300018</x:v>
      </x:c>
      <x:c r="G620" t="str">
        <x:v>의약품</x:v>
      </x:c>
      <x:c r="H620" t="n">
        <x:v>49668000000</x:v>
      </x:c>
      <x:c r="I620" t="n">
        <x:v>10084</x:v>
      </x:c>
      <x:c r="J620" t="n">
        <x:v>4925426.41808806</x:v>
      </x:c>
      <x:c r="K620" s="14" t="n">
        <x:v>0.022092055893363494</x:v>
      </x:c>
      <x:c r="L620" s="14" t="n">
        <x:v>0.027829225601598617</x:v>
      </x:c>
      <x:c r="M620" s="14" t="n">
        <x:v>0.02632929521123617</x:v>
      </x:c>
      <x:c r="N620" t="n">
        <x:v>43</x:v>
      </x:c>
      <x:c r="O620" t="n">
        <x:v>0</x:v>
      </x:c>
      <x:c r="P620" s="14" t="n">
        <x:v>0</x:v>
      </x:c>
      <x:c r="Q620" s="14" t="n">
        <x:v>0.09302325581395349</x:v>
      </x:c>
      <x:c r="R620" s="14" t="n">
        <x:v>-0.022727272727272707</x:v>
      </x:c>
      <x:c r="S620" t="n">
        <x:v>13930</x:v>
      </x:c>
      <x:c r="T620" t="n">
        <x:v>1042.8988545332036</x:v>
      </x:c>
      <x:c r="U620" s="14" t="n">
        <x:v>0.999214048280583</x:v>
      </x:c>
      <x:c r="V620" s="14" t="n">
        <x:v>0.2620873923451719</x:v>
      </x:c>
      <x:c r="W620" s="14" t="n">
        <x:v>0.01726769255858903</x:v>
      </x:c>
      <x:c r="X620" s="14" t="n">
        <x:v>0.15245554910606426</x:v>
      </x:c>
      <x:c r="Y620" s="16" t="n">
        <x:v>100</x:v>
      </x:c>
      <x:c r="Z620" s="16" t="n">
        <x:v>65.03496503496504</x:v>
      </x:c>
      <x:c r="AA620" s="16" t="n">
        <x:v>72.1311475409836</x:v>
      </x:c>
      <x:c r="AB620" s="16" t="n">
        <x:v>21.993127147766316</x:v>
      </x:c>
      <x:c r="AC620" s="16" t="n">
        <x:v>66.32302405498282</x:v>
      </x:c>
      <x:c r="AD620" s="16" t="n">
        <x:v>97.1951219512195</x:v>
      </x:c>
      <x:c r="AE620" s="16" t="n">
        <x:v>73.61769271336475</x:v>
      </x:c>
      <x:c r="AF620" t="str">
        <x:v>검토</x:v>
      </x:c>
      <x:c r="AG620" t="str">
        <x:v>수요·직장수요 강점 / 경쟁여건 상대적 약점</x:v>
      </x:c>
    </x:row>
    <x:row r="621">
      <x:c r="A621" t="str">
        <x:v>3130036</x:v>
      </x:c>
      <x:c r="B621" t="str">
        <x:v>중부시장(신중부시장)</x:v>
      </x:c>
      <x:c r="C621" t="str">
        <x:v>전통시장</x:v>
      </x:c>
      <x:c r="D621" t="str">
        <x:v>중구</x:v>
      </x:c>
      <x:c r="E621" t="str">
        <x:v>광희동</x:v>
      </x:c>
      <x:c r="F621" t="str">
        <x:v>CS300007</x:v>
      </x:c>
      <x:c r="G621" t="str">
        <x:v>육류판매</x:v>
      </x:c>
      <x:c r="H621" t="n">
        <x:v>3641955348</x:v>
      </x:c>
      <x:c r="I621" t="n">
        <x:v>41405</x:v>
      </x:c>
      <x:c r="J621" t="n">
        <x:v>87959.31283661394</x:v>
      </x:c>
      <x:c r="K621" s="14" t="n">
        <x:v>0.03569685682601276</x:v>
      </x:c>
      <x:c r="L621" s="14" t="n">
        <x:v>0.23518223683931017</x:v>
      </x:c>
      <x:c r="M621" s="14" t="n">
        <x:v>0.00863079289162072</x:v>
      </x:c>
      <x:c r="N621" t="n">
        <x:v>12</x:v>
      </x:c>
      <x:c r="O621" t="n">
        <x:v>1</x:v>
      </x:c>
      <x:c r="P621" s="14" t="n">
        <x:v>0.058823529411764705</x:v>
      </x:c>
      <x:c r="Q621" s="14" t="n">
        <x:v>0</x:v>
      </x:c>
      <x:c r="R621" s="14" t="n">
        <x:v>-0.2941176470588235</x:v>
      </x:c>
      <x:c r="S621" t="n">
        <x:v>3023</x:v>
      </x:c>
      <x:c r="T621" t="n">
        <x:v>327.7213447090836</x:v>
      </x:c>
      <x:c r="U621" s="14" t="n">
        <x:v>0.7397315053517785</x:v>
      </x:c>
      <x:c r="V621" s="14" t="n">
        <x:v>0.033112342265872285</x:v>
      </x:c>
      <x:c r="W621" s="14" t="n">
        <x:v>0.09658150427164436</x:v>
      </x:c>
      <x:c r="X621" s="14" t="n">
        <x:v>0.717922768722534</x:v>
      </x:c>
      <x:c r="Y621" s="16" t="n">
        <x:v>91.33663366336634</x:v>
      </x:c>
      <x:c r="Z621" s="16" t="n">
        <x:v>55.58441558441559</x:v>
      </x:c>
      <x:c r="AA621" s="16" t="n">
        <x:v>100</x:v>
      </x:c>
      <x:c r="AB621" s="16" t="n">
        <x:v>67.82178217821783</x:v>
      </x:c>
      <x:c r="AC621" s="16" t="n">
        <x:v>10.89108910891089</x:v>
      </x:c>
      <x:c r="AD621" s="16" t="n">
        <x:v>85.1829268292683</x:v>
      </x:c>
      <x:c r="AE621" s="16" t="n">
        <x:v>73.60622747814851</x:v>
      </x:c>
      <x:c r="AF621" t="str">
        <x:v>검토</x:v>
      </x:c>
      <x:c r="AG621" t="str">
        <x:v>서울 업종추세·수요 강점 / 안정성 상대적 약점</x:v>
      </x:c>
    </x:row>
    <x:row r="622">
      <x:c r="A622" t="str">
        <x:v>3001495</x:v>
      </x:c>
      <x:c r="B622" t="str">
        <x:v>잠실 관광특구</x:v>
      </x:c>
      <x:c r="C622" t="str">
        <x:v>관광특구</x:v>
      </x:c>
      <x:c r="D622" t="str">
        <x:v>송파구</x:v>
      </x:c>
      <x:c r="E622" t="str">
        <x:v>방이2동</x:v>
      </x:c>
      <x:c r="F622" t="str">
        <x:v>CS300011</x:v>
      </x:c>
      <x:c r="G622" t="str">
        <x:v>일반의류</x:v>
      </x:c>
      <x:c r="H622" t="n">
        <x:v>184769705130</x:v>
      </x:c>
      <x:c r="I622" t="n">
        <x:v>4793391</x:v>
      </x:c>
      <x:c r="J622" t="n">
        <x:v>38546.76264256348</x:v>
      </x:c>
      <x:c r="K622" s="14" t="n">
        <x:v>-0.0004708108566993108</x:v>
      </x:c>
      <x:c r="L622" s="14" t="n">
        <x:v>0.06726691045630595</x:v>
      </x:c>
      <x:c r="M622" s="14" t="n">
        <x:v>0.00788849516466894</x:v>
      </x:c>
      <x:c r="N622" t="n">
        <x:v>75</x:v>
      </x:c>
      <x:c r="O622" t="n">
        <x:v>0</x:v>
      </x:c>
      <x:c r="P622" s="14" t="n">
        <x:v>0</x:v>
      </x:c>
      <x:c r="Q622" s="14" t="n">
        <x:v>0.02666666666666667</x:v>
      </x:c>
      <x:c r="R622" s="14" t="n">
        <x:v>-0.2990654205607477</x:v>
      </x:c>
      <x:c r="S622" t="n">
        <x:v>137602</x:v>
      </x:c>
      <x:c r="T622" t="n">
        <x:v>558.7367535430136</x:v>
      </x:c>
      <x:c r="U622" s="14" t="n">
        <x:v>0.6019069213199865</x:v>
      </x:c>
      <x:c r="V622" s="14" t="n">
        <x:v>0.4415289389762312</x:v>
      </x:c>
      <x:c r="W622" s="14" t="n">
        <x:v>0.48708256846910736</x:v>
      </x:c>
      <x:c r="X622" s="14" t="n">
        <x:v>0.6594915612614421</x:v>
      </x:c>
      <x:c r="Y622" s="16" t="n">
        <x:v>99.88221436984688</x:v>
      </x:c>
      <x:c r="Z622" s="16" t="n">
        <x:v>33.333333333333336</x:v>
      </x:c>
      <x:c r="AA622" s="16" t="n">
        <x:v>81.9672131147541</x:v>
      </x:c>
      <x:c r="AB622" s="16" t="n">
        <x:v>43.227326266195526</x:v>
      </x:c>
      <x:c r="AC622" s="16" t="n">
        <x:v>86.33686690223793</x:v>
      </x:c>
      <x:c r="AD622" s="16" t="n">
        <x:v>91.34146341463415</x:v>
      </x:c>
      <x:c r="AE622" s="16" t="n">
        <x:v>73.60538246421102</x:v>
      </x:c>
      <x:c r="AF622" t="str">
        <x:v>검토</x:v>
      </x:c>
      <x:c r="AG622" t="str">
        <x:v>수요·직장수요 강점 / 상권 모멘텀 상대적 약점</x:v>
      </x:c>
    </x:row>
    <x:row r="623">
      <x:c r="A623" t="str">
        <x:v>3130273</x:v>
      </x:c>
      <x:c r="B623" t="str">
        <x:v>남성사계시장(남성시장)</x:v>
      </x:c>
      <x:c r="C623" t="str">
        <x:v>전통시장</x:v>
      </x:c>
      <x:c r="D623" t="str">
        <x:v>동작구</x:v>
      </x:c>
      <x:c r="E623" t="str">
        <x:v>사당2동</x:v>
      </x:c>
      <x:c r="F623" t="str">
        <x:v>CS300009</x:v>
      </x:c>
      <x:c r="G623" t="str">
        <x:v>청과상</x:v>
      </x:c>
      <x:c r="H623" t="n">
        <x:v>5396151832</x:v>
      </x:c>
      <x:c r="I623" t="n">
        <x:v>326068</x:v>
      </x:c>
      <x:c r="J623" t="n">
        <x:v>16549.16100936001</x:v>
      </x:c>
      <x:c r="K623" s="14" t="n">
        <x:v>0.0405986448975193</x:v>
      </x:c>
      <x:c r="L623" s="14" t="n">
        <x:v>0.19728256051488424</x:v>
      </x:c>
      <x:c r="M623" s="14" t="n">
        <x:v>0.09797365727115581</x:v>
      </x:c>
      <x:c r="N623" t="n">
        <x:v>24</x:v>
      </x:c>
      <x:c r="O623" t="n">
        <x:v>0</x:v>
      </x:c>
      <x:c r="P623" s="14" t="n">
        <x:v>0</x:v>
      </x:c>
      <x:c r="Q623" s="14" t="n">
        <x:v>0</x:v>
      </x:c>
      <x:c r="R623" s="14" t="n">
        <x:v>-0.11111111111111116</x:v>
      </x:c>
      <x:c r="S623" t="n">
        <x:v>380</x:v>
      </x:c>
      <x:c r="T623" t="n">
        <x:v>88.35565476190476</x:v>
      </x:c>
      <x:c r="U623" s="14" t="n">
        <x:v>0.6888950607274166</x:v>
      </x:c>
      <x:c r="V623" s="14" t="n">
        <x:v>0.25398647215084513</x:v>
      </x:c>
      <x:c r="W623" s="14" t="n">
        <x:v>0.08020835226194577</x:v>
      </x:c>
      <x:c r="X623" s="14" t="n">
        <x:v>0.6284144806472525</x:v>
      </x:c>
      <x:c r="Y623" s="16" t="n">
        <x:v>92.3076923076923</x:v>
      </x:c>
      <x:c r="Z623" s="16" t="n">
        <x:v>60.30534351145038</x:v>
      </x:c>
      <x:c r="AA623" s="16" t="n">
        <x:v>95.08196721311475</x:v>
      </x:c>
      <x:c r="AB623" s="16" t="n">
        <x:v>34.7985347985348</x:v>
      </x:c>
      <x:c r="AC623" s="16" t="n">
        <x:v>69.5970695970696</x:v>
      </x:c>
      <x:c r="AD623" s="16" t="n">
        <x:v>55.670731707317074</x:v>
      </x:c>
      <x:c r="AE623" s="16" t="n">
        <x:v>73.59407985680262</x:v>
      </x:c>
      <x:c r="AF623" t="str">
        <x:v>검토</x:v>
      </x:c>
      <x:c r="AG623" t="str">
        <x:v>서울 업종추세·수요 강점 / 경쟁여건 상대적 약점</x:v>
      </x:c>
    </x:row>
    <x:row r="624">
      <x:c r="A624" t="str">
        <x:v>3001496</x:v>
      </x:c>
      <x:c r="B624" t="str">
        <x:v>강남 마이스 관광특구</x:v>
      </x:c>
      <x:c r="C624" t="str">
        <x:v>관광특구</x:v>
      </x:c>
      <x:c r="D624" t="str">
        <x:v>강남구</x:v>
      </x:c>
      <x:c r="E624" t="str">
        <x:v>삼성1동</x:v>
      </x:c>
      <x:c r="F624" t="str">
        <x:v>CS100005</x:v>
      </x:c>
      <x:c r="G624" t="str">
        <x:v>제과점</x:v>
      </x:c>
      <x:c r="H624" t="n">
        <x:v>2588780799</x:v>
      </x:c>
      <x:c r="I624" t="n">
        <x:v>159486</x:v>
      </x:c>
      <x:c r="J624" t="n">
        <x:v>16232.02537526805</x:v>
      </x:c>
      <x:c r="K624" s="14" t="n">
        <x:v>0.08209212541611755</x:v>
      </x:c>
      <x:c r="L624" s="14" t="n">
        <x:v>0.015772977300780644</x:v>
      </x:c>
      <x:c r="M624" s="14" t="n">
        <x:v>-0.01180050626373963</x:v>
      </x:c>
      <x:c r="N624" t="n">
        <x:v>38</x:v>
      </x:c>
      <x:c r="O624" t="n">
        <x:v>0</x:v>
      </x:c>
      <x:c r="P624" s="14" t="n">
        <x:v>0</x:v>
      </x:c>
      <x:c r="Q624" s="14" t="n">
        <x:v>0.2631578947368421</x:v>
      </x:c>
      <x:c r="R624" s="14" t="n">
        <x:v>0.05555555555555558</x:v>
      </x:c>
      <x:c r="S624" t="n">
        <x:v>102032</x:v>
      </x:c>
      <x:c r="T624" t="n">
        <x:v>4289.005094748878</x:v>
      </x:c>
      <x:c r="U624" s="14" t="n">
        <x:v>0.7120199380001659</x:v>
      </x:c>
      <x:c r="V624" s="14" t="n">
        <x:v>0.3416336992848656</x:v>
      </x:c>
      <x:c r="W624" s="14" t="n">
        <x:v>0.38667090600589704</x:v>
      </x:c>
      <x:c r="X624" s="14" t="n">
        <x:v>0.4468727272880241</x:v>
      </x:c>
      <x:c r="Y624" s="16" t="n">
        <x:v>97.43589743589743</x:v>
      </x:c>
      <x:c r="Z624" s="16" t="n">
        <x:v>81.88585607940446</x:v>
      </x:c>
      <x:c r="AA624" s="16" t="n">
        <x:v>52.459016393442624</x:v>
      </x:c>
      <x:c r="AB624" s="16" t="n">
        <x:v>19.230769230769226</x:v>
      </x:c>
      <x:c r="AC624" s="16" t="n">
        <x:v>73.54312354312354</x:v>
      </x:c>
      <x:c r="AD624" s="16" t="n">
        <x:v>99.9390243902439</x:v>
      </x:c>
      <x:c r="AE624" s="16" t="n">
        <x:v>73.58446673590132</x:v>
      </x:c>
      <x:c r="AF624" t="str">
        <x:v>검토</x:v>
      </x:c>
      <x:c r="AG624" t="str">
        <x:v>직장수요·수요 강점 / 경쟁여건 상대적 약점</x:v>
      </x:c>
    </x:row>
    <x:row r="625">
      <x:c r="A625" t="str">
        <x:v>3130225</x:v>
      </x:c>
      <x:c r="B625" t="str">
        <x:v>개봉중앙시장</x:v>
      </x:c>
      <x:c r="C625" t="str">
        <x:v>전통시장</x:v>
      </x:c>
      <x:c r="D625" t="str">
        <x:v>구로구</x:v>
      </x:c>
      <x:c r="E625" t="str">
        <x:v>개봉2동</x:v>
      </x:c>
      <x:c r="F625" t="str">
        <x:v>CS300001</x:v>
      </x:c>
      <x:c r="G625" t="str">
        <x:v>슈퍼마켓</x:v>
      </x:c>
      <x:c r="H625" t="n">
        <x:v>3240574767</x:v>
      </x:c>
      <x:c r="I625" t="n">
        <x:v>188125</x:v>
      </x:c>
      <x:c r="J625" t="n">
        <x:v>17225.646601993354</x:v>
      </x:c>
      <x:c r="K625" s="14" t="n">
        <x:v>0.0523799045872817</x:v>
      </x:c>
      <x:c r="L625" s="14" t="n">
        <x:v>-0.02979620222776047</x:v>
      </x:c>
      <x:c r="M625" s="14" t="n">
        <x:v>-0.03099912402160654</x:v>
      </x:c>
      <x:c r="N625" t="n">
        <x:v>32</x:v>
      </x:c>
      <x:c r="O625" t="n">
        <x:v>0</x:v>
      </x:c>
      <x:c r="P625" s="14" t="n">
        <x:v>0</x:v>
      </x:c>
      <x:c r="Q625" s="14" t="n">
        <x:v>0.34375</x:v>
      </x:c>
      <x:c r="R625" s="14" t="n">
        <x:v>0.23076923076923084</x:v>
      </x:c>
      <x:c r="S625" t="n">
        <x:v>3096</x:v>
      </x:c>
      <x:c r="T625" t="n">
        <x:v>388.3933611832449</x:v>
      </x:c>
      <x:c r="U625" s="14" t="n">
        <x:v>0.725411185058456</x:v>
      </x:c>
      <x:c r="V625" s="14" t="n">
        <x:v>0.45533318904596654</x:v>
      </x:c>
      <x:c r="W625" s="14" t="n">
        <x:v>0.1610892105671944</x:v>
      </x:c>
      <x:c r="X625" s="14" t="n">
        <x:v>0.5465074705372475</x:v>
      </x:c>
      <x:c r="Y625" s="16" t="n">
        <x:v>94.47576099210823</x:v>
      </x:c>
      <x:c r="Z625" s="16" t="n">
        <x:v>77.73892773892774</x:v>
      </x:c>
      <x:c r="AA625" s="16" t="n">
        <x:v>31.147540983606557</x:v>
      </x:c>
      <x:c r="AB625" s="16" t="n">
        <x:v>53.77677564825254</x:v>
      </x:c>
      <x:c r="AC625" s="16" t="n">
        <x:v>78.80496054114994</x:v>
      </x:c>
      <x:c r="AD625" s="16" t="n">
        <x:v>87.01219512195122</x:v>
      </x:c>
      <x:c r="AE625" s="16" t="n">
        <x:v>73.58405520001484</x:v>
      </x:c>
      <x:c r="AF625" t="str">
        <x:v>검토</x:v>
      </x:c>
      <x:c r="AG625" t="str">
        <x:v>수요·직장수요 강점 / 서울 업종추세 상대적 약점</x:v>
      </x:c>
    </x:row>
    <x:row r="626">
      <x:c r="A626" t="str">
        <x:v>3110780</x:v>
      </x:c>
      <x:c r="B626" t="str">
        <x:v>신길대성유니드아파트</x:v>
      </x:c>
      <x:c r="C626" t="str">
        <x:v>골목상권</x:v>
      </x:c>
      <x:c r="D626" t="str">
        <x:v>영등포구</x:v>
      </x:c>
      <x:c r="E626" t="str">
        <x:v>신길5동</x:v>
      </x:c>
      <x:c r="F626" t="str">
        <x:v>CS300036</x:v>
      </x:c>
      <x:c r="G626" t="str">
        <x:v>조명용품</x:v>
      </x:c>
      <x:c r="H626" t="n">
        <x:v>3819000000</x:v>
      </x:c>
      <x:c r="I626" t="n">
        <x:v>18061</x:v>
      </x:c>
      <x:c r="J626" t="n">
        <x:v>211450.08582027574</x:v>
      </x:c>
      <x:c r="K626" s="14" t="n">
        <x:v>0.20041167727547649</x:v>
      </x:c>
      <x:c r="L626" s="14" t="n">
        <x:v>0.025028299232514595</x:v>
      </x:c>
      <x:c r="M626" s="14" t="n">
        <x:v>-0.03086161384017172</x:v>
      </x:c>
      <x:c r="N626" t="n">
        <x:v>12</x:v>
      </x:c>
      <x:c r="O626" t="n">
        <x:v>0</x:v>
      </x:c>
      <x:c r="P626" s="14" t="n">
        <x:v>0</x:v>
      </x:c>
      <x:c r="Q626" s="14" t="n">
        <x:v>0</x:v>
      </x:c>
      <x:c r="R626" s="14" t="n">
        <x:v>0.19999999999999996</x:v>
      </x:c>
      <x:c r="S626" t="n">
        <x:v>229</x:v>
      </x:c>
      <x:c r="T626" t="n">
        <x:v>26.253940957294354</x:v>
      </x:c>
      <x:c r="U626" s="14" t="n">
        <x:v>0.9227493775857555</x:v>
      </x:c>
      <x:c r="V626" s="14" t="n">
        <x:v>0.06558586383870123</x:v>
      </x:c>
      <x:c r="W626" s="14" t="n">
        <x:v>0</x:v>
      </x:c>
      <x:c r="X626" s="14" t="n">
        <x:v>0</x:v>
      </x:c>
      <x:c r="Y626" s="16" t="n">
        <x:v>88.31168831168831</x:v>
      </x:c>
      <x:c r="Z626" s="16" t="n">
        <x:v>77.85234899328859</x:v>
      </x:c>
      <x:c r="AA626" s="16" t="n">
        <x:v>67.21311475409836</x:v>
      </x:c>
      <x:c r="AB626" s="16" t="n">
        <x:v>68.50649350649351</x:v>
      </x:c>
      <x:c r="AC626" s="16" t="n">
        <x:v>58.44155844155844</x:v>
      </x:c>
      <x:c r="AD626" s="16" t="n">
        <x:v>17.865853658536587</x:v>
      </x:c>
      <x:c r="AE626" s="16" t="n">
        <x:v>73.57495047392008</x:v>
      </x:c>
      <x:c r="AF626" t="str">
        <x:v>검토</x:v>
      </x:c>
      <x:c r="AG626" t="str">
        <x:v>수요·상권 모멘텀 강점 / 직장수요 상대적 약점</x:v>
      </x:c>
    </x:row>
    <x:row r="627">
      <x:c r="A627" t="str">
        <x:v>3120080</x:v>
      </x:c>
      <x:c r="B627" t="str">
        <x:v>마들역</x:v>
      </x:c>
      <x:c r="C627" t="str">
        <x:v>발달상권</x:v>
      </x:c>
      <x:c r="D627" t="str">
        <x:v>노원구</x:v>
      </x:c>
      <x:c r="E627" t="str">
        <x:v>상계9동</x:v>
      </x:c>
      <x:c r="F627" t="str">
        <x:v>CS300001</x:v>
      </x:c>
      <x:c r="G627" t="str">
        <x:v>슈퍼마켓</x:v>
      </x:c>
      <x:c r="H627" t="n">
        <x:v>3320517854</x:v>
      </x:c>
      <x:c r="I627" t="n">
        <x:v>163182</x:v>
      </x:c>
      <x:c r="J627" t="n">
        <x:v>20348.55470578863</x:v>
      </x:c>
      <x:c r="K627" s="14" t="n">
        <x:v>0.0002823601828194633</x:v>
      </x:c>
      <x:c r="L627" s="14" t="n">
        <x:v>-0.02979620222776047</x:v>
      </x:c>
      <x:c r="M627" s="14" t="n">
        <x:v>-0.03099912402160654</x:v>
      </x:c>
      <x:c r="N627" t="n">
        <x:v>14</x:v>
      </x:c>
      <x:c r="O627" t="n">
        <x:v>0</x:v>
      </x:c>
      <x:c r="P627" s="14" t="n">
        <x:v>0</x:v>
      </x:c>
      <x:c r="Q627" s="14" t="n">
        <x:v>0.35714285714285715</x:v>
      </x:c>
      <x:c r="R627" s="14" t="n">
        <x:v>0.07692307692307687</x:v>
      </x:c>
      <x:c r="S627" t="n">
        <x:v>1635</x:v>
      </x:c>
      <x:c r="T627" t="n">
        <x:v>419.4889162561576</x:v>
      </x:c>
      <x:c r="U627" s="14" t="n">
        <x:v>0.6862492310514166</x:v>
      </x:c>
      <x:c r="V627" s="14" t="n">
        <x:v>0.2847998886260468</x:v>
      </x:c>
      <x:c r="W627" s="14" t="n">
        <x:v>0.08654162984060859</x:v>
      </x:c>
      <x:c r="X627" s="14" t="n">
        <x:v>0.6483547032902055</x:v>
      </x:c>
      <x:c r="Y627" s="16" t="n">
        <x:v>94.81397970687712</x:v>
      </x:c>
      <x:c r="Z627" s="16" t="n">
        <x:v>44.75524475524475</x:v>
      </x:c>
      <x:c r="AA627" s="16" t="n">
        <x:v>31.147540983606557</x:v>
      </x:c>
      <x:c r="AB627" s="16" t="n">
        <x:v>96.56144306651635</x:v>
      </x:c>
      <x:c r="AC627" s="16" t="n">
        <x:v>78.80496054114994</x:v>
      </x:c>
      <x:c r="AD627" s="16" t="n">
        <x:v>87.98780487804878</x:v>
      </x:c>
      <x:c r="AE627" s="16" t="n">
        <x:v>73.57217575399181</x:v>
      </x:c>
      <x:c r="AF627" t="str">
        <x:v>검토</x:v>
      </x:c>
      <x:c r="AG627" t="str">
        <x:v>경쟁여건·수요 강점 / 서울 업종추세 상대적 약점</x:v>
      </x:c>
    </x:row>
    <x:row r="628">
      <x:c r="A628" t="str">
        <x:v>3110341</x:v>
      </x:c>
      <x:c r="B628" t="str">
        <x:v>북한산우이역 2번</x:v>
      </x:c>
      <x:c r="C628" t="str">
        <x:v>골목상권</x:v>
      </x:c>
      <x:c r="D628" t="str">
        <x:v>강북구</x:v>
      </x:c>
      <x:c r="E628" t="str">
        <x:v>우이동</x:v>
      </x:c>
      <x:c r="F628" t="str">
        <x:v>CS300011</x:v>
      </x:c>
      <x:c r="G628" t="str">
        <x:v>일반의류</x:v>
      </x:c>
      <x:c r="H628" t="n">
        <x:v>1541648853</x:v>
      </x:c>
      <x:c r="I628" t="n">
        <x:v>9620</x:v>
      </x:c>
      <x:c r="J628" t="n">
        <x:v>160254.55852390852</x:v>
      </x:c>
      <x:c r="K628" s="14" t="n">
        <x:v>0.2311265158048479</x:v>
      </x:c>
      <x:c r="L628" s="14" t="n">
        <x:v>0.06726691045630595</x:v>
      </x:c>
      <x:c r="M628" s="14" t="n">
        <x:v>0.00788849516466894</x:v>
      </x:c>
      <x:c r="N628" t="n">
        <x:v>45</x:v>
      </x:c>
      <x:c r="O628" t="n">
        <x:v>1</x:v>
      </x:c>
      <x:c r="P628" s="14" t="n">
        <x:v>0.02</x:v>
      </x:c>
      <x:c r="Q628" s="14" t="n">
        <x:v>0</x:v>
      </x:c>
      <x:c r="R628" s="14" t="n">
        <x:v>-0.021739130434782594</x:v>
      </x:c>
      <x:c r="S628" t="n">
        <x:v>453</x:v>
      </x:c>
      <x:c r="T628" t="n">
        <x:v>32.314902662947716</x:v>
      </x:c>
      <x:c r="U628" s="14" t="n">
        <x:v>0.6105894355697354</x:v>
      </x:c>
      <x:c r="V628" s="14" t="n">
        <x:v>0.17326718952905418</x:v>
      </x:c>
      <x:c r="W628" s="14" t="n">
        <x:v>0.18369506094005442</x:v>
      </x:c>
      <x:c r="X628" s="14" t="n">
        <x:v>0.4179586186219541</x:v>
      </x:c>
      <x:c r="Y628" s="16" t="n">
        <x:v>86.80800942285042</x:v>
      </x:c>
      <x:c r="Z628" s="16" t="n">
        <x:v>78.70036101083032</x:v>
      </x:c>
      <x:c r="AA628" s="16" t="n">
        <x:v>81.9672131147541</x:v>
      </x:c>
      <x:c r="AB628" s="16" t="n">
        <x:v>66.96113074204948</x:v>
      </x:c>
      <x:c r="AC628" s="16" t="n">
        <x:v>39.10482921083628</x:v>
      </x:c>
      <x:c r="AD628" s="16" t="n">
        <x:v>23.475609756097562</x:v>
      </x:c>
      <x:c r="AE628" s="16" t="n">
        <x:v>73.54639048757275</x:v>
      </x:c>
      <x:c r="AF628" t="str">
        <x:v>검토</x:v>
      </x:c>
      <x:c r="AG628" t="str">
        <x:v>수요·서울 업종추세 강점 / 직장수요 상대적 약점</x:v>
      </x:c>
    </x:row>
    <x:row r="629">
      <x:c r="A629" t="str">
        <x:v>3130166</x:v>
      </x:c>
      <x:c r="B629" t="str">
        <x:v>응암시장(신응암시장)</x:v>
      </x:c>
      <x:c r="C629" t="str">
        <x:v>전통시장</x:v>
      </x:c>
      <x:c r="D629" t="str">
        <x:v>은평구</x:v>
      </x:c>
      <x:c r="E629" t="str">
        <x:v>응암2동</x:v>
      </x:c>
      <x:c r="F629" t="str">
        <x:v>CS300011</x:v>
      </x:c>
      <x:c r="G629" t="str">
        <x:v>일반의류</x:v>
      </x:c>
      <x:c r="H629" t="n">
        <x:v>355680346</x:v>
      </x:c>
      <x:c r="I629" t="n">
        <x:v>4612</x:v>
      </x:c>
      <x:c r="J629" t="n">
        <x:v>77120.63009540329</x:v>
      </x:c>
      <x:c r="K629" s="14" t="n">
        <x:v>0.09272770441245859</x:v>
      </x:c>
      <x:c r="L629" s="14" t="n">
        <x:v>0.06726691045630595</x:v>
      </x:c>
      <x:c r="M629" s="14" t="n">
        <x:v>0.00788849516466894</x:v>
      </x:c>
      <x:c r="N629" t="n">
        <x:v>20</x:v>
      </x:c>
      <x:c r="O629" t="n">
        <x:v>0</x:v>
      </x:c>
      <x:c r="P629" s="14" t="n">
        <x:v>0</x:v>
      </x:c>
      <x:c r="Q629" s="14" t="n">
        <x:v>0</x:v>
      </x:c>
      <x:c r="R629" s="14" t="n">
        <x:v>0.11111111111111116</x:v>
      </x:c>
      <x:c r="S629" t="n">
        <x:v>76</x:v>
      </x:c>
      <x:c r="T629" t="n">
        <x:v>92.06541490006057</x:v>
      </x:c>
      <x:c r="U629" s="14" t="n">
        <x:v>0.7946440734737702</x:v>
      </x:c>
      <x:c r="V629" s="14" t="n">
        <x:v>0.1045843084059528</x:v>
      </x:c>
      <x:c r="W629" s="14" t="n">
        <x:v>0.022904467709891397</x:v>
      </x:c>
      <x:c r="X629" s="14" t="n">
        <x:v>0.2554019585889629</x:v>
      </x:c>
      <x:c r="Y629" s="16" t="n">
        <x:v>69.72909305064782</x:v>
      </x:c>
      <x:c r="Z629" s="16" t="n">
        <x:v>56.077015643802646</x:v>
      </x:c>
      <x:c r="AA629" s="16" t="n">
        <x:v>81.9672131147541</x:v>
      </x:c>
      <x:c r="AB629" s="16" t="n">
        <x:v>94.22850412249706</x:v>
      </x:c>
      <x:c r="AC629" s="16" t="n">
        <x:v>86.33686690223793</x:v>
      </x:c>
      <x:c r="AD629" s="16" t="n">
        <x:v>56.890243902439025</x:v>
      </x:c>
      <x:c r="AE629" s="16" t="n">
        <x:v>73.52814216742068</x:v>
      </x:c>
      <x:c r="AF629" t="str">
        <x:v>검토</x:v>
      </x:c>
      <x:c r="AG629" t="str">
        <x:v>경쟁여건·안정성 강점 / 상권 모멘텀 상대적 약점</x:v>
      </x:c>
    </x:row>
    <x:row r="630">
      <x:c r="A630" t="str">
        <x:v>3001494</x:v>
      </x:c>
      <x:c r="B630" t="str">
        <x:v>종로?청계 관광특구</x:v>
      </x:c>
      <x:c r="C630" t="str">
        <x:v>관광특구</x:v>
      </x:c>
      <x:c r="D630" t="str">
        <x:v>종로구</x:v>
      </x:c>
      <x:c r="E630" t="str">
        <x:v>종로1·2·3·4가동</x:v>
      </x:c>
      <x:c r="F630" t="str">
        <x:v>CS200028</x:v>
      </x:c>
      <x:c r="G630" t="str">
        <x:v>미용실</x:v>
      </x:c>
      <x:c r="H630" t="n">
        <x:v>375948041</x:v>
      </x:c>
      <x:c r="I630" t="n">
        <x:v>9604</x:v>
      </x:c>
      <x:c r="J630" t="n">
        <x:v>39144.94387755102</x:v>
      </x:c>
      <x:c r="K630" s="14" t="n">
        <x:v>0.016175689788137992</x:v>
      </x:c>
      <x:c r="L630" s="14" t="n">
        <x:v>0.02168887159425803</x:v>
      </x:c>
      <x:c r="M630" s="14" t="n">
        <x:v>-0.013481964371473865</x:v>
      </x:c>
      <x:c r="N630" t="n">
        <x:v>40</x:v>
      </x:c>
      <x:c r="O630" t="n">
        <x:v>0</x:v>
      </x:c>
      <x:c r="P630" s="14" t="n">
        <x:v>0</x:v>
      </x:c>
      <x:c r="Q630" s="14" t="n">
        <x:v>0.075</x:v>
      </x:c>
      <x:c r="R630" s="14" t="n">
        <x:v>-0.06976744186046513</x:v>
      </x:c>
      <x:c r="S630" t="n">
        <x:v>46516</x:v>
      </x:c>
      <x:c r="T630" t="n">
        <x:v>712.2045176512379</x:v>
      </x:c>
      <x:c r="U630" s="14" t="n">
        <x:v>0.7867558804489155</x:v>
      </x:c>
      <x:c r="V630" s="14" t="n">
        <x:v>0.3902754024458396</x:v>
      </x:c>
      <x:c r="W630" s="14" t="n">
        <x:v>0.3800355432627457</x:v>
      </x:c>
      <x:c r="X630" s="14" t="n">
        <x:v>0.5870210160238606</x:v>
      </x:c>
      <x:c r="Y630" s="16" t="n">
        <x:v>89.79409131602506</x:v>
      </x:c>
      <x:c r="Z630" s="16" t="n">
        <x:v>47.931654676258994</x:v>
      </x:c>
      <x:c r="AA630" s="16" t="n">
        <x:v>57.377049180327866</x:v>
      </x:c>
      <x:c r="AB630" s="16" t="n">
        <x:v>77.57385854968666</x:v>
      </x:c>
      <x:c r="AC630" s="16" t="n">
        <x:v>75.60429722470904</x:v>
      </x:c>
      <x:c r="AD630" s="16" t="n">
        <x:v>94.02439024390245</x:v>
      </x:c>
      <x:c r="AE630" s="16" t="n">
        <x:v>73.51854829002878</x:v>
      </x:c>
      <x:c r="AF630" t="str">
        <x:v>검토</x:v>
      </x:c>
      <x:c r="AG630" t="str">
        <x:v>직장수요·수요 강점 / 상권 모멘텀 상대적 약점</x:v>
      </x:c>
    </x:row>
    <x:row r="631">
      <x:c r="A631" t="str">
        <x:v>3130035</x:v>
      </x:c>
      <x:c r="B631" t="str">
        <x:v>방산종합시장(방산시장)</x:v>
      </x:c>
      <x:c r="C631" t="str">
        <x:v>전통시장</x:v>
      </x:c>
      <x:c r="D631" t="str">
        <x:v>중구</x:v>
      </x:c>
      <x:c r="E631" t="str">
        <x:v>을지로동</x:v>
      </x:c>
      <x:c r="F631" t="str">
        <x:v>CS300010</x:v>
      </x:c>
      <x:c r="G631" t="str">
        <x:v>반찬가게</x:v>
      </x:c>
      <x:c r="H631" t="n">
        <x:v>2625345557</x:v>
      </x:c>
      <x:c r="I631" t="n">
        <x:v>32237</x:v>
      </x:c>
      <x:c r="J631" t="n">
        <x:v>81438.89186338679</x:v>
      </x:c>
      <x:c r="K631" s="14" t="n">
        <x:v>0.13987344038778016</x:v>
      </x:c>
      <x:c r="L631" s="14" t="n">
        <x:v>0.02346021551670452</x:v>
      </x:c>
      <x:c r="M631" s="14" t="n">
        <x:v>0.024589273784872745</x:v>
      </x:c>
      <x:c r="N631" t="n">
        <x:v>36</x:v>
      </x:c>
      <x:c r="O631" t="n">
        <x:v>0</x:v>
      </x:c>
      <x:c r="P631" s="14" t="n">
        <x:v>0</x:v>
      </x:c>
      <x:c r="Q631" s="14" t="n">
        <x:v>0.05555555555555555</x:v>
      </x:c>
      <x:c r="R631" s="14" t="n">
        <x:v>-0.07692307692307687</x:v>
      </x:c>
      <x:c r="S631" t="n">
        <x:v>2783</x:v>
      </x:c>
      <x:c r="T631" t="n">
        <x:v>279.06183881997856</x:v>
      </x:c>
      <x:c r="U631" s="14" t="n">
        <x:v>0.9708371056922926</x:v>
      </x:c>
      <x:c r="V631" s="14" t="n">
        <x:v>0.008150484016455134</x:v>
      </x:c>
      <x:c r="W631" s="14" t="n">
        <x:v>0.03875719092623813</x:v>
      </x:c>
      <x:c r="X631" s="14" t="n">
        <x:v>0.4283249010789173</x:v>
      </x:c>
      <x:c r="Y631" s="16" t="n">
        <x:v>87.468671679198</x:v>
      </x:c>
      <x:c r="Z631" s="16" t="n">
        <x:v>78.88888888888889</x:v>
      </x:c>
      <x:c r="AA631" s="16" t="n">
        <x:v>63.9344262295082</x:v>
      </x:c>
      <x:c r="AB631" s="16" t="n">
        <x:v>39.9749373433584</x:v>
      </x:c>
      <x:c r="AC631" s="16" t="n">
        <x:v>73.93483709273183</x:v>
      </x:c>
      <x:c r="AD631" s="16" t="n">
        <x:v>82.86585365853658</x:v>
      </x:c>
      <x:c r="AE631" s="16" t="n">
        <x:v>73.51499379362707</x:v>
      </x:c>
      <x:c r="AF631" t="str">
        <x:v>검토</x:v>
      </x:c>
      <x:c r="AG631" t="str">
        <x:v>수요·직장수요 강점 / 경쟁여건 상대적 약점</x:v>
      </x:c>
    </x:row>
    <x:row r="632">
      <x:c r="A632" t="str">
        <x:v>3120079</x:v>
      </x:c>
      <x:c r="B632" t="str">
        <x:v>창동역</x:v>
      </x:c>
      <x:c r="C632" t="str">
        <x:v>발달상권</x:v>
      </x:c>
      <x:c r="D632" t="str">
        <x:v>도봉구</x:v>
      </x:c>
      <x:c r="E632" t="str">
        <x:v>창5동</x:v>
      </x:c>
      <x:c r="F632" t="str">
        <x:v>CS300018</x:v>
      </x:c>
      <x:c r="G632" t="str">
        <x:v>의약품</x:v>
      </x:c>
      <x:c r="H632" t="n">
        <x:v>6596720595</x:v>
      </x:c>
      <x:c r="I632" t="n">
        <x:v>403254</x:v>
      </x:c>
      <x:c r="J632" t="n">
        <x:v>16358.723273668706</x:v>
      </x:c>
      <x:c r="K632" s="14" t="n">
        <x:v>0.00817673034755284</x:v>
      </x:c>
      <x:c r="L632" s="14" t="n">
        <x:v>0.027829225601598617</x:v>
      </x:c>
      <x:c r="M632" s="14" t="n">
        <x:v>0.02632929521123617</x:v>
      </x:c>
      <x:c r="N632" t="n">
        <x:v>18</x:v>
      </x:c>
      <x:c r="O632" t="n">
        <x:v>0</x:v>
      </x:c>
      <x:c r="P632" s="14" t="n">
        <x:v>0</x:v>
      </x:c>
      <x:c r="Q632" s="14" t="n">
        <x:v>0.16666666666666666</x:v>
      </x:c>
      <x:c r="R632" s="14" t="n">
        <x:v>0.19999999999999996</x:v>
      </x:c>
      <x:c r="S632" t="n">
        <x:v>3247</x:v>
      </x:c>
      <x:c r="T632" t="n">
        <x:v>337.8877592432646</x:v>
      </x:c>
      <x:c r="U632" s="14" t="n">
        <x:v>0.8391613803070281</x:v>
      </x:c>
      <x:c r="V632" s="14" t="n">
        <x:v>0.20507288530991663</x:v>
      </x:c>
      <x:c r="W632" s="14" t="n">
        <x:v>0.11075312838833369</x:v>
      </x:c>
      <x:c r="X632" s="14" t="n">
        <x:v>0.5306485729671866</x:v>
      </x:c>
      <x:c r="Y632" s="16" t="n">
        <x:v>92.43986254295532</x:v>
      </x:c>
      <x:c r="Z632" s="16" t="n">
        <x:v>45.45454545454545</x:v>
      </x:c>
      <x:c r="AA632" s="16" t="n">
        <x:v>72.1311475409836</x:v>
      </x:c>
      <x:c r="AB632" s="16" t="n">
        <x:v>68.90034364261169</x:v>
      </x:c>
      <x:c r="AC632" s="16" t="n">
        <x:v>66.32302405498282</x:v>
      </x:c>
      <x:c r="AD632" s="16" t="n">
        <x:v>85.48780487804878</x:v>
      </x:c>
      <x:c r="AE632" s="16" t="n">
        <x:v>73.50627730788348</x:v>
      </x:c>
      <x:c r="AF632" t="str">
        <x:v>검토</x:v>
      </x:c>
      <x:c r="AG632" t="str">
        <x:v>수요·직장수요 강점 / 상권 모멘텀 상대적 약점</x:v>
      </x:c>
    </x:row>
    <x:row r="633">
      <x:c r="A633" t="str">
        <x:v>3120006</x:v>
      </x:c>
      <x:c r="B633" t="str">
        <x:v>종각역</x:v>
      </x:c>
      <x:c r="C633" t="str">
        <x:v>발달상권</x:v>
      </x:c>
      <x:c r="D633" t="str">
        <x:v>종로구</x:v>
      </x:c>
      <x:c r="E633" t="str">
        <x:v>종로1·2·3·4가동</x:v>
      </x:c>
      <x:c r="F633" t="str">
        <x:v>CS200030</x:v>
      </x:c>
      <x:c r="G633" t="str">
        <x:v>피부관리실</x:v>
      </x:c>
      <x:c r="H633" t="n">
        <x:v>292517427</x:v>
      </x:c>
      <x:c r="I633" t="n">
        <x:v>2473</x:v>
      </x:c>
      <x:c r="J633" t="n">
        <x:v>118284.4427820461</x:v>
      </x:c>
      <x:c r="K633" s="14" t="n">
        <x:v>0.21794600673331788</x:v>
      </x:c>
      <x:c r="L633" s="14" t="n">
        <x:v>0.11857168683779085</x:v>
      </x:c>
      <x:c r="M633" s="14" t="n">
        <x:v>0.0314283578178467</x:v>
      </x:c>
      <x:c r="N633" t="n">
        <x:v>41</x:v>
      </x:c>
      <x:c r="O633" t="n">
        <x:v>1</x:v>
      </x:c>
      <x:c r="P633" s="14" t="n">
        <x:v>0.021739130434782608</x:v>
      </x:c>
      <x:c r="Q633" s="14" t="n">
        <x:v>0.024390243902439025</x:v>
      </x:c>
      <x:c r="R633" s="14" t="n">
        <x:v>0.3666666666666667</x:v>
      </x:c>
      <x:c r="S633" t="n">
        <x:v>51748</x:v>
      </x:c>
      <x:c r="T633" t="n">
        <x:v>1914.2812752010534</x:v>
      </x:c>
      <x:c r="U633" s="14" t="n">
        <x:v>0.8309670179069365</x:v>
      </x:c>
      <x:c r="V633" s="14" t="n">
        <x:v>0.43544986124877955</x:v>
      </x:c>
      <x:c r="W633" s="14" t="n">
        <x:v>0.6621480914366172</x:v>
      </x:c>
      <x:c r="X633" s="14" t="n">
        <x:v>0.6552272764247992</x:v>
      </x:c>
      <x:c r="Y633" s="16" t="n">
        <x:v>88.83374689826303</x:v>
      </x:c>
      <x:c r="Z633" s="16" t="n">
        <x:v>73.20954907161804</x:v>
      </x:c>
      <x:c r="AA633" s="16" t="n">
        <x:v>91.80327868852459</x:v>
      </x:c>
      <x:c r="AB633" s="16" t="n">
        <x:v>33.74689826302729</x:v>
      </x:c>
      <x:c r="AC633" s="16" t="n">
        <x:v>39.950372208436725</x:v>
      </x:c>
      <x:c r="AD633" s="16" t="n">
        <x:v>98.47560975609755</x:v>
      </x:c>
      <x:c r="AE633" s="16" t="n">
        <x:v>73.48506548009699</x:v>
      </x:c>
      <x:c r="AF633" t="str">
        <x:v>검토</x:v>
      </x:c>
      <x:c r="AG633" t="str">
        <x:v>직장수요·서울 업종추세 강점 / 경쟁여건 상대적 약점</x:v>
      </x:c>
    </x:row>
    <x:row r="634">
      <x:c r="A634" t="str">
        <x:v>3120075</x:v>
      </x:c>
      <x:c r="B634" t="str">
        <x:v>월곡역</x:v>
      </x:c>
      <x:c r="C634" t="str">
        <x:v>발달상권</x:v>
      </x:c>
      <x:c r="D634" t="str">
        <x:v>성북구</x:v>
      </x:c>
      <x:c r="E634" t="str">
        <x:v>월곡2동</x:v>
      </x:c>
      <x:c r="F634" t="str">
        <x:v>CS300007</x:v>
      </x:c>
      <x:c r="G634" t="str">
        <x:v>육류판매</x:v>
      </x:c>
      <x:c r="H634" t="n">
        <x:v>732619642</x:v>
      </x:c>
      <x:c r="I634" t="n">
        <x:v>32394</x:v>
      </x:c>
      <x:c r="J634" t="n">
        <x:v>22615.905476322776</x:v>
      </x:c>
      <x:c r="K634" s="14" t="n">
        <x:v>2.5411649383398704</x:v>
      </x:c>
      <x:c r="L634" s="14" t="n">
        <x:v>0.23518223683931017</x:v>
      </x:c>
      <x:c r="M634" s="14" t="n">
        <x:v>0.00863079289162072</x:v>
      </x:c>
      <x:c r="N634" t="n">
        <x:v>15</x:v>
      </x:c>
      <x:c r="O634" t="n">
        <x:v>0</x:v>
      </x:c>
      <x:c r="P634" s="14" t="n">
        <x:v>0</x:v>
      </x:c>
      <x:c r="Q634" s="14" t="n">
        <x:v>0</x:v>
      </x:c>
      <x:c r="R634" s="14" t="n">
        <x:v>0.0714285714285714</x:v>
      </x:c>
      <x:c r="S634" t="n">
        <x:v>1144</x:v>
      </x:c>
      <x:c r="T634" t="n">
        <x:v>121.03770790130771</x:v>
      </x:c>
      <x:c r="U634" s="14" t="n">
        <x:v>0.6801689900637417</x:v>
      </x:c>
      <x:c r="V634" s="14" t="n">
        <x:v>0.3793259354081036</x:v>
      </x:c>
      <x:c r="W634" s="14" t="n">
        <x:v>0.14575392724728503</x:v>
      </x:c>
      <x:c r="X634" s="14" t="n">
        <x:v>0.5585110807061873</x:v>
      </x:c>
      <x:c r="Y634" s="16" t="n">
        <x:v>60.148514851485146</x:v>
      </x:c>
      <x:c r="Z634" s="16" t="n">
        <x:v>99.48051948051948</x:v>
      </x:c>
      <x:c r="AA634" s="16" t="n">
        <x:v>100</x:v>
      </x:c>
      <x:c r="AB634" s="16" t="n">
        <x:v>50.99009900990099</x:v>
      </x:c>
      <x:c r="AC634" s="16" t="n">
        <x:v>66.83168316831683</x:v>
      </x:c>
      <x:c r="AD634" s="16" t="n">
        <x:v>64.08536585365853</x:v>
      </x:c>
      <x:c r="AE634" s="16" t="n">
        <x:v>73.48403555512344</x:v>
      </x:c>
      <x:c r="AF634" t="str">
        <x:v>검토</x:v>
      </x:c>
      <x:c r="AG634" t="str">
        <x:v>서울 업종추세·상권 모멘텀 강점 / 경쟁여건 상대적 약점</x:v>
      </x:c>
    </x:row>
    <x:row r="635">
      <x:c r="A635" t="str">
        <x:v>3120159</x:v>
      </x:c>
      <x:c r="B635" t="str">
        <x:v>서울대입구역</x:v>
      </x:c>
      <x:c r="C635" t="str">
        <x:v>발달상권</x:v>
      </x:c>
      <x:c r="D635" t="str">
        <x:v>관악구</x:v>
      </x:c>
      <x:c r="E635" t="str">
        <x:v>청룡동</x:v>
      </x:c>
      <x:c r="F635" t="str">
        <x:v>CS300011</x:v>
      </x:c>
      <x:c r="G635" t="str">
        <x:v>일반의류</x:v>
      </x:c>
      <x:c r="H635" t="n">
        <x:v>8303730870</x:v>
      </x:c>
      <x:c r="I635" t="n">
        <x:v>124076</x:v>
      </x:c>
      <x:c r="J635" t="n">
        <x:v>66924.55325768077</x:v>
      </x:c>
      <x:c r="K635" s="14" t="n">
        <x:v>0.17903123092772621</x:v>
      </x:c>
      <x:c r="L635" s="14" t="n">
        <x:v>0.06726691045630595</x:v>
      </x:c>
      <x:c r="M635" s="14" t="n">
        <x:v>0.00788849516466894</x:v>
      </x:c>
      <x:c r="N635" t="n">
        <x:v>88</x:v>
      </x:c>
      <x:c r="O635" t="n">
        <x:v>2</x:v>
      </x:c>
      <x:c r="P635" s="14" t="n">
        <x:v>0.021505376344086023</x:v>
      </x:c>
      <x:c r="Q635" s="14" t="n">
        <x:v>0</x:v>
      </x:c>
      <x:c r="R635" s="14" t="n">
        <x:v>-0.19266055045871555</x:v>
      </x:c>
      <x:c r="S635" t="n">
        <x:v>6550</x:v>
      </x:c>
      <x:c r="T635" t="n">
        <x:v>278.2285126880697</x:v>
      </x:c>
      <x:c r="U635" s="14" t="n">
        <x:v>0.664250528991434</x:v>
      </x:c>
      <x:c r="V635" s="14" t="n">
        <x:v>0.30215334941364735</x:v>
      </x:c>
      <x:c r="W635" s="14" t="n">
        <x:v>0.20267649329535653</x:v>
      </x:c>
      <x:c r="X635" s="14" t="n">
        <x:v>0.6727015661334891</x:v>
      </x:c>
      <x:c r="Y635" s="16" t="n">
        <x:v>95.64193168433451</x:v>
      </x:c>
      <x:c r="Z635" s="16" t="n">
        <x:v>73.52587244283995</x:v>
      </x:c>
      <x:c r="AA635" s="16" t="n">
        <x:v>81.9672131147541</x:v>
      </x:c>
      <x:c r="AB635" s="16" t="n">
        <x:v>35.15901060070671</x:v>
      </x:c>
      <x:c r="AC635" s="16" t="n">
        <x:v>35.86572438162544</x:v>
      </x:c>
      <x:c r="AD635" s="16" t="n">
        <x:v>82.8048780487805</x:v>
      </x:c>
      <x:c r="AE635" s="16" t="n">
        <x:v>73.47560047600577</x:v>
      </x:c>
      <x:c r="AF635" t="str">
        <x:v>검토</x:v>
      </x:c>
      <x:c r="AG635" t="str">
        <x:v>수요·직장수요 강점 / 경쟁여건 상대적 약점</x:v>
      </x:c>
    </x:row>
    <x:row r="636">
      <x:c r="A636" t="str">
        <x:v>3120001</x:v>
      </x:c>
      <x:c r="B636" t="str">
        <x:v>서대문역</x:v>
      </x:c>
      <x:c r="C636" t="str">
        <x:v>발달상권</x:v>
      </x:c>
      <x:c r="D636" t="str">
        <x:v>종로구</x:v>
      </x:c>
      <x:c r="E636" t="str">
        <x:v>교남동</x:v>
      </x:c>
      <x:c r="F636" t="str">
        <x:v>CS200016</x:v>
      </x:c>
      <x:c r="G636" t="str">
        <x:v>당구장</x:v>
      </x:c>
      <x:c r="H636" t="n">
        <x:v>129097035</x:v>
      </x:c>
      <x:c r="I636" t="n">
        <x:v>7818</x:v>
      </x:c>
      <x:c r="J636" t="n">
        <x:v>16512.79547198772</x:v>
      </x:c>
      <x:c r="K636" s="14" t="n">
        <x:v>-0.05438902358132047</x:v>
      </x:c>
      <x:c r="L636" s="14" t="n">
        <x:v>0.052763611334009974</x:v>
      </x:c>
      <x:c r="M636" s="14" t="n">
        <x:v>0.07602781601598463</x:v>
      </x:c>
      <x:c r="N636" t="n">
        <x:v>3</x:v>
      </x:c>
      <x:c r="O636" t="n">
        <x:v>0</x:v>
      </x:c>
      <x:c r="P636" s="14" t="n">
        <x:v>0</x:v>
      </x:c>
      <x:c r="Q636" s="14" t="n">
        <x:v>0</x:v>
      </x:c>
      <x:c r="R636" s="14" t="n">
        <x:v>0.5</x:v>
      </x:c>
      <x:c r="S636" t="n">
        <x:v>4645</x:v>
      </x:c>
      <x:c r="T636" t="n">
        <x:v>313.23335041674534</x:v>
      </x:c>
      <x:c r="U636" s="14" t="n">
        <x:v>0.6995406594737051</x:v>
      </x:c>
      <x:c r="V636" s="14" t="n">
        <x:v>0.6534940403549935</x:v>
      </x:c>
      <x:c r="W636" s="14" t="n">
        <x:v>0.09309902431144139</x:v>
      </x:c>
      <x:c r="X636" s="14" t="n">
        <x:v>0.027334477511431615</x:v>
      </x:c>
      <x:c r="Y636" s="16" t="n">
        <x:v>85.25073746312684</x:v>
      </x:c>
      <x:c r="Z636" s="16" t="n">
        <x:v>27.77777777777778</x:v>
      </x:c>
      <x:c r="AA636" s="16" t="n">
        <x:v>80.32786885245902</x:v>
      </x:c>
      <x:c r="AB636" s="16" t="n">
        <x:v>99.11504424778761</x:v>
      </x:c>
      <x:c r="AC636" s="16" t="n">
        <x:v>69.32153392330383</x:v>
      </x:c>
      <x:c r="AD636" s="16" t="n">
        <x:v>84.39024390243902</x:v>
      </x:c>
      <x:c r="AE636" s="16" t="n">
        <x:v>73.46141622013927</x:v>
      </x:c>
      <x:c r="AF636" t="str">
        <x:v>검토</x:v>
      </x:c>
      <x:c r="AG636" t="str">
        <x:v>경쟁여건·수요 강점 / 상권 모멘텀 상대적 약점</x:v>
      </x:c>
    </x:row>
    <x:row r="637">
      <x:c r="A637" t="str">
        <x:v>3120215</x:v>
      </x:c>
      <x:c r="B637" t="str">
        <x:v>포스코사거리</x:v>
      </x:c>
      <x:c r="C637" t="str">
        <x:v>발달상권</x:v>
      </x:c>
      <x:c r="D637" t="str">
        <x:v>강남구</x:v>
      </x:c>
      <x:c r="E637" t="str">
        <x:v>삼성2동</x:v>
      </x:c>
      <x:c r="F637" t="str">
        <x:v>CS200016</x:v>
      </x:c>
      <x:c r="G637" t="str">
        <x:v>당구장</x:v>
      </x:c>
      <x:c r="H637" t="n">
        <x:v>421038769</x:v>
      </x:c>
      <x:c r="I637" t="n">
        <x:v>18733</x:v>
      </x:c>
      <x:c r="J637" t="n">
        <x:v>22475.77905300806</x:v>
      </x:c>
      <x:c r="K637" s="14" t="n">
        <x:v>0.00051396706028628</x:v>
      </x:c>
      <x:c r="L637" s="14" t="n">
        <x:v>0.052763611334009974</x:v>
      </x:c>
      <x:c r="M637" s="14" t="n">
        <x:v>0.07602781601598463</x:v>
      </x:c>
      <x:c r="N637" t="n">
        <x:v>16</x:v>
      </x:c>
      <x:c r="O637" t="n">
        <x:v>0</x:v>
      </x:c>
      <x:c r="P637" s="14" t="n">
        <x:v>0</x:v>
      </x:c>
      <x:c r="Q637" s="14" t="n">
        <x:v>0</x:v>
      </x:c>
      <x:c r="R637" s="14" t="n">
        <x:v>0</x:v>
      </x:c>
      <x:c r="S637" t="n">
        <x:v>94741</x:v>
      </x:c>
      <x:c r="T637" t="n">
        <x:v>2973.4233866664995</x:v>
      </x:c>
      <x:c r="U637" s="14" t="n">
        <x:v>0.7148584766074119</x:v>
      </x:c>
      <x:c r="V637" s="14" t="n">
        <x:v>0.6652041038054621</x:v>
      </x:c>
      <x:c r="W637" s="14" t="n">
        <x:v>0.06534182603977735</x:v>
      </x:c>
      <x:c r="X637" s="14" t="n">
        <x:v>0.013971663497809627</x:v>
      </x:c>
      <x:c r="Y637" s="16" t="n">
        <x:v>97.6401179941003</x:v>
      </x:c>
      <x:c r="Z637" s="16" t="n">
        <x:v>51.54320987654321</x:v>
      </x:c>
      <x:c r="AA637" s="16" t="n">
        <x:v>80.32786885245902</x:v>
      </x:c>
      <x:c r="AB637" s="16" t="n">
        <x:v>33.48082595870207</x:v>
      </x:c>
      <x:c r="AC637" s="16" t="n">
        <x:v>69.32153392330383</x:v>
      </x:c>
      <x:c r="AD637" s="16" t="n">
        <x:v>99.45121951219512</x:v>
      </x:c>
      <x:c r="AE637" s="16" t="n">
        <x:v>73.45870186285804</x:v>
      </x:c>
      <x:c r="AF637" t="str">
        <x:v>검토</x:v>
      </x:c>
      <x:c r="AG637" t="str">
        <x:v>직장수요·수요 강점 / 경쟁여건 상대적 약점</x:v>
      </x:c>
    </x:row>
    <x:row r="638">
      <x:c r="A638" t="str">
        <x:v>3110753</x:v>
      </x:c>
      <x:c r="B638" t="str">
        <x:v>시흥동 은행나무사거리</x:v>
      </x:c>
      <x:c r="C638" t="str">
        <x:v>골목상권</x:v>
      </x:c>
      <x:c r="D638" t="str">
        <x:v>금천구</x:v>
      </x:c>
      <x:c r="E638" t="str">
        <x:v>시흥5동</x:v>
      </x:c>
      <x:c r="F638" t="str">
        <x:v>CS200006</x:v>
      </x:c>
      <x:c r="G638" t="str">
        <x:v>일반의원</x:v>
      </x:c>
      <x:c r="H638" t="n">
        <x:v>3273970587</x:v>
      </x:c>
      <x:c r="I638" t="n">
        <x:v>113974</x:v>
      </x:c>
      <x:c r="J638" t="n">
        <x:v>28725.591687577868</x:v>
      </x:c>
      <x:c r="K638" s="14" t="n">
        <x:v>0.11907951580389842</x:v>
      </x:c>
      <x:c r="L638" s="14" t="n">
        <x:v>0.09973642051122278</x:v>
      </x:c>
      <x:c r="M638" s="14" t="n">
        <x:v>0.06942273842247415</x:v>
      </x:c>
      <x:c r="N638" t="n">
        <x:v>21</x:v>
      </x:c>
      <x:c r="O638" t="n">
        <x:v>0</x:v>
      </x:c>
      <x:c r="P638" s="14" t="n">
        <x:v>0</x:v>
      </x:c>
      <x:c r="Q638" s="14" t="n">
        <x:v>0</x:v>
      </x:c>
      <x:c r="R638" s="14" t="n">
        <x:v>0.16666666666666674</x:v>
      </x:c>
      <x:c r="S638" t="n">
        <x:v>431</x:v>
      </x:c>
      <x:c r="T638" t="n">
        <x:v>24.311548831804693</x:v>
      </x:c>
      <x:c r="U638" s="14" t="n">
        <x:v>0.8466790123304183</x:v>
      </x:c>
      <x:c r="V638" s="14" t="n">
        <x:v>0.06992586674695132</x:v>
      </x:c>
      <x:c r="W638" s="14" t="n">
        <x:v>0.11984196881851829</x:v>
      </x:c>
      <x:c r="X638" s="14" t="n">
        <x:v>0.574405410808292</x:v>
      </x:c>
      <x:c r="Y638" s="16" t="n">
        <x:v>74.85493230174082</x:v>
      </x:c>
      <x:c r="Z638" s="16" t="n">
        <x:v>85.85271317829458</x:v>
      </x:c>
      <x:c r="AA638" s="16" t="n">
        <x:v>90.1639344262295</x:v>
      </x:c>
      <x:c r="AB638" s="16" t="n">
        <x:v>63.372093023255815</x:v>
      </x:c>
      <x:c r="AC638" s="16" t="n">
        <x:v>62.5</x:v>
      </x:c>
      <x:c r="AD638" s="16" t="n">
        <x:v>16.158536585365855</x:v>
      </x:c>
      <x:c r="AE638" s="16" t="n">
        <x:v>73.45809988795929</x:v>
      </x:c>
      <x:c r="AF638" t="str">
        <x:v>검토</x:v>
      </x:c>
      <x:c r="AG638" t="str">
        <x:v>서울 업종추세·상권 모멘텀 강점 / 직장수요 상대적 약점</x:v>
      </x:c>
    </x:row>
    <x:row r="639">
      <x:c r="A639" t="str">
        <x:v>3110861</x:v>
      </x:c>
      <x:c r="B639" t="str">
        <x:v>관악구신사동주민센터</x:v>
      </x:c>
      <x:c r="C639" t="str">
        <x:v>골목상권</x:v>
      </x:c>
      <x:c r="D639" t="str">
        <x:v>관악구</x:v>
      </x:c>
      <x:c r="E639" t="str">
        <x:v>신사동</x:v>
      </x:c>
      <x:c r="F639" t="str">
        <x:v>CS200006</x:v>
      </x:c>
      <x:c r="G639" t="str">
        <x:v>일반의원</x:v>
      </x:c>
      <x:c r="H639" t="n">
        <x:v>3860592570</x:v>
      </x:c>
      <x:c r="I639" t="n">
        <x:v>190557</x:v>
      </x:c>
      <x:c r="J639" t="n">
        <x:v>20259.515892882446</x:v>
      </x:c>
      <x:c r="K639" s="14" t="n">
        <x:v>0.025528863150723335</x:v>
      </x:c>
      <x:c r="L639" s="14" t="n">
        <x:v>0.09973642051122278</x:v>
      </x:c>
      <x:c r="M639" s="14" t="n">
        <x:v>0.06942273842247415</x:v>
      </x:c>
      <x:c r="N639" t="n">
        <x:v>10</x:v>
      </x:c>
      <x:c r="O639" t="n">
        <x:v>0</x:v>
      </x:c>
      <x:c r="P639" s="14" t="n">
        <x:v>0</x:v>
      </x:c>
      <x:c r="Q639" s="14" t="n">
        <x:v>0</x:v>
      </x:c>
      <x:c r="R639" s="14" t="n">
        <x:v>0</x:v>
      </x:c>
      <x:c r="S639" t="n">
        <x:v>1871</x:v>
      </x:c>
      <x:c r="T639" t="n">
        <x:v>93.1670832876876</x:v>
      </x:c>
      <x:c r="U639" s="14" t="n">
        <x:v>0.8364468100294769</x:v>
      </x:c>
      <x:c r="V639" s="14" t="n">
        <x:v>0.15477002718264052</x:v>
      </x:c>
      <x:c r="W639" s="14" t="n">
        <x:v>0.24330881126883586</x:v>
      </x:c>
      <x:c r="X639" s="14" t="n">
        <x:v>0.5865657118539188</x:v>
      </x:c>
      <x:c r="Y639" s="16" t="n">
        <x:v>79.11025145067698</x:v>
      </x:c>
      <x:c r="Z639" s="16" t="n">
        <x:v>48.25581395348837</x:v>
      </x:c>
      <x:c r="AA639" s="16" t="n">
        <x:v>90.1639344262295</x:v>
      </x:c>
      <x:c r="AB639" s="16" t="n">
        <x:v>89.82558139534883</x:v>
      </x:c>
      <x:c r="AC639" s="16" t="n">
        <x:v>62.5</x:v>
      </x:c>
      <x:c r="AD639" s="16" t="n">
        <x:v>57.25609756097561</x:v>
      </x:c>
      <x:c r="AE639" s="16" t="n">
        <x:v>73.45098304972015</x:v>
      </x:c>
      <x:c r="AF639" t="str">
        <x:v>검토</x:v>
      </x:c>
      <x:c r="AG639" t="str">
        <x:v>서울 업종추세·경쟁여건 강점 / 상권 모멘텀 상대적 약점</x:v>
      </x:c>
    </x:row>
    <x:row r="640">
      <x:c r="A640" t="str">
        <x:v>3120066</x:v>
      </x:c>
      <x:c r="B640" t="str">
        <x:v>장한평역(장한평)</x:v>
      </x:c>
      <x:c r="C640" t="str">
        <x:v>발달상권</x:v>
      </x:c>
      <x:c r="D640" t="str">
        <x:v>동대문구</x:v>
      </x:c>
      <x:c r="E640" t="str">
        <x:v>장안1동</x:v>
      </x:c>
      <x:c r="F640" t="str">
        <x:v>CS100006</x:v>
      </x:c>
      <x:c r="G640" t="str">
        <x:v>패스트푸드점</x:v>
      </x:c>
      <x:c r="H640" t="n">
        <x:v>534000000</x:v>
      </x:c>
      <x:c r="I640" t="n">
        <x:v>49652</x:v>
      </x:c>
      <x:c r="J640" t="n">
        <x:v>10754.853782324983</x:v>
      </x:c>
      <x:c r="K640" s="14" t="n">
        <x:v>0.11467436534967357</x:v>
      </x:c>
      <x:c r="L640" s="14" t="n">
        <x:v>0.0037102725933797487</x:v>
      </x:c>
      <x:c r="M640" s="14" t="n">
        <x:v>0.011474434125836375</x:v>
      </x:c>
      <x:c r="N640" t="n">
        <x:v>16</x:v>
      </x:c>
      <x:c r="O640" t="n">
        <x:v>0</x:v>
      </x:c>
      <x:c r="P640" s="14" t="n">
        <x:v>0</x:v>
      </x:c>
      <x:c r="Q640" s="14" t="n">
        <x:v>0.625</x:v>
      </x:c>
      <x:c r="R640" s="14" t="n">
        <x:v>0</x:v>
      </x:c>
      <x:c r="S640" t="n">
        <x:v>7238</x:v>
      </x:c>
      <x:c r="T640" t="n">
        <x:v>160.81799881797215</x:v>
      </x:c>
      <x:c r="U640" s="14" t="n">
        <x:v>0.7172358988764045</x:v>
      </x:c>
      <x:c r="V640" s="14" t="n">
        <x:v>0.4696296872659176</x:v>
      </x:c>
      <x:c r="W640" s="14" t="n">
        <x:v>0.4826806254681648</x:v>
      </x:c>
      <x:c r="X640" s="14" t="n">
        <x:v>0.33744579400749064</x:v>
      </x:c>
      <x:c r="Y640" s="16" t="n">
        <x:v>81.04738154613466</x:v>
      </x:c>
      <x:c r="Z640" s="16" t="n">
        <x:v>89.29503916449086</x:v>
      </x:c>
      <x:c r="AA640" s="16" t="n">
        <x:v>44.26229508196721</x:v>
      </x:c>
      <x:c r="AB640" s="16" t="n">
        <x:v>61.09725685785536</x:v>
      </x:c>
      <x:c r="AC640" s="16" t="n">
        <x:v>78.30423940149626</x:v>
      </x:c>
      <x:c r="AD640" s="16" t="n">
        <x:v>71.58536585365853</x:v>
      </x:c>
      <x:c r="AE640" s="16" t="n">
        <x:v>73.43921639785124</x:v>
      </x:c>
      <x:c r="AF640" t="str">
        <x:v>검토</x:v>
      </x:c>
      <x:c r="AG640" t="str">
        <x:v>상권 모멘텀·수요 강점 / 서울 업종추세 상대적 약점</x:v>
      </x:c>
    </x:row>
    <x:row r="641">
      <x:c r="A641" t="str">
        <x:v>3120013</x:v>
      </x:c>
      <x:c r="B641" t="str">
        <x:v>이화사거리</x:v>
      </x:c>
      <x:c r="C641" t="str">
        <x:v>발달상권</x:v>
      </x:c>
      <x:c r="D641" t="str">
        <x:v>종로구</x:v>
      </x:c>
      <x:c r="E641" t="str">
        <x:v>종로5·6가동</x:v>
      </x:c>
      <x:c r="F641" t="str">
        <x:v>CS300028</x:v>
      </x:c>
      <x:c r="G641" t="str">
        <x:v>화초</x:v>
      </x:c>
      <x:c r="H641" t="n">
        <x:v>114217864</x:v>
      </x:c>
      <x:c r="I641" t="n">
        <x:v>1945</x:v>
      </x:c>
      <x:c r="J641" t="n">
        <x:v>58723.83753213368</x:v>
      </x:c>
      <x:c r="K641" s="14" t="n">
        <x:v>0.2194876974156137</x:v>
      </x:c>
      <x:c r="L641" s="14" t="n">
        <x:v>0.028008199294863756</x:v>
      </x:c>
      <x:c r="M641" s="14" t="n">
        <x:v>-0.0030123365554672876</x:v>
      </x:c>
      <x:c r="N641" t="n">
        <x:v>21</x:v>
      </x:c>
      <x:c r="O641" t="n">
        <x:v>0</x:v>
      </x:c>
      <x:c r="P641" s="14" t="n">
        <x:v>0</x:v>
      </x:c>
      <x:c r="Q641" s="14" t="n">
        <x:v>0</x:v>
      </x:c>
      <x:c r="R641" s="14" t="n">
        <x:v>-0.045454545454545414</x:v>
      </x:c>
      <x:c r="S641" t="n">
        <x:v>3008</x:v>
      </x:c>
      <x:c r="T641" t="n">
        <x:v>224.00452775109284</x:v>
      </x:c>
      <x:c r="U641" s="14" t="n">
        <x:v>0.8360696011615136</x:v>
      </x:c>
      <x:c r="V641" s="14" t="n">
        <x:v>0.1914579666802384</x:v>
      </x:c>
      <x:c r="W641" s="14" t="n">
        <x:v>0.16262045488786236</x:v>
      </x:c>
      <x:c r="X641" s="14" t="n">
        <x:v>0.34735628570325916</x:v>
      </x:c>
      <x:c r="Y641" s="16" t="n">
        <x:v>74.83221476510067</x:v>
      </x:c>
      <x:c r="Z641" s="16" t="n">
        <x:v>92.8082191780822</x:v>
      </x:c>
      <x:c r="AA641" s="16" t="n">
        <x:v>73.77049180327869</x:v>
      </x:c>
      <x:c r="AB641" s="16" t="n">
        <x:v>46.644295302013425</x:v>
      </x:c>
      <x:c r="AC641" s="16" t="n">
        <x:v>66.7785234899329</x:v>
      </x:c>
      <x:c r="AD641" s="16" t="n">
        <x:v>78.59756097560975</x:v>
      </x:c>
      <x:c r="AE641" s="16" t="n">
        <x:v>73.42286746696925</x:v>
      </x:c>
      <x:c r="AF641" t="str">
        <x:v>검토</x:v>
      </x:c>
      <x:c r="AG641" t="str">
        <x:v>상권 모멘텀·직장수요 강점 / 경쟁여건 상대적 약점</x:v>
      </x:c>
    </x:row>
    <x:row r="642">
      <x:c r="A642" t="str">
        <x:v>3120215</x:v>
      </x:c>
      <x:c r="B642" t="str">
        <x:v>포스코사거리</x:v>
      </x:c>
      <x:c r="C642" t="str">
        <x:v>발달상권</x:v>
      </x:c>
      <x:c r="D642" t="str">
        <x:v>강남구</x:v>
      </x:c>
      <x:c r="E642" t="str">
        <x:v>삼성2동</x:v>
      </x:c>
      <x:c r="F642" t="str">
        <x:v>CS200030</x:v>
      </x:c>
      <x:c r="G642" t="str">
        <x:v>피부관리실</x:v>
      </x:c>
      <x:c r="H642" t="n">
        <x:v>836476530</x:v>
      </x:c>
      <x:c r="I642" t="n">
        <x:v>1608</x:v>
      </x:c>
      <x:c r="J642" t="n">
        <x:v>520196.8470149254</x:v>
      </x:c>
      <x:c r="K642" s="14" t="n">
        <x:v>0.11518213067256511</x:v>
      </x:c>
      <x:c r="L642" s="14" t="n">
        <x:v>0.11857168683779085</x:v>
      </x:c>
      <x:c r="M642" s="14" t="n">
        <x:v>0.0314283578178467</x:v>
      </x:c>
      <x:c r="N642" t="n">
        <x:v>59</x:v>
      </x:c>
      <x:c r="O642" t="n">
        <x:v>1</x:v>
      </x:c>
      <x:c r="P642" s="14" t="n">
        <x:v>0.015625</x:v>
      </x:c>
      <x:c r="Q642" s="14" t="n">
        <x:v>0.03389830508474576</x:v>
      </x:c>
      <x:c r="R642" s="14" t="n">
        <x:v>0.6388888888888888</x:v>
      </x:c>
      <x:c r="S642" t="n">
        <x:v>94741</x:v>
      </x:c>
      <x:c r="T642" t="n">
        <x:v>2973.4233866664995</x:v>
      </x:c>
      <x:c r="U642" s="14" t="n">
        <x:v>0.8189123465305117</x:v>
      </x:c>
      <x:c r="V642" s="14" t="n">
        <x:v>0.5650511867918159</x:v>
      </x:c>
      <x:c r="W642" s="14" t="n">
        <x:v>0.5195207031092671</x:v>
      </x:c>
      <x:c r="X642" s="14" t="n">
        <x:v>0.8354529110338577</x:v>
      </x:c>
      <x:c r="Y642" s="16" t="n">
        <x:v>97.02233250620347</x:v>
      </x:c>
      <x:c r="Z642" s="16" t="n">
        <x:v>63.6604774535809</x:v>
      </x:c>
      <x:c r="AA642" s="16" t="n">
        <x:v>91.80327868852459</x:v>
      </x:c>
      <x:c r="AB642" s="16" t="n">
        <x:v>21.464019851116632</x:v>
      </x:c>
      <x:c r="AC642" s="16" t="n">
        <x:v>47.64267990074442</x:v>
      </x:c>
      <x:c r="AD642" s="16" t="n">
        <x:v>99.45121951219512</x:v>
      </x:c>
      <x:c r="AE642" s="16" t="n">
        <x:v>73.41683561451777</x:v>
      </x:c>
      <x:c r="AF642" t="str">
        <x:v>검토</x:v>
      </x:c>
      <x:c r="AG642" t="str">
        <x:v>직장수요·수요 강점 / 경쟁여건 상대적 약점</x:v>
      </x:c>
    </x:row>
    <x:row r="643">
      <x:c r="A643" t="str">
        <x:v>3120153</x:v>
      </x:c>
      <x:c r="B643" t="str">
        <x:v>노량진역(노량진)</x:v>
      </x:c>
      <x:c r="C643" t="str">
        <x:v>발달상권</x:v>
      </x:c>
      <x:c r="D643" t="str">
        <x:v>동작구</x:v>
      </x:c>
      <x:c r="E643" t="str">
        <x:v>노량진1동</x:v>
      </x:c>
      <x:c r="F643" t="str">
        <x:v>CS100005</x:v>
      </x:c>
      <x:c r="G643" t="str">
        <x:v>제과점</x:v>
      </x:c>
      <x:c r="H643" t="n">
        <x:v>742984115</x:v>
      </x:c>
      <x:c r="I643" t="n">
        <x:v>118186</x:v>
      </x:c>
      <x:c r="J643" t="n">
        <x:v>6286.566217656914</x:v>
      </x:c>
      <x:c r="K643" s="14" t="n">
        <x:v>0.1029358734068262</x:v>
      </x:c>
      <x:c r="L643" s="14" t="n">
        <x:v>0.015772977300780644</x:v>
      </x:c>
      <x:c r="M643" s="14" t="n">
        <x:v>-0.01180050626373963</x:v>
      </x:c>
      <x:c r="N643" t="n">
        <x:v>18</x:v>
      </x:c>
      <x:c r="O643" t="n">
        <x:v>0</x:v>
      </x:c>
      <x:c r="P643" s="14" t="n">
        <x:v>0</x:v>
      </x:c>
      <x:c r="Q643" s="14" t="n">
        <x:v>0.2222222222222222</x:v>
      </x:c>
      <x:c r="R643" s="14" t="n">
        <x:v>-0.33333333333333337</x:v>
      </x:c>
      <x:c r="S643" t="n">
        <x:v>5349</x:v>
      </x:c>
      <x:c r="T643" t="n">
        <x:v>120.5202038636763</x:v>
      </x:c>
      <x:c r="U643" s="14" t="n">
        <x:v>0.7182776458148099</x:v>
      </x:c>
      <x:c r="V643" s="14" t="n">
        <x:v>0.5026124266465644</x:v>
      </x:c>
      <x:c r="W643" s="14" t="n">
        <x:v>0.42560600774082497</x:v>
      </x:c>
      <x:c r="X643" s="14" t="n">
        <x:v>0.4613492402862476</x:v>
      </x:c>
      <x:c r="Y643" s="16" t="n">
        <x:v>82.75058275058275</x:v>
      </x:c>
      <x:c r="Z643" s="16" t="n">
        <x:v>86.10421836228288</x:v>
      </x:c>
      <x:c r="AA643" s="16" t="n">
        <x:v>52.459016393442624</x:v>
      </x:c>
      <x:c r="AB643" s="16" t="n">
        <x:v>58.74125874125874</x:v>
      </x:c>
      <x:c r="AC643" s="16" t="n">
        <x:v>73.54312354312354</x:v>
      </x:c>
      <x:c r="AD643" s="16" t="n">
        <x:v>63.96341463414634</x:v>
      </x:c>
      <x:c r="AE643" s="16" t="n">
        <x:v>73.41607199138542</x:v>
      </x:c>
      <x:c r="AF643" t="str">
        <x:v>검토</x:v>
      </x:c>
      <x:c r="AG643" t="str">
        <x:v>상권 모멘텀·수요 강점 / 서울 업종추세 상대적 약점</x:v>
      </x:c>
    </x:row>
    <x:row r="644">
      <x:c r="A644" t="str">
        <x:v>3120057</x:v>
      </x:c>
      <x:c r="B644" t="str">
        <x:v>아차산역</x:v>
      </x:c>
      <x:c r="C644" t="str">
        <x:v>발달상권</x:v>
      </x:c>
      <x:c r="D644" t="str">
        <x:v>광진구</x:v>
      </x:c>
      <x:c r="E644" t="str">
        <x:v>중곡2동</x:v>
      </x:c>
      <x:c r="F644" t="str">
        <x:v>CS200003</x:v>
      </x:c>
      <x:c r="G644" t="str">
        <x:v>예술학원</x:v>
      </x:c>
      <x:c r="H644" t="n">
        <x:v>651482932</x:v>
      </x:c>
      <x:c r="I644" t="n">
        <x:v>989</x:v>
      </x:c>
      <x:c r="J644" t="n">
        <x:v>658728.950455005</x:v>
      </x:c>
      <x:c r="K644" s="14" t="n">
        <x:v>0.00520507474142895</x:v>
      </x:c>
      <x:c r="L644" s="14" t="n">
        <x:v>0.09364146198394163</x:v>
      </x:c>
      <x:c r="M644" s="14" t="n">
        <x:v>0.053788091189524545</x:v>
      </x:c>
      <x:c r="N644" t="n">
        <x:v>27</x:v>
      </x:c>
      <x:c r="O644" t="n">
        <x:v>0</x:v>
      </x:c>
      <x:c r="P644" s="14" t="n">
        <x:v>0</x:v>
      </x:c>
      <x:c r="Q644" s="14" t="n">
        <x:v>0.037037037037037035</x:v>
      </x:c>
      <x:c r="R644" s="14" t="n">
        <x:v>0.125</x:v>
      </x:c>
      <x:c r="S644" t="n">
        <x:v>2527</x:v>
      </x:c>
      <x:c r="T644" t="n">
        <x:v>125.5608500573893</x:v>
      </x:c>
      <x:c r="U644" s="14" t="n">
        <x:v>0.8827040061273623</x:v>
      </x:c>
      <x:c r="V644" s="14" t="n">
        <x:v>0.38347885988822805</x:v>
      </x:c>
      <x:c r="W644" s="14" t="n">
        <x:v>0.12306936538438738</x:v>
      </x:c>
      <x:c r="X644" s="14" t="n">
        <x:v>0.6984837125403003</x:v>
      </x:c>
      <x:c r="Y644" s="16" t="n">
        <x:v>93.42629482071713</x:v>
      </x:c>
      <x:c r="Z644" s="16" t="n">
        <x:v>41.922290388548056</x:v>
      </x:c>
      <x:c r="AA644" s="16" t="n">
        <x:v>88.52459016393442</x:v>
      </x:c>
      <x:c r="AB644" s="16" t="n">
        <x:v>56.47410358565737</x:v>
      </x:c>
      <x:c r="AC644" s="16" t="n">
        <x:v>73.20717131474103</x:v>
      </x:c>
      <x:c r="AD644" s="16" t="n">
        <x:v>65.1829268292683</x:v>
      </x:c>
      <x:c r="AE644" s="16" t="n">
        <x:v>73.41332880033688</x:v>
      </x:c>
      <x:c r="AF644" t="str">
        <x:v>검토</x:v>
      </x:c>
      <x:c r="AG644" t="str">
        <x:v>수요·서울 업종추세 강점 / 상권 모멘텀 상대적 약점</x:v>
      </x:c>
    </x:row>
    <x:row r="645">
      <x:c r="A645" t="str">
        <x:v>3110860</x:v>
      </x:c>
      <x:c r="B645" t="str">
        <x:v>호림박물관(성보고등학교)</x:v>
      </x:c>
      <x:c r="C645" t="str">
        <x:v>골목상권</x:v>
      </x:c>
      <x:c r="D645" t="str">
        <x:v>관악구</x:v>
      </x:c>
      <x:c r="E645" t="str">
        <x:v>미성동</x:v>
      </x:c>
      <x:c r="F645" t="str">
        <x:v>CS300025</x:v>
      </x:c>
      <x:c r="G645" t="str">
        <x:v>자전거 및 기타운송장비</x:v>
      </x:c>
      <x:c r="H645" t="n">
        <x:v>704399168</x:v>
      </x:c>
      <x:c r="I645" t="n">
        <x:v>1369</x:v>
      </x:c>
      <x:c r="J645" t="n">
        <x:v>514535.550036523</x:v>
      </x:c>
      <x:c r="K645" s="14" t="n">
        <x:v>0.22333728489464266</x:v>
      </x:c>
      <x:c r="L645" s="14" t="n">
        <x:v>-0.045278474068117025</x:v>
      </x:c>
      <x:c r="M645" s="14" t="n">
        <x:v>-0.12426466780440637</x:v>
      </x:c>
      <x:c r="N645" t="n">
        <x:v>5</x:v>
      </x:c>
      <x:c r="O645" t="n">
        <x:v>0</x:v>
      </x:c>
      <x:c r="P645" s="14" t="n">
        <x:v>0</x:v>
      </x:c>
      <x:c r="Q645" s="14" t="n">
        <x:v>0</x:v>
      </x:c>
      <x:c r="R645" s="14" t="n">
        <x:v>-0.16666666666666663</x:v>
      </x:c>
      <x:c r="S645" t="n">
        <x:v>438</x:v>
      </x:c>
      <x:c r="T645" t="n">
        <x:v>63.424947145877375</x:v>
      </x:c>
      <x:c r="U645" s="14" t="n">
        <x:v>0.9976681517034387</x:v>
      </x:c>
      <x:c r="V645" s="14" t="n">
        <x:v>0</x:v>
      </x:c>
      <x:c r="W645" s="14" t="n">
        <x:v>0.0009068295776294841</x:v>
      </x:c>
      <x:c r="X645" s="14" t="n">
        <x:v>0</x:v>
      </x:c>
      <x:c r="Y645" s="16" t="n">
        <x:v>95.65217391304348</x:v>
      </x:c>
      <x:c r="Z645" s="16" t="n">
        <x:v>90.9090909090909</x:v>
      </x:c>
      <x:c r="AA645" s="16" t="n">
        <x:v>22.950819672131146</x:v>
      </x:c>
      <x:c r="AB645" s="16" t="n">
        <x:v>73.91304347826087</x:v>
      </x:c>
      <x:c r="AC645" s="16" t="n">
        <x:v>50</x:v>
      </x:c>
      <x:c r="AD645" s="16" t="n">
        <x:v>44.451219512195124</x:v>
      </x:c>
      <x:c r="AE645" s="16" t="n">
        <x:v>73.41221949955195</x:v>
      </x:c>
      <x:c r="AF645" t="str">
        <x:v>검토</x:v>
      </x:c>
      <x:c r="AG645" t="str">
        <x:v>수요·상권 모멘텀 강점 / 서울 업종추세 상대적 약점</x:v>
      </x:c>
    </x:row>
    <x:row r="646">
      <x:c r="A646" t="str">
        <x:v>3120178</x:v>
      </x:c>
      <x:c r="B646" t="str">
        <x:v>신사역</x:v>
      </x:c>
      <x:c r="C646" t="str">
        <x:v>발달상권</x:v>
      </x:c>
      <x:c r="D646" t="str">
        <x:v>서초구</x:v>
      </x:c>
      <x:c r="E646" t="str">
        <x:v>잠원동</x:v>
      </x:c>
      <x:c r="F646" t="str">
        <x:v>CS100003</x:v>
      </x:c>
      <x:c r="G646" t="str">
        <x:v>일식음식점</x:v>
      </x:c>
      <x:c r="H646" t="n">
        <x:v>5711947517</x:v>
      </x:c>
      <x:c r="I646" t="n">
        <x:v>83814</x:v>
      </x:c>
      <x:c r="J646" t="n">
        <x:v>68150.27939246426</x:v>
      </x:c>
      <x:c r="K646" s="14" t="n">
        <x:v>0.00022216283313514218</x:v>
      </x:c>
      <x:c r="L646" s="14" t="n">
        <x:v>0.048235937606500245</x:v>
      </x:c>
      <x:c r="M646" s="14" t="n">
        <x:v>-0.004288267098710441</x:v>
      </x:c>
      <x:c r="N646" t="n">
        <x:v>21</x:v>
      </x:c>
      <x:c r="O646" t="n">
        <x:v>0</x:v>
      </x:c>
      <x:c r="P646" s="14" t="n">
        <x:v>0</x:v>
      </x:c>
      <x:c r="Q646" s="14" t="n">
        <x:v>0.2857142857142857</x:v>
      </x:c>
      <x:c r="R646" s="14" t="n">
        <x:v>0.16666666666666674</x:v>
      </x:c>
      <x:c r="S646" t="n">
        <x:v>19438</x:v>
      </x:c>
      <x:c r="T646" t="n">
        <x:v>550.5486226371273</x:v>
      </x:c>
      <x:c r="U646" s="14" t="n">
        <x:v>0.7426972317890084</x:v>
      </x:c>
      <x:c r="V646" s="14" t="n">
        <x:v>0.759803413823979</x:v>
      </x:c>
      <x:c r="W646" s="14" t="n">
        <x:v>0.48312215733546626</x:v>
      </x:c>
      <x:c r="X646" s="14" t="n">
        <x:v>0.32444872864891905</x:v>
      </x:c>
      <x:c r="Y646" s="16" t="n">
        <x:v>97.91666666666667</x:v>
      </x:c>
      <x:c r="Z646" s="16" t="n">
        <x:v>27.160493827160494</x:v>
      </x:c>
      <x:c r="AA646" s="16" t="n">
        <x:v>78.68852459016394</x:v>
      </x:c>
      <x:c r="AB646" s="16" t="n">
        <x:v>61.607142857142854</x:v>
      </x:c>
      <x:c r="AC646" s="16" t="n">
        <x:v>81.10119047619048</x:v>
      </x:c>
      <x:c r="AD646" s="16" t="n">
        <x:v>91.03658536585365</x:v>
      </x:c>
      <x:c r="AE646" s="16" t="n">
        <x:v>73.40923053177319</x:v>
      </x:c>
      <x:c r="AF646" t="str">
        <x:v>검토</x:v>
      </x:c>
      <x:c r="AG646" t="str">
        <x:v>수요·직장수요 강점 / 상권 모멘텀 상대적 약점</x:v>
      </x:c>
    </x:row>
    <x:row r="647">
      <x:c r="A647" t="str">
        <x:v>3120222</x:v>
      </x:c>
      <x:c r="B647" t="str">
        <x:v>삼성역</x:v>
      </x:c>
      <x:c r="C647" t="str">
        <x:v>발달상권</x:v>
      </x:c>
      <x:c r="D647" t="str">
        <x:v>강남구</x:v>
      </x:c>
      <x:c r="E647" t="str">
        <x:v>대치2동</x:v>
      </x:c>
      <x:c r="F647" t="str">
        <x:v>CS100002</x:v>
      </x:c>
      <x:c r="G647" t="str">
        <x:v>중식음식점</x:v>
      </x:c>
      <x:c r="H647" t="n">
        <x:v>10321077989</x:v>
      </x:c>
      <x:c r="I647" t="n">
        <x:v>251064</x:v>
      </x:c>
      <x:c r="J647" t="n">
        <x:v>41109.350560016566</x:v>
      </x:c>
      <x:c r="K647" s="14" t="n">
        <x:v>0.023550852787800114</x:v>
      </x:c>
      <x:c r="L647" s="14" t="n">
        <x:v>-0.02375238205614094</x:v>
      </x:c>
      <x:c r="M647" s="14" t="n">
        <x:v>0.025085263877023367</x:v>
      </x:c>
      <x:c r="N647" t="n">
        <x:v>17</x:v>
      </x:c>
      <x:c r="O647" t="n">
        <x:v>0</x:v>
      </x:c>
      <x:c r="P647" s="14" t="n">
        <x:v>0</x:v>
      </x:c>
      <x:c r="Q647" s="14" t="n">
        <x:v>0.17647058823529413</x:v>
      </x:c>
      <x:c r="R647" s="14" t="n">
        <x:v>-0.19047619047619047</x:v>
      </x:c>
      <x:c r="S647" t="n">
        <x:v>109259</x:v>
      </x:c>
      <x:c r="T647" t="n">
        <x:v>3066.170507132293</x:v>
      </x:c>
      <x:c r="U647" s="14" t="n">
        <x:v>0.6956002364919248</x:v>
      </x:c>
      <x:c r="V647" s="14" t="n">
        <x:v>0.41698023438896425</x:v>
      </x:c>
      <x:c r="W647" s="14" t="n">
        <x:v>0.3995253265593748</x:v>
      </x:c>
      <x:c r="X647" s="14" t="n">
        <x:v>0.4549284521446513</x:v>
      </x:c>
      <x:c r="Y647" s="16" t="n">
        <x:v>99.77116704805492</x:v>
      </x:c>
      <x:c r="Z647" s="16" t="n">
        <x:v>62.23776223776224</x:v>
      </x:c>
      <x:c r="AA647" s="16" t="n">
        <x:v>32.78688524590164</x:v>
      </x:c>
      <x:c r="AB647" s="16" t="n">
        <x:v>56.75057208237986</x:v>
      </x:c>
      <x:c r="AC647" s="16" t="n">
        <x:v>76.3157894736842</x:v>
      </x:c>
      <x:c r="AD647" s="16" t="n">
        <x:v>99.57317073170732</x:v>
      </x:c>
      <x:c r="AE647" s="16" t="n">
        <x:v>73.40831699756768</x:v>
      </x:c>
      <x:c r="AF647" t="str">
        <x:v>검토</x:v>
      </x:c>
      <x:c r="AG647" t="str">
        <x:v>수요·직장수요 강점 / 서울 업종추세 상대적 약점</x:v>
      </x:c>
    </x:row>
    <x:row r="648">
      <x:c r="A648" t="str">
        <x:v>3120003</x:v>
      </x:c>
      <x:c r="B648" t="str">
        <x:v>광화문역</x:v>
      </x:c>
      <x:c r="C648" t="str">
        <x:v>발달상권</x:v>
      </x:c>
      <x:c r="D648" t="str">
        <x:v>종로구</x:v>
      </x:c>
      <x:c r="E648" t="str">
        <x:v>사직동</x:v>
      </x:c>
      <x:c r="F648" t="str">
        <x:v>CS100002</x:v>
      </x:c>
      <x:c r="G648" t="str">
        <x:v>중식음식점</x:v>
      </x:c>
      <x:c r="H648" t="n">
        <x:v>3477513858</x:v>
      </x:c>
      <x:c r="I648" t="n">
        <x:v>64177</x:v>
      </x:c>
      <x:c r="J648" t="n">
        <x:v>54186.295058977514</x:v>
      </x:c>
      <x:c r="K648" s="14" t="n">
        <x:v>0.11694128536144976</x:v>
      </x:c>
      <x:c r="L648" s="14" t="n">
        <x:v>-0.02375238205614094</x:v>
      </x:c>
      <x:c r="M648" s="14" t="n">
        <x:v>0.025085263877023367</x:v>
      </x:c>
      <x:c r="N648" t="n">
        <x:v>33</x:v>
      </x:c>
      <x:c r="O648" t="n">
        <x:v>0</x:v>
      </x:c>
      <x:c r="P648" s="14" t="n">
        <x:v>0</x:v>
      </x:c>
      <x:c r="Q648" s="14" t="n">
        <x:v>0.09090909090909091</x:v>
      </x:c>
      <x:c r="R648" s="14" t="n">
        <x:v>0.06451612903225801</x:v>
      </x:c>
      <x:c r="S648" t="n">
        <x:v>43594</x:v>
      </x:c>
      <x:c r="T648" t="n">
        <x:v>1104.9827386051982</x:v>
      </x:c>
      <x:c r="U648" s="14" t="n">
        <x:v>0.8494597567754681</x:v>
      </x:c>
      <x:c r="V648" s="14" t="n">
        <x:v>0.41415607667148513</x:v>
      </x:c>
      <x:c r="W648" s="14" t="n">
        <x:v>0.20645247044763898</x:v>
      </x:c>
      <x:c r="X648" s="14" t="n">
        <x:v>0.22138598936965043</x:v>
      </x:c>
      <x:c r="Y648" s="16" t="n">
        <x:v>97.02517162471396</x:v>
      </x:c>
      <x:c r="Z648" s="16" t="n">
        <x:v>91.14219114219114</x:v>
      </x:c>
      <x:c r="AA648" s="16" t="n">
        <x:v>32.78688524590164</x:v>
      </x:c>
      <x:c r="AB648" s="16" t="n">
        <x:v>25.286041189931353</x:v>
      </x:c>
      <x:c r="AC648" s="16" t="n">
        <x:v>76.3157894736842</x:v>
      </x:c>
      <x:c r="AD648" s="16" t="n">
        <x:v>97.4390243902439</x:v>
      </x:c>
      <x:c r="AE648" s="16" t="n">
        <x:v>73.40171742934368</x:v>
      </x:c>
      <x:c r="AF648" t="str">
        <x:v>검토</x:v>
      </x:c>
      <x:c r="AG648" t="str">
        <x:v>직장수요·수요 강점 / 경쟁여건 상대적 약점</x:v>
      </x:c>
    </x:row>
    <x:row r="649">
      <x:c r="A649" t="str">
        <x:v>3130235</x:v>
      </x:c>
      <x:c r="B649" t="str">
        <x:v>대명여울빛거리시장(대명시장)</x:v>
      </x:c>
      <x:c r="C649" t="str">
        <x:v>전통시장</x:v>
      </x:c>
      <x:c r="D649" t="str">
        <x:v>금천구</x:v>
      </x:c>
      <x:c r="E649" t="str">
        <x:v>시흥1동</x:v>
      </x:c>
      <x:c r="F649" t="str">
        <x:v>CS300018</x:v>
      </x:c>
      <x:c r="G649" t="str">
        <x:v>의약품</x:v>
      </x:c>
      <x:c r="H649" t="n">
        <x:v>4963296529</x:v>
      </x:c>
      <x:c r="I649" t="n">
        <x:v>273208</x:v>
      </x:c>
      <x:c r="J649" t="n">
        <x:v>18166.73204664578</x:v>
      </x:c>
      <x:c r="K649" s="14" t="n">
        <x:v>0.061797932163587976</x:v>
      </x:c>
      <x:c r="L649" s="14" t="n">
        <x:v>0.027829225601598617</x:v>
      </x:c>
      <x:c r="M649" s="14" t="n">
        <x:v>0.02632929521123617</x:v>
      </x:c>
      <x:c r="N649" t="n">
        <x:v>42</x:v>
      </x:c>
      <x:c r="O649" t="n">
        <x:v>0</x:v>
      </x:c>
      <x:c r="P649" s="14" t="n">
        <x:v>0</x:v>
      </x:c>
      <x:c r="Q649" s="14" t="n">
        <x:v>0.023809523809523808</x:v>
      </x:c>
      <x:c r="R649" s="14" t="n">
        <x:v>0.3125</x:v>
      </x:c>
      <x:c r="S649" t="n">
        <x:v>727</x:v>
      </x:c>
      <x:c r="T649" t="n">
        <x:v>141.57740993184032</x:v>
      </x:c>
      <x:c r="U649" s="14" t="n">
        <x:v>0.8129201010709952</x:v>
      </x:c>
      <x:c r="V649" s="14" t="n">
        <x:v>0.12647461426739995</x:v>
      </x:c>
      <x:c r="W649" s="14" t="n">
        <x:v>0.29014946529703906</x:v>
      </x:c>
      <x:c r="X649" s="14" t="n">
        <x:v>0.5254399133241874</x:v>
      </x:c>
      <x:c r="Y649" s="16" t="n">
        <x:v>88.65979381443299</x:v>
      </x:c>
      <x:c r="Z649" s="16" t="n">
        <x:v>89.16083916083916</x:v>
      </x:c>
      <x:c r="AA649" s="16" t="n">
        <x:v>72.1311475409836</x:v>
      </x:c>
      <x:c r="AB649" s="16" t="n">
        <x:v>24.398625429553263</x:v>
      </x:c>
      <x:c r="AC649" s="16" t="n">
        <x:v>66.32302405498282</x:v>
      </x:c>
      <x:c r="AD649" s="16" t="n">
        <x:v>68.47560975609755</x:v>
      </x:c>
      <x:c r="AE649" s="16" t="n">
        <x:v>73.39864450610307</x:v>
      </x:c>
      <x:c r="AF649" t="str">
        <x:v>검토</x:v>
      </x:c>
      <x:c r="AG649" t="str">
        <x:v>상권 모멘텀·수요 강점 / 경쟁여건 상대적 약점</x:v>
      </x:c>
    </x:row>
    <x:row r="650">
      <x:c r="A650" t="str">
        <x:v>3110212</x:v>
      </x:c>
      <x:c r="B650" t="str">
        <x:v>답십리초등학교</x:v>
      </x:c>
      <x:c r="C650" t="str">
        <x:v>골목상권</x:v>
      </x:c>
      <x:c r="D650" t="str">
        <x:v>동대문구</x:v>
      </x:c>
      <x:c r="E650" t="str">
        <x:v>답십리1동</x:v>
      </x:c>
      <x:c r="F650" t="str">
        <x:v>CS200003</x:v>
      </x:c>
      <x:c r="G650" t="str">
        <x:v>예술학원</x:v>
      </x:c>
      <x:c r="H650" t="n">
        <x:v>462528193</x:v>
      </x:c>
      <x:c r="I650" t="n">
        <x:v>2497</x:v>
      </x:c>
      <x:c r="J650" t="n">
        <x:v>185233.55746896277</x:v>
      </x:c>
      <x:c r="K650" s="14" t="n">
        <x:v>0.0933926198269881</x:v>
      </x:c>
      <x:c r="L650" s="14" t="n">
        <x:v>0.09364146198394163</x:v>
      </x:c>
      <x:c r="M650" s="14" t="n">
        <x:v>0.053788091189524545</x:v>
      </x:c>
      <x:c r="N650" t="n">
        <x:v>35</x:v>
      </x:c>
      <x:c r="O650" t="n">
        <x:v>0</x:v>
      </x:c>
      <x:c r="P650" s="14" t="n">
        <x:v>0</x:v>
      </x:c>
      <x:c r="Q650" s="14" t="n">
        <x:v>0.08571428571428572</x:v>
      </x:c>
      <x:c r="R650" s="14" t="n">
        <x:v>0.25</x:v>
      </x:c>
      <x:c r="S650" t="n">
        <x:v>491</x:v>
      </x:c>
      <x:c r="T650" t="n">
        <x:v>60.63075745227334</x:v>
      </x:c>
      <x:c r="U650" s="14" t="n">
        <x:v>0.8831182837756227</x:v>
      </x:c>
      <x:c r="V650" s="14" t="n">
        <x:v>0.41289207639716785</x:v>
      </x:c>
      <x:c r="W650" s="14" t="n">
        <x:v>0.1930032943959375</x:v>
      </x:c>
      <x:c r="X650" s="14" t="n">
        <x:v>0.616692760175162</x:v>
      </x:c>
      <x:c r="Y650" s="16" t="n">
        <x:v>90.43824701195219</x:v>
      </x:c>
      <x:c r="Z650" s="16" t="n">
        <x:v>65.84867075664621</x:v>
      </x:c>
      <x:c r="AA650" s="16" t="n">
        <x:v>88.52459016393442</x:v>
      </x:c>
      <x:c r="AB650" s="16" t="n">
        <x:v>38.745019920318725</x:v>
      </x:c>
      <x:c r="AC650" s="16" t="n">
        <x:v>73.20717131474103</x:v>
      </x:c>
      <x:c r="AD650" s="16" t="n">
        <x:v>43.170731707317074</x:v>
      </x:c>
      <x:c r="AE650" s="16" t="n">
        <x:v>73.39281583499043</x:v>
      </x:c>
      <x:c r="AF650" t="str">
        <x:v>검토</x:v>
      </x:c>
      <x:c r="AG650" t="str">
        <x:v>수요·서울 업종추세 강점 / 경쟁여건 상대적 약점</x:v>
      </x:c>
    </x:row>
    <x:row r="651">
      <x:c r="A651" t="str">
        <x:v>3130117</x:v>
      </x:c>
      <x:c r="B651" t="str">
        <x:v>정릉시장</x:v>
      </x:c>
      <x:c r="C651" t="str">
        <x:v>전통시장</x:v>
      </x:c>
      <x:c r="D651" t="str">
        <x:v>성북구</x:v>
      </x:c>
      <x:c r="E651" t="str">
        <x:v>정릉3동</x:v>
      </x:c>
      <x:c r="F651" t="str">
        <x:v>CS300011</x:v>
      </x:c>
      <x:c r="G651" t="str">
        <x:v>일반의류</x:v>
      </x:c>
      <x:c r="H651" t="n">
        <x:v>195424995</x:v>
      </x:c>
      <x:c r="I651" t="n">
        <x:v>5858</x:v>
      </x:c>
      <x:c r="J651" t="n">
        <x:v>33360.36104472516</x:v>
      </x:c>
      <x:c r="K651" s="14" t="n">
        <x:v>0.21216285127297452</x:v>
      </x:c>
      <x:c r="L651" s="14" t="n">
        <x:v>0.06726691045630595</x:v>
      </x:c>
      <x:c r="M651" s="14" t="n">
        <x:v>0.00788849516466894</x:v>
      </x:c>
      <x:c r="N651" t="n">
        <x:v>9</x:v>
      </x:c>
      <x:c r="O651" t="n">
        <x:v>0</x:v>
      </x:c>
      <x:c r="P651" s="14" t="n">
        <x:v>0</x:v>
      </x:c>
      <x:c r="Q651" s="14" t="n">
        <x:v>0</x:v>
      </x:c>
      <x:c r="R651" s="14" t="n">
        <x:v>-0.25</x:v>
      </x:c>
      <x:c r="S651" t="n">
        <x:v>336</x:v>
      </x:c>
      <x:c r="T651" t="n">
        <x:v>63.01811770884129</x:v>
      </x:c>
      <x:c r="U651" s="14" t="n">
        <x:v>0.8064400666864543</x:v>
      </x:c>
      <x:c r="V651" s="14" t="n">
        <x:v>0.1897947138235823</x:v>
      </x:c>
      <x:c r="W651" s="14" t="n">
        <x:v>0.03961253267525989</x:v>
      </x:c>
      <x:c r="X651" s="14" t="n">
        <x:v>0.8254127676963737</x:v>
      </x:c>
      <x:c r="Y651" s="16" t="n">
        <x:v>56.65488810365135</x:v>
      </x:c>
      <x:c r="Z651" s="16" t="n">
        <x:v>77.37665463297232</x:v>
      </x:c>
      <x:c r="AA651" s="16" t="n">
        <x:v>81.9672131147541</x:v>
      </x:c>
      <x:c r="AB651" s="16" t="n">
        <x:v>99.58775029446407</x:v>
      </x:c>
      <x:c r="AC651" s="16" t="n">
        <x:v>86.33686690223793</x:v>
      </x:c>
      <x:c r="AD651" s="16" t="n">
        <x:v>44.329268292682926</x:v>
      </x:c>
      <x:c r="AE651" s="16" t="n">
        <x:v>73.38793637911311</x:v>
      </x:c>
      <x:c r="AF651" t="str">
        <x:v>검토</x:v>
      </x:c>
      <x:c r="AG651" t="str">
        <x:v>경쟁여건·안정성 강점 / 직장수요 상대적 약점</x:v>
      </x:c>
    </x:row>
    <x:row r="652">
      <x:c r="A652" t="str">
        <x:v>3120054</x:v>
      </x:c>
      <x:c r="B652" t="str">
        <x:v>어린이대공원역</x:v>
      </x:c>
      <x:c r="C652" t="str">
        <x:v>발달상권</x:v>
      </x:c>
      <x:c r="D652" t="str">
        <x:v>광진구</x:v>
      </x:c>
      <x:c r="E652" t="str">
        <x:v>군자동</x:v>
      </x:c>
      <x:c r="F652" t="str">
        <x:v>CS200003</x:v>
      </x:c>
      <x:c r="G652" t="str">
        <x:v>예술학원</x:v>
      </x:c>
      <x:c r="H652" t="n">
        <x:v>482970371</x:v>
      </x:c>
      <x:c r="I652" t="n">
        <x:v>1201</x:v>
      </x:c>
      <x:c r="J652" t="n">
        <x:v>402140.1923397169</x:v>
      </x:c>
      <x:c r="K652" s="14" t="n">
        <x:v>0.023140302089691644</x:v>
      </x:c>
      <x:c r="L652" s="14" t="n">
        <x:v>0.09364146198394163</x:v>
      </x:c>
      <x:c r="M652" s="14" t="n">
        <x:v>0.053788091189524545</x:v>
      </x:c>
      <x:c r="N652" t="n">
        <x:v>21</x:v>
      </x:c>
      <x:c r="O652" t="n">
        <x:v>0</x:v>
      </x:c>
      <x:c r="P652" s="14" t="n">
        <x:v>0</x:v>
      </x:c>
      <x:c r="Q652" s="14" t="n">
        <x:v>0.047619047619047616</x:v>
      </x:c>
      <x:c r="R652" s="14" t="n">
        <x:v>0.23529411764705888</x:v>
      </x:c>
      <x:c r="S652" t="n">
        <x:v>362</x:v>
      </x:c>
      <x:c r="T652" t="n">
        <x:v>24.930786077326758</x:v>
      </x:c>
      <x:c r="U652" s="14" t="n">
        <x:v>0.7051443410386763</x:v>
      </x:c>
      <x:c r="V652" s="14" t="n">
        <x:v>0.3823695118556248</x:v>
      </x:c>
      <x:c r="W652" s="14" t="n">
        <x:v>0.0525027672970854</x:v>
      </x:c>
      <x:c r="X652" s="14" t="n">
        <x:v>0.6151823980109123</x:v>
      </x:c>
      <x:c r="Y652" s="16" t="n">
        <x:v>91.03585657370517</x:v>
      </x:c>
      <x:c r="Z652" s="16" t="n">
        <x:v>45.807770961145195</x:v>
      </x:c>
      <x:c r="AA652" s="16" t="n">
        <x:v>88.52459016393442</x:v>
      </x:c>
      <x:c r="AB652" s="16" t="n">
        <x:v>72.90836653386454</x:v>
      </x:c>
      <x:c r="AC652" s="16" t="n">
        <x:v>73.20717131474103</x:v>
      </x:c>
      <x:c r="AD652" s="16" t="n">
        <x:v>16.463414634146343</x:v>
      </x:c>
      <x:c r="AE652" s="16" t="n">
        <x:v>73.38293536087711</x:v>
      </x:c>
      <x:c r="AF652" t="str">
        <x:v>검토</x:v>
      </x:c>
      <x:c r="AG652" t="str">
        <x:v>수요·서울 업종추세 강점 / 직장수요 상대적 약점</x:v>
      </x:c>
    </x:row>
    <x:row r="653">
      <x:c r="A653" t="str">
        <x:v>3120208</x:v>
      </x:c>
      <x:c r="B653" t="str">
        <x:v>청담사거리(청담동명품거리)</x:v>
      </x:c>
      <x:c r="C653" t="str">
        <x:v>발달상권</x:v>
      </x:c>
      <x:c r="D653" t="str">
        <x:v>강남구</x:v>
      </x:c>
      <x:c r="E653" t="str">
        <x:v>청담동</x:v>
      </x:c>
      <x:c r="F653" t="str">
        <x:v>CS200006</x:v>
      </x:c>
      <x:c r="G653" t="str">
        <x:v>일반의원</x:v>
      </x:c>
      <x:c r="H653" t="n">
        <x:v>18128578453</x:v>
      </x:c>
      <x:c r="I653" t="n">
        <x:v>22161</x:v>
      </x:c>
      <x:c r="J653" t="n">
        <x:v>818039.7298407111</x:v>
      </x:c>
      <x:c r="K653" s="14" t="n">
        <x:v>0.06831634813373699</x:v>
      </x:c>
      <x:c r="L653" s="14" t="n">
        <x:v>0.09973642051122278</x:v>
      </x:c>
      <x:c r="M653" s="14" t="n">
        <x:v>0.06942273842247415</x:v>
      </x:c>
      <x:c r="N653" t="n">
        <x:v>276</x:v>
      </x:c>
      <x:c r="O653" t="n">
        <x:v>0</x:v>
      </x:c>
      <x:c r="P653" s="14" t="n">
        <x:v>0</x:v>
      </x:c>
      <x:c r="Q653" s="14" t="n">
        <x:v>0</x:v>
      </x:c>
      <x:c r="R653" s="14" t="n">
        <x:v>0.3529411764705883</x:v>
      </x:c>
      <x:c r="S653" t="n">
        <x:v>18696</x:v>
      </x:c>
      <x:c r="T653" t="n">
        <x:v>564.259349242614</x:v>
      </x:c>
      <x:c r="U653" s="14" t="n">
        <x:v>0.854466241363597</x:v>
      </x:c>
      <x:c r="V653" s="14" t="n">
        <x:v>0.18158938747098682</x:v>
      </x:c>
      <x:c r="W653" s="14" t="n">
        <x:v>0.4455901232378885</x:v>
      </x:c>
      <x:c r="X653" s="14" t="n">
        <x:v>0.793084026432351</x:v>
      </x:c>
      <x:c r="Y653" s="16" t="n">
        <x:v>97.48549323017409</x:v>
      </x:c>
      <x:c r="Z653" s="16" t="n">
        <x:v>71.89922480620154</x:v>
      </x:c>
      <x:c r="AA653" s="16" t="n">
        <x:v>90.1639344262295</x:v>
      </x:c>
      <x:c r="AB653" s="16" t="n">
        <x:v>3.4883720930232585</x:v>
      </x:c>
      <x:c r="AC653" s="16" t="n">
        <x:v>62.5</x:v>
      </x:c>
      <x:c r="AD653" s="16" t="n">
        <x:v>91.46341463414635</x:v>
      </x:c>
      <x:c r="AE653" s="16" t="n">
        <x:v>73.37078430139648</x:v>
      </x:c>
      <x:c r="AF653" t="str">
        <x:v>검토</x:v>
      </x:c>
      <x:c r="AG653" t="str">
        <x:v>수요·직장수요 강점 / 경쟁여건 상대적 약점</x:v>
      </x:c>
    </x:row>
    <x:row r="654">
      <x:c r="A654" t="str">
        <x:v>3130113</x:v>
      </x:c>
      <x:c r="B654" t="str">
        <x:v>신아타운</x:v>
      </x:c>
      <x:c r="C654" t="str">
        <x:v>전통시장</x:v>
      </x:c>
      <x:c r="D654" t="str">
        <x:v>중랑구</x:v>
      </x:c>
      <x:c r="E654" t="str">
        <x:v>신내2동</x:v>
      </x:c>
      <x:c r="F654" t="str">
        <x:v>CS200001</x:v>
      </x:c>
      <x:c r="G654" t="str">
        <x:v>일반교습학원</x:v>
      </x:c>
      <x:c r="H654" t="n">
        <x:v>2971523303</x:v>
      </x:c>
      <x:c r="I654" t="n">
        <x:v>8188</x:v>
      </x:c>
      <x:c r="J654" t="n">
        <x:v>362911.9813141182</x:v>
      </x:c>
      <x:c r="K654" s="14" t="n">
        <x:v>0.020939395206779787</x:v>
      </x:c>
      <x:c r="L654" s="14" t="n">
        <x:v>0.026465986538897424</x:v>
      </x:c>
      <x:c r="M654" s="14" t="n">
        <x:v>0.05930632525283164</x:v>
      </x:c>
      <x:c r="N654" t="n">
        <x:v>73</x:v>
      </x:c>
      <x:c r="O654" t="n">
        <x:v>0</x:v>
      </x:c>
      <x:c r="P654" s="14" t="n">
        <x:v>0</x:v>
      </x:c>
      <x:c r="Q654" s="14" t="n">
        <x:v>0.1917808219178082</x:v>
      </x:c>
      <x:c r="R654" s="14" t="n">
        <x:v>0</x:v>
      </x:c>
      <x:c r="S654" t="n">
        <x:v>1164</x:v>
      </x:c>
      <x:c r="T654" t="n">
        <x:v>2001.031459515214</x:v>
      </x:c>
      <x:c r="U654" s="14" t="n">
        <x:v>0.8482274291624493</x:v>
      </x:c>
      <x:c r="V654" s="14" t="n">
        <x:v>0.5131889554628204</x:v>
      </x:c>
      <x:c r="W654" s="14" t="n">
        <x:v>0.02657322253548553</x:v>
      </x:c>
      <x:c r="X654" s="14" t="n">
        <x:v>0.5984919964129253</x:v>
      </x:c>
      <x:c r="Y654" s="16" t="n">
        <x:v>93.16770186335404</x:v>
      </x:c>
      <x:c r="Z654" s="16" t="n">
        <x:v>57.95454545454545</x:v>
      </x:c>
      <x:c r="AA654" s="16" t="n">
        <x:v>70.49180327868852</x:v>
      </x:c>
      <x:c r="AB654" s="16" t="n">
        <x:v>35.09316770186335</x:v>
      </x:c>
      <x:c r="AC654" s="16" t="n">
        <x:v>83.92857142857143</x:v>
      </x:c>
      <x:c r="AD654" s="16" t="n">
        <x:v>98.78048780487805</x:v>
      </x:c>
      <x:c r="AE654" s="16" t="n">
        <x:v>73.36923192326684</x:v>
      </x:c>
      <x:c r="AF654" t="str">
        <x:v>검토</x:v>
      </x:c>
      <x:c r="AG654" t="str">
        <x:v>직장수요·수요 강점 / 경쟁여건 상대적 약점</x:v>
      </x:c>
    </x:row>
    <x:row r="655">
      <x:c r="A655" t="str">
        <x:v>3120120</x:v>
      </x:c>
      <x:c r="B655" t="str">
        <x:v>화곡역</x:v>
      </x:c>
      <x:c r="C655" t="str">
        <x:v>발달상권</x:v>
      </x:c>
      <x:c r="D655" t="str">
        <x:v>강서구</x:v>
      </x:c>
      <x:c r="E655" t="str">
        <x:v>화곡1동</x:v>
      </x:c>
      <x:c r="F655" t="str">
        <x:v>CS200006</x:v>
      </x:c>
      <x:c r="G655" t="str">
        <x:v>일반의원</x:v>
      </x:c>
      <x:c r="H655" t="n">
        <x:v>7253967269</x:v>
      </x:c>
      <x:c r="I655" t="n">
        <x:v>139252</x:v>
      </x:c>
      <x:c r="J655" t="n">
        <x:v>52092.37403412518</x:v>
      </x:c>
      <x:c r="K655" s="14" t="n">
        <x:v>0.08074573014248254</x:v>
      </x:c>
      <x:c r="L655" s="14" t="n">
        <x:v>0.09973642051122278</x:v>
      </x:c>
      <x:c r="M655" s="14" t="n">
        <x:v>0.06942273842247415</x:v>
      </x:c>
      <x:c r="N655" t="n">
        <x:v>44</x:v>
      </x:c>
      <x:c r="O655" t="n">
        <x:v>0</x:v>
      </x:c>
      <x:c r="P655" s="14" t="n">
        <x:v>0</x:v>
      </x:c>
      <x:c r="Q655" s="14" t="n">
        <x:v>0</x:v>
      </x:c>
      <x:c r="R655" s="14" t="n">
        <x:v>0.10000000000000009</x:v>
      </x:c>
      <x:c r="S655" t="n">
        <x:v>2475</x:v>
      </x:c>
      <x:c r="T655" t="n">
        <x:v>181.909052823449</x:v>
      </x:c>
      <x:c r="U655" s="14" t="n">
        <x:v>0.8295940397632362</x:v>
      </x:c>
      <x:c r="V655" s="14" t="n">
        <x:v>0.1689597951782542</x:v>
      </x:c>
      <x:c r="W655" s="14" t="n">
        <x:v>0.30220135902297796</x:v>
      </x:c>
      <x:c r="X655" s="14" t="n">
        <x:v>0.6012883589425526</x:v>
      </x:c>
      <x:c r="Y655" s="16" t="n">
        <x:v>88.78143133462282</x:v>
      </x:c>
      <x:c r="Z655" s="16" t="n">
        <x:v>75.7751937984496</x:v>
      </x:c>
      <x:c r="AA655" s="16" t="n">
        <x:v>90.1639344262295</x:v>
      </x:c>
      <x:c r="AB655" s="16" t="n">
        <x:v>24.418604651162795</x:v>
      </x:c>
      <x:c r="AC655" s="16" t="n">
        <x:v>62.5</x:v>
      </x:c>
      <x:c r="AD655" s="16" t="n">
        <x:v>73.90243902439025</x:v>
      </x:c>
      <x:c r="AE655" s="16" t="n">
        <x:v>73.36104253963626</x:v>
      </x:c>
      <x:c r="AF655" t="str">
        <x:v>검토</x:v>
      </x:c>
      <x:c r="AG655" t="str">
        <x:v>서울 업종추세·수요 강점 / 경쟁여건 상대적 약점</x:v>
      </x:c>
    </x:row>
    <x:row r="656">
      <x:c r="A656" t="str">
        <x:v>3120043</x:v>
      </x:c>
      <x:c r="B656" t="str">
        <x:v>서울역</x:v>
      </x:c>
      <x:c r="C656" t="str">
        <x:v>발달상권</x:v>
      </x:c>
      <x:c r="D656" t="str">
        <x:v>중구</x:v>
      </x:c>
      <x:c r="E656" t="str">
        <x:v>회현동</x:v>
      </x:c>
      <x:c r="F656" t="str">
        <x:v>CS200024</x:v>
      </x:c>
      <x:c r="G656" t="str">
        <x:v>스포츠클럽</x:v>
      </x:c>
      <x:c r="H656" t="n">
        <x:v>797074420</x:v>
      </x:c>
      <x:c r="I656" t="n">
        <x:v>2692</x:v>
      </x:c>
      <x:c r="J656" t="n">
        <x:v>296090.05200594355</x:v>
      </x:c>
      <x:c r="K656" s="14" t="n">
        <x:v>-0.1742214667492228</x:v>
      </x:c>
      <x:c r="L656" s="14" t="n">
        <x:v>0.03927856170757105</x:v>
      </x:c>
      <x:c r="M656" s="14" t="n">
        <x:v>-0.042593628048716026</x:v>
      </x:c>
      <x:c r="N656" t="n">
        <x:v>7</x:v>
      </x:c>
      <x:c r="O656" t="n">
        <x:v>0</x:v>
      </x:c>
      <x:c r="P656" s="14" t="n">
        <x:v>0</x:v>
      </x:c>
      <x:c r="Q656" s="14" t="n">
        <x:v>0</x:v>
      </x:c>
      <x:c r="R656" s="14" t="n">
        <x:v>1.3333333333333335</x:v>
      </x:c>
      <x:c r="S656" t="n">
        <x:v>27333</x:v>
      </x:c>
      <x:c r="T656" t="n">
        <x:v>627.6882800748642</x:v>
      </x:c>
      <x:c r="U656" s="14" t="n">
        <x:v>0.9379291459384683</x:v>
      </x:c>
      <x:c r="V656" s="14" t="n">
        <x:v>0.4089631730999472</x:v>
      </x:c>
      <x:c r="W656" s="14" t="n">
        <x:v>0.3593698503083313</x:v>
      </x:c>
      <x:c r="X656" s="14" t="n">
        <x:v>0.33282121260396236</x:v>
      </x:c>
      <x:c r="Y656" s="16" t="n">
        <x:v>94.20289855072464</x:v>
      </x:c>
      <x:c r="Z656" s="16" t="n">
        <x:v>19.642857142857142</x:v>
      </x:c>
      <x:c r="AA656" s="16" t="n">
        <x:v>75.40983606557377</x:v>
      </x:c>
      <x:c r="AB656" s="16" t="n">
        <x:v>90.39855072463769</x:v>
      </x:c>
      <x:c r="AC656" s="16" t="n">
        <x:v>68.84057971014492</x:v>
      </x:c>
      <x:c r="AD656" s="16" t="n">
        <x:v>93.17073170731707</x:v>
      </x:c>
      <x:c r="AE656" s="16" t="n">
        <x:v>73.31343849623713</x:v>
      </x:c>
      <x:c r="AF656" t="str">
        <x:v>검토</x:v>
      </x:c>
      <x:c r="AG656" t="str">
        <x:v>수요·직장수요 강점 / 상권 모멘텀 상대적 약점</x:v>
      </x:c>
    </x:row>
    <x:row r="657">
      <x:c r="A657" t="str">
        <x:v>3120208</x:v>
      </x:c>
      <x:c r="B657" t="str">
        <x:v>청담사거리(청담동명품거리)</x:v>
      </x:c>
      <x:c r="C657" t="str">
        <x:v>발달상권</x:v>
      </x:c>
      <x:c r="D657" t="str">
        <x:v>강남구</x:v>
      </x:c>
      <x:c r="E657" t="str">
        <x:v>청담동</x:v>
      </x:c>
      <x:c r="F657" t="str">
        <x:v>CS300011</x:v>
      </x:c>
      <x:c r="G657" t="str">
        <x:v>일반의류</x:v>
      </x:c>
      <x:c r="H657" t="n">
        <x:v>50616574597</x:v>
      </x:c>
      <x:c r="I657" t="n">
        <x:v>79531</x:v>
      </x:c>
      <x:c r="J657" t="n">
        <x:v>636438.302008022</x:v>
      </x:c>
      <x:c r="K657" s="14" t="n">
        <x:v>0.12641114180457058</x:v>
      </x:c>
      <x:c r="L657" s="14" t="n">
        <x:v>0.06726691045630595</x:v>
      </x:c>
      <x:c r="M657" s="14" t="n">
        <x:v>0.00788849516466894</x:v>
      </x:c>
      <x:c r="N657" t="n">
        <x:v>377</x:v>
      </x:c>
      <x:c r="O657" t="n">
        <x:v>1</x:v>
      </x:c>
      <x:c r="P657" s="14" t="n">
        <x:v>0.002617801047120419</x:v>
      </x:c>
      <x:c r="Q657" s="14" t="n">
        <x:v>0.005305039787798408</x:v>
      </x:c>
      <x:c r="R657" s="14" t="n">
        <x:v>0.08959537572254339</x:v>
      </x:c>
      <x:c r="S657" t="n">
        <x:v>18696</x:v>
      </x:c>
      <x:c r="T657" t="n">
        <x:v>564.259349242614</x:v>
      </x:c>
      <x:c r="U657" s="14" t="n">
        <x:v>0.7181971547943229</x:v>
      </x:c>
      <x:c r="V657" s="14" t="n">
        <x:v>0.28365887398178413</x:v>
      </x:c>
      <x:c r="W657" s="14" t="n">
        <x:v>0.3233842318711577</x:v>
      </x:c>
      <x:c r="X657" s="14" t="n">
        <x:v>0.52435402887917</x:v>
      </x:c>
      <x:c r="Y657" s="16" t="n">
        <x:v>99.41107184923439</x:v>
      </x:c>
      <x:c r="Z657" s="16" t="n">
        <x:v>64.86161251504211</x:v>
      </x:c>
      <x:c r="AA657" s="16" t="n">
        <x:v>81.9672131147541</x:v>
      </x:c>
      <x:c r="AB657" s="16" t="n">
        <x:v>9.717314487632507</x:v>
      </x:c>
      <x:c r="AC657" s="16" t="n">
        <x:v>72.20259128386337</x:v>
      </x:c>
      <x:c r="AD657" s="16" t="n">
        <x:v>91.46341463414635</x:v>
      </x:c>
      <x:c r="AE657" s="16" t="n">
        <x:v>73.31230665069211</x:v>
      </x:c>
      <x:c r="AF657" t="str">
        <x:v>검토</x:v>
      </x:c>
      <x:c r="AG657" t="str">
        <x:v>수요·직장수요 강점 / 경쟁여건 상대적 약점</x:v>
      </x:c>
    </x:row>
    <x:row r="658">
      <x:c r="A658" t="str">
        <x:v>3130289</x:v>
      </x:c>
      <x:c r="B658" t="str">
        <x:v>봉일시장</x:v>
      </x:c>
      <x:c r="C658" t="str">
        <x:v>전통시장</x:v>
      </x:c>
      <x:c r="D658" t="str">
        <x:v>관악구</x:v>
      </x:c>
      <x:c r="E658" t="str">
        <x:v>은천동</x:v>
      </x:c>
      <x:c r="F658" t="str">
        <x:v>CS300007</x:v>
      </x:c>
      <x:c r="G658" t="str">
        <x:v>육류판매</x:v>
      </x:c>
      <x:c r="H658" t="n">
        <x:v>816000000</x:v>
      </x:c>
      <x:c r="I658" t="n">
        <x:v>33052</x:v>
      </x:c>
      <x:c r="J658" t="n">
        <x:v>24688.36984146194</x:v>
      </x:c>
      <x:c r="K658" s="14" t="n">
        <x:v>0.9596952987472109</x:v>
      </x:c>
      <x:c r="L658" s="14" t="n">
        <x:v>0.23518223683931017</x:v>
      </x:c>
      <x:c r="M658" s="14" t="n">
        <x:v>0.00863079289162072</x:v>
      </x:c>
      <x:c r="N658" t="n">
        <x:v>18</x:v>
      </x:c>
      <x:c r="O658" t="n">
        <x:v>0</x:v>
      </x:c>
      <x:c r="P658" s="14" t="n">
        <x:v>0</x:v>
      </x:c>
      <x:c r="Q658" s="14" t="n">
        <x:v>0</x:v>
      </x:c>
      <x:c r="R658" s="14" t="n">
        <x:v>0</x:v>
      </x:c>
      <x:c r="S658" t="n">
        <x:v>157</x:v>
      </x:c>
      <x:c r="T658" t="n">
        <x:v>324.11230388109004</x:v>
      </x:c>
      <x:c r="U658" s="14" t="n">
        <x:v>0.6800695968137255</x:v>
      </x:c>
      <x:c r="V658" s="14" t="n">
        <x:v>0.3548252585784314</x:v>
      </x:c>
      <x:c r="W658" s="14" t="n">
        <x:v>0.17375763235294117</x:v>
      </x:c>
      <x:c r="X658" s="14" t="n">
        <x:v>0.5294822132352941</x:v>
      </x:c>
      <x:c r="Y658" s="16" t="n">
        <x:v>63.118811881188115</x:v>
      </x:c>
      <x:c r="Z658" s="16" t="n">
        <x:v>98.96103896103897</x:v>
      </x:c>
      <x:c r="AA658" s="16" t="n">
        <x:v>100</x:v>
      </x:c>
      <x:c r="AB658" s="16" t="n">
        <x:v>36.633663366336634</x:v>
      </x:c>
      <x:c r="AC658" s="16" t="n">
        <x:v>66.83168316831683</x:v>
      </x:c>
      <x:c r="AD658" s="16" t="n">
        <x:v>85</x:v>
      </x:c>
      <x:c r="AE658" s="16" t="n">
        <x:v>73.31200977240582</x:v>
      </x:c>
      <x:c r="AF658" t="str">
        <x:v>검토</x:v>
      </x:c>
      <x:c r="AG658" t="str">
        <x:v>서울 업종추세·상권 모멘텀 강점 / 경쟁여건 상대적 약점</x:v>
      </x:c>
    </x:row>
    <x:row r="659">
      <x:c r="A659" t="str">
        <x:v>3120149</x:v>
      </x:c>
      <x:c r="B659" t="str">
        <x:v>여의도역(여의도)</x:v>
      </x:c>
      <x:c r="C659" t="str">
        <x:v>발달상권</x:v>
      </x:c>
      <x:c r="D659" t="str">
        <x:v>영등포구</x:v>
      </x:c>
      <x:c r="E659" t="str">
        <x:v>여의동</x:v>
      </x:c>
      <x:c r="F659" t="str">
        <x:v>CS300035</x:v>
      </x:c>
      <x:c r="G659" t="str">
        <x:v>인테리어</x:v>
      </x:c>
      <x:c r="H659" t="n">
        <x:v>115449672</x:v>
      </x:c>
      <x:c r="I659" t="n">
        <x:v>960</x:v>
      </x:c>
      <x:c r="J659" t="n">
        <x:v>120260.075</x:v>
      </x:c>
      <x:c r="K659" s="14" t="n">
        <x:v>0.21693351860081989</x:v>
      </x:c>
      <x:c r="L659" s="14" t="n">
        <x:v>0.20213561276420866</x:v>
      </x:c>
      <x:c r="M659" s="14" t="n">
        <x:v>0.044160820891303576</x:v>
      </x:c>
      <x:c r="N659" t="n">
        <x:v>13</x:v>
      </x:c>
      <x:c r="O659" t="n">
        <x:v>0</x:v>
      </x:c>
      <x:c r="P659" s="14" t="n">
        <x:v>0</x:v>
      </x:c>
      <x:c r="Q659" s="14" t="n">
        <x:v>0</x:v>
      </x:c>
      <x:c r="R659" s="14" t="n">
        <x:v>-0.1333333333333333</x:v>
      </x:c>
      <x:c r="S659" t="n">
        <x:v>166492</x:v>
      </x:c>
      <x:c r="T659" t="n">
        <x:v>2781.087031326734</x:v>
      </x:c>
      <x:c r="U659" s="14" t="n">
        <x:v>0.7478440215923697</x:v>
      </x:c>
      <x:c r="V659" s="14" t="n">
        <x:v>0.09076629511775486</x:v>
      </x:c>
      <x:c r="W659" s="14" t="n">
        <x:v>0</x:v>
      </x:c>
      <x:c r="X659" s="14" t="n">
        <x:v>0.7170136784797448</x:v>
      </x:c>
      <x:c r="Y659" s="16" t="n">
        <x:v>71.19565217391305</x:v>
      </x:c>
      <x:c r="Z659" s="16" t="n">
        <x:v>71.3375796178344</x:v>
      </x:c>
      <x:c r="AA659" s="16" t="n">
        <x:v>98.36065573770492</x:v>
      </x:c>
      <x:c r="AB659" s="16" t="n">
        <x:v>55.70652173913044</x:v>
      </x:c>
      <x:c r="AC659" s="16" t="n">
        <x:v>60.32608695652174</x:v>
      </x:c>
      <x:c r="AD659" s="16" t="n">
        <x:v>99.39024390243902</x:v>
      </x:c>
      <x:c r="AE659" s="16" t="n">
        <x:v>73.29819169673587</x:v>
      </x:c>
      <x:c r="AF659" t="str">
        <x:v>검토</x:v>
      </x:c>
      <x:c r="AG659" t="str">
        <x:v>직장수요·서울 업종추세 강점 / 경쟁여건 상대적 약점</x:v>
      </x:c>
    </x:row>
    <x:row r="660">
      <x:c r="A660" t="str">
        <x:v>3110450</x:v>
      </x:c>
      <x:c r="B660" t="str">
        <x:v>시립서북병원</x:v>
      </x:c>
      <x:c r="C660" t="str">
        <x:v>골목상권</x:v>
      </x:c>
      <x:c r="D660" t="str">
        <x:v>은평구</x:v>
      </x:c>
      <x:c r="E660" t="str">
        <x:v>구산동</x:v>
      </x:c>
      <x:c r="F660" t="str">
        <x:v>CS300011</x:v>
      </x:c>
      <x:c r="G660" t="str">
        <x:v>일반의류</x:v>
      </x:c>
      <x:c r="H660" t="n">
        <x:v>523574369</x:v>
      </x:c>
      <x:c r="I660" t="n">
        <x:v>25873</x:v>
      </x:c>
      <x:c r="J660" t="n">
        <x:v>20236.322382406368</x:v>
      </x:c>
      <x:c r="K660" s="14" t="n">
        <x:v>0.09778628443474902</x:v>
      </x:c>
      <x:c r="L660" s="14" t="n">
        <x:v>0.06726691045630595</x:v>
      </x:c>
      <x:c r="M660" s="14" t="n">
        <x:v>0.00788849516466894</x:v>
      </x:c>
      <x:c r="N660" t="n">
        <x:v>29</x:v>
      </x:c>
      <x:c r="O660" t="n">
        <x:v>0</x:v>
      </x:c>
      <x:c r="P660" s="14" t="n">
        <x:v>0</x:v>
      </x:c>
      <x:c r="Q660" s="14" t="n">
        <x:v>0</x:v>
      </x:c>
      <x:c r="R660" s="14" t="n">
        <x:v>-0.09375</x:v>
      </x:c>
      <x:c r="S660" t="n">
        <x:v>886</x:v>
      </x:c>
      <x:c r="T660" t="n">
        <x:v>45.20800273493109</x:v>
      </x:c>
      <x:c r="U660" s="14" t="n">
        <x:v>0.8724224714674679</x:v>
      </x:c>
      <x:c r="V660" s="14" t="n">
        <x:v>0.27251113776350655</x:v>
      </x:c>
      <x:c r="W660" s="14" t="n">
        <x:v>0.04546994736482221</x:v>
      </x:c>
      <x:c r="X660" s="14" t="n">
        <x:v>0.8257826024329316</x:v>
      </x:c>
      <x:c r="Y660" s="16" t="n">
        <x:v>75.736160188457</x:v>
      </x:c>
      <x:c r="Z660" s="16" t="n">
        <x:v>58.002406738868835</x:v>
      </x:c>
      <x:c r="AA660" s="16" t="n">
        <x:v>81.9672131147541</x:v>
      </x:c>
      <x:c r="AB660" s="16" t="n">
        <x:v>84.21672555948174</x:v>
      </x:c>
      <x:c r="AC660" s="16" t="n">
        <x:v>86.33686690223793</x:v>
      </x:c>
      <x:c r="AD660" s="16" t="n">
        <x:v>32.5609756097561</x:v>
      </x:c>
      <x:c r="AE660" s="16" t="n">
        <x:v>73.29746368558068</x:v>
      </x:c>
      <x:c r="AF660" t="str">
        <x:v>검토</x:v>
      </x:c>
      <x:c r="AG660" t="str">
        <x:v>안정성·경쟁여건 강점 / 직장수요 상대적 약점</x:v>
      </x:c>
    </x:row>
    <x:row r="661">
      <x:c r="A661" t="str">
        <x:v>3120069</x:v>
      </x:c>
      <x:c r="B661" t="str">
        <x:v>상봉역</x:v>
      </x:c>
      <x:c r="C661" t="str">
        <x:v>발달상권</x:v>
      </x:c>
      <x:c r="D661" t="str">
        <x:v>중랑구</x:v>
      </x:c>
      <x:c r="E661" t="str">
        <x:v>상봉2동</x:v>
      </x:c>
      <x:c r="F661" t="str">
        <x:v>CS300011</x:v>
      </x:c>
      <x:c r="G661" t="str">
        <x:v>일반의류</x:v>
      </x:c>
      <x:c r="H661" t="n">
        <x:v>609877750</x:v>
      </x:c>
      <x:c r="I661" t="n">
        <x:v>13855</x:v>
      </x:c>
      <x:c r="J661" t="n">
        <x:v>44018.60339227715</x:v>
      </x:c>
      <x:c r="K661" s="14" t="n">
        <x:v>0.5156913834351602</x:v>
      </x:c>
      <x:c r="L661" s="14" t="n">
        <x:v>0.06726691045630595</x:v>
      </x:c>
      <x:c r="M661" s="14" t="n">
        <x:v>0.00788849516466894</x:v>
      </x:c>
      <x:c r="N661" t="n">
        <x:v>77</x:v>
      </x:c>
      <x:c r="O661" t="n">
        <x:v>1</x:v>
      </x:c>
      <x:c r="P661" s="14" t="n">
        <x:v>0.012195121951219513</x:v>
      </x:c>
      <x:c r="Q661" s="14" t="n">
        <x:v>0</x:v>
      </x:c>
      <x:c r="R661" s="14" t="n">
        <x:v>-0.03749999999999998</x:v>
      </x:c>
      <x:c r="S661" t="n">
        <x:v>2554</x:v>
      </x:c>
      <x:c r="T661" t="n">
        <x:v>124.08418679674291</x:v>
      </x:c>
      <x:c r="U661" s="14" t="n">
        <x:v>0.525930685288978</x:v>
      </x:c>
      <x:c r="V661" s="14" t="n">
        <x:v>0.3740786510083373</x:v>
      </x:c>
      <x:c r="W661" s="14" t="n">
        <x:v>0.19084402406875806</x:v>
      </x:c>
      <x:c r="X661" s="14" t="n">
        <x:v>0.7638688196117992</x:v>
      </x:c>
      <x:c r="Y661" s="16" t="n">
        <x:v>77.50294464075382</x:v>
      </x:c>
      <x:c r="Z661" s="16" t="n">
        <x:v>92.17809867629362</x:v>
      </x:c>
      <x:c r="AA661" s="16" t="n">
        <x:v>81.9672131147541</x:v>
      </x:c>
      <x:c r="AB661" s="16" t="n">
        <x:v>41.57832744405182</x:v>
      </x:c>
      <x:c r="AC661" s="16" t="n">
        <x:v>59.48174322732627</x:v>
      </x:c>
      <x:c r="AD661" s="16" t="n">
        <x:v>64.8170731707317</x:v>
      </x:c>
      <x:c r="AE661" s="16" t="n">
        <x:v>73.28250942461266</x:v>
      </x:c>
      <x:c r="AF661" t="str">
        <x:v>검토</x:v>
      </x:c>
      <x:c r="AG661" t="str">
        <x:v>상권 모멘텀·서울 업종추세 강점 / 경쟁여건 상대적 약점</x:v>
      </x:c>
    </x:row>
    <x:row r="662">
      <x:c r="A662" t="str">
        <x:v>3130209</x:v>
      </x:c>
      <x:c r="B662" t="str">
        <x:v>목사랑시장(목4동시장)</x:v>
      </x:c>
      <x:c r="C662" t="str">
        <x:v>전통시장</x:v>
      </x:c>
      <x:c r="D662" t="str">
        <x:v>양천구</x:v>
      </x:c>
      <x:c r="E662" t="str">
        <x:v>목4동</x:v>
      </x:c>
      <x:c r="F662" t="str">
        <x:v>CS300009</x:v>
      </x:c>
      <x:c r="G662" t="str">
        <x:v>청과상</x:v>
      </x:c>
      <x:c r="H662" t="n">
        <x:v>1392091125</x:v>
      </x:c>
      <x:c r="I662" t="n">
        <x:v>98000</x:v>
      </x:c>
      <x:c r="J662" t="n">
        <x:v>14205.011479591836</x:v>
      </x:c>
      <x:c r="K662" s="14" t="n">
        <x:v>0.16473660502437149</x:v>
      </x:c>
      <x:c r="L662" s="14" t="n">
        <x:v>0.19728256051488424</x:v>
      </x:c>
      <x:c r="M662" s="14" t="n">
        <x:v>0.09797365727115581</x:v>
      </x:c>
      <x:c r="N662" t="n">
        <x:v>11</x:v>
      </x:c>
      <x:c r="O662" t="n">
        <x:v>3</x:v>
      </x:c>
      <x:c r="P662" s="14" t="n">
        <x:v>0.1875</x:v>
      </x:c>
      <x:c r="Q662" s="14" t="n">
        <x:v>0</x:v>
      </x:c>
      <x:c r="R662" s="14" t="n">
        <x:v>-0.08333333333333337</x:v>
      </x:c>
      <x:c r="S662" t="n">
        <x:v>220</x:v>
      </x:c>
      <x:c r="T662" t="n">
        <x:v>62.85175556380882</x:v>
      </x:c>
      <x:c r="U662" s="14" t="n">
        <x:v>0.6224377904858779</x:v>
      </x:c>
      <x:c r="V662" s="14" t="n">
        <x:v>0.4005643926506607</x:v>
      </x:c>
      <x:c r="W662" s="14" t="n">
        <x:v>0.14089587274683615</x:v>
      </x:c>
      <x:c r="X662" s="14" t="n">
        <x:v>0.5009583169348918</x:v>
      </x:c>
      <x:c r="Y662" s="16" t="n">
        <x:v>78.3882783882784</x:v>
      </x:c>
      <x:c r="Z662" s="16" t="n">
        <x:v>85.1145038167939</x:v>
      </x:c>
      <x:c r="AA662" s="16" t="n">
        <x:v>95.08196721311475</x:v>
      </x:c>
      <x:c r="AB662" s="16" t="n">
        <x:v>82.05128205128204</x:v>
      </x:c>
      <x:c r="AC662" s="16" t="n">
        <x:v>0.366300366300365</x:v>
      </x:c>
      <x:c r="AD662" s="16" t="n">
        <x:v>44.26829268292683</x:v>
      </x:c>
      <x:c r="AE662" s="16" t="n">
        <x:v>73.27883025969211</x:v>
      </x:c>
      <x:c r="AF662" t="str">
        <x:v>검토</x:v>
      </x:c>
      <x:c r="AG662" t="str">
        <x:v>서울 업종추세·상권 모멘텀 강점 / 안정성 상대적 약점</x:v>
      </x:c>
    </x:row>
    <x:row r="663">
      <x:c r="A663" t="str">
        <x:v>3120243</x:v>
      </x:c>
      <x:c r="B663" t="str">
        <x:v>천호역</x:v>
      </x:c>
      <x:c r="C663" t="str">
        <x:v>발달상권</x:v>
      </x:c>
      <x:c r="D663" t="str">
        <x:v>강동구</x:v>
      </x:c>
      <x:c r="E663" t="str">
        <x:v>천호2동</x:v>
      </x:c>
      <x:c r="F663" t="str">
        <x:v>CS200030</x:v>
      </x:c>
      <x:c r="G663" t="str">
        <x:v>피부관리실</x:v>
      </x:c>
      <x:c r="H663" t="n">
        <x:v>459127938</x:v>
      </x:c>
      <x:c r="I663" t="n">
        <x:v>2075</x:v>
      </x:c>
      <x:c r="J663" t="n">
        <x:v>221266.4761445783</x:v>
      </x:c>
      <x:c r="K663" s="14" t="n">
        <x:v>0.18845102633347643</x:v>
      </x:c>
      <x:c r="L663" s="14" t="n">
        <x:v>0.11857168683779085</x:v>
      </x:c>
      <x:c r="M663" s="14" t="n">
        <x:v>0.0314283578178467</x:v>
      </x:c>
      <x:c r="N663" t="n">
        <x:v>32</x:v>
      </x:c>
      <x:c r="O663" t="n">
        <x:v>1</x:v>
      </x:c>
      <x:c r="P663" s="14" t="n">
        <x:v>0.02702702702702703</x:v>
      </x:c>
      <x:c r="Q663" s="14" t="n">
        <x:v>0.09375</x:v>
      </x:c>
      <x:c r="R663" s="14" t="n">
        <x:v>0.28</x:v>
      </x:c>
      <x:c r="S663" t="n">
        <x:v>1986</x:v>
      </x:c>
      <x:c r="T663" t="n">
        <x:v>92.2562363543457</x:v>
      </x:c>
      <x:c r="U663" s="14" t="n">
        <x:v>0.724144904900124</x:v>
      </x:c>
      <x:c r="V663" s="14" t="n">
        <x:v>0.37809522495230946</x:v>
      </x:c>
      <x:c r="W663" s="14" t="n">
        <x:v>0.638250428141012</x:v>
      </x:c>
      <x:c r="X663" s="14" t="n">
        <x:v>0.7657522966942604</x:v>
      </x:c>
      <x:c r="Y663" s="16" t="n">
        <x:v>92.80397022332507</x:v>
      </x:c>
      <x:c r="Z663" s="16" t="n">
        <x:v>70.82228116710876</x:v>
      </x:c>
      <x:c r="AA663" s="16" t="n">
        <x:v>91.80327868852459</x:v>
      </x:c>
      <x:c r="AB663" s="16" t="n">
        <x:v>44.78908188585608</x:v>
      </x:c>
      <x:c r="AC663" s="16" t="n">
        <x:v>32.87841191066998</x:v>
      </x:c>
      <x:c r="AD663" s="16" t="n">
        <x:v>57.01219512195122</x:v>
      </x:c>
      <x:c r="AE663" s="16" t="n">
        <x:v>73.27315084490718</x:v>
      </x:c>
      <x:c r="AF663" t="str">
        <x:v>검토</x:v>
      </x:c>
      <x:c r="AG663" t="str">
        <x:v>수요·서울 업종추세 강점 / 안정성 상대적 약점</x:v>
      </x:c>
    </x:row>
    <x:row r="664">
      <x:c r="A664" t="str">
        <x:v>3130185</x:v>
      </x:c>
      <x:c r="B664" t="str">
        <x:v>망원월드컵시장</x:v>
      </x:c>
      <x:c r="C664" t="str">
        <x:v>전통시장</x:v>
      </x:c>
      <x:c r="D664" t="str">
        <x:v>마포구</x:v>
      </x:c>
      <x:c r="E664" t="str">
        <x:v>망원2동</x:v>
      </x:c>
      <x:c r="F664" t="str">
        <x:v>CS300009</x:v>
      </x:c>
      <x:c r="G664" t="str">
        <x:v>청과상</x:v>
      </x:c>
      <x:c r="H664" t="n">
        <x:v>7994122351</x:v>
      </x:c>
      <x:c r="I664" t="n">
        <x:v>447946</x:v>
      </x:c>
      <x:c r="J664" t="n">
        <x:v>17846.174206265932</x:v>
      </x:c>
      <x:c r="K664" s="14" t="n">
        <x:v>-0.004417372525397645</x:v>
      </x:c>
      <x:c r="L664" s="14" t="n">
        <x:v>0.19728256051488424</x:v>
      </x:c>
      <x:c r="M664" s="14" t="n">
        <x:v>0.09797365727115581</x:v>
      </x:c>
      <x:c r="N664" t="n">
        <x:v>15</x:v>
      </x:c>
      <x:c r="O664" t="n">
        <x:v>0</x:v>
      </x:c>
      <x:c r="P664" s="14" t="n">
        <x:v>0</x:v>
      </x:c>
      <x:c r="Q664" s="14" t="n">
        <x:v>0</x:v>
      </x:c>
      <x:c r="R664" s="14" t="n">
        <x:v>-0.11764705882352944</x:v>
      </x:c>
      <x:c r="S664" t="n">
        <x:v>474</x:v>
      </x:c>
      <x:c r="T664" t="n">
        <x:v>157.8684429641965</x:v>
      </x:c>
      <x:c r="U664" s="14" t="n">
        <x:v>0.8304267585008345</x:v>
      </x:c>
      <x:c r="V664" s="14" t="n">
        <x:v>0.15516753904133485</x:v>
      </x:c>
      <x:c r="W664" s="14" t="n">
        <x:v>0.1725518661629501</x:v>
      </x:c>
      <x:c r="X664" s="14" t="n">
        <x:v>0.5970047165218825</x:v>
      </x:c>
      <x:c r="Y664" s="16" t="n">
        <x:v>93.77289377289377</x:v>
      </x:c>
      <x:c r="Z664" s="16" t="n">
        <x:v>32.82442748091603</x:v>
      </x:c>
      <x:c r="AA664" s="16" t="n">
        <x:v>95.08196721311475</x:v>
      </x:c>
      <x:c r="AB664" s="16" t="n">
        <x:v>60.62271062271062</x:v>
      </x:c>
      <x:c r="AC664" s="16" t="n">
        <x:v>69.5970695970696</x:v>
      </x:c>
      <x:c r="AD664" s="16" t="n">
        <x:v>71.21951219512195</x:v>
      </x:c>
      <x:c r="AE664" s="16" t="n">
        <x:v>73.26178256153288</x:v>
      </x:c>
      <x:c r="AF664" t="str">
        <x:v>검토</x:v>
      </x:c>
      <x:c r="AG664" t="str">
        <x:v>서울 업종추세·수요 강점 / 상권 모멘텀 상대적 약점</x:v>
      </x:c>
    </x:row>
    <x:row r="665">
      <x:c r="A665" t="str">
        <x:v>3120188</x:v>
      </x:c>
      <x:c r="B665" t="str">
        <x:v>압구정역</x:v>
      </x:c>
      <x:c r="C665" t="str">
        <x:v>발달상권</x:v>
      </x:c>
      <x:c r="D665" t="str">
        <x:v>강남구</x:v>
      </x:c>
      <x:c r="E665" t="str">
        <x:v>신사동</x:v>
      </x:c>
      <x:c r="F665" t="str">
        <x:v>CS300004</x:v>
      </x:c>
      <x:c r="G665" t="str">
        <x:v>핸드폰</x:v>
      </x:c>
      <x:c r="H665" t="n">
        <x:v>440521616</x:v>
      </x:c>
      <x:c r="I665" t="n">
        <x:v>13257</x:v>
      </x:c>
      <x:c r="J665" t="n">
        <x:v>33229.359281888814</x:v>
      </x:c>
      <x:c r="K665" s="14" t="n">
        <x:v>1.6905533246961952</x:v>
      </x:c>
      <x:c r="L665" s="14" t="n">
        <x:v>0.021417847123978317</x:v>
      </x:c>
      <x:c r="M665" s="14" t="n">
        <x:v>-0.06496332404204874</x:v>
      </x:c>
      <x:c r="N665" t="n">
        <x:v>21</x:v>
      </x:c>
      <x:c r="O665" t="n">
        <x:v>0</x:v>
      </x:c>
      <x:c r="P665" s="14" t="n">
        <x:v>0</x:v>
      </x:c>
      <x:c r="Q665" s="14" t="n">
        <x:v>0</x:v>
      </x:c>
      <x:c r="R665" s="14" t="n">
        <x:v>-0.2222222222222222</x:v>
      </x:c>
      <x:c r="S665" t="n">
        <x:v>14682</x:v>
      </x:c>
      <x:c r="T665" t="n">
        <x:v>583.2068831282324</x:v>
      </x:c>
      <x:c r="U665" s="14" t="n">
        <x:v>0.9700440988121681</x:v>
      </x:c>
      <x:c r="V665" s="14" t="n">
        <x:v>0.11380455618777173</x:v>
      </x:c>
      <x:c r="W665" s="14" t="n">
        <x:v>0.08362689289689702</x:v>
      </x:c>
      <x:c r="X665" s="14" t="n">
        <x:v>0.1425122984203345</x:v>
      </x:c>
      <x:c r="Y665" s="16" t="n">
        <x:v>82.183908045977</x:v>
      </x:c>
      <x:c r="Z665" s="16" t="n">
        <x:v>95.1219512195122</x:v>
      </x:c>
      <x:c r="AA665" s="16" t="n">
        <x:v>55.73770491803279</x:v>
      </x:c>
      <x:c r="AB665" s="16" t="n">
        <x:v>43.10344827586207</x:v>
      </x:c>
      <x:c r="AC665" s="16" t="n">
        <x:v>60.3448275862069</x:v>
      </x:c>
      <x:c r="AD665" s="16" t="n">
        <x:v>91.95121951219512</x:v>
      </x:c>
      <x:c r="AE665" s="16" t="n">
        <x:v>73.24697477330906</x:v>
      </x:c>
      <x:c r="AF665" t="str">
        <x:v>검토</x:v>
      </x:c>
      <x:c r="AG665" t="str">
        <x:v>상권 모멘텀·직장수요 강점 / 경쟁여건 상대적 약점</x:v>
      </x:c>
    </x:row>
    <x:row r="666">
      <x:c r="A666" t="str">
        <x:v>3120193</x:v>
      </x:c>
      <x:c r="B666" t="str">
        <x:v>도산공원교차로</x:v>
      </x:c>
      <x:c r="C666" t="str">
        <x:v>발달상권</x:v>
      </x:c>
      <x:c r="D666" t="str">
        <x:v>강남구</x:v>
      </x:c>
      <x:c r="E666" t="str">
        <x:v>압구정동</x:v>
      </x:c>
      <x:c r="F666" t="str">
        <x:v>CS200026</x:v>
      </x:c>
      <x:c r="G666" t="str">
        <x:v>자동차미용</x:v>
      </x:c>
      <x:c r="H666" t="n">
        <x:v>336292472</x:v>
      </x:c>
      <x:c r="I666" t="n">
        <x:v>851</x:v>
      </x:c>
      <x:c r="J666" t="n">
        <x:v>395173.2925969448</x:v>
      </x:c>
      <x:c r="K666" s="14" t="n">
        <x:v>0.10512701469928132</x:v>
      </x:c>
      <x:c r="L666" s="14" t="n">
        <x:v>-0.019736846042192724</x:v>
      </x:c>
      <x:c r="M666" s="14" t="n">
        <x:v>0.032440828422417356</x:v>
      </x:c>
      <x:c r="N666" t="n">
        <x:v>9</x:v>
      </x:c>
      <x:c r="O666" t="n">
        <x:v>0</x:v>
      </x:c>
      <x:c r="P666" s="14" t="n">
        <x:v>0</x:v>
      </x:c>
      <x:c r="Q666" s="14" t="n">
        <x:v>0</x:v>
      </x:c>
      <x:c r="R666" s="14" t="n">
        <x:v>0.5</x:v>
      </x:c>
      <x:c r="S666" t="n">
        <x:v>11206</x:v>
      </x:c>
      <x:c r="T666" t="n">
        <x:v>605.6544321516784</x:v>
      </x:c>
      <x:c r="U666" s="14" t="n">
        <x:v>0.9428804579366261</x:v>
      </x:c>
      <x:c r="V666" s="14" t="n">
        <x:v>0.07343941079953761</x:v>
      </x:c>
      <x:c r="W666" s="14" t="n">
        <x:v>0.07343941079953761</x:v>
      </x:c>
      <x:c r="X666" s="14" t="n">
        <x:v>0.07343941079953761</x:v>
      </x:c>
      <x:c r="Y666" s="16" t="n">
        <x:v>96.15384615384616</x:v>
      </x:c>
      <x:c r="Z666" s="16" t="n">
        <x:v>77.55102040816327</x:v>
      </x:c>
      <x:c r="AA666" s="16" t="n">
        <x:v>36.0655737704918</x:v>
      </x:c>
      <x:c r="AB666" s="16" t="n">
        <x:v>51.92307692307692</x:v>
      </x:c>
      <x:c r="AC666" s="16" t="n">
        <x:v>62.5</x:v>
      </x:c>
      <x:c r="AD666" s="16" t="n">
        <x:v>92.6829268292683</x:v>
      </x:c>
      <x:c r="AE666" s="16" t="n">
        <x:v>73.24649418097754</x:v>
      </x:c>
      <x:c r="AF666" t="str">
        <x:v>검토</x:v>
      </x:c>
      <x:c r="AG666" t="str">
        <x:v>수요·직장수요 강점 / 서울 업종추세 상대적 약점</x:v>
      </x:c>
    </x:row>
    <x:row r="667">
      <x:c r="A667" t="str">
        <x:v>3120085</x:v>
      </x:c>
      <x:c r="B667" t="str">
        <x:v>은행사거리</x:v>
      </x:c>
      <x:c r="C667" t="str">
        <x:v>발달상권</x:v>
      </x:c>
      <x:c r="D667" t="str">
        <x:v>노원구</x:v>
      </x:c>
      <x:c r="E667" t="str">
        <x:v>중계본동</x:v>
      </x:c>
      <x:c r="F667" t="str">
        <x:v>CS100003</x:v>
      </x:c>
      <x:c r="G667" t="str">
        <x:v>일식음식점</x:v>
      </x:c>
      <x:c r="H667" t="n">
        <x:v>396290103</x:v>
      </x:c>
      <x:c r="I667" t="n">
        <x:v>17164</x:v>
      </x:c>
      <x:c r="J667" t="n">
        <x:v>23088.44692379399</x:v>
      </x:c>
      <x:c r="K667" s="14" t="n">
        <x:v>0.1330212223593612</x:v>
      </x:c>
      <x:c r="L667" s="14" t="n">
        <x:v>0.048235937606500245</x:v>
      </x:c>
      <x:c r="M667" s="14" t="n">
        <x:v>-0.004288267098710441</x:v>
      </x:c>
      <x:c r="N667" t="n">
        <x:v>10</x:v>
      </x:c>
      <x:c r="O667" t="n">
        <x:v>0</x:v>
      </x:c>
      <x:c r="P667" s="14" t="n">
        <x:v>0</x:v>
      </x:c>
      <x:c r="Q667" s="14" t="n">
        <x:v>0.4</x:v>
      </x:c>
      <x:c r="R667" s="14" t="n">
        <x:v>1</x:v>
      </x:c>
      <x:c r="S667" t="n">
        <x:v>1811</x:v>
      </x:c>
      <x:c r="T667" t="n">
        <x:v>294.05556367415204</x:v>
      </x:c>
      <x:c r="U667" s="14" t="n">
        <x:v>0.710407057528762</x:v>
      </x:c>
      <x:c r="V667" s="14" t="n">
        <x:v>0.5689987039620821</x:v>
      </x:c>
      <x:c r="W667" s="14" t="n">
        <x:v>0.16667389495720009</x:v>
      </x:c>
      <x:c r="X667" s="14" t="n">
        <x:v>0.37838910905125483</x:v>
      </x:c>
      <x:c r="Y667" s="16" t="n">
        <x:v>57.73809523809524</x:v>
      </x:c>
      <x:c r="Z667" s="16" t="n">
        <x:v>81.48148148148148</x:v>
      </x:c>
      <x:c r="AA667" s="16" t="n">
        <x:v>78.68852459016394</x:v>
      </x:c>
      <x:c r="AB667" s="16" t="n">
        <x:v>84.375</x:v>
      </x:c>
      <x:c r="AC667" s="16" t="n">
        <x:v>81.10119047619048</x:v>
      </x:c>
      <x:c r="AD667" s="16" t="n">
        <x:v>83.41463414634147</x:v>
      </x:c>
      <x:c r="AE667" s="16" t="n">
        <x:v>73.24500907309034</x:v>
      </x:c>
      <x:c r="AF667" t="str">
        <x:v>검토</x:v>
      </x:c>
      <x:c r="AG667" t="str">
        <x:v>경쟁여건·직장수요 강점 / 수요 상대적 약점</x:v>
      </x:c>
    </x:row>
    <x:row r="668">
      <x:c r="A668" t="str">
        <x:v>3110134</x:v>
      </x:c>
      <x:c r="B668" t="str">
        <x:v>성수119안전센터</x:v>
      </x:c>
      <x:c r="C668" t="str">
        <x:v>골목상권</x:v>
      </x:c>
      <x:c r="D668" t="str">
        <x:v>성동구</x:v>
      </x:c>
      <x:c r="E668" t="str">
        <x:v>성수2가1동</x:v>
      </x:c>
      <x:c r="F668" t="str">
        <x:v>CS200031</x:v>
      </x:c>
      <x:c r="G668" t="str">
        <x:v>세탁소</x:v>
      </x:c>
      <x:c r="H668" t="n">
        <x:v>108000000</x:v>
      </x:c>
      <x:c r="I668" t="n">
        <x:v>3490</x:v>
      </x:c>
      <x:c r="J668" t="n">
        <x:v>30945.558739255015</x:v>
      </x:c>
      <x:c r="K668" s="14" t="n">
        <x:v>0.1936269167119078</x:v>
      </x:c>
      <x:c r="L668" s="14" t="n">
        <x:v>0.00038108013748794356</x:v>
      </x:c>
      <x:c r="M668" s="14" t="n">
        <x:v>0.043856378214214065</x:v>
      </x:c>
      <x:c r="N668" t="n">
        <x:v>13</x:v>
      </x:c>
      <x:c r="O668" t="n">
        <x:v>0</x:v>
      </x:c>
      <x:c r="P668" s="14" t="n">
        <x:v>0</x:v>
      </x:c>
      <x:c r="Q668" s="14" t="n">
        <x:v>0.3076923076923077</x:v>
      </x:c>
      <x:c r="R668" s="14" t="n">
        <x:v>-0.1333333333333333</x:v>
      </x:c>
      <x:c r="S668" t="n">
        <x:v>601</x:v>
      </x:c>
      <x:c r="T668" t="n">
        <x:v>26.971717842621594</x:v>
      </x:c>
      <x:c r="U668" s="14" t="n">
        <x:v>0.6882192592592593</x:v>
      </x:c>
      <x:c r="V668" s="14" t="n">
        <x:v>0.3086683240740741</x:v>
      </x:c>
      <x:c r="W668" s="14" t="n">
        <x:v>0.35732925925925924</x:v>
      </x:c>
      <x:c r="X668" s="14" t="n">
        <x:v>0.5377215648148148</x:v>
      </x:c>
      <x:c r="Y668" s="16" t="n">
        <x:v>87.17948717948718</x:v>
      </x:c>
      <x:c r="Z668" s="16" t="n">
        <x:v>89.1304347826087</x:v>
      </x:c>
      <x:c r="AA668" s="16" t="n">
        <x:v>42.622950819672134</x:v>
      </x:c>
      <x:c r="AB668" s="16" t="n">
        <x:v>75.52447552447552</x:v>
      </x:c>
      <x:c r="AC668" s="16" t="n">
        <x:v>62.47086247086247</x:v>
      </x:c>
      <x:c r="AD668" s="16" t="n">
        <x:v>18.658536585365855</x:v>
      </x:c>
      <x:c r="AE668" s="16" t="n">
        <x:v>73.24103449731895</x:v>
      </x:c>
      <x:c r="AF668" t="str">
        <x:v>검토</x:v>
      </x:c>
      <x:c r="AG668" t="str">
        <x:v>상권 모멘텀·수요 강점 / 직장수요 상대적 약점</x:v>
      </x:c>
    </x:row>
    <x:row r="669">
      <x:c r="A669" t="str">
        <x:v>3120031</x:v>
      </x:c>
      <x:c r="B669" t="str">
        <x:v>을지로3가역</x:v>
      </x:c>
      <x:c r="C669" t="str">
        <x:v>발달상권</x:v>
      </x:c>
      <x:c r="D669" t="str">
        <x:v>중구</x:v>
      </x:c>
      <x:c r="E669" t="str">
        <x:v>을지로동</x:v>
      </x:c>
      <x:c r="F669" t="str">
        <x:v>CS300010</x:v>
      </x:c>
      <x:c r="G669" t="str">
        <x:v>반찬가게</x:v>
      </x:c>
      <x:c r="H669" t="n">
        <x:v>11265000000</x:v>
      </x:c>
      <x:c r="I669" t="n">
        <x:v>2386685</x:v>
      </x:c>
      <x:c r="J669" t="n">
        <x:v>4719.935810548941</x:v>
      </x:c>
      <x:c r="K669" s="14" t="n">
        <x:v>0.034453875765360076</x:v>
      </x:c>
      <x:c r="L669" s="14" t="n">
        <x:v>0.02346021551670452</x:v>
      </x:c>
      <x:c r="M669" s="14" t="n">
        <x:v>0.024589273784872745</x:v>
      </x:c>
      <x:c r="N669" t="n">
        <x:v>36</x:v>
      </x:c>
      <x:c r="O669" t="n">
        <x:v>0</x:v>
      </x:c>
      <x:c r="P669" s="14" t="n">
        <x:v>0</x:v>
      </x:c>
      <x:c r="Q669" s="14" t="n">
        <x:v>0.05555555555555555</x:v>
      </x:c>
      <x:c r="R669" s="14" t="n">
        <x:v>-0.07692307692307687</x:v>
      </x:c>
      <x:c r="S669" t="n">
        <x:v>13468</x:v>
      </x:c>
      <x:c r="T669" t="n">
        <x:v>528.6253699357078</x:v>
      </x:c>
      <x:c r="U669" s="14" t="n">
        <x:v>0.8262434727918331</x:v>
      </x:c>
      <x:c r="V669" s="14" t="n">
        <x:v>0.07740717967154905</x:v>
      </x:c>
      <x:c r="W669" s="14" t="n">
        <x:v>0.44425215916555705</x:v>
      </x:c>
      <x:c r="X669" s="14" t="n">
        <x:v>0.4204292817576565</x:v>
      </x:c>
      <x:c r="Y669" s="16" t="n">
        <x:v>96.49122807017544</x:v>
      </x:c>
      <x:c r="Z669" s="16" t="n">
        <x:v>59.72222222222222</x:v>
      </x:c>
      <x:c r="AA669" s="16" t="n">
        <x:v>63.9344262295082</x:v>
      </x:c>
      <x:c r="AB669" s="16" t="n">
        <x:v>39.9749373433584</x:v>
      </x:c>
      <x:c r="AC669" s="16" t="n">
        <x:v>73.93483709273183</x:v>
      </x:c>
      <x:c r="AD669" s="16" t="n">
        <x:v>90.73170731707317</x:v>
      </x:c>
      <x:c r="AE669" s="16" t="n">
        <x:v>73.23284788006266</x:v>
      </x:c>
      <x:c r="AF669" t="str">
        <x:v>검토</x:v>
      </x:c>
      <x:c r="AG669" t="str">
        <x:v>수요·직장수요 강점 / 경쟁여건 상대적 약점</x:v>
      </x:c>
    </x:row>
    <x:row r="670">
      <x:c r="A670" t="str">
        <x:v>3120226</x:v>
      </x:c>
      <x:c r="B670" t="str">
        <x:v>석촌고분역</x:v>
      </x:c>
      <x:c r="C670" t="str">
        <x:v>발달상권</x:v>
      </x:c>
      <x:c r="D670" t="str">
        <x:v>송파구</x:v>
      </x:c>
      <x:c r="E670" t="str">
        <x:v>석촌동</x:v>
      </x:c>
      <x:c r="F670" t="str">
        <x:v>CS200024</x:v>
      </x:c>
      <x:c r="G670" t="str">
        <x:v>스포츠클럽</x:v>
      </x:c>
      <x:c r="H670" t="n">
        <x:v>908594468</x:v>
      </x:c>
      <x:c r="I670" t="n">
        <x:v>3596</x:v>
      </x:c>
      <x:c r="J670" t="n">
        <x:v>252668.09454949945</x:v>
      </x:c>
      <x:c r="K670" s="14" t="n">
        <x:v>0.9783768900919911</x:v>
      </x:c>
      <x:c r="L670" s="14" t="n">
        <x:v>0.03927856170757105</x:v>
      </x:c>
      <x:c r="M670" s="14" t="n">
        <x:v>-0.042593628048716026</x:v>
      </x:c>
      <x:c r="N670" t="n">
        <x:v>34</x:v>
      </x:c>
      <x:c r="O670" t="n">
        <x:v>2</x:v>
      </x:c>
      <x:c r="P670" s="14" t="n">
        <x:v>0.05128205128205128</x:v>
      </x:c>
      <x:c r="Q670" s="14" t="n">
        <x:v>0.14705882352941177</x:v>
      </x:c>
      <x:c r="R670" s="14" t="n">
        <x:v>0.7894736842105263</x:v>
      </x:c>
      <x:c r="S670" t="n">
        <x:v>3609</x:v>
      </x:c>
      <x:c r="T670" t="n">
        <x:v>279.5052702503853</x:v>
      </x:c>
      <x:c r="U670" s="14" t="n">
        <x:v>0.8824567243568118</x:v>
      </x:c>
      <x:c r="V670" s="14" t="n">
        <x:v>0.5277867661417459</x:v>
      </x:c>
      <x:c r="W670" s="14" t="n">
        <x:v>0.5712131597525861</x:v>
      </x:c>
      <x:c r="X670" s="14" t="n">
        <x:v>0.6280247680310552</x:v>
      </x:c>
      <x:c r="Y670" s="16" t="n">
        <x:v>96.01449275362319</x:v>
      </x:c>
      <x:c r="Z670" s="16" t="n">
        <x:v>94.64285714285714</x:v>
      </x:c>
      <x:c r="AA670" s="16" t="n">
        <x:v>75.40983606557377</x:v>
      </x:c>
      <x:c r="AB670" s="16" t="n">
        <x:v>23.731884057971016</x:v>
      </x:c>
      <x:c r="AC670" s="16" t="n">
        <x:v>16.66666666666667</x:v>
      </x:c>
      <x:c r="AD670" s="16" t="n">
        <x:v>82.92682926829268</x:v>
      </x:c>
      <x:c r="AE670" s="16" t="n">
        <x:v>73.21791004095256</x:v>
      </x:c>
      <x:c r="AF670" t="str">
        <x:v>검토</x:v>
      </x:c>
      <x:c r="AG670" t="str">
        <x:v>수요·상권 모멘텀 강점 / 안정성 상대적 약점</x:v>
      </x:c>
    </x:row>
    <x:row r="671">
      <x:c r="A671" t="str">
        <x:v>3120148</x:v>
      </x:c>
      <x:c r="B671" t="str">
        <x:v>국회의사당역(국회의사당)</x:v>
      </x:c>
      <x:c r="C671" t="str">
        <x:v>발달상권</x:v>
      </x:c>
      <x:c r="D671" t="str">
        <x:v>영등포구</x:v>
      </x:c>
      <x:c r="E671" t="str">
        <x:v>여의동</x:v>
      </x:c>
      <x:c r="F671" t="str">
        <x:v>CS300018</x:v>
      </x:c>
      <x:c r="G671" t="str">
        <x:v>의약품</x:v>
      </x:c>
      <x:c r="H671" t="n">
        <x:v>4644224269</x:v>
      </x:c>
      <x:c r="I671" t="n">
        <x:v>108173</x:v>
      </x:c>
      <x:c r="J671" t="n">
        <x:v>42933.30377266046</x:v>
      </x:c>
      <x:c r="K671" s="14" t="n">
        <x:v>0.29559235929147176</x:v>
      </x:c>
      <x:c r="L671" s="14" t="n">
        <x:v>0.027829225601598617</x:v>
      </x:c>
      <x:c r="M671" s="14" t="n">
        <x:v>0.02632929521123617</x:v>
      </x:c>
      <x:c r="N671" t="n">
        <x:v>88</x:v>
      </x:c>
      <x:c r="O671" t="n">
        <x:v>0</x:v>
      </x:c>
      <x:c r="P671" s="14" t="n">
        <x:v>0</x:v>
      </x:c>
      <x:c r="Q671" s="14" t="n">
        <x:v>0.06818181818181818</x:v>
      </x:c>
      <x:c r="R671" s="14" t="n">
        <x:v>0.1578947368421053</x:v>
      </x:c>
      <x:c r="S671" t="n">
        <x:v>75584</x:v>
      </x:c>
      <x:c r="T671" t="n">
        <x:v>2135.6540412245877</x:v>
      </x:c>
      <x:c r="U671" s="14" t="n">
        <x:v>0.9575111416739379</x:v>
      </x:c>
      <x:c r="V671" s="14" t="n">
        <x:v>0.11182042078941645</x:v>
      </x:c>
      <x:c r="W671" s="14" t="n">
        <x:v>0.24138226129234328</x:v>
      </x:c>
      <x:c r="X671" s="14" t="n">
        <x:v>0.3020624058497637</x:v>
      </x:c>
      <x:c r="Y671" s="16" t="n">
        <x:v>87.45704467353951</x:v>
      </x:c>
      <x:c r="Z671" s="16" t="n">
        <x:v>98.77622377622377</x:v>
      </x:c>
      <x:c r="AA671" s="16" t="n">
        <x:v>72.1311475409836</x:v>
      </x:c>
      <x:c r="AB671" s="16" t="n">
        <x:v>3.006872852233684</x:v>
      </x:c>
      <x:c r="AC671" s="16" t="n">
        <x:v>66.32302405498282</x:v>
      </x:c>
      <x:c r="AD671" s="16" t="n">
        <x:v>98.96341463414635</x:v>
      </x:c>
      <x:c r="AE671" s="16" t="n">
        <x:v>73.21638658717178</x:v>
      </x:c>
      <x:c r="AF671" t="str">
        <x:v>검토</x:v>
      </x:c>
      <x:c r="AG671" t="str">
        <x:v>직장수요·상권 모멘텀 강점 / 경쟁여건 상대적 약점</x:v>
      </x:c>
    </x:row>
    <x:row r="672">
      <x:c r="A672" t="str">
        <x:v>3110244</x:v>
      </x:c>
      <x:c r="B672" t="str">
        <x:v>중화역 4번</x:v>
      </x:c>
      <x:c r="C672" t="str">
        <x:v>골목상권</x:v>
      </x:c>
      <x:c r="D672" t="str">
        <x:v>중랑구</x:v>
      </x:c>
      <x:c r="E672" t="str">
        <x:v>중화2동</x:v>
      </x:c>
      <x:c r="F672" t="str">
        <x:v>CS300011</x:v>
      </x:c>
      <x:c r="G672" t="str">
        <x:v>일반의류</x:v>
      </x:c>
      <x:c r="H672" t="n">
        <x:v>495748971</x:v>
      </x:c>
      <x:c r="I672" t="n">
        <x:v>5840</x:v>
      </x:c>
      <x:c r="J672" t="n">
        <x:v>84888.52243150685</x:v>
      </x:c>
      <x:c r="K672" s="14" t="n">
        <x:v>0.4813581319206328</x:v>
      </x:c>
      <x:c r="L672" s="14" t="n">
        <x:v>0.06726691045630595</x:v>
      </x:c>
      <x:c r="M672" s="14" t="n">
        <x:v>0.00788849516466894</x:v>
      </x:c>
      <x:c r="N672" t="n">
        <x:v>71</x:v>
      </x:c>
      <x:c r="O672" t="n">
        <x:v>0</x:v>
      </x:c>
      <x:c r="P672" s="14" t="n">
        <x:v>0</x:v>
      </x:c>
      <x:c r="Q672" s="14" t="n">
        <x:v>0</x:v>
      </x:c>
      <x:c r="R672" s="14" t="n">
        <x:v>0.05970149253731338</x:v>
      </x:c>
      <x:c r="S672" t="n">
        <x:v>176</x:v>
      </x:c>
      <x:c r="T672" t="n">
        <x:v>27.907271747058637</x:v>
      </x:c>
      <x:c r="U672" s="14" t="n">
        <x:v>0.8376182610371974</x:v>
      </x:c>
      <x:c r="V672" s="14" t="n">
        <x:v>0.5807012355856206</x:v>
      </x:c>
      <x:c r="W672" s="14" t="n">
        <x:v>0.017091321405889513</x:v>
      </x:c>
      <x:c r="X672" s="14" t="n">
        <x:v>0.8329627717976645</x:v>
      </x:c>
      <x:c r="Y672" s="16" t="n">
        <x:v>74.67608951707892</x:v>
      </x:c>
      <x:c r="Z672" s="16" t="n">
        <x:v>91.0950661853189</x:v>
      </x:c>
      <x:c r="AA672" s="16" t="n">
        <x:v>81.9672131147541</x:v>
      </x:c>
      <x:c r="AB672" s="16" t="n">
        <x:v>46.4075382803298</x:v>
      </x:c>
      <x:c r="AC672" s="16" t="n">
        <x:v>86.33686690223793</x:v>
      </x:c>
      <x:c r="AD672" s="16" t="n">
        <x:v>19.26829268292683</x:v>
      </x:c>
      <x:c r="AE672" s="16" t="n">
        <x:v>73.20895860167413</x:v>
      </x:c>
      <x:c r="AF672" t="str">
        <x:v>검토</x:v>
      </x:c>
      <x:c r="AG672" t="str">
        <x:v>상권 모멘텀·안정성 강점 / 직장수요 상대적 약점</x:v>
      </x:c>
    </x:row>
    <x:row r="673">
      <x:c r="A673" t="str">
        <x:v>3120128</x:v>
      </x:c>
      <x:c r="B673" t="str">
        <x:v>신도림역</x:v>
      </x:c>
      <x:c r="C673" t="str">
        <x:v>발달상권</x:v>
      </x:c>
      <x:c r="D673" t="str">
        <x:v>구로구</x:v>
      </x:c>
      <x:c r="E673" t="str">
        <x:v>구로5동</x:v>
      </x:c>
      <x:c r="F673" t="str">
        <x:v>CS300016</x:v>
      </x:c>
      <x:c r="G673" t="str">
        <x:v>안경</x:v>
      </x:c>
      <x:c r="H673" t="n">
        <x:v>512069767</x:v>
      </x:c>
      <x:c r="I673" t="n">
        <x:v>9715</x:v>
      </x:c>
      <x:c r="J673" t="n">
        <x:v>52709.18857436953</x:v>
      </x:c>
      <x:c r="K673" s="14" t="n">
        <x:v>0.4519342766640191</x:v>
      </x:c>
      <x:c r="L673" s="14" t="n">
        <x:v>0.02313988190963734</x:v>
      </x:c>
      <x:c r="M673" s="14" t="n">
        <x:v>0.009707725123368816</x:v>
      </x:c>
      <x:c r="N673" t="n">
        <x:v>9</x:v>
      </x:c>
      <x:c r="O673" t="n">
        <x:v>0</x:v>
      </x:c>
      <x:c r="P673" s="14" t="n">
        <x:v>0</x:v>
      </x:c>
      <x:c r="Q673" s="14" t="n">
        <x:v>0.4444444444444444</x:v>
      </x:c>
      <x:c r="R673" s="14" t="n">
        <x:v>0</x:v>
      </x:c>
      <x:c r="S673" t="n">
        <x:v>8504</x:v>
      </x:c>
      <x:c r="T673" t="n">
        <x:v>338.2805134671764</x:v>
      </x:c>
      <x:c r="U673" s="14" t="n">
        <x:v>0.7183730669262495</x:v>
      </x:c>
      <x:c r="V673" s="14" t="n">
        <x:v>0.44633688362234436</x:v>
      </x:c>
      <x:c r="W673" s="14" t="n">
        <x:v>0.5958311536091917</x:v>
      </x:c>
      <x:c r="X673" s="14" t="n">
        <x:v>0.706633012372316</x:v>
      </x:c>
      <x:c r="Y673" s="16" t="n">
        <x:v>75.84541062801932</x:v>
      </x:c>
      <x:c r="Z673" s="16" t="n">
        <x:v>99.51219512195122</x:v>
      </x:c>
      <x:c r="AA673" s="16" t="n">
        <x:v>62.295081967213115</x:v>
      </x:c>
      <x:c r="AB673" s="16" t="n">
        <x:v>49.271844660194176</x:v>
      </x:c>
      <x:c r="AC673" s="16" t="n">
        <x:v>57.28155339805825</x:v>
      </x:c>
      <x:c r="AD673" s="16" t="n">
        <x:v>85.54878048780488</x:v>
      </x:c>
      <x:c r="AE673" s="16" t="n">
        <x:v>73.18896610250418</x:v>
      </x:c>
      <x:c r="AF673" t="str">
        <x:v>검토</x:v>
      </x:c>
      <x:c r="AG673" t="str">
        <x:v>상권 모멘텀·직장수요 강점 / 경쟁여건 상대적 약점</x:v>
      </x:c>
    </x:row>
    <x:row r="674">
      <x:c r="A674" t="str">
        <x:v>3120027</x:v>
      </x:c>
      <x:c r="B674" t="str">
        <x:v>명동역(명동재미로)</x:v>
      </x:c>
      <x:c r="C674" t="str">
        <x:v>발달상권</x:v>
      </x:c>
      <x:c r="D674" t="str">
        <x:v>중구</x:v>
      </x:c>
      <x:c r="E674" t="str">
        <x:v>명동</x:v>
      </x:c>
      <x:c r="F674" t="str">
        <x:v>CS300017</x:v>
      </x:c>
      <x:c r="G674" t="str">
        <x:v>시계및귀금속</x:v>
      </x:c>
      <x:c r="H674" t="n">
        <x:v>1839242086</x:v>
      </x:c>
      <x:c r="I674" t="n">
        <x:v>5322</x:v>
      </x:c>
      <x:c r="J674" t="n">
        <x:v>345592.27470875613</x:v>
      </x:c>
      <x:c r="K674" s="14" t="n">
        <x:v>1.4936969563317337</x:v>
      </x:c>
      <x:c r="L674" s="14" t="n">
        <x:v>0.09182238369060247</x:v>
      </x:c>
      <x:c r="M674" s="14" t="n">
        <x:v>0.00817160170707898</x:v>
      </x:c>
      <x:c r="N674" t="n">
        <x:v>33</x:v>
      </x:c>
      <x:c r="O674" t="n">
        <x:v>2</x:v>
      </x:c>
      <x:c r="P674" s="14" t="n">
        <x:v>0.05263157894736842</x:v>
      </x:c>
      <x:c r="Q674" s="14" t="n">
        <x:v>0.030303030303030304</x:v>
      </x:c>
      <x:c r="R674" s="14" t="n">
        <x:v>-0.05714285714285716</x:v>
      </x:c>
      <x:c r="S674" t="n">
        <x:v>10825</x:v>
      </x:c>
      <x:c r="T674" t="n">
        <x:v>688.8060271322762</x:v>
      </x:c>
      <x:c r="U674" s="14" t="n">
        <x:v>0.9896548403579756</x:v>
      </x:c>
      <x:c r="V674" s="14" t="n">
        <x:v>0.042438693412977936</x:v>
      </x:c>
      <x:c r="W674" s="14" t="n">
        <x:v>0.01095369834854899</x:v>
      </x:c>
      <x:c r="X674" s="14" t="n">
        <x:v>0.8562141144915059</x:v>
      </x:c>
      <x:c r="Y674" s="16" t="n">
        <x:v>89.94413407821229</x:v>
      </x:c>
      <x:c r="Z674" s="16" t="n">
        <x:v>98.83040935672514</x:v>
      </x:c>
      <x:c r="AA674" s="16" t="n">
        <x:v>86.88524590163935</x:v>
      </x:c>
      <x:c r="AB674" s="16" t="n">
        <x:v>23.595505617977523</x:v>
      </x:c>
      <x:c r="AC674" s="16" t="n">
        <x:v>6.741573033707866</x:v>
      </x:c>
      <x:c r="AD674" s="16" t="n">
        <x:v>93.90243902439025</x:v>
      </x:c>
      <x:c r="AE674" s="16" t="n">
        <x:v>73.18792078125216</x:v>
      </x:c>
      <x:c r="AF674" t="str">
        <x:v>검토</x:v>
      </x:c>
      <x:c r="AG674" t="str">
        <x:v>상권 모멘텀·직장수요 강점 / 안정성 상대적 약점</x:v>
      </x:c>
    </x:row>
    <x:row r="675">
      <x:c r="A675" t="str">
        <x:v>3120110</x:v>
      </x:c>
      <x:c r="B675" t="str">
        <x:v>목동역 8번출구</x:v>
      </x:c>
      <x:c r="C675" t="str">
        <x:v>발달상권</x:v>
      </x:c>
      <x:c r="D675" t="str">
        <x:v>양천구</x:v>
      </x:c>
      <x:c r="E675" t="str">
        <x:v>신정4동</x:v>
      </x:c>
      <x:c r="F675" t="str">
        <x:v>CS300017</x:v>
      </x:c>
      <x:c r="G675" t="str">
        <x:v>시계및귀금속</x:v>
      </x:c>
      <x:c r="H675" t="n">
        <x:v>388549340</x:v>
      </x:c>
      <x:c r="I675" t="n">
        <x:v>658</x:v>
      </x:c>
      <x:c r="J675" t="n">
        <x:v>590500.5167173252</x:v>
      </x:c>
      <x:c r="K675" s="14"/>
      <x:c r="L675" s="14" t="n">
        <x:v>0.09182238369060247</x:v>
      </x:c>
      <x:c r="M675" s="14" t="n">
        <x:v>0.00817160170707898</x:v>
      </x:c>
      <x:c r="N675" t="n">
        <x:v>5</x:v>
      </x:c>
      <x:c r="O675" t="n">
        <x:v>0</x:v>
      </x:c>
      <x:c r="P675" s="14" t="n">
        <x:v>0</x:v>
      </x:c>
      <x:c r="Q675" s="14" t="n">
        <x:v>0</x:v>
      </x:c>
      <x:c r="R675" s="14" t="n">
        <x:v>-0.375</x:v>
      </x:c>
      <x:c r="S675" t="n">
        <x:v>2332</x:v>
      </x:c>
      <x:c r="T675" t="n">
        <x:v>184.1047786716351</x:v>
      </x:c>
      <x:c r="U675" s="14" t="n">
        <x:v>0.9355621039016564</x:v>
      </x:c>
      <x:c r="V675" s="14" t="n">
        <x:v>0.32620357816075557</x:v>
      </x:c>
      <x:c r="W675" s="14" t="n">
        <x:v>0.24158373296940872</x:v>
      </x:c>
      <x:c r="X675" s="14" t="n">
        <x:v>0.4802381108149611</x:v>
      </x:c>
      <x:c r="Y675" s="16" t="n">
        <x:v>78.2122905027933</x:v>
      </x:c>
      <x:c r="Z675" s="16" t="n">
        <x:v>50</x:v>
      </x:c>
      <x:c r="AA675" s="16" t="n">
        <x:v>86.88524590163935</x:v>
      </x:c>
      <x:c r="AB675" s="16" t="n">
        <x:v>85.95505617977528</x:v>
      </x:c>
      <x:c r="AC675" s="16" t="n">
        <x:v>61.79775280898876</x:v>
      </x:c>
      <x:c r="AD675" s="16" t="n">
        <x:v>74.14634146341463</x:v>
      </x:c>
      <x:c r="AE675" s="16" t="n">
        <x:v>73.18743934225945</x:v>
      </x:c>
      <x:c r="AF675" t="str">
        <x:v>검토</x:v>
      </x:c>
      <x:c r="AG675" t="str">
        <x:v>서울 업종추세·경쟁여건 강점 / 상권 모멘텀 상대적 약점</x:v>
      </x:c>
    </x:row>
    <x:row r="676">
      <x:c r="A676" t="str">
        <x:v>3110603</x:v>
      </x:c>
      <x:c r="B676" t="str">
        <x:v>지향초등학교</x:v>
      </x:c>
      <x:c r="C676" t="str">
        <x:v>골목상권</x:v>
      </x:c>
      <x:c r="D676" t="str">
        <x:v>양천구</x:v>
      </x:c>
      <x:c r="E676" t="str">
        <x:v>신정3동</x:v>
      </x:c>
      <x:c r="F676" t="str">
        <x:v>CS300007</x:v>
      </x:c>
      <x:c r="G676" t="str">
        <x:v>육류판매</x:v>
      </x:c>
      <x:c r="H676" t="n">
        <x:v>1277668761</x:v>
      </x:c>
      <x:c r="I676" t="n">
        <x:v>45476</x:v>
      </x:c>
      <x:c r="J676" t="n">
        <x:v>28095.451688802885</x:v>
      </x:c>
      <x:c r="K676" s="14" t="n">
        <x:v>0.04315620840986378</x:v>
      </x:c>
      <x:c r="L676" s="14" t="n">
        <x:v>0.23518223683931017</x:v>
      </x:c>
      <x:c r="M676" s="14" t="n">
        <x:v>0.00863079289162072</x:v>
      </x:c>
      <x:c r="N676" t="n">
        <x:v>13</x:v>
      </x:c>
      <x:c r="O676" t="n">
        <x:v>0</x:v>
      </x:c>
      <x:c r="P676" s="14" t="n">
        <x:v>0</x:v>
      </x:c>
      <x:c r="Q676" s="14" t="n">
        <x:v>0</x:v>
      </x:c>
      <x:c r="R676" s="14" t="n">
        <x:v>0.08333333333333326</x:v>
      </x:c>
      <x:c r="S676" t="n">
        <x:v>860</x:v>
      </x:c>
      <x:c r="T676" t="n">
        <x:v>142.86188909930564</x:v>
      </x:c>
      <x:c r="U676" s="14" t="n">
        <x:v>0.6547609462919317</x:v>
      </x:c>
      <x:c r="V676" s="14" t="n">
        <x:v>0.42786287470325024</x:v>
      </x:c>
      <x:c r="W676" s="14" t="n">
        <x:v>0.12751357235382857</x:v>
      </x:c>
      <x:c r="X676" s="14" t="n">
        <x:v>0.5844139066338181</x:v>
      </x:c>
      <x:c r="Y676" s="16" t="n">
        <x:v>76.48514851485149</x:v>
      </x:c>
      <x:c r="Z676" s="16" t="n">
        <x:v>60.77922077922078</x:v>
      </x:c>
      <x:c r="AA676" s="16" t="n">
        <x:v>100</x:v>
      </x:c>
      <x:c r="AB676" s="16" t="n">
        <x:v>60.89108910891089</x:v>
      </x:c>
      <x:c r="AC676" s="16" t="n">
        <x:v>66.83168316831683</x:v>
      </x:c>
      <x:c r="AD676" s="16" t="n">
        <x:v>68.84146341463415</x:v>
      </x:c>
      <x:c r="AE676" s="16" t="n">
        <x:v>73.1845509899422</x:v>
      </x:c>
      <x:c r="AF676" t="str">
        <x:v>검토</x:v>
      </x:c>
      <x:c r="AG676" t="str">
        <x:v>서울 업종추세·수요 강점 / 상권 모멘텀 상대적 약점</x:v>
      </x:c>
    </x:row>
    <x:row r="677">
      <x:c r="A677" t="str">
        <x:v>3130283</x:v>
      </x:c>
      <x:c r="B677" t="str">
        <x:v>신원시장</x:v>
      </x:c>
      <x:c r="C677" t="str">
        <x:v>전통시장</x:v>
      </x:c>
      <x:c r="D677" t="str">
        <x:v>관악구</x:v>
      </x:c>
      <x:c r="E677" t="str">
        <x:v>신원동</x:v>
      </x:c>
      <x:c r="F677" t="str">
        <x:v>CS300009</x:v>
      </x:c>
      <x:c r="G677" t="str">
        <x:v>청과상</x:v>
      </x:c>
      <x:c r="H677" t="n">
        <x:v>4379804739</x:v>
      </x:c>
      <x:c r="I677" t="n">
        <x:v>224483</x:v>
      </x:c>
      <x:c r="J677" t="n">
        <x:v>19510.62993188794</x:v>
      </x:c>
      <x:c r="K677" s="14" t="n">
        <x:v>0.05583927814268286</x:v>
      </x:c>
      <x:c r="L677" s="14" t="n">
        <x:v>0.19728256051488424</x:v>
      </x:c>
      <x:c r="M677" s="14" t="n">
        <x:v>0.09797365727115581</x:v>
      </x:c>
      <x:c r="N677" t="n">
        <x:v>23</x:v>
      </x:c>
      <x:c r="O677" t="n">
        <x:v>0</x:v>
      </x:c>
      <x:c r="P677" s="14" t="n">
        <x:v>0</x:v>
      </x:c>
      <x:c r="Q677" s="14" t="n">
        <x:v>0</x:v>
      </x:c>
      <x:c r="R677" s="14" t="n">
        <x:v>0.1499999999999999</x:v>
      </x:c>
      <x:c r="S677" t="n">
        <x:v>103</x:v>
      </x:c>
      <x:c r="T677" t="n">
        <x:v>38.76844323998796</x:v>
      </x:c>
      <x:c r="U677" s="14" t="n">
        <x:v>0.7097801014548836</x:v>
      </x:c>
      <x:c r="V677" s="14" t="n">
        <x:v>0.22376589583392384</x:v>
      </x:c>
      <x:c r="W677" s="14" t="n">
        <x:v>0.060923271675559505</x:v>
      </x:c>
      <x:c r="X677" s="14" t="n">
        <x:v>0.6394251711868382</x:v>
      </x:c>
      <x:c r="Y677" s="16" t="n">
        <x:v>91.57509157509158</x:v>
      </x:c>
      <x:c r="Z677" s="16" t="n">
        <x:v>64.8854961832061</x:v>
      </x:c>
      <x:c r="AA677" s="16" t="n">
        <x:v>95.08196721311475</x:v>
      </x:c>
      <x:c r="AB677" s="16" t="n">
        <x:v>36.81318681318681</x:v>
      </x:c>
      <x:c r="AC677" s="16" t="n">
        <x:v>69.5970695970696</x:v>
      </x:c>
      <x:c r="AD677" s="16" t="n">
        <x:v>27.926829268292682</x:v>
      </x:c>
      <x:c r="AE677" s="16" t="n">
        <x:v>73.1687028149901</x:v>
      </x:c>
      <x:c r="AF677" t="str">
        <x:v>검토</x:v>
      </x:c>
      <x:c r="AG677" t="str">
        <x:v>서울 업종추세·수요 강점 / 직장수요 상대적 약점</x:v>
      </x:c>
    </x:row>
    <x:row r="678">
      <x:c r="A678" t="str">
        <x:v>3130058</x:v>
      </x:c>
      <x:c r="B678" t="str">
        <x:v>이촌종합시장</x:v>
      </x:c>
      <x:c r="C678" t="str">
        <x:v>전통시장</x:v>
      </x:c>
      <x:c r="D678" t="str">
        <x:v>용산구</x:v>
      </x:c>
      <x:c r="E678" t="str">
        <x:v>이촌1동</x:v>
      </x:c>
      <x:c r="F678" t="str">
        <x:v>CS100009</x:v>
      </x:c>
      <x:c r="G678" t="str">
        <x:v>호프-간이주점</x:v>
      </x:c>
      <x:c r="H678" t="n">
        <x:v>781889261</x:v>
      </x:c>
      <x:c r="I678" t="n">
        <x:v>14603</x:v>
      </x:c>
      <x:c r="J678" t="n">
        <x:v>53543.05697459426</x:v>
      </x:c>
      <x:c r="K678" s="14" t="n">
        <x:v>0.18560209251011028</x:v>
      </x:c>
      <x:c r="L678" s="14" t="n">
        <x:v>-0.09956754672050205</x:v>
      </x:c>
      <x:c r="M678" s="14" t="n">
        <x:v>0.017869323230272016</x:v>
      </x:c>
      <x:c r="N678" t="n">
        <x:v>22</x:v>
      </x:c>
      <x:c r="O678" t="n">
        <x:v>0</x:v>
      </x:c>
      <x:c r="P678" s="14" t="n">
        <x:v>0</x:v>
      </x:c>
      <x:c r="Q678" s="14" t="n">
        <x:v>0.13636363636363635</x:v>
      </x:c>
      <x:c r="R678" s="14" t="n">
        <x:v>0.04761904761904767</x:v>
      </x:c>
      <x:c r="S678" t="n">
        <x:v>2891</x:v>
      </x:c>
      <x:c r="T678" t="n">
        <x:v>3861.8755009350784</x:v>
      </x:c>
      <x:c r="U678" s="14" t="n">
        <x:v>0.7123365619418579</x:v>
      </x:c>
      <x:c r="V678" s="14" t="n">
        <x:v>0.7838882097141375</x:v>
      </x:c>
      <x:c r="W678" s="14" t="n">
        <x:v>0.27855765881915595</x:v>
      </x:c>
      <x:c r="X678" s="14" t="n">
        <x:v>0.27879676173222184</x:v>
      </x:c>
      <x:c r="Y678" s="16" t="n">
        <x:v>78.09307604994325</x:v>
      </x:c>
      <x:c r="Z678" s="16" t="n">
        <x:v>90.86705202312139</x:v>
      </x:c>
      <x:c r="AA678" s="16" t="n">
        <x:v>13.114754098360656</x:v>
      </x:c>
      <x:c r="AB678" s="16" t="n">
        <x:v>80.02270147559591</x:v>
      </x:c>
      <x:c r="AC678" s="16" t="n">
        <x:v>86.83314415437003</x:v>
      </x:c>
      <x:c r="AD678" s="16" t="n">
        <x:v>99.8780487804878</x:v>
      </x:c>
      <x:c r="AE678" s="16" t="n">
        <x:v>73.15382221265929</x:v>
      </x:c>
      <x:c r="AF678" t="str">
        <x:v>검토</x:v>
      </x:c>
      <x:c r="AG678" t="str">
        <x:v>직장수요·상권 모멘텀 강점 / 서울 업종추세 상대적 약점</x:v>
      </x:c>
    </x:row>
    <x:row r="679">
      <x:c r="A679" t="str">
        <x:v>3130153</x:v>
      </x:c>
      <x:c r="B679" t="str">
        <x:v>창동역상점가</x:v>
      </x:c>
      <x:c r="C679" t="str">
        <x:v>전통시장</x:v>
      </x:c>
      <x:c r="D679" t="str">
        <x:v>도봉구</x:v>
      </x:c>
      <x:c r="E679" t="str">
        <x:v>창4동</x:v>
      </x:c>
      <x:c r="F679" t="str">
        <x:v>CS200016</x:v>
      </x:c>
      <x:c r="G679" t="str">
        <x:v>당구장</x:v>
      </x:c>
      <x:c r="H679" t="n">
        <x:v>90145469</x:v>
      </x:c>
      <x:c r="I679" t="n">
        <x:v>7168</x:v>
      </x:c>
      <x:c r="J679" t="n">
        <x:v>12576.09779575893</x:v>
      </x:c>
      <x:c r="K679" s="14" t="n">
        <x:v>0.02700850106778163</x:v>
      </x:c>
      <x:c r="L679" s="14" t="n">
        <x:v>0.052763611334009974</x:v>
      </x:c>
      <x:c r="M679" s="14" t="n">
        <x:v>0.07602781601598463</x:v>
      </x:c>
      <x:c r="N679" t="n">
        <x:v>10</x:v>
      </x:c>
      <x:c r="O679" t="n">
        <x:v>0</x:v>
      </x:c>
      <x:c r="P679" s="14" t="n">
        <x:v>0</x:v>
      </x:c>
      <x:c r="Q679" s="14" t="n">
        <x:v>0</x:v>
      </x:c>
      <x:c r="R679" s="14" t="n">
        <x:v>0.4285714285714286</x:v>
      </x:c>
      <x:c r="S679" t="n">
        <x:v>694</x:v>
      </x:c>
      <x:c r="T679" t="n">
        <x:v>206.37563934816225</x:v>
      </x:c>
      <x:c r="U679" s="14" t="n">
        <x:v>0.5959089080783417</x:v>
      </x:c>
      <x:c r="V679" s="14" t="n">
        <x:v>0.7342460773042292</x:v>
      </x:c>
      <x:c r="W679" s="14" t="n">
        <x:v>0.023859568582420932</x:v>
      </x:c>
      <x:c r="X679" s="14" t="n">
        <x:v>0.046853647186637856</x:v>
      </x:c>
      <x:c r="Y679" s="16" t="n">
        <x:v>77.87610619469027</x:v>
      </x:c>
      <x:c r="Z679" s="16" t="n">
        <x:v>63.58024691358025</x:v>
      </x:c>
      <x:c r="AA679" s="16" t="n">
        <x:v>80.32786885245902</x:v>
      </x:c>
      <x:c r="AB679" s="16" t="n">
        <x:v>68.87905604719764</x:v>
      </x:c>
      <x:c r="AC679" s="16" t="n">
        <x:v>69.32153392330383</x:v>
      </x:c>
      <x:c r="AD679" s="16" t="n">
        <x:v>76.95121951219512</x:v>
      </x:c>
      <x:c r="AE679" s="16" t="n">
        <x:v>73.13343965374628</x:v>
      </x:c>
      <x:c r="AF679" t="str">
        <x:v>검토</x:v>
      </x:c>
      <x:c r="AG679" t="str">
        <x:v>서울 업종추세·수요 강점 / 상권 모멘텀 상대적 약점</x:v>
      </x:c>
    </x:row>
    <x:row r="680">
      <x:c r="A680" t="str">
        <x:v>3110810</x:v>
      </x:c>
      <x:c r="B680" t="str">
        <x:v>영신초등학교</x:v>
      </x:c>
      <x:c r="C680" t="str">
        <x:v>골목상권</x:v>
      </x:c>
      <x:c r="D680" t="str">
        <x:v>영등포구</x:v>
      </x:c>
      <x:c r="E680" t="str">
        <x:v>신길1동</x:v>
      </x:c>
      <x:c r="F680" t="str">
        <x:v>CS300011</x:v>
      </x:c>
      <x:c r="G680" t="str">
        <x:v>일반의류</x:v>
      </x:c>
      <x:c r="H680" t="n">
        <x:v>470539384</x:v>
      </x:c>
      <x:c r="I680" t="n">
        <x:v>5392</x:v>
      </x:c>
      <x:c r="J680" t="n">
        <x:v>87266.20623145401</x:v>
      </x:c>
      <x:c r="K680" s="14" t="n">
        <x:v>0.12063298498318575</x:v>
      </x:c>
      <x:c r="L680" s="14" t="n">
        <x:v>0.06726691045630595</x:v>
      </x:c>
      <x:c r="M680" s="14" t="n">
        <x:v>0.00788849516466894</x:v>
      </x:c>
      <x:c r="N680" t="n">
        <x:v>33</x:v>
      </x:c>
      <x:c r="O680" t="n">
        <x:v>0</x:v>
      </x:c>
      <x:c r="P680" s="14" t="n">
        <x:v>0</x:v>
      </x:c>
      <x:c r="Q680" s="14" t="n">
        <x:v>0</x:v>
      </x:c>
      <x:c r="R680" s="14" t="n">
        <x:v>-0.15384615384615385</x:v>
      </x:c>
      <x:c r="S680" t="n">
        <x:v>513</x:v>
      </x:c>
      <x:c r="T680" t="n">
        <x:v>43.610582154515775</x:v>
      </x:c>
      <x:c r="U680" s="14" t="n">
        <x:v>0.7183554118819521</x:v>
      </x:c>
      <x:c r="V680" s="14" t="n">
        <x:v>0.21863303370159554</x:v>
      </x:c>
      <x:c r="W680" s="14" t="n">
        <x:v>0.028717785289573125</x:v>
      </x:c>
      <x:c r="X680" s="14" t="n">
        <x:v>0.8852586141864801</x:v>
      </x:c>
      <x:c r="Y680" s="16" t="n">
        <x:v>73.96937573616019</x:v>
      </x:c>
      <x:c r="Z680" s="16" t="n">
        <x:v>63.297232250300844</x:v>
      </x:c>
      <x:c r="AA680" s="16" t="n">
        <x:v>81.9672131147541</x:v>
      </x:c>
      <x:c r="AB680" s="16" t="n">
        <x:v>80.50647820965843</x:v>
      </x:c>
      <x:c r="AC680" s="16" t="n">
        <x:v>86.33686690223793</x:v>
      </x:c>
      <x:c r="AD680" s="16" t="n">
        <x:v>31.463414634146343</x:v>
      </x:c>
      <x:c r="AE680" s="16" t="n">
        <x:v>73.12663907830924</x:v>
      </x:c>
      <x:c r="AF680" t="str">
        <x:v>검토</x:v>
      </x:c>
      <x:c r="AG680" t="str">
        <x:v>안정성·서울 업종추세 강점 / 직장수요 상대적 약점</x:v>
      </x:c>
    </x:row>
    <x:row r="681">
      <x:c r="A681" t="str">
        <x:v>3120081</x:v>
      </x:c>
      <x:c r="B681" t="str">
        <x:v>노원역</x:v>
      </x:c>
      <x:c r="C681" t="str">
        <x:v>발달상권</x:v>
      </x:c>
      <x:c r="D681" t="str">
        <x:v>노원구</x:v>
      </x:c>
      <x:c r="E681" t="str">
        <x:v>상계2동</x:v>
      </x:c>
      <x:c r="F681" t="str">
        <x:v>CS300018</x:v>
      </x:c>
      <x:c r="G681" t="str">
        <x:v>의약품</x:v>
      </x:c>
      <x:c r="H681" t="n">
        <x:v>10971838215</x:v>
      </x:c>
      <x:c r="I681" t="n">
        <x:v>642021</x:v>
      </x:c>
      <x:c r="J681" t="n">
        <x:v>17089.531674197573</x:v>
      </x:c>
      <x:c r="K681" s="14" t="n">
        <x:v>0.02028959479458603</x:v>
      </x:c>
      <x:c r="L681" s="14" t="n">
        <x:v>0.027829225601598617</x:v>
      </x:c>
      <x:c r="M681" s="14" t="n">
        <x:v>0.02632929521123617</x:v>
      </x:c>
      <x:c r="N681" t="n">
        <x:v>28</x:v>
      </x:c>
      <x:c r="O681" t="n">
        <x:v>0</x:v>
      </x:c>
      <x:c r="P681" s="14" t="n">
        <x:v>0</x:v>
      </x:c>
      <x:c r="Q681" s="14" t="n">
        <x:v>0.03571428571428571</x:v>
      </x:c>
      <x:c r="R681" s="14" t="n">
        <x:v>0.2727272727272727</x:v>
      </x:c>
      <x:c r="S681" t="n">
        <x:v>5934</x:v>
      </x:c>
      <x:c r="T681" t="n">
        <x:v>221.67184050386078</x:v>
      </x:c>
      <x:c r="U681" s="14" t="n">
        <x:v>0.8356637742311077</x:v>
      </x:c>
      <x:c r="V681" s="14" t="n">
        <x:v>0.18811543750055196</x:v>
      </x:c>
      <x:c r="W681" s="14" t="n">
        <x:v>0.23578618772041382</x:v>
      </x:c>
      <x:c r="X681" s="14" t="n">
        <x:v>0.5754475785441574</x:v>
      </x:c>
      <x:c r="Y681" s="16" t="n">
        <x:v>96.56357388316151</x:v>
      </x:c>
      <x:c r="Z681" s="16" t="n">
        <x:v>62.06293706293706</x:v>
      </x:c>
      <x:c r="AA681" s="16" t="n">
        <x:v>72.1311475409836</x:v>
      </x:c>
      <x:c r="AB681" s="16" t="n">
        <x:v>36.94158075601374</x:v>
      </x:c>
      <x:c r="AC681" s="16" t="n">
        <x:v>66.32302405498282</x:v>
      </x:c>
      <x:c r="AD681" s="16" t="n">
        <x:v>78.23170731707317</x:v>
      </x:c>
      <x:c r="AE681" s="16" t="n">
        <x:v>73.11463528759548</x:v>
      </x:c>
      <x:c r="AF681" t="str">
        <x:v>검토</x:v>
      </x:c>
      <x:c r="AG681" t="str">
        <x:v>수요·직장수요 강점 / 경쟁여건 상대적 약점</x:v>
      </x:c>
    </x:row>
    <x:row r="682">
      <x:c r="A682" t="str">
        <x:v>3120003</x:v>
      </x:c>
      <x:c r="B682" t="str">
        <x:v>광화문역</x:v>
      </x:c>
      <x:c r="C682" t="str">
        <x:v>발달상권</x:v>
      </x:c>
      <x:c r="D682" t="str">
        <x:v>종로구</x:v>
      </x:c>
      <x:c r="E682" t="str">
        <x:v>사직동</x:v>
      </x:c>
      <x:c r="F682" t="str">
        <x:v>CS300028</x:v>
      </x:c>
      <x:c r="G682" t="str">
        <x:v>화초</x:v>
      </x:c>
      <x:c r="H682" t="n">
        <x:v>337599130</x:v>
      </x:c>
      <x:c r="I682" t="n">
        <x:v>6853</x:v>
      </x:c>
      <x:c r="J682" t="n">
        <x:v>49262.96950240771</x:v>
      </x:c>
      <x:c r="K682" s="14" t="n">
        <x:v>0.027001233506926736</x:v>
      </x:c>
      <x:c r="L682" s="14" t="n">
        <x:v>0.028008199294863756</x:v>
      </x:c>
      <x:c r="M682" s="14" t="n">
        <x:v>-0.0030123365554672876</x:v>
      </x:c>
      <x:c r="N682" t="n">
        <x:v>32</x:v>
      </x:c>
      <x:c r="O682" t="n">
        <x:v>0</x:v>
      </x:c>
      <x:c r="P682" s="14" t="n">
        <x:v>0</x:v>
      </x:c>
      <x:c r="Q682" s="14" t="n">
        <x:v>0</x:v>
      </x:c>
      <x:c r="R682" s="14" t="n">
        <x:v>-0.08571428571428574</x:v>
      </x:c>
      <x:c r="S682" t="n">
        <x:v>43594</x:v>
      </x:c>
      <x:c r="T682" t="n">
        <x:v>1104.9827386051982</x:v>
      </x:c>
      <x:c r="U682" s="14" t="n">
        <x:v>0.8744312729715862</x:v>
      </x:c>
      <x:c r="V682" s="14" t="n">
        <x:v>0.27640434085241866</x:v>
      </x:c>
      <x:c r="W682" s="14" t="n">
        <x:v>0.280461232231256</x:v>
      </x:c>
      <x:c r="X682" s="14" t="n">
        <x:v>0.46741989826810276</x:v>
      </x:c>
      <x:c r="Y682" s="16" t="n">
        <x:v>89.93288590604027</x:v>
      </x:c>
      <x:c r="Z682" s="16" t="n">
        <x:v>74.31506849315069</x:v>
      </x:c>
      <x:c r="AA682" s="16" t="n">
        <x:v>73.77049180327869</x:v>
      </x:c>
      <x:c r="AB682" s="16" t="n">
        <x:v>27.68456375838926</x:v>
      </x:c>
      <x:c r="AC682" s="16" t="n">
        <x:v>66.7785234899329</x:v>
      </x:c>
      <x:c r="AD682" s="16" t="n">
        <x:v>97.4390243902439</x:v>
      </x:c>
      <x:c r="AE682" s="16" t="n">
        <x:v>73.10758566849991</x:v>
      </x:c>
      <x:c r="AF682" t="str">
        <x:v>검토</x:v>
      </x:c>
      <x:c r="AG682" t="str">
        <x:v>직장수요·수요 강점 / 경쟁여건 상대적 약점</x:v>
      </x:c>
    </x:row>
    <x:row r="683">
      <x:c r="A683" t="str">
        <x:v>3001493</x:v>
      </x:c>
      <x:c r="B683" t="str">
        <x:v>동대문패션타운 관광특구</x:v>
      </x:c>
      <x:c r="C683" t="str">
        <x:v>관광특구</x:v>
      </x:c>
      <x:c r="D683" t="str">
        <x:v>중구</x:v>
      </x:c>
      <x:c r="E683" t="str">
        <x:v>광희동</x:v>
      </x:c>
      <x:c r="F683" t="str">
        <x:v>CS200028</x:v>
      </x:c>
      <x:c r="G683" t="str">
        <x:v>미용실</x:v>
      </x:c>
      <x:c r="H683" t="n">
        <x:v>190822885</x:v>
      </x:c>
      <x:c r="I683" t="n">
        <x:v>3255</x:v>
      </x:c>
      <x:c r="J683" t="n">
        <x:v>58624.54224270353</x:v>
      </x:c>
      <x:c r="K683" s="14" t="n">
        <x:v>0.034836837266996934</x:v>
      </x:c>
      <x:c r="L683" s="14" t="n">
        <x:v>0.02168887159425803</x:v>
      </x:c>
      <x:c r="M683" s="14" t="n">
        <x:v>-0.013481964371473865</x:v>
      </x:c>
      <x:c r="N683" t="n">
        <x:v>28</x:v>
      </x:c>
      <x:c r="O683" t="n">
        <x:v>0</x:v>
      </x:c>
      <x:c r="P683" s="14" t="n">
        <x:v>0</x:v>
      </x:c>
      <x:c r="Q683" s="14" t="n">
        <x:v>0.17857142857142858</x:v>
      </x:c>
      <x:c r="R683" s="14" t="n">
        <x:v>-0.03448275862068961</x:v>
      </x:c>
      <x:c r="S683" t="n">
        <x:v>33754</x:v>
      </x:c>
      <x:c r="T683" t="n">
        <x:v>556.9433948565978</x:v>
      </x:c>
      <x:c r="U683" s="14" t="n">
        <x:v>0.7685601493762134</x:v>
      </x:c>
      <x:c r="V683" s="14" t="n">
        <x:v>0.41388091370696967</x:v>
      </x:c>
      <x:c r="W683" s="14" t="n">
        <x:v>0.5679456790520697</x:v>
      </x:c>
      <x:c r="X683" s="14" t="n">
        <x:v>0.5585479278337082</x:v>
      </x:c>
      <x:c r="Y683" s="16" t="n">
        <x:v>76.99194270367055</x:v>
      </x:c>
      <x:c r="Z683" s="16" t="n">
        <x:v>59.89208633093525</x:v>
      </x:c>
      <x:c r="AA683" s="16" t="n">
        <x:v>57.377049180327866</x:v>
      </x:c>
      <x:c r="AB683" s="16" t="n">
        <x:v>89.6598030438675</x:v>
      </x:c>
      <x:c r="AC683" s="16" t="n">
        <x:v>75.60429722470904</x:v>
      </x:c>
      <x:c r="AD683" s="16" t="n">
        <x:v>91.28048780487805</x:v>
      </x:c>
      <x:c r="AE683" s="16" t="n">
        <x:v>73.10557915881584</x:v>
      </x:c>
      <x:c r="AF683" t="str">
        <x:v>검토</x:v>
      </x:c>
      <x:c r="AG683" t="str">
        <x:v>직장수요·경쟁여건 강점 / 서울 업종추세 상대적 약점</x:v>
      </x:c>
    </x:row>
    <x:row r="684">
      <x:c r="A684" t="str">
        <x:v>3120153</x:v>
      </x:c>
      <x:c r="B684" t="str">
        <x:v>노량진역(노량진)</x:v>
      </x:c>
      <x:c r="C684" t="str">
        <x:v>발달상권</x:v>
      </x:c>
      <x:c r="D684" t="str">
        <x:v>동작구</x:v>
      </x:c>
      <x:c r="E684" t="str">
        <x:v>노량진1동</x:v>
      </x:c>
      <x:c r="F684" t="str">
        <x:v>CS300010</x:v>
      </x:c>
      <x:c r="G684" t="str">
        <x:v>반찬가게</x:v>
      </x:c>
      <x:c r="H684" t="n">
        <x:v>4769708114</x:v>
      </x:c>
      <x:c r="I684" t="n">
        <x:v>62022</x:v>
      </x:c>
      <x:c r="J684" t="n">
        <x:v>76903.48769791365</x:v>
      </x:c>
      <x:c r="K684" s="14" t="n">
        <x:v>-0.015982566335544846</x:v>
      </x:c>
      <x:c r="L684" s="14" t="n">
        <x:v>0.02346021551670452</x:v>
      </x:c>
      <x:c r="M684" s="14" t="n">
        <x:v>0.024589273784872745</x:v>
      </x:c>
      <x:c r="N684" t="n">
        <x:v>11</x:v>
      </x:c>
      <x:c r="O684" t="n">
        <x:v>0</x:v>
      </x:c>
      <x:c r="P684" s="14" t="n">
        <x:v>0</x:v>
      </x:c>
      <x:c r="Q684" s="14" t="n">
        <x:v>0.18181818181818182</x:v>
      </x:c>
      <x:c r="R684" s="14" t="n">
        <x:v>0</x:v>
      </x:c>
      <x:c r="S684" t="n">
        <x:v>5349</x:v>
      </x:c>
      <x:c r="T684" t="n">
        <x:v>120.5202038636763</x:v>
      </x:c>
      <x:c r="U684" s="14" t="n">
        <x:v>0.7710041346567816</x:v>
      </x:c>
      <x:c r="V684" s="14" t="n">
        <x:v>0.13027237246996032</x:v>
      </x:c>
      <x:c r="W684" s="14" t="n">
        <x:v>0.18105860827524844</x:v>
      </x:c>
      <x:c r="X684" s="14" t="n">
        <x:v>0.28321496215564856</x:v>
      </x:c>
      <x:c r="Y684" s="16" t="n">
        <x:v>92.73182957393483</x:v>
      </x:c>
      <x:c r="Z684" s="16" t="n">
        <x:v>32.77777777777778</x:v>
      </x:c>
      <x:c r="AA684" s="16" t="n">
        <x:v>63.9344262295082</x:v>
      </x:c>
      <x:c r="AB684" s="16" t="n">
        <x:v>92.73182957393483</x:v>
      </x:c>
      <x:c r="AC684" s="16" t="n">
        <x:v>73.93483709273183</x:v>
      </x:c>
      <x:c r="AD684" s="16" t="n">
        <x:v>63.96341463414634</x:v>
      </x:c>
      <x:c r="AE684" s="16" t="n">
        <x:v>73.1032887179297</x:v>
      </x:c>
      <x:c r="AF684" t="str">
        <x:v>검토</x:v>
      </x:c>
      <x:c r="AG684" t="str">
        <x:v>수요·경쟁여건 강점 / 상권 모멘텀 상대적 약점</x:v>
      </x:c>
    </x:row>
    <x:row r="685">
      <x:c r="A685" t="str">
        <x:v>3001495</x:v>
      </x:c>
      <x:c r="B685" t="str">
        <x:v>잠실 관광특구</x:v>
      </x:c>
      <x:c r="C685" t="str">
        <x:v>관광특구</x:v>
      </x:c>
      <x:c r="D685" t="str">
        <x:v>송파구</x:v>
      </x:c>
      <x:c r="E685" t="str">
        <x:v>방이2동</x:v>
      </x:c>
      <x:c r="F685" t="str">
        <x:v>CS100002</x:v>
      </x:c>
      <x:c r="G685" t="str">
        <x:v>중식음식점</x:v>
      </x:c>
      <x:c r="H685" t="n">
        <x:v>1614353687</x:v>
      </x:c>
      <x:c r="I685" t="n">
        <x:v>49407</x:v>
      </x:c>
      <x:c r="J685" t="n">
        <x:v>32674.594429939076</x:v>
      </x:c>
      <x:c r="K685" s="14" t="n">
        <x:v>0.16867112394447514</x:v>
      </x:c>
      <x:c r="L685" s="14" t="n">
        <x:v>-0.02375238205614094</x:v>
      </x:c>
      <x:c r="M685" s="14" t="n">
        <x:v>0.025085263877023367</x:v>
      </x:c>
      <x:c r="N685" t="n">
        <x:v>28</x:v>
      </x:c>
      <x:c r="O685" t="n">
        <x:v>0</x:v>
      </x:c>
      <x:c r="P685" s="14" t="n">
        <x:v>0</x:v>
      </x:c>
      <x:c r="Q685" s="14" t="n">
        <x:v>0.17857142857142858</x:v>
      </x:c>
      <x:c r="R685" s="14" t="n">
        <x:v>0.03703703703703698</x:v>
      </x:c>
      <x:c r="S685" t="n">
        <x:v>137602</x:v>
      </x:c>
      <x:c r="T685" t="n">
        <x:v>558.7367535430136</x:v>
      </x:c>
      <x:c r="U685" s="14" t="n">
        <x:v>0.7138135393003255</x:v>
      </x:c>
      <x:c r="V685" s="14" t="n">
        <x:v>0.5005903151878514</x:v>
      </x:c>
      <x:c r="W685" s="14" t="n">
        <x:v>0.45917066375802196</x:v>
      </x:c>
      <x:c r="X685" s="14" t="n">
        <x:v>0.3325436497113783</x:v>
      </x:c>
      <x:c r="Y685" s="16" t="n">
        <x:v>91.30434782608695</x:v>
      </x:c>
      <x:c r="Z685" s="16" t="n">
        <x:v>96.27039627039628</x:v>
      </x:c>
      <x:c r="AA685" s="16" t="n">
        <x:v>32.78688524590164</x:v>
      </x:c>
      <x:c r="AB685" s="16" t="n">
        <x:v>31.693363844393588</x:v>
      </x:c>
      <x:c r="AC685" s="16" t="n">
        <x:v>76.3157894736842</x:v>
      </x:c>
      <x:c r="AD685" s="16" t="n">
        <x:v>91.34146341463415</x:v>
      </x:c>
      <x:c r="AE685" s="16" t="n">
        <x:v>73.08129047485409</x:v>
      </x:c>
      <x:c r="AF685" t="str">
        <x:v>검토</x:v>
      </x:c>
      <x:c r="AG685" t="str">
        <x:v>상권 모멘텀·직장수요 강점 / 경쟁여건 상대적 약점</x:v>
      </x:c>
    </x:row>
    <x:row r="686">
      <x:c r="A686" t="str">
        <x:v>3130110</x:v>
      </x:c>
      <x:c r="B686" t="str">
        <x:v>면목골목시장(면목시장)</x:v>
      </x:c>
      <x:c r="C686" t="str">
        <x:v>전통시장</x:v>
      </x:c>
      <x:c r="D686" t="str">
        <x:v>중랑구</x:v>
      </x:c>
      <x:c r="E686" t="str">
        <x:v>면목7동</x:v>
      </x:c>
      <x:c r="F686" t="str">
        <x:v>CS200016</x:v>
      </x:c>
      <x:c r="G686" t="str">
        <x:v>당구장</x:v>
      </x:c>
      <x:c r="H686" t="n">
        <x:v>118075178</x:v>
      </x:c>
      <x:c r="I686" t="n">
        <x:v>7950</x:v>
      </x:c>
      <x:c r="J686" t="n">
        <x:v>14852.223647798743</x:v>
      </x:c>
      <x:c r="K686" s="14" t="n">
        <x:v>0.007477889611471111</x:v>
      </x:c>
      <x:c r="L686" s="14" t="n">
        <x:v>0.052763611334009974</x:v>
      </x:c>
      <x:c r="M686" s="14" t="n">
        <x:v>0.07602781601598463</x:v>
      </x:c>
      <x:c r="N686" t="n">
        <x:v>7</x:v>
      </x:c>
      <x:c r="O686" t="n">
        <x:v>0</x:v>
      </x:c>
      <x:c r="P686" s="14" t="n">
        <x:v>0</x:v>
      </x:c>
      <x:c r="Q686" s="14" t="n">
        <x:v>0</x:v>
      </x:c>
      <x:c r="R686" s="14" t="n">
        <x:v>-0.125</x:v>
      </x:c>
      <x:c r="S686" t="n">
        <x:v>186</x:v>
      </x:c>
      <x:c r="T686" t="n">
        <x:v>30.97264083393003</x:v>
      </x:c>
      <x:c r="U686" s="14" t="n">
        <x:v>0.6557323589213645</x:v>
      </x:c>
      <x:c r="V686" s="14" t="n">
        <x:v>0.6444588379108774</x:v>
      </x:c>
      <x:c r="W686" s="14" t="n">
        <x:v>0.0680065203882225</x:v>
      </x:c>
      <x:c r="X686" s="14" t="n">
        <x:v>0.08371404699470367</x:v>
      </x:c>
      <x:c r="Y686" s="16" t="n">
        <x:v>82.89085545722713</x:v>
      </x:c>
      <x:c r="Z686" s="16" t="n">
        <x:v>55.864197530864196</x:v>
      </x:c>
      <x:c r="AA686" s="16" t="n">
        <x:v>80.32786885245902</x:v>
      </x:c>
      <x:c r="AB686" s="16" t="n">
        <x:v>85.25073746312684</x:v>
      </x:c>
      <x:c r="AC686" s="16" t="n">
        <x:v>69.32153392330383</x:v>
      </x:c>
      <x:c r="AD686" s="16" t="n">
        <x:v>22.317073170731707</x:v>
      </x:c>
      <x:c r="AE686" s="16" t="n">
        <x:v>73.06943691440716</x:v>
      </x:c>
      <x:c r="AF686" t="str">
        <x:v>검토</x:v>
      </x:c>
      <x:c r="AG686" t="str">
        <x:v>경쟁여건·수요 강점 / 직장수요 상대적 약점</x:v>
      </x:c>
    </x:row>
    <x:row r="687">
      <x:c r="A687" t="str">
        <x:v>3110660</x:v>
      </x:c>
      <x:c r="B687" t="str">
        <x:v>등촌3동주민센터</x:v>
      </x:c>
      <x:c r="C687" t="str">
        <x:v>골목상권</x:v>
      </x:c>
      <x:c r="D687" t="str">
        <x:v>강서구</x:v>
      </x:c>
      <x:c r="E687" t="str">
        <x:v>등촌3동</x:v>
      </x:c>
      <x:c r="F687" t="str">
        <x:v>CS200003</x:v>
      </x:c>
      <x:c r="G687" t="str">
        <x:v>예술학원</x:v>
      </x:c>
      <x:c r="H687" t="n">
        <x:v>764179487</x:v>
      </x:c>
      <x:c r="I687" t="n">
        <x:v>4596</x:v>
      </x:c>
      <x:c r="J687" t="n">
        <x:v>166270.5585291558</x:v>
      </x:c>
      <x:c r="K687" s="14" t="n">
        <x:v>0.09732435413031881</x:v>
      </x:c>
      <x:c r="L687" s="14" t="n">
        <x:v>0.09364146198394163</x:v>
      </x:c>
      <x:c r="M687" s="14" t="n">
        <x:v>0.053788091189524545</x:v>
      </x:c>
      <x:c r="N687" t="n">
        <x:v>51</x:v>
      </x:c>
      <x:c r="O687" t="n">
        <x:v>0</x:v>
      </x:c>
      <x:c r="P687" s="14" t="n">
        <x:v>0</x:v>
      </x:c>
      <x:c r="Q687" s="14" t="n">
        <x:v>0.0784313725490196</x:v>
      </x:c>
      <x:c r="R687" s="14" t="n">
        <x:v>0.15909090909090917</x:v>
      </x:c>
      <x:c r="S687" t="n">
        <x:v>4819</x:v>
      </x:c>
      <x:c r="T687" t="n">
        <x:v>318.0165376518646</x:v>
      </x:c>
      <x:c r="U687" s="14" t="n">
        <x:v>0.8532053268789195</x:v>
      </x:c>
      <x:c r="V687" s="14" t="n">
        <x:v>0.4007739558703962</x:v>
      </x:c>
      <x:c r="W687" s="14" t="n">
        <x:v>0.32041499433758025</x:v>
      </x:c>
      <x:c r="X687" s="14" t="n">
        <x:v>0.6316291868745229</x:v>
      </x:c>
      <x:c r="Y687" s="16" t="n">
        <x:v>94.22310756972112</x:v>
      </x:c>
      <x:c r="Z687" s="16" t="n">
        <x:v>66.46216768916156</x:v>
      </x:c>
      <x:c r="AA687" s="16" t="n">
        <x:v>88.52459016393442</x:v>
      </x:c>
      <x:c r="AB687" s="16" t="n">
        <x:v>13.147410358565736</x:v>
      </x:c>
      <x:c r="AC687" s="16" t="n">
        <x:v>73.20717131474103</x:v>
      </x:c>
      <x:c r="AD687" s="16" t="n">
        <x:v>84.51219512195122</x:v>
      </x:c>
      <x:c r="AE687" s="16" t="n">
        <x:v>73.0676481531814</x:v>
      </x:c>
      <x:c r="AF687" t="str">
        <x:v>검토</x:v>
      </x:c>
      <x:c r="AG687" t="str">
        <x:v>수요·서울 업종추세 강점 / 경쟁여건 상대적 약점</x:v>
      </x:c>
    </x:row>
    <x:row r="688">
      <x:c r="A688" t="str">
        <x:v>3120149</x:v>
      </x:c>
      <x:c r="B688" t="str">
        <x:v>여의도역(여의도)</x:v>
      </x:c>
      <x:c r="C688" t="str">
        <x:v>발달상권</x:v>
      </x:c>
      <x:c r="D688" t="str">
        <x:v>영등포구</x:v>
      </x:c>
      <x:c r="E688" t="str">
        <x:v>여의동</x:v>
      </x:c>
      <x:c r="F688" t="str">
        <x:v>CS300020</x:v>
      </x:c>
      <x:c r="G688" t="str">
        <x:v>서적</x:v>
      </x:c>
      <x:c r="H688" t="n">
        <x:v>675100829</x:v>
      </x:c>
      <x:c r="I688" t="n">
        <x:v>1467</x:v>
      </x:c>
      <x:c r="J688" t="n">
        <x:v>460191.4308111793</x:v>
      </x:c>
      <x:c r="K688" s="14" t="n">
        <x:v>0.12321925775013898</x:v>
      </x:c>
      <x:c r="L688" s="14" t="n">
        <x:v>0.20039418624921757</x:v>
      </x:c>
      <x:c r="M688" s="14" t="n">
        <x:v>-0.01061516125540185</x:v>
      </x:c>
      <x:c r="N688" t="n">
        <x:v>44</x:v>
      </x:c>
      <x:c r="O688" t="n">
        <x:v>0</x:v>
      </x:c>
      <x:c r="P688" s="14" t="n">
        <x:v>0</x:v>
      </x:c>
      <x:c r="Q688" s="14" t="n">
        <x:v>0</x:v>
      </x:c>
      <x:c r="R688" s="14" t="n">
        <x:v>0.07317073170731714</x:v>
      </x:c>
      <x:c r="S688" t="n">
        <x:v>166492</x:v>
      </x:c>
      <x:c r="T688" t="n">
        <x:v>2781.087031326734</x:v>
      </x:c>
      <x:c r="U688" s="14" t="n">
        <x:v>1</x:v>
      </x:c>
      <x:c r="V688" s="14" t="n">
        <x:v>0.44888950506680536</x:v>
      </x:c>
      <x:c r="W688" s="14" t="n">
        <x:v>0.05296076595396982</x:v>
      </x:c>
      <x:c r="X688" s="14" t="n">
        <x:v>0.09285225303730149</x:v>
      </x:c>
      <x:c r="Y688" s="16" t="n">
        <x:v>87.24832214765101</x:v>
      </x:c>
      <x:c r="Z688" s="16" t="n">
        <x:v>80</x:v>
      </x:c>
      <x:c r="AA688" s="16" t="n">
        <x:v>96.72131147540983</x:v>
      </x:c>
      <x:c r="AB688" s="16" t="n">
        <x:v>7.382550335570471</x:v>
      </x:c>
      <x:c r="AC688" s="16" t="n">
        <x:v>59.395973154362416</x:v>
      </x:c>
      <x:c r="AD688" s="16" t="n">
        <x:v>99.39024390243902</x:v>
      </x:c>
      <x:c r="AE688" s="16" t="n">
        <x:v>73.06160153388309</x:v>
      </x:c>
      <x:c r="AF688" t="str">
        <x:v>검토</x:v>
      </x:c>
      <x:c r="AG688" t="str">
        <x:v>직장수요·서울 업종추세 강점 / 경쟁여건 상대적 약점</x:v>
      </x:c>
    </x:row>
    <x:row r="689">
      <x:c r="A689" t="str">
        <x:v>3120200</x:v>
      </x:c>
      <x:c r="B689" t="str">
        <x:v>학동사거리</x:v>
      </x:c>
      <x:c r="C689" t="str">
        <x:v>발달상권</x:v>
      </x:c>
      <x:c r="D689" t="str">
        <x:v>강남구</x:v>
      </x:c>
      <x:c r="E689" t="str">
        <x:v>청담동</x:v>
      </x:c>
      <x:c r="F689" t="str">
        <x:v>CS300016</x:v>
      </x:c>
      <x:c r="G689" t="str">
        <x:v>안경</x:v>
      </x:c>
      <x:c r="H689" t="n">
        <x:v>1113173143</x:v>
      </x:c>
      <x:c r="I689" t="n">
        <x:v>2581</x:v>
      </x:c>
      <x:c r="J689" t="n">
        <x:v>431295.2898101511</x:v>
      </x:c>
      <x:c r="K689" s="14" t="n">
        <x:v>0.032975124928926514</x:v>
      </x:c>
      <x:c r="L689" s="14" t="n">
        <x:v>0.02313988190963734</x:v>
      </x:c>
      <x:c r="M689" s="14" t="n">
        <x:v>0.009707725123368816</x:v>
      </x:c>
      <x:c r="N689" t="n">
        <x:v>9</x:v>
      </x:c>
      <x:c r="O689" t="n">
        <x:v>0</x:v>
      </x:c>
      <x:c r="P689" s="14" t="n">
        <x:v>0</x:v>
      </x:c>
      <x:c r="Q689" s="14" t="n">
        <x:v>0.3333333333333333</x:v>
      </x:c>
      <x:c r="R689" s="14" t="n">
        <x:v>0.2857142857142858</x:v>
      </x:c>
      <x:c r="S689" t="n">
        <x:v>19111</x:v>
      </x:c>
      <x:c r="T689" t="n">
        <x:v>716.8497770042422</x:v>
      </x:c>
      <x:c r="U689" s="14" t="n">
        <x:v>0.6413633974997904</x:v>
      </x:c>
      <x:c r="V689" s="14" t="n">
        <x:v>0.30238213445650836</x:v>
      </x:c>
      <x:c r="W689" s="14" t="n">
        <x:v>0.43631413590437296</x:v>
      </x:c>
      <x:c r="X689" s="14" t="n">
        <x:v>0.40179108686958326</x:v>
      </x:c>
      <x:c r="Y689" s="16" t="n">
        <x:v>91.78743961352657</x:v>
      </x:c>
      <x:c r="Z689" s="16" t="n">
        <x:v>68.78048780487805</x:v>
      </x:c>
      <x:c r="AA689" s="16" t="n">
        <x:v>62.295081967213115</x:v>
      </x:c>
      <x:c r="AB689" s="16" t="n">
        <x:v>49.271844660194176</x:v>
      </x:c>
      <x:c r="AC689" s="16" t="n">
        <x:v>57.28155339805825</x:v>
      </x:c>
      <x:c r="AD689" s="16" t="n">
        <x:v>94.14634146341463</x:v>
      </x:c>
      <x:c r="AE689" s="16" t="n">
        <x:v>73.05221283279757</x:v>
      </x:c>
      <x:c r="AF689" t="str">
        <x:v>검토</x:v>
      </x:c>
      <x:c r="AG689" t="str">
        <x:v>직장수요·수요 강점 / 경쟁여건 상대적 약점</x:v>
      </x:c>
    </x:row>
    <x:row r="690">
      <x:c r="A690" t="str">
        <x:v>3120113</x:v>
      </x:c>
      <x:c r="B690" t="str">
        <x:v>오목교역</x:v>
      </x:c>
      <x:c r="C690" t="str">
        <x:v>발달상권</x:v>
      </x:c>
      <x:c r="D690" t="str">
        <x:v>양천구</x:v>
      </x:c>
      <x:c r="E690" t="str">
        <x:v>목1동</x:v>
      </x:c>
      <x:c r="F690" t="str">
        <x:v>CS200003</x:v>
      </x:c>
      <x:c r="G690" t="str">
        <x:v>예술학원</x:v>
      </x:c>
      <x:c r="H690" t="n">
        <x:v>1961548437</x:v>
      </x:c>
      <x:c r="I690" t="n">
        <x:v>4532</x:v>
      </x:c>
      <x:c r="J690" t="n">
        <x:v>432821.8086937335</x:v>
      </x:c>
      <x:c r="K690" s="14" t="n">
        <x:v>0.09234598432186125</x:v>
      </x:c>
      <x:c r="L690" s="14" t="n">
        <x:v>0.09364146198394163</x:v>
      </x:c>
      <x:c r="M690" s="14" t="n">
        <x:v>0.053788091189524545</x:v>
      </x:c>
      <x:c r="N690" t="n">
        <x:v>78</x:v>
      </x:c>
      <x:c r="O690" t="n">
        <x:v>0</x:v>
      </x:c>
      <x:c r="P690" s="14" t="n">
        <x:v>0</x:v>
      </x:c>
      <x:c r="Q690" s="14" t="n">
        <x:v>0.0641025641025641</x:v>
      </x:c>
      <x:c r="R690" s="14" t="n">
        <x:v>0.21875</x:v>
      </x:c>
      <x:c r="S690" t="n">
        <x:v>5101</x:v>
      </x:c>
      <x:c r="T690" t="n">
        <x:v>362.4079060481837</x:v>
      </x:c>
      <x:c r="U690" s="14" t="n">
        <x:v>0.7220393329496966</x:v>
      </x:c>
      <x:c r="V690" s="14" t="n">
        <x:v>0.4431003127964053</x:v>
      </x:c>
      <x:c r="W690" s="14" t="n">
        <x:v>0.0770758876753651</x:v>
      </x:c>
      <x:c r="X690" s="14" t="n">
        <x:v>0.6238118156650954</x:v>
      </x:c>
      <x:c r="Y690" s="16" t="n">
        <x:v>98.00796812749005</x:v>
      </x:c>
      <x:c r="Z690" s="16" t="n">
        <x:v>65.439672801636</x:v>
      </x:c>
      <x:c r="AA690" s="16" t="n">
        <x:v>88.52459016393442</x:v>
      </x:c>
      <x:c r="AB690" s="16" t="n">
        <x:v>4.980079681274901</x:v>
      </x:c>
      <x:c r="AC690" s="16" t="n">
        <x:v>73.20717131474103</x:v>
      </x:c>
      <x:c r="AD690" s="16" t="n">
        <x:v>86.21951219512195</x:v>
      </x:c>
      <x:c r="AE690" s="16" t="n">
        <x:v>73.04811662296031</x:v>
      </x:c>
      <x:c r="AF690" t="str">
        <x:v>검토</x:v>
      </x:c>
      <x:c r="AG690" t="str">
        <x:v>수요·서울 업종추세 강점 / 경쟁여건 상대적 약점</x:v>
      </x:c>
    </x:row>
    <x:row r="691">
      <x:c r="A691" t="str">
        <x:v>3120077</x:v>
      </x:c>
      <x:c r="B691" t="str">
        <x:v>미아역</x:v>
      </x:c>
      <x:c r="C691" t="str">
        <x:v>발달상권</x:v>
      </x:c>
      <x:c r="D691" t="str">
        <x:v>강북구</x:v>
      </x:c>
      <x:c r="E691" t="str">
        <x:v>미아동</x:v>
      </x:c>
      <x:c r="F691" t="str">
        <x:v>CS200001</x:v>
      </x:c>
      <x:c r="G691" t="str">
        <x:v>일반교습학원</x:v>
      </x:c>
      <x:c r="H691" t="n">
        <x:v>560547753</x:v>
      </x:c>
      <x:c r="I691" t="n">
        <x:v>1523</x:v>
      </x:c>
      <x:c r="J691" t="n">
        <x:v>368054.99212081416</x:v>
      </x:c>
      <x:c r="K691" s="14" t="n">
        <x:v>0.024902747730376484</x:v>
      </x:c>
      <x:c r="L691" s="14" t="n">
        <x:v>0.026465986538897424</x:v>
      </x:c>
      <x:c r="M691" s="14" t="n">
        <x:v>0.05930632525283164</x:v>
      </x:c>
      <x:c r="N691" t="n">
        <x:v>17</x:v>
      </x:c>
      <x:c r="O691" t="n">
        <x:v>0</x:v>
      </x:c>
      <x:c r="P691" s="14" t="n">
        <x:v>0</x:v>
      </x:c>
      <x:c r="Q691" s="14" t="n">
        <x:v>0</x:v>
      </x:c>
      <x:c r="R691" s="14" t="n">
        <x:v>0</x:v>
      </x:c>
      <x:c r="S691" t="n">
        <x:v>354</x:v>
      </x:c>
      <x:c r="T691" t="n">
        <x:v>37.92261216094614</x:v>
      </x:c>
      <x:c r="U691" s="14" t="n">
        <x:v>0.8153438392250588</x:v>
      </x:c>
      <x:c r="V691" s="14" t="n">
        <x:v>0.5569228193837752</x:v>
      </x:c>
      <x:c r="W691" s="14" t="n">
        <x:v>0</x:v>
      </x:c>
      <x:c r="X691" s="14" t="n">
        <x:v>0.5399503492434836</x:v>
      </x:c>
      <x:c r="Y691" s="16" t="n">
        <x:v>75.31055900621118</x:v>
      </x:c>
      <x:c r="Z691" s="16" t="n">
        <x:v>59.41558441558441</x:v>
      </x:c>
      <x:c r="AA691" s="16" t="n">
        <x:v>70.49180327868852</x:v>
      </x:c>
      <x:c r="AB691" s="16" t="n">
        <x:v>96.42857142857143</x:v>
      </x:c>
      <x:c r="AC691" s="16" t="n">
        <x:v>83.92857142857143</x:v>
      </x:c>
      <x:c r="AD691" s="16" t="n">
        <x:v>27.317073170731707</x:v>
      </x:c>
      <x:c r="AE691" s="16" t="n">
        <x:v>73.0385795427735</x:v>
      </x:c>
      <x:c r="AF691" t="str">
        <x:v>검토</x:v>
      </x:c>
      <x:c r="AG691" t="str">
        <x:v>경쟁여건·안정성 강점 / 직장수요 상대적 약점</x:v>
      </x:c>
    </x:row>
    <x:row r="692">
      <x:c r="A692" t="str">
        <x:v>3111080</x:v>
      </x:c>
      <x:c r="B692" t="str">
        <x:v>굽은다리역 3번</x:v>
      </x:c>
      <x:c r="C692" t="str">
        <x:v>골목상권</x:v>
      </x:c>
      <x:c r="D692" t="str">
        <x:v>강동구</x:v>
      </x:c>
      <x:c r="E692" t="str">
        <x:v>명일1동</x:v>
      </x:c>
      <x:c r="F692" t="str">
        <x:v>CS300020</x:v>
      </x:c>
      <x:c r="G692" t="str">
        <x:v>서적</x:v>
      </x:c>
      <x:c r="H692" t="n">
        <x:v>195505129</x:v>
      </x:c>
      <x:c r="I692" t="n">
        <x:v>7338</x:v>
      </x:c>
      <x:c r="J692" t="n">
        <x:v>26642.8357863178</x:v>
      </x:c>
      <x:c r="K692" s="14" t="n">
        <x:v>1.1842589489366566</x:v>
      </x:c>
      <x:c r="L692" s="14" t="n">
        <x:v>0.20039418624921757</x:v>
      </x:c>
      <x:c r="M692" s="14" t="n">
        <x:v>-0.01061516125540185</x:v>
      </x:c>
      <x:c r="N692" t="n">
        <x:v>12</x:v>
      </x:c>
      <x:c r="O692" t="n">
        <x:v>0</x:v>
      </x:c>
      <x:c r="P692" s="14" t="n">
        <x:v>0</x:v>
      </x:c>
      <x:c r="Q692" s="14" t="n">
        <x:v>0.08333333333333333</x:v>
      </x:c>
      <x:c r="R692" s="14" t="n">
        <x:v>-0.07692307692307687</x:v>
      </x:c>
      <x:c r="S692" t="n">
        <x:v>554</x:v>
      </x:c>
      <x:c r="T692" t="n">
        <x:v>66.30839387664723</x:v>
      </x:c>
      <x:c r="U692" s="14" t="n">
        <x:v>0.4408314423300884</x:v>
      </x:c>
      <x:c r="V692" s="14" t="n">
        <x:v>0.25638138117593834</x:v>
      </x:c>
      <x:c r="W692" s="14" t="n">
        <x:v>0.03335979998765148</x:v>
      </x:c>
      <x:c r="X692" s="14" t="n">
        <x:v>0.660913760477353</x:v>
      </x:c>
      <x:c r="Y692" s="16" t="n">
        <x:v>59.060402684563755</x:v>
      </x:c>
      <x:c r="Z692" s="16" t="n">
        <x:v>99.28571428571429</x:v>
      </x:c>
      <x:c r="AA692" s="16" t="n">
        <x:v>96.72131147540983</x:v>
      </x:c>
      <x:c r="AB692" s="16" t="n">
        <x:v>65.1006711409396</x:v>
      </x:c>
      <x:c r="AC692" s="16" t="n">
        <x:v>59.395973154362416</x:v>
      </x:c>
      <x:c r="AD692" s="16" t="n">
        <x:v>45.91463414634146</x:v>
      </x:c>
      <x:c r="AE692" s="16" t="n">
        <x:v>73.03691021194591</x:v>
      </x:c>
      <x:c r="AF692" t="str">
        <x:v>검토</x:v>
      </x:c>
      <x:c r="AG692" t="str">
        <x:v>상권 모멘텀·서울 업종추세 강점 / 직장수요 상대적 약점</x:v>
      </x:c>
    </x:row>
    <x:row r="693">
      <x:c r="A693" t="str">
        <x:v>3110625</x:v>
      </x:c>
      <x:c r="B693" t="str">
        <x:v>신정2동주민센터</x:v>
      </x:c>
      <x:c r="C693" t="str">
        <x:v>골목상권</x:v>
      </x:c>
      <x:c r="D693" t="str">
        <x:v>양천구</x:v>
      </x:c>
      <x:c r="E693" t="str">
        <x:v>신정2동</x:v>
      </x:c>
      <x:c r="F693" t="str">
        <x:v>CS300009</x:v>
      </x:c>
      <x:c r="G693" t="str">
        <x:v>청과상</x:v>
      </x:c>
      <x:c r="H693" t="n">
        <x:v>608842266</x:v>
      </x:c>
      <x:c r="I693" t="n">
        <x:v>18974</x:v>
      </x:c>
      <x:c r="J693" t="n">
        <x:v>32088.240012648886</x:v>
      </x:c>
      <x:c r="K693" s="14" t="n">
        <x:v>0.10885424079135775</x:v>
      </x:c>
      <x:c r="L693" s="14" t="n">
        <x:v>0.19728256051488424</x:v>
      </x:c>
      <x:c r="M693" s="14" t="n">
        <x:v>0.09797365727115581</x:v>
      </x:c>
      <x:c r="N693" t="n">
        <x:v>12</x:v>
      </x:c>
      <x:c r="O693" t="n">
        <x:v>0</x:v>
      </x:c>
      <x:c r="P693" s="14" t="n">
        <x:v>0</x:v>
      </x:c>
      <x:c r="Q693" s="14" t="n">
        <x:v>0</x:v>
      </x:c>
      <x:c r="R693" s="14" t="n">
        <x:v>0.09090909090909083</x:v>
      </x:c>
      <x:c r="S693" t="n">
        <x:v>6826</x:v>
      </x:c>
      <x:c r="T693" t="n">
        <x:v>676.6857664016495</x:v>
      </x:c>
      <x:c r="U693" s="14" t="n">
        <x:v>0.8744008238744713</x:v>
      </x:c>
      <x:c r="V693" s="14" t="n">
        <x:v>0.316170410219188</x:v>
      </x:c>
      <x:c r="W693" s="14" t="n">
        <x:v>0.03739518800095919</x:v>
      </x:c>
      <x:c r="X693" s="14" t="n">
        <x:v>0.6804872511922488</x:v>
      </x:c>
      <x:c r="Y693" s="16" t="n">
        <x:v>58.608058608058606</x:v>
      </x:c>
      <x:c r="Z693" s="16" t="n">
        <x:v>75.57251908396947</x:v>
      </x:c>
      <x:c r="AA693" s="16" t="n">
        <x:v>95.08196721311475</x:v>
      </x:c>
      <x:c r="AB693" s="16" t="n">
        <x:v>76.55677655677655</x:v>
      </x:c>
      <x:c r="AC693" s="16" t="n">
        <x:v>69.5970695970696</x:v>
      </x:c>
      <x:c r="AD693" s="16" t="n">
        <x:v>93.78048780487805</x:v>
      </x:c>
      <x:c r="AE693" s="16" t="n">
        <x:v>73.02186724504895</x:v>
      </x:c>
      <x:c r="AF693" t="str">
        <x:v>검토</x:v>
      </x:c>
      <x:c r="AG693" t="str">
        <x:v>서울 업종추세·직장수요 강점 / 수요 상대적 약점</x:v>
      </x:c>
    </x:row>
    <x:row r="694">
      <x:c r="A694" t="str">
        <x:v>3120095</x:v>
      </x:c>
      <x:c r="B694" t="str">
        <x:v>홍제역</x:v>
      </x:c>
      <x:c r="C694" t="str">
        <x:v>발달상권</x:v>
      </x:c>
      <x:c r="D694" t="str">
        <x:v>서대문구</x:v>
      </x:c>
      <x:c r="E694" t="str">
        <x:v>홍제1동</x:v>
      </x:c>
      <x:c r="F694" t="str">
        <x:v>CS100009</x:v>
      </x:c>
      <x:c r="G694" t="str">
        <x:v>호프-간이주점</x:v>
      </x:c>
      <x:c r="H694" t="n">
        <x:v>864732774</x:v>
      </x:c>
      <x:c r="I694" t="n">
        <x:v>14187</x:v>
      </x:c>
      <x:c r="J694" t="n">
        <x:v>60952.47578769296</x:v>
      </x:c>
      <x:c r="K694" s="14" t="n">
        <x:v>0.27201619099296237</x:v>
      </x:c>
      <x:c r="L694" s="14" t="n">
        <x:v>-0.09956754672050205</x:v>
      </x:c>
      <x:c r="M694" s="14" t="n">
        <x:v>0.017869323230272016</x:v>
      </x:c>
      <x:c r="N694" t="n">
        <x:v>19</x:v>
      </x:c>
      <x:c r="O694" t="n">
        <x:v>0</x:v>
      </x:c>
      <x:c r="P694" s="14" t="n">
        <x:v>0</x:v>
      </x:c>
      <x:c r="Q694" s="14" t="n">
        <x:v>0.15789473684210525</x:v>
      </x:c>
      <x:c r="R694" s="14" t="n">
        <x:v>0.46153846153846145</x:v>
      </x:c>
      <x:c r="S694" t="n">
        <x:v>988</x:v>
      </x:c>
      <x:c r="T694" t="n">
        <x:v>98.1970699902598</x:v>
      </x:c>
      <x:c r="U694" s="14" t="n">
        <x:v>0.6744996969433704</x:v>
      </x:c>
      <x:c r="V694" s="14" t="n">
        <x:v>0.6158166707811169</x:v>
      </x:c>
      <x:c r="W694" s="14" t="n">
        <x:v>0.315792520198847</x:v>
      </x:c>
      <x:c r="X694" s="14" t="n">
        <x:v>0.2574555292615751</x:v>
      </x:c>
      <x:c r="Y694" s="16" t="n">
        <x:v>79.45516458569807</x:v>
      </x:c>
      <x:c r="Z694" s="16" t="n">
        <x:v>94.79768786127168</x:v>
      </x:c>
      <x:c r="AA694" s="16" t="n">
        <x:v>13.114754098360656</x:v>
      </x:c>
      <x:c r="AB694" s="16" t="n">
        <x:v>84.4494892167991</x:v>
      </x:c>
      <x:c r="AC694" s="16" t="n">
        <x:v>86.83314415437003</x:v>
      </x:c>
      <x:c r="AD694" s="16" t="n">
        <x:v>58.65853658536585</x:v>
      </x:c>
      <x:c r="AE694" s="16" t="n">
        <x:v>73.01972291922792</x:v>
      </x:c>
      <x:c r="AF694" t="str">
        <x:v>검토</x:v>
      </x:c>
      <x:c r="AG694" t="str">
        <x:v>상권 모멘텀·안정성 강점 / 서울 업종추세 상대적 약점</x:v>
      </x:c>
    </x:row>
    <x:row r="695">
      <x:c r="A695" t="str">
        <x:v>3120051</x:v>
      </x:c>
      <x:c r="B695" t="str">
        <x:v>뚝섬역</x:v>
      </x:c>
      <x:c r="C695" t="str">
        <x:v>발달상권</x:v>
      </x:c>
      <x:c r="D695" t="str">
        <x:v>성동구</x:v>
      </x:c>
      <x:c r="E695" t="str">
        <x:v>성수1가2동</x:v>
      </x:c>
      <x:c r="F695" t="str">
        <x:v>CS200028</x:v>
      </x:c>
      <x:c r="G695" t="str">
        <x:v>미용실</x:v>
      </x:c>
      <x:c r="H695" t="n">
        <x:v>430749325</x:v>
      </x:c>
      <x:c r="I695" t="n">
        <x:v>6832</x:v>
      </x:c>
      <x:c r="J695" t="n">
        <x:v>63048.788788056205</x:v>
      </x:c>
      <x:c r="K695" s="14" t="n">
        <x:v>0.22307584275539427</x:v>
      </x:c>
      <x:c r="L695" s="14" t="n">
        <x:v>0.02168887159425803</x:v>
      </x:c>
      <x:c r="M695" s="14" t="n">
        <x:v>-0.013481964371473865</x:v>
      </x:c>
      <x:c r="N695" t="n">
        <x:v>71</x:v>
      </x:c>
      <x:c r="O695" t="n">
        <x:v>1</x:v>
      </x:c>
      <x:c r="P695" s="14" t="n">
        <x:v>0.013157894736842105</x:v>
      </x:c>
      <x:c r="Q695" s="14" t="n">
        <x:v>0.056338028169014086</x:v>
      </x:c>
      <x:c r="R695" s="14" t="n">
        <x:v>0.9189189189189189</x:v>
      </x:c>
      <x:c r="S695" t="n">
        <x:v>6598</x:v>
      </x:c>
      <x:c r="T695" t="n">
        <x:v>302.4344183019119</x:v>
      </x:c>
      <x:c r="U695" s="14" t="n">
        <x:v>0.5345732184258211</x:v>
      </x:c>
      <x:c r="V695" s="14" t="n">
        <x:v>0.36912826735131854</x:v>
      </x:c>
      <x:c r="W695" s="14" t="n">
        <x:v>0.6237460360500855</x:v>
      </x:c>
      <x:c r="X695" s="14" t="n">
        <x:v>0.7246989185647592</x:v>
      </x:c>
      <x:c r="Y695" s="16" t="n">
        <x:v>91.58460161145926</x:v>
      </x:c>
      <x:c r="Z695" s="16" t="n">
        <x:v>95.59352517985612</x:v>
      </x:c>
      <x:c r="AA695" s="16" t="n">
        <x:v>57.377049180327866</x:v>
      </x:c>
      <x:c r="AB695" s="16" t="n">
        <x:v>31.557743957027753</x:v>
      </x:c>
      <x:c r="AC695" s="16" t="n">
        <x:v>43.06177260519248</x:v>
      </x:c>
      <x:c r="AD695" s="16" t="n">
        <x:v>83.96341463414635</x:v>
      </x:c>
      <x:c r="AE695" s="16" t="n">
        <x:v>73.01788256281188</x:v>
      </x:c>
      <x:c r="AF695" t="str">
        <x:v>검토</x:v>
      </x:c>
      <x:c r="AG695" t="str">
        <x:v>상권 모멘텀·수요 강점 / 경쟁여건 상대적 약점</x:v>
      </x:c>
    </x:row>
    <x:row r="696">
      <x:c r="A696" t="str">
        <x:v>3120224</x:v>
      </x:c>
      <x:c r="B696" t="str">
        <x:v>수서역</x:v>
      </x:c>
      <x:c r="C696" t="str">
        <x:v>발달상권</x:v>
      </x:c>
      <x:c r="D696" t="str">
        <x:v>강남구</x:v>
      </x:c>
      <x:c r="E696" t="str">
        <x:v>수서동</x:v>
      </x:c>
      <x:c r="F696" t="str">
        <x:v>CS100007</x:v>
      </x:c>
      <x:c r="G696" t="str">
        <x:v>치킨전문점</x:v>
      </x:c>
      <x:c r="H696" t="n">
        <x:v>278802622</x:v>
      </x:c>
      <x:c r="I696" t="n">
        <x:v>6458</x:v>
      </x:c>
      <x:c r="J696" t="n">
        <x:v>43171.6664602044</x:v>
      </x:c>
      <x:c r="K696" s="14" t="n">
        <x:v>0.07422964451922454</x:v>
      </x:c>
      <x:c r="L696" s="14" t="n">
        <x:v>-0.0724550541763268</x:v>
      </x:c>
      <x:c r="M696" s="14" t="n">
        <x:v>-0.037092372220345116</x:v>
      </x:c>
      <x:c r="N696" t="n">
        <x:v>8</x:v>
      </x:c>
      <x:c r="O696" t="n">
        <x:v>0</x:v>
      </x:c>
      <x:c r="P696" s="14" t="n">
        <x:v>0</x:v>
      </x:c>
      <x:c r="Q696" s="14" t="n">
        <x:v>0.75</x:v>
      </x:c>
      <x:c r="R696" s="14" t="n">
        <x:v>-0.11111111111111116</x:v>
      </x:c>
      <x:c r="S696" t="n">
        <x:v>19403</x:v>
      </x:c>
      <x:c r="T696" t="n">
        <x:v>3224.0001329279035</x:v>
      </x:c>
      <x:c r="U696" s="14" t="n">
        <x:v>0.7852874532865763</x:v>
      </x:c>
      <x:c r="V696" s="14" t="n">
        <x:v>0.8994136432475875</x:v>
      </x:c>
      <x:c r="W696" s="14" t="n">
        <x:v>0.24186646279101348</x:v>
      </x:c>
      <x:c r="X696" s="14" t="n">
        <x:v>0.24888232579103936</x:v>
      </x:c>
      <x:c r="Y696" s="16" t="n">
        <x:v>83.86454183266932</x:v>
      </x:c>
      <x:c r="Z696" s="16" t="n">
        <x:v>73.72708757637474</x:v>
      </x:c>
      <x:c r="AA696" s="16" t="n">
        <x:v>16.39344262295082</x:v>
      </x:c>
      <x:c r="AB696" s="16" t="n">
        <x:v>92.33067729083665</x:v>
      </x:c>
      <x:c r="AC696" s="16" t="n">
        <x:v>76.29482071713147</x:v>
      </x:c>
      <x:c r="AD696" s="16" t="n">
        <x:v>99.63414634146342</x:v>
      </x:c>
      <x:c r="AE696" s="16" t="n">
        <x:v>73.01781453256365</x:v>
      </x:c>
      <x:c r="AF696" t="str">
        <x:v>검토</x:v>
      </x:c>
      <x:c r="AG696" t="str">
        <x:v>직장수요·경쟁여건 강점 / 서울 업종추세 상대적 약점</x:v>
      </x:c>
    </x:row>
    <x:row r="697">
      <x:c r="A697" t="str">
        <x:v>3120212</x:v>
      </x:c>
      <x:c r="B697" t="str">
        <x:v>한티역</x:v>
      </x:c>
      <x:c r="C697" t="str">
        <x:v>발달상권</x:v>
      </x:c>
      <x:c r="D697" t="str">
        <x:v>강남구</x:v>
      </x:c>
      <x:c r="E697" t="str">
        <x:v>대치4동</x:v>
      </x:c>
      <x:c r="F697" t="str">
        <x:v>CS300007</x:v>
      </x:c>
      <x:c r="G697" t="str">
        <x:v>육류판매</x:v>
      </x:c>
      <x:c r="H697" t="n">
        <x:v>1283287316</x:v>
      </x:c>
      <x:c r="I697" t="n">
        <x:v>33612</x:v>
      </x:c>
      <x:c r="J697" t="n">
        <x:v>38179.43936689277</x:v>
      </x:c>
      <x:c r="K697" s="14" t="n">
        <x:v>0.020860012425609087</x:v>
      </x:c>
      <x:c r="L697" s="14" t="n">
        <x:v>0.23518223683931017</x:v>
      </x:c>
      <x:c r="M697" s="14" t="n">
        <x:v>0.00863079289162072</x:v>
      </x:c>
      <x:c r="N697" t="n">
        <x:v>11</x:v>
      </x:c>
      <x:c r="O697" t="n">
        <x:v>0</x:v>
      </x:c>
      <x:c r="P697" s="14" t="n">
        <x:v>0</x:v>
      </x:c>
      <x:c r="Q697" s="14" t="n">
        <x:v>0</x:v>
      </x:c>
      <x:c r="R697" s="14" t="n">
        <x:v>0</x:v>
      </x:c>
      <x:c r="S697" t="n">
        <x:v>9550</x:v>
      </x:c>
      <x:c r="T697" t="n">
        <x:v>847.1268650096688</x:v>
      </x:c>
      <x:c r="U697" s="14" t="n">
        <x:v>0.6606621365530585</x:v>
      </x:c>
      <x:c r="V697" s="14" t="n">
        <x:v>0.331342582209392</x:v>
      </x:c>
      <x:c r="W697" s="14" t="n">
        <x:v>0.06622751424436271</x:v>
      </x:c>
      <x:c r="X697" s="14" t="n">
        <x:v>0.5299009625682297</x:v>
      </x:c>
      <x:c r="Y697" s="16" t="n">
        <x:v>76.73267326732673</x:v>
      </x:c>
      <x:c r="Z697" s="16" t="n">
        <x:v>42.077922077922075</x:v>
      </x:c>
      <x:c r="AA697" s="16" t="n">
        <x:v>100</x:v>
      </x:c>
      <x:c r="AB697" s="16" t="n">
        <x:v>75</x:v>
      </x:c>
      <x:c r="AC697" s="16" t="n">
        <x:v>66.83168316831683</x:v>
      </x:c>
      <x:c r="AD697" s="16" t="n">
        <x:v>95.73170731707317</x:v>
      </x:c>
      <x:c r="AE697" s="16" t="n">
        <x:v>72.99177374183411</x:v>
      </x:c>
      <x:c r="AF697" t="str">
        <x:v>검토</x:v>
      </x:c>
      <x:c r="AG697" t="str">
        <x:v>서울 업종추세·직장수요 강점 / 상권 모멘텀 상대적 약점</x:v>
      </x:c>
    </x:row>
    <x:row r="698">
      <x:c r="A698" t="str">
        <x:v>3110578</x:v>
      </x:c>
      <x:c r="B698" t="str">
        <x:v>대흥역 2번</x:v>
      </x:c>
      <x:c r="C698" t="str">
        <x:v>골목상권</x:v>
      </x:c>
      <x:c r="D698" t="str">
        <x:v>마포구</x:v>
      </x:c>
      <x:c r="E698" t="str">
        <x:v>염리동</x:v>
      </x:c>
      <x:c r="F698" t="str">
        <x:v>CS300011</x:v>
      </x:c>
      <x:c r="G698" t="str">
        <x:v>일반의류</x:v>
      </x:c>
      <x:c r="H698" t="n">
        <x:v>110400760</x:v>
      </x:c>
      <x:c r="I698" t="n">
        <x:v>989</x:v>
      </x:c>
      <x:c r="J698" t="n">
        <x:v>111628.675429727</x:v>
      </x:c>
      <x:c r="K698" s="14" t="n">
        <x:v>0.41021359875287433</x:v>
      </x:c>
      <x:c r="L698" s="14" t="n">
        <x:v>0.06726691045630595</x:v>
      </x:c>
      <x:c r="M698" s="14" t="n">
        <x:v>0.00788849516466894</x:v>
      </x:c>
      <x:c r="N698" t="n">
        <x:v>8</x:v>
      </x:c>
      <x:c r="O698" t="n">
        <x:v>0</x:v>
      </x:c>
      <x:c r="P698" s="14" t="n">
        <x:v>0</x:v>
      </x:c>
      <x:c r="Q698" s="14" t="n">
        <x:v>0</x:v>
      </x:c>
      <x:c r="R698" s="14" t="n">
        <x:v>-0.4666666666666667</x:v>
      </x:c>
      <x:c r="S698" t="n">
        <x:v>1260</x:v>
      </x:c>
      <x:c r="T698" t="n">
        <x:v>112.5502456453774</x:v>
      </x:c>
      <x:c r="U698" s="14" t="n">
        <x:v>0.9473852716231301</x:v>
      </x:c>
      <x:c r="V698" s="14" t="n">
        <x:v>0.2712312668862062</x:v>
      </x:c>
      <x:c r="W698" s="14" t="n">
        <x:v>0.03977733486617302</x:v>
      </x:c>
      <x:c r="X698" s="14" t="n">
        <x:v>0.9021057373155764</x:v>
      </x:c>
      <x:c r="Y698" s="16" t="n">
        <x:v>46.4075382803298</x:v>
      </x:c>
      <x:c r="Z698" s="16" t="n">
        <x:v>88.68832731648617</x:v>
      </x:c>
      <x:c r="AA698" s="16" t="n">
        <x:v>81.9672131147541</x:v>
      </x:c>
      <x:c r="AB698" s="16" t="n">
        <x:v>99.82332155477032</x:v>
      </x:c>
      <x:c r="AC698" s="16" t="n">
        <x:v>86.33686690223793</x:v>
      </x:c>
      <x:c r="AD698" s="16" t="n">
        <x:v>61.951219512195124</x:v>
      </x:c>
      <x:c r="AE698" s="16" t="n">
        <x:v>72.98013172767487</x:v>
      </x:c>
      <x:c r="AF698" t="str">
        <x:v>검토</x:v>
      </x:c>
      <x:c r="AG698" t="str">
        <x:v>경쟁여건·상권 모멘텀 강점 / 수요 상대적 약점</x:v>
      </x:c>
    </x:row>
    <x:row r="699">
      <x:c r="A699" t="str">
        <x:v>3120039</x:v>
      </x:c>
      <x:c r="B699" t="str">
        <x:v>신당역</x:v>
      </x:c>
      <x:c r="C699" t="str">
        <x:v>발달상권</x:v>
      </x:c>
      <x:c r="D699" t="str">
        <x:v>중구</x:v>
      </x:c>
      <x:c r="E699" t="str">
        <x:v>신당동</x:v>
      </x:c>
      <x:c r="F699" t="str">
        <x:v>CS300033</x:v>
      </x:c>
      <x:c r="G699" t="str">
        <x:v>철물점</x:v>
      </x:c>
      <x:c r="H699" t="n">
        <x:v>924519063</x:v>
      </x:c>
      <x:c r="I699" t="n">
        <x:v>15448</x:v>
      </x:c>
      <x:c r="J699" t="n">
        <x:v>59847.168759709995</x:v>
      </x:c>
      <x:c r="K699" s="14" t="n">
        <x:v>0.08950417417889889</x:v>
      </x:c>
      <x:c r="L699" s="14" t="n">
        <x:v>0.018800721364975237</x:v>
      </x:c>
      <x:c r="M699" s="14" t="n">
        <x:v>-0.020555839555512545</x:v>
      </x:c>
      <x:c r="N699" t="n">
        <x:v>7</x:v>
      </x:c>
      <x:c r="O699" t="n">
        <x:v>0</x:v>
      </x:c>
      <x:c r="P699" s="14" t="n">
        <x:v>0</x:v>
      </x:c>
      <x:c r="Q699" s="14" t="n">
        <x:v>0</x:v>
      </x:c>
      <x:c r="R699" s="14" t="n">
        <x:v>0</x:v>
      </x:c>
      <x:c r="S699" t="n">
        <x:v>2321</x:v>
      </x:c>
      <x:c r="T699" t="n">
        <x:v>116.6472338372467</x:v>
      </x:c>
      <x:c r="U699" s="14" t="n">
        <x:v>0.9672328032894223</x:v>
      </x:c>
      <x:c r="V699" s="14" t="n">
        <x:v>0.0020887454648406746</x:v>
      </x:c>
      <x:c r="W699" s="14" t="n">
        <x:v>0.024151121262493642</x:v>
      </x:c>
      <x:c r="X699" s="14" t="n">
        <x:v>0.03276719671057773</x:v>
      </x:c>
      <x:c r="Y699" s="16" t="n">
        <x:v>96.80232558139535</x:v>
      </x:c>
      <x:c r="Z699" s="16" t="n">
        <x:v>65.95092024539878</x:v>
      </x:c>
      <x:c r="AA699" s="16" t="n">
        <x:v>54.09836065573771</x:v>
      </x:c>
      <x:c r="AB699" s="16" t="n">
        <x:v>61.04651162790697</x:v>
      </x:c>
      <x:c r="AC699" s="16" t="n">
        <x:v>54.651162790697676</x:v>
      </x:c>
      <x:c r="AD699" s="16" t="n">
        <x:v>63.23170731707317</x:v>
      </x:c>
      <x:c r="AE699" s="16" t="n">
        <x:v>72.96943049003826</x:v>
      </x:c>
      <x:c r="AF699" t="str">
        <x:v>검토</x:v>
      </x:c>
      <x:c r="AG699" t="str">
        <x:v>수요·상권 모멘텀 강점 / 서울 업종추세 상대적 약점</x:v>
      </x:c>
    </x:row>
    <x:row r="700">
      <x:c r="A700" t="str">
        <x:v>3120112</x:v>
      </x:c>
      <x:c r="B700" t="str">
        <x:v>등촌역</x:v>
      </x:c>
      <x:c r="C700" t="str">
        <x:v>발달상권</x:v>
      </x:c>
      <x:c r="D700" t="str">
        <x:v>양천구</x:v>
      </x:c>
      <x:c r="E700" t="str">
        <x:v>목3동</x:v>
      </x:c>
      <x:c r="F700" t="str">
        <x:v>CS300011</x:v>
      </x:c>
      <x:c r="G700" t="str">
        <x:v>일반의류</x:v>
      </x:c>
      <x:c r="H700" t="n">
        <x:v>1297458623</x:v>
      </x:c>
      <x:c r="I700" t="n">
        <x:v>47431</x:v>
      </x:c>
      <x:c r="J700" t="n">
        <x:v>27354.654614070965</x:v>
      </x:c>
      <x:c r="K700" s="14" t="n">
        <x:v>0.2583188456599925</x:v>
      </x:c>
      <x:c r="L700" s="14" t="n">
        <x:v>0.06726691045630595</x:v>
      </x:c>
      <x:c r="M700" s="14" t="n">
        <x:v>0.00788849516466894</x:v>
      </x:c>
      <x:c r="N700" t="n">
        <x:v>54</x:v>
      </x:c>
      <x:c r="O700" t="n">
        <x:v>2</x:v>
      </x:c>
      <x:c r="P700" s="14" t="n">
        <x:v>0.03389830508474576</x:v>
      </x:c>
      <x:c r="Q700" s="14" t="n">
        <x:v>0</x:v>
      </x:c>
      <x:c r="R700" s="14" t="n">
        <x:v>-0.018181818181818188</x:v>
      </x:c>
      <x:c r="S700" t="n">
        <x:v>3539</x:v>
      </x:c>
      <x:c r="T700" t="n">
        <x:v>192.57453488815005</x:v>
      </x:c>
      <x:c r="U700" s="14" t="n">
        <x:v>0.8021073277802709</x:v>
      </x:c>
      <x:c r="V700" s="14" t="n">
        <x:v>0.14180613064529304</x:v>
      </x:c>
      <x:c r="W700" s="14" t="n">
        <x:v>0.14983754360542717</x:v>
      </x:c>
      <x:c r="X700" s="14" t="n">
        <x:v>0.3613703101497673</x:v>
      </x:c>
      <x:c r="Y700" s="16" t="n">
        <x:v>85.51236749116607</x:v>
      </x:c>
      <x:c r="Z700" s="16" t="n">
        <x:v>81.70878459687124</x:v>
      </x:c>
      <x:c r="AA700" s="16" t="n">
        <x:v>81.9672131147541</x:v>
      </x:c>
      <x:c r="AB700" s="16" t="n">
        <x:v>57.302709069493524</x:v>
      </x:c>
      <x:c r="AC700" s="16" t="n">
        <x:v>20.25912838633687</x:v>
      </x:c>
      <x:c r="AD700" s="16" t="n">
        <x:v>75.36585365853658</x:v>
      </x:c>
      <x:c r="AE700" s="16" t="n">
        <x:v>72.95577939048003</x:v>
      </x:c>
      <x:c r="AF700" t="str">
        <x:v>검토</x:v>
      </x:c>
      <x:c r="AG700" t="str">
        <x:v>수요·서울 업종추세 강점 / 안정성 상대적 약점</x:v>
      </x:c>
    </x:row>
    <x:row r="701">
      <x:c r="A701" t="str">
        <x:v>3120080</x:v>
      </x:c>
      <x:c r="B701" t="str">
        <x:v>마들역</x:v>
      </x:c>
      <x:c r="C701" t="str">
        <x:v>발달상권</x:v>
      </x:c>
      <x:c r="D701" t="str">
        <x:v>노원구</x:v>
      </x:c>
      <x:c r="E701" t="str">
        <x:v>상계9동</x:v>
      </x:c>
      <x:c r="F701" t="str">
        <x:v>CS200008</x:v>
      </x:c>
      <x:c r="G701" t="str">
        <x:v>한의원</x:v>
      </x:c>
      <x:c r="H701" t="n">
        <x:v>851597559</x:v>
      </x:c>
      <x:c r="I701" t="n">
        <x:v>40723</x:v>
      </x:c>
      <x:c r="J701" t="n">
        <x:v>20911.955381479755</x:v>
      </x:c>
      <x:c r="K701" s="14" t="n">
        <x:v>0.06699373876623071</x:v>
      </x:c>
      <x:c r="L701" s="14" t="n">
        <x:v>-0.11853376587381492</x:v>
      </x:c>
      <x:c r="M701" s="14" t="n">
        <x:v>-0.03146924751688074</x:v>
      </x:c>
      <x:c r="N701" t="n">
        <x:v>4</x:v>
      </x:c>
      <x:c r="O701" t="n">
        <x:v>0</x:v>
      </x:c>
      <x:c r="P701" s="14" t="n">
        <x:v>0</x:v>
      </x:c>
      <x:c r="Q701" s="14" t="n">
        <x:v>0</x:v>
      </x:c>
      <x:c r="R701" s="14" t="n">
        <x:v>0</x:v>
      </x:c>
      <x:c r="S701" t="n">
        <x:v>1635</x:v>
      </x:c>
      <x:c r="T701" t="n">
        <x:v>419.4889162561576</x:v>
      </x:c>
      <x:c r="U701" s="14" t="n">
        <x:v>0.721396994985985</x:v>
      </x:c>
      <x:c r="V701" s="14" t="n">
        <x:v>0.24843140608391528</x:v>
      </x:c>
      <x:c r="W701" s="14" t="n">
        <x:v>0.1353362005115846</x:v>
      </x:c>
      <x:c r="X701" s="14" t="n">
        <x:v>0.6455892037144743</x:v>
      </x:c>
      <x:c r="Y701" s="16" t="n">
        <x:v>87.94788273615636</x:v>
      </x:c>
      <x:c r="Z701" s="16" t="n">
        <x:v>80.85808580858085</x:v>
      </x:c>
      <x:c r="AA701" s="16" t="n">
        <x:v>9.836065573770492</x:v>
      </x:c>
      <x:c r="AB701" s="16" t="n">
        <x:v>96.9055374592834</x:v>
      </x:c>
      <x:c r="AC701" s="16" t="n">
        <x:v>55.86319218241042</x:v>
      </x:c>
      <x:c r="AD701" s="16" t="n">
        <x:v>87.98780487804878</x:v>
      </x:c>
      <x:c r="AE701" s="16" t="n">
        <x:v>72.95032603647246</x:v>
      </x:c>
      <x:c r="AF701" t="str">
        <x:v>검토</x:v>
      </x:c>
      <x:c r="AG701" t="str">
        <x:v>경쟁여건·직장수요 강점 / 서울 업종추세 상대적 약점</x:v>
      </x:c>
    </x:row>
    <x:row r="702">
      <x:c r="A702" t="str">
        <x:v>3110147</x:v>
      </x:c>
      <x:c r="B702" t="str">
        <x:v>능동우편취급국</x:v>
      </x:c>
      <x:c r="C702" t="str">
        <x:v>골목상권</x:v>
      </x:c>
      <x:c r="D702" t="str">
        <x:v>광진구</x:v>
      </x:c>
      <x:c r="E702" t="str">
        <x:v>군자동</x:v>
      </x:c>
      <x:c r="F702" t="str">
        <x:v>CS300035</x:v>
      </x:c>
      <x:c r="G702" t="str">
        <x:v>인테리어</x:v>
      </x:c>
      <x:c r="H702" t="n">
        <x:v>592073027</x:v>
      </x:c>
      <x:c r="I702" t="n">
        <x:v>278</x:v>
      </x:c>
      <x:c r="J702" t="n">
        <x:v>2129759.0899280575</x:v>
      </x:c>
      <x:c r="K702" s="14" t="n">
        <x:v>0.569739060095735</x:v>
      </x:c>
      <x:c r="L702" s="14" t="n">
        <x:v>0.20213561276420866</x:v>
      </x:c>
      <x:c r="M702" s="14" t="n">
        <x:v>0.044160820891303576</x:v>
      </x:c>
      <x:c r="N702" t="n">
        <x:v>13</x:v>
      </x:c>
      <x:c r="O702" t="n">
        <x:v>1</x:v>
      </x:c>
      <x:c r="P702" s="14" t="n">
        <x:v>0.05555555555555555</x:v>
      </x:c>
      <x:c r="Q702" s="14" t="n">
        <x:v>0</x:v>
      </x:c>
      <x:c r="R702" s="14" t="n">
        <x:v>0.18181818181818188</x:v>
      </x:c>
      <x:c r="S702" t="n">
        <x:v>225</x:v>
      </x:c>
      <x:c r="T702" t="n">
        <x:v>14.32856351374587</x:v>
      </x:c>
      <x:c r="U702" s="14" t="n">
        <x:v>1</x:v>
      </x:c>
      <x:c r="V702" s="14" t="n">
        <x:v>0</x:v>
      </x:c>
      <x:c r="W702" s="14" t="n">
        <x:v>0</x:v>
      </x:c>
      <x:c r="X702" s="14" t="n">
        <x:v>0.9994111520300688</x:v>
      </x:c>
      <x:c r="Y702" s="16" t="n">
        <x:v>91.30434782608695</x:v>
      </x:c>
      <x:c r="Z702" s="16" t="n">
        <x:v>83.43949044585987</x:v>
      </x:c>
      <x:c r="AA702" s="16" t="n">
        <x:v>98.36065573770492</x:v>
      </x:c>
      <x:c r="AB702" s="16" t="n">
        <x:v>55.70652173913044</x:v>
      </x:c>
      <x:c r="AC702" s="16" t="n">
        <x:v>8.152173913043484</x:v>
      </x:c>
      <x:c r="AD702" s="16" t="n">
        <x:v>7.5</x:v>
      </x:c>
      <x:c r="AE702" s="16" t="n">
        <x:v>72.94471384113206</x:v>
      </x:c>
      <x:c r="AF702" t="str">
        <x:v>검토</x:v>
      </x:c>
      <x:c r="AG702" t="str">
        <x:v>서울 업종추세·수요 강점 / 직장수요 상대적 약점</x:v>
      </x:c>
    </x:row>
    <x:row r="703">
      <x:c r="A703" t="str">
        <x:v>3120052</x:v>
      </x:c>
      <x:c r="B703" t="str">
        <x:v>성수역</x:v>
      </x:c>
      <x:c r="C703" t="str">
        <x:v>발달상권</x:v>
      </x:c>
      <x:c r="D703" t="str">
        <x:v>성동구</x:v>
      </x:c>
      <x:c r="E703" t="str">
        <x:v>성수2가3동</x:v>
      </x:c>
      <x:c r="F703" t="str">
        <x:v>CS300028</x:v>
      </x:c>
      <x:c r="G703" t="str">
        <x:v>화초</x:v>
      </x:c>
      <x:c r="H703" t="n">
        <x:v>126053544</x:v>
      </x:c>
      <x:c r="I703" t="n">
        <x:v>3038</x:v>
      </x:c>
      <x:c r="J703" t="n">
        <x:v>41492.27913100724</x:v>
      </x:c>
      <x:c r="K703" s="14" t="n">
        <x:v>0.11003047702365443</x:v>
      </x:c>
      <x:c r="L703" s="14" t="n">
        <x:v>0.028008199294863756</x:v>
      </x:c>
      <x:c r="M703" s="14" t="n">
        <x:v>-0.0030123365554672876</x:v>
      </x:c>
      <x:c r="N703" t="n">
        <x:v>21</x:v>
      </x:c>
      <x:c r="O703" t="n">
        <x:v>0</x:v>
      </x:c>
      <x:c r="P703" s="14" t="n">
        <x:v>0</x:v>
      </x:c>
      <x:c r="Q703" s="14" t="n">
        <x:v>0</x:v>
      </x:c>
      <x:c r="R703" s="14" t="n">
        <x:v>0.6153846153846154</x:v>
      </x:c>
      <x:c r="S703" t="n">
        <x:v>11354</x:v>
      </x:c>
      <x:c r="T703" t="n">
        <x:v>379.8099277779079</x:v>
      </x:c>
      <x:c r="U703" s="14" t="n">
        <x:v>0.7972602103118973</x:v>
      </x:c>
      <x:c r="V703" s="14" t="n">
        <x:v>0.17195217454576286</x:v>
      </x:c>
      <x:c r="W703" s="14" t="n">
        <x:v>0.30730574302615404</x:v>
      </x:c>
      <x:c r="X703" s="14" t="n">
        <x:v>0.2786057804134408</x:v>
      </x:c>
      <x:c r="Y703" s="16" t="n">
        <x:v>76.1744966442953</x:v>
      </x:c>
      <x:c r="Z703" s="16" t="n">
        <x:v>85.95890410958904</x:v>
      </x:c>
      <x:c r="AA703" s="16" t="n">
        <x:v>73.77049180327869</x:v>
      </x:c>
      <x:c r="AB703" s="16" t="n">
        <x:v>46.644295302013425</x:v>
      </x:c>
      <x:c r="AC703" s="16" t="n">
        <x:v>66.7785234899329</x:v>
      </x:c>
      <x:c r="AD703" s="16" t="n">
        <x:v>86.82926829268293</x:v>
      </x:c>
      <x:c r="AE703" s="16" t="n">
        <x:v>72.93438847684241</x:v>
      </x:c>
      <x:c r="AF703" t="str">
        <x:v>검토</x:v>
      </x:c>
      <x:c r="AG703" t="str">
        <x:v>직장수요·상권 모멘텀 강점 / 경쟁여건 상대적 약점</x:v>
      </x:c>
    </x:row>
    <x:row r="704">
      <x:c r="A704" t="str">
        <x:v>3110473</x:v>
      </x:c>
      <x:c r="B704" t="str">
        <x:v>구산역 1번</x:v>
      </x:c>
      <x:c r="C704" t="str">
        <x:v>골목상권</x:v>
      </x:c>
      <x:c r="D704" t="str">
        <x:v>은평구</x:v>
      </x:c>
      <x:c r="E704" t="str">
        <x:v>대조동</x:v>
      </x:c>
      <x:c r="F704" t="str">
        <x:v>CS200001</x:v>
      </x:c>
      <x:c r="G704" t="str">
        <x:v>일반교습학원</x:v>
      </x:c>
      <x:c r="H704" t="n">
        <x:v>1358025341</x:v>
      </x:c>
      <x:c r="I704" t="n">
        <x:v>5607</x:v>
      </x:c>
      <x:c r="J704" t="n">
        <x:v>242201.77296236847</x:v>
      </x:c>
      <x:c r="K704" s="14" t="n">
        <x:v>0.13586209651090497</x:v>
      </x:c>
      <x:c r="L704" s="14" t="n">
        <x:v>0.026465986538897424</x:v>
      </x:c>
      <x:c r="M704" s="14" t="n">
        <x:v>0.05930632525283164</x:v>
      </x:c>
      <x:c r="N704" t="n">
        <x:v>60</x:v>
      </x:c>
      <x:c r="O704" t="n">
        <x:v>0</x:v>
      </x:c>
      <x:c r="P704" s="14" t="n">
        <x:v>0</x:v>
      </x:c>
      <x:c r="Q704" s="14" t="n">
        <x:v>0.13333333333333333</x:v>
      </x:c>
      <x:c r="R704" s="14" t="n">
        <x:v>0.4285714285714286</x:v>
      </x:c>
      <x:c r="S704" t="n">
        <x:v>265</x:v>
      </x:c>
      <x:c r="T704" t="n">
        <x:v>14.279555986636492</x:v>
      </x:c>
      <x:c r="U704" s="14" t="n">
        <x:v>0.7114350143779828</x:v>
      </x:c>
      <x:c r="V704" s="14" t="n">
        <x:v>0.337121199566776</x:v>
      </x:c>
      <x:c r="W704" s="14" t="n">
        <x:v>0.013752148384983634</x:v>
      </x:c>
      <x:c r="X704" s="14" t="n">
        <x:v>0.5273379622449917</x:v>
      </x:c>
      <x:c r="Y704" s="16" t="n">
        <x:v>85.8695652173913</x:v>
      </x:c>
      <x:c r="Z704" s="16" t="n">
        <x:v>84.57792207792208</x:v>
      </x:c>
      <x:c r="AA704" s="16" t="n">
        <x:v>70.49180327868852</x:v>
      </x:c>
      <x:c r="AB704" s="16" t="n">
        <x:v>44.099378881987576</x:v>
      </x:c>
      <x:c r="AC704" s="16" t="n">
        <x:v>83.92857142857143</x:v>
      </x:c>
      <x:c r="AD704" s="16" t="n">
        <x:v>7.378048780487805</x:v>
      </x:c>
      <x:c r="AE704" s="16" t="n">
        <x:v>72.92036914765433</x:v>
      </x:c>
      <x:c r="AF704" t="str">
        <x:v>검토</x:v>
      </x:c>
      <x:c r="AG704" t="str">
        <x:v>수요·상권 모멘텀 강점 / 직장수요 상대적 약점</x:v>
      </x:c>
    </x:row>
    <x:row r="705">
      <x:c r="A705" t="str">
        <x:v>3120007</x:v>
      </x:c>
      <x:c r="B705" t="str">
        <x:v>북촌(안국역)</x:v>
      </x:c>
      <x:c r="C705" t="str">
        <x:v>발달상권</x:v>
      </x:c>
      <x:c r="D705" t="str">
        <x:v>종로구</x:v>
      </x:c>
      <x:c r="E705" t="str">
        <x:v>가회동</x:v>
      </x:c>
      <x:c r="F705" t="str">
        <x:v>CS100001</x:v>
      </x:c>
      <x:c r="G705" t="str">
        <x:v>한식음식점</x:v>
      </x:c>
      <x:c r="H705" t="n">
        <x:v>11666266169</x:v>
      </x:c>
      <x:c r="I705" t="n">
        <x:v>351141</x:v>
      </x:c>
      <x:c r="J705" t="n">
        <x:v>33223.87920806742</x:v>
      </x:c>
      <x:c r="K705" s="14" t="n">
        <x:v>0.06078931355803818</x:v>
      </x:c>
      <x:c r="L705" s="14" t="n">
        <x:v>-0.0018259958518723751</x:v>
      </x:c>
      <x:c r="M705" s="14" t="n">
        <x:v>0.06341040875687098</x:v>
      </x:c>
      <x:c r="N705" t="n">
        <x:v>79</x:v>
      </x:c>
      <x:c r="O705" t="n">
        <x:v>5</x:v>
      </x:c>
      <x:c r="P705" s="14" t="n">
        <x:v>0.05952380952380952</x:v>
      </x:c>
      <x:c r="Q705" s="14" t="n">
        <x:v>0.1518987341772152</x:v>
      </x:c>
      <x:c r="R705" s="14" t="n">
        <x:v>-0.10227272727272729</x:v>
      </x:c>
      <x:c r="S705" t="n">
        <x:v>12202</x:v>
      </x:c>
      <x:c r="T705" t="n">
        <x:v>617.275831541672</x:v>
      </x:c>
      <x:c r="U705" s="14" t="n">
        <x:v>0.6802714096381938</x:v>
      </x:c>
      <x:c r="V705" s="14" t="n">
        <x:v>0.35328314177776754</x:v>
      </x:c>
      <x:c r="W705" s="14" t="n">
        <x:v>0.3618972618864822</x:v>
      </x:c>
      <x:c r="X705" s="14" t="n">
        <x:v>0.4388794781320234</x:v>
      </x:c>
      <x:c r="Y705" s="16" t="n">
        <x:v>94.87544483985765</x:v>
      </x:c>
      <x:c r="Z705" s="16" t="n">
        <x:v>77.26947819871337</x:v>
      </x:c>
      <x:c r="AA705" s="16" t="n">
        <x:v>40.98360655737705</x:v>
      </x:c>
      <x:c r="AB705" s="16" t="n">
        <x:v>81.31672597864768</x:v>
      </x:c>
      <x:c r="AC705" s="16" t="n">
        <x:v>12.491103202846972</x:v>
      </x:c>
      <x:c r="AD705" s="16" t="n">
        <x:v>92.92682926829268</x:v>
      </x:c>
      <x:c r="AE705" s="16" t="n">
        <x:v>72.90080299779588</x:v>
      </x:c>
      <x:c r="AF705" t="str">
        <x:v>검토</x:v>
      </x:c>
      <x:c r="AG705" t="str">
        <x:v>수요·직장수요 강점 / 안정성 상대적 약점</x:v>
      </x:c>
    </x:row>
    <x:row r="706">
      <x:c r="A706" t="str">
        <x:v>3120210</x:v>
      </x:c>
      <x:c r="B706" t="str">
        <x:v>선릉역</x:v>
      </x:c>
      <x:c r="C706" t="str">
        <x:v>발달상권</x:v>
      </x:c>
      <x:c r="D706" t="str">
        <x:v>강남구</x:v>
      </x:c>
      <x:c r="E706" t="str">
        <x:v>대치4동</x:v>
      </x:c>
      <x:c r="F706" t="str">
        <x:v>CS100003</x:v>
      </x:c>
      <x:c r="G706" t="str">
        <x:v>일식음식점</x:v>
      </x:c>
      <x:c r="H706" t="n">
        <x:v>3320756078</x:v>
      </x:c>
      <x:c r="I706" t="n">
        <x:v>85120</x:v>
      </x:c>
      <x:c r="J706" t="n">
        <x:v>39012.641893796994</x:v>
      </x:c>
      <x:c r="K706" s="14" t="n">
        <x:v>0.17821132383430904</x:v>
      </x:c>
      <x:c r="L706" s="14" t="n">
        <x:v>0.048235937606500245</x:v>
      </x:c>
      <x:c r="M706" s="14" t="n">
        <x:v>-0.004288267098710441</x:v>
      </x:c>
      <x:c r="N706" t="n">
        <x:v>64</x:v>
      </x:c>
      <x:c r="O706" t="n">
        <x:v>3</x:v>
      </x:c>
      <x:c r="P706" s="14" t="n">
        <x:v>0.043478260869565216</x:v>
      </x:c>
      <x:c r="Q706" s="14" t="n">
        <x:v>0.234375</x:v>
      </x:c>
      <x:c r="R706" s="14" t="n">
        <x:v>0.10344827586206895</x:v>
      </x:c>
      <x:c r="S706" t="n">
        <x:v>59959</x:v>
      </x:c>
      <x:c r="T706" t="n">
        <x:v>1663.5223092161116</x:v>
      </x:c>
      <x:c r="U706" s="14" t="n">
        <x:v>0.8488696519070257</x:v>
      </x:c>
      <x:c r="V706" s="14" t="n">
        <x:v>0.5185450459333617</x:v>
      </x:c>
      <x:c r="W706" s="14" t="n">
        <x:v>0.3153252670189045</x:v>
      </x:c>
      <x:c r="X706" s="14" t="n">
        <x:v>0.2533422522580112</x:v>
      </x:c>
      <x:c r="Y706" s="16" t="n">
        <x:v>94.04761904761905</x:v>
      </x:c>
      <x:c r="Z706" s="16" t="n">
        <x:v>87.34567901234568</x:v>
      </x:c>
      <x:c r="AA706" s="16" t="n">
        <x:v>78.68852459016394</x:v>
      </x:c>
      <x:c r="AB706" s="16" t="n">
        <x:v>20.98214285714286</x:v>
      </x:c>
      <x:c r="AC706" s="16" t="n">
        <x:v>26.48809523809524</x:v>
      </x:c>
      <x:c r="AD706" s="16" t="n">
        <x:v>98.17073170731707</x:v>
      </x:c>
      <x:c r="AE706" s="16" t="n">
        <x:v>72.89374869540718</x:v>
      </x:c>
      <x:c r="AF706" t="str">
        <x:v>검토</x:v>
      </x:c>
      <x:c r="AG706" t="str">
        <x:v>직장수요·수요 강점 / 경쟁여건 상대적 약점</x:v>
      </x:c>
    </x:row>
    <x:row r="707">
      <x:c r="A707" t="str">
        <x:v>3120106</x:v>
      </x:c>
      <x:c r="B707" t="str">
        <x:v>마포역</x:v>
      </x:c>
      <x:c r="C707" t="str">
        <x:v>발달상권</x:v>
      </x:c>
      <x:c r="D707" t="str">
        <x:v>마포구</x:v>
      </x:c>
      <x:c r="E707" t="str">
        <x:v>용강동</x:v>
      </x:c>
      <x:c r="F707" t="str">
        <x:v>CS100008</x:v>
      </x:c>
      <x:c r="G707" t="str">
        <x:v>분식전문점</x:v>
      </x:c>
      <x:c r="H707" t="n">
        <x:v>303167275</x:v>
      </x:c>
      <x:c r="I707" t="n">
        <x:v>11556</x:v>
      </x:c>
      <x:c r="J707" t="n">
        <x:v>26234.620543440637</x:v>
      </x:c>
      <x:c r="K707" s="14" t="n">
        <x:v>0.2532811664149086</x:v>
      </x:c>
      <x:c r="L707" s="14" t="n">
        <x:v>-0.021494731595524064</x:v>
      </x:c>
      <x:c r="M707" s="14" t="n">
        <x:v>0.009923521656473921</x:v>
      </x:c>
      <x:c r="N707" t="n">
        <x:v>21</x:v>
      </x:c>
      <x:c r="O707" t="n">
        <x:v>0</x:v>
      </x:c>
      <x:c r="P707" s="14" t="n">
        <x:v>0</x:v>
      </x:c>
      <x:c r="Q707" s="14" t="n">
        <x:v>0.3333333333333333</x:v>
      </x:c>
      <x:c r="R707" s="14" t="n">
        <x:v>-0.16000000000000003</x:v>
      </x:c>
      <x:c r="S707" t="n">
        <x:v>14017</x:v>
      </x:c>
      <x:c r="T707" t="n">
        <x:v>1025.2040607354963</x:v>
      </x:c>
      <x:c r="U707" s="14" t="n">
        <x:v>0.811302050988188</x:v>
      </x:c>
      <x:c r="V707" s="14" t="n">
        <x:v>0.07994176482273689</x:v>
      </x:c>
      <x:c r="W707" s="14" t="n">
        <x:v>0.11707125051673206</x:v>
      </x:c>
      <x:c r="X707" s="14" t="n">
        <x:v>0.11133620210162855</x:v>
      </x:c>
      <x:c r="Y707" s="16" t="n">
        <x:v>70.91836734693878</x:v>
      </x:c>
      <x:c r="Z707" s="16" t="n">
        <x:v>93.08093994778068</x:v>
      </x:c>
      <x:c r="AA707" s="16" t="n">
        <x:v>34.42622950819672</x:v>
      </x:c>
      <x:c r="AB707" s="16" t="n">
        <x:v>74.42602040816327</x:v>
      </x:c>
      <x:c r="AC707" s="16" t="n">
        <x:v>82.71683673469389</x:v>
      </x:c>
      <x:c r="AD707" s="16" t="n">
        <x:v>97.07317073170732</x:v>
      </x:c>
      <x:c r="AE707" s="16" t="n">
        <x:v>72.89079625849347</x:v>
      </x:c>
      <x:c r="AF707" t="str">
        <x:v>검토</x:v>
      </x:c>
      <x:c r="AG707" t="str">
        <x:v>직장수요·상권 모멘텀 강점 / 서울 업종추세 상대적 약점</x:v>
      </x:c>
    </x:row>
    <x:row r="708">
      <x:c r="A708" t="str">
        <x:v>3120180</x:v>
      </x:c>
      <x:c r="B708" t="str">
        <x:v>양재화물트럭터미널앞</x:v>
      </x:c>
      <x:c r="C708" t="str">
        <x:v>발달상권</x:v>
      </x:c>
      <x:c r="D708" t="str">
        <x:v>서초구</x:v>
      </x:c>
      <x:c r="E708" t="str">
        <x:v>양재2동</x:v>
      </x:c>
      <x:c r="F708" t="str">
        <x:v>CS300011</x:v>
      </x:c>
      <x:c r="G708" t="str">
        <x:v>일반의류</x:v>
      </x:c>
      <x:c r="H708" t="n">
        <x:v>579049794</x:v>
      </x:c>
      <x:c r="I708" t="n">
        <x:v>1622</x:v>
      </x:c>
      <x:c r="J708" t="n">
        <x:v>356997.4069050555</x:v>
      </x:c>
      <x:c r="K708" s="14" t="n">
        <x:v>0.3157578579983067</x:v>
      </x:c>
      <x:c r="L708" s="14" t="n">
        <x:v>0.06726691045630595</x:v>
      </x:c>
      <x:c r="M708" s="14" t="n">
        <x:v>0.00788849516466894</x:v>
      </x:c>
      <x:c r="N708" t="n">
        <x:v>110</x:v>
      </x:c>
      <x:c r="O708" t="n">
        <x:v>0</x:v>
      </x:c>
      <x:c r="P708" s="14" t="n">
        <x:v>0</x:v>
      </x:c>
      <x:c r="Q708" s="14" t="n">
        <x:v>0</x:v>
      </x:c>
      <x:c r="R708" s="14" t="n">
        <x:v>-0.17910447761194026</x:v>
      </x:c>
      <x:c r="S708" t="n">
        <x:v>5021</x:v>
      </x:c>
      <x:c r="T708" t="n">
        <x:v>272.7914810387917</x:v>
      </x:c>
      <x:c r="U708" s="14" t="n">
        <x:v>0.8704257599649539</x:v>
      </x:c>
      <x:c r="V708" s="14" t="n">
        <x:v>0.45047165667414085</x:v>
      </x:c>
      <x:c r="W708" s="14" t="n">
        <x:v>0.07932322138085417</x:v>
      </x:c>
      <x:c r="X708" s="14" t="n">
        <x:v>0.3587508607247687</x:v>
      </x:c>
      <x:c r="Y708" s="16" t="n">
        <x:v>76.7962308598351</x:v>
      </x:c>
      <x:c r="Z708" s="16" t="n">
        <x:v>84.35619735258724</x:v>
      </x:c>
      <x:c r="AA708" s="16" t="n">
        <x:v>81.9672131147541</x:v>
      </x:c>
      <x:c r="AB708" s="16" t="n">
        <x:v>27.26737338044758</x:v>
      </x:c>
      <x:c r="AC708" s="16" t="n">
        <x:v>86.33686690223793</x:v>
      </x:c>
      <x:c r="AD708" s="16" t="n">
        <x:v>82.3170731707317</x:v>
      </x:c>
      <x:c r="AE708" s="16" t="n">
        <x:v>72.88464859450035</x:v>
      </x:c>
      <x:c r="AF708" t="str">
        <x:v>검토</x:v>
      </x:c>
      <x:c r="AG708" t="str">
        <x:v>안정성·상권 모멘텀 강점 / 경쟁여건 상대적 약점</x:v>
      </x:c>
    </x:row>
    <x:row r="709">
      <x:c r="A709" t="str">
        <x:v>3130024</x:v>
      </x:c>
      <x:c r="B709" t="str">
        <x:v>남대문시장(자유상가)</x:v>
      </x:c>
      <x:c r="C709" t="str">
        <x:v>전통시장</x:v>
      </x:c>
      <x:c r="D709" t="str">
        <x:v>중구</x:v>
      </x:c>
      <x:c r="E709" t="str">
        <x:v>회현동</x:v>
      </x:c>
      <x:c r="F709" t="str">
        <x:v>CS300028</x:v>
      </x:c>
      <x:c r="G709" t="str">
        <x:v>화초</x:v>
      </x:c>
      <x:c r="H709" t="n">
        <x:v>3535854546</x:v>
      </x:c>
      <x:c r="I709" t="n">
        <x:v>49475</x:v>
      </x:c>
      <x:c r="J709" t="n">
        <x:v>71467.49966649823</x:v>
      </x:c>
      <x:c r="K709" s="14" t="n">
        <x:v>0.08311465877548607</x:v>
      </x:c>
      <x:c r="L709" s="14" t="n">
        <x:v>0.028008199294863756</x:v>
      </x:c>
      <x:c r="M709" s="14" t="n">
        <x:v>-0.0030123365554672876</x:v>
      </x:c>
      <x:c r="N709" t="n">
        <x:v>30</x:v>
      </x:c>
      <x:c r="O709" t="n">
        <x:v>2</x:v>
      </x:c>
      <x:c r="P709" s="14" t="n">
        <x:v>0.05714285714285714</x:v>
      </x:c>
      <x:c r="Q709" s="14" t="n">
        <x:v>0</x:v>
      </x:c>
      <x:c r="R709" s="14" t="n">
        <x:v>0.5789473684210527</x:v>
      </x:c>
      <x:c r="S709" t="n">
        <x:v>26964</x:v>
      </x:c>
      <x:c r="T709" t="n">
        <x:v>3453.9119741763593</x:v>
      </x:c>
      <x:c r="U709" s="14" t="n">
        <x:v>0.969667907826885</x:v>
      </x:c>
      <x:c r="V709" s="14" t="n">
        <x:v>0.06494786197011171</x:v>
      </x:c>
      <x:c r="W709" s="14" t="n">
        <x:v>0.1252850908420824</x:v>
      </x:c>
      <x:c r="X709" s="14" t="n">
        <x:v>0.37177247901418625</x:v>
      </x:c>
      <x:c r="Y709" s="16" t="n">
        <x:v>99.32885906040268</x:v>
      </x:c>
      <x:c r="Z709" s="16" t="n">
        <x:v>83.9041095890411</x:v>
      </x:c>
      <x:c r="AA709" s="16" t="n">
        <x:v>73.77049180327869</x:v>
      </x:c>
      <x:c r="AB709" s="16" t="n">
        <x:v>30.872483221476514</x:v>
      </x:c>
      <x:c r="AC709" s="16" t="n">
        <x:v>6.543624161073822</x:v>
      </x:c>
      <x:c r="AD709" s="16" t="n">
        <x:v>99.7560975609756</x:v>
      </x:c>
      <x:c r="AE709" s="16" t="n">
        <x:v>72.8845361368186</x:v>
      </x:c>
      <x:c r="AF709" t="str">
        <x:v>검토</x:v>
      </x:c>
      <x:c r="AG709" t="str">
        <x:v>직장수요·수요 강점 / 안정성 상대적 약점</x:v>
      </x:c>
    </x:row>
    <x:row r="710">
      <x:c r="A710" t="str">
        <x:v>3130121</x:v>
      </x:c>
      <x:c r="B710" t="str">
        <x:v>길음시장</x:v>
      </x:c>
      <x:c r="C710" t="str">
        <x:v>전통시장</x:v>
      </x:c>
      <x:c r="D710" t="str">
        <x:v>성북구</x:v>
      </x:c>
      <x:c r="E710" t="str">
        <x:v>길음1동</x:v>
      </x:c>
      <x:c r="F710" t="str">
        <x:v>CS300035</x:v>
      </x:c>
      <x:c r="G710" t="str">
        <x:v>인테리어</x:v>
      </x:c>
      <x:c r="H710" t="n">
        <x:v>84000000</x:v>
      </x:c>
      <x:c r="I710" t="n">
        <x:v>4981</x:v>
      </x:c>
      <x:c r="J710" t="n">
        <x:v>16864.08351736599</x:v>
      </x:c>
      <x:c r="K710" s="14" t="n">
        <x:v>0.08257775381721322</x:v>
      </x:c>
      <x:c r="L710" s="14" t="n">
        <x:v>0.20213561276420866</x:v>
      </x:c>
      <x:c r="M710" s="14" t="n">
        <x:v>0.044160820891303576</x:v>
      </x:c>
      <x:c r="N710" t="n">
        <x:v>4</x:v>
      </x:c>
      <x:c r="O710" t="n">
        <x:v>0</x:v>
      </x:c>
      <x:c r="P710" s="14" t="n">
        <x:v>0</x:v>
      </x:c>
      <x:c r="Q710" s="14" t="n">
        <x:v>0</x:v>
      </x:c>
      <x:c r="R710" s="14" t="n">
        <x:v>0</x:v>
      </x:c>
      <x:c r="S710" t="n">
        <x:v>430</x:v>
      </x:c>
      <x:c r="T710" t="n">
        <x:v>541.1527812735968</x:v>
      </x:c>
      <x:c r="U710" s="14" t="n">
        <x:v>0.7920325</x:v>
      </x:c>
      <x:c r="V710" s="14" t="n">
        <x:v>0.08945442857142857</x:v>
      </x:c>
      <x:c r="W710" s="14" t="n">
        <x:v>0.02007992857142857</x:v>
      </x:c>
      <x:c r="X710" s="14" t="n">
        <x:v>0.5741186547619047</x:v>
      </x:c>
      <x:c r="Y710" s="16" t="n">
        <x:v>62.5</x:v>
      </x:c>
      <x:c r="Z710" s="16" t="n">
        <x:v>53.503184713375795</x:v>
      </x:c>
      <x:c r="AA710" s="16" t="n">
        <x:v>98.36065573770492</x:v>
      </x:c>
      <x:c r="AB710" s="16" t="n">
        <x:v>99.72826086956522</x:v>
      </x:c>
      <x:c r="AC710" s="16" t="n">
        <x:v>60.32608695652174</x:v>
      </x:c>
      <x:c r="AD710" s="16" t="n">
        <x:v>90.79268292682927</x:v>
      </x:c>
      <x:c r="AE710" s="16" t="n">
        <x:v>72.86121727575933</x:v>
      </x:c>
      <x:c r="AF710" t="str">
        <x:v>검토</x:v>
      </x:c>
      <x:c r="AG710" t="str">
        <x:v>경쟁여건·서울 업종추세 강점 / 상권 모멘텀 상대적 약점</x:v>
      </x:c>
    </x:row>
    <x:row r="711">
      <x:c r="A711" t="str">
        <x:v>3120154</x:v>
      </x:c>
      <x:c r="B711" t="str">
        <x:v>장승배기역</x:v>
      </x:c>
      <x:c r="C711" t="str">
        <x:v>발달상권</x:v>
      </x:c>
      <x:c r="D711" t="str">
        <x:v>동작구</x:v>
      </x:c>
      <x:c r="E711" t="str">
        <x:v>상도2동</x:v>
      </x:c>
      <x:c r="F711" t="str">
        <x:v>CS300035</x:v>
      </x:c>
      <x:c r="G711" t="str">
        <x:v>인테리어</x:v>
      </x:c>
      <x:c r="H711" t="n">
        <x:v>93831229</x:v>
      </x:c>
      <x:c r="I711" t="n">
        <x:v>3980</x:v>
      </x:c>
      <x:c r="J711" t="n">
        <x:v>23575.68567839196</x:v>
      </x:c>
      <x:c r="K711" s="14" t="n">
        <x:v>0.15618330717464501</x:v>
      </x:c>
      <x:c r="L711" s="14" t="n">
        <x:v>0.20213561276420866</x:v>
      </x:c>
      <x:c r="M711" s="14" t="n">
        <x:v>0.044160820891303576</x:v>
      </x:c>
      <x:c r="N711" t="n">
        <x:v>6</x:v>
      </x:c>
      <x:c r="O711" t="n">
        <x:v>0</x:v>
      </x:c>
      <x:c r="P711" s="14" t="n">
        <x:v>0</x:v>
      </x:c>
      <x:c r="Q711" s="14" t="n">
        <x:v>0</x:v>
      </x:c>
      <x:c r="R711" s="14" t="n">
        <x:v>-0.33333333333333337</x:v>
      </x:c>
      <x:c r="S711" t="n">
        <x:v>551</x:v>
      </x:c>
      <x:c r="T711" t="n">
        <x:v>64.95496769934455</x:v>
      </x:c>
      <x:c r="U711" s="14" t="n">
        <x:v>0.887053573602878</x:v>
      </x:c>
      <x:c r="V711" s="14" t="n">
        <x:v>0.05770089614833884</x:v>
      </x:c>
      <x:c r="W711" s="14" t="n">
        <x:v>0.01595982505994886</x:v>
      </x:c>
      <x:c r="X711" s="14" t="n">
        <x:v>0.399441959776526</x:v>
      </x:c>
      <x:c r="Y711" s="16" t="n">
        <x:v>66.30434782608695</x:v>
      </x:c>
      <x:c r="Z711" s="16" t="n">
        <x:v>64.3312101910828</x:v>
      </x:c>
      <x:c r="AA711" s="16" t="n">
        <x:v>98.36065573770492</x:v>
      </x:c>
      <x:c r="AB711" s="16" t="n">
        <x:v>91.57608695652173</x:v>
      </x:c>
      <x:c r="AC711" s="16" t="n">
        <x:v>60.32608695652174</x:v>
      </x:c>
      <x:c r="AD711" s="16" t="n">
        <x:v>45.30487804878049</x:v>
      </x:c>
      <x:c r="AE711" s="16" t="n">
        <x:v>72.86112777957219</x:v>
      </x:c>
      <x:c r="AF711" t="str">
        <x:v>검토</x:v>
      </x:c>
      <x:c r="AG711" t="str">
        <x:v>서울 업종추세·경쟁여건 강점 / 직장수요 상대적 약점</x:v>
      </x:c>
    </x:row>
    <x:row r="712">
      <x:c r="A712" t="str">
        <x:v>3120061</x:v>
      </x:c>
      <x:c r="B712" t="str">
        <x:v>올림픽대교북단</x:v>
      </x:c>
      <x:c r="C712" t="str">
        <x:v>발달상권</x:v>
      </x:c>
      <x:c r="D712" t="str">
        <x:v>광진구</x:v>
      </x:c>
      <x:c r="E712" t="str">
        <x:v>구의3동</x:v>
      </x:c>
      <x:c r="F712" t="str">
        <x:v>CS200006</x:v>
      </x:c>
      <x:c r="G712" t="str">
        <x:v>일반의원</x:v>
      </x:c>
      <x:c r="H712" t="n">
        <x:v>10565021866</x:v>
      </x:c>
      <x:c r="I712" t="n">
        <x:v>278267</x:v>
      </x:c>
      <x:c r="J712" t="n">
        <x:v>37967.210865823115</x:v>
      </x:c>
      <x:c r="K712" s="14" t="n">
        <x:v>0.038986687136139286</x:v>
      </x:c>
      <x:c r="L712" s="14" t="n">
        <x:v>0.09973642051122278</x:v>
      </x:c>
      <x:c r="M712" s="14" t="n">
        <x:v>0.06942273842247415</x:v>
      </x:c>
      <x:c r="N712" t="n">
        <x:v>37</x:v>
      </x:c>
      <x:c r="O712" t="n">
        <x:v>0</x:v>
      </x:c>
      <x:c r="P712" s="14" t="n">
        <x:v>0</x:v>
      </x:c>
      <x:c r="Q712" s="14" t="n">
        <x:v>0</x:v>
      </x:c>
      <x:c r="R712" s="14" t="n">
        <x:v>0.1212121212121211</x:v>
      </x:c>
      <x:c r="S712" t="n">
        <x:v>1505</x:v>
      </x:c>
      <x:c r="T712" t="n">
        <x:v>318.93701788590323</x:v>
      </x:c>
      <x:c r="U712" s="14" t="n">
        <x:v>0.8095424424557457</x:v>
      </x:c>
      <x:c r="V712" s="14" t="n">
        <x:v>0.16647918947146645</x:v>
      </x:c>
      <x:c r="W712" s="14" t="n">
        <x:v>0.17498637886870227</x:v>
      </x:c>
      <x:c r="X712" s="14" t="n">
        <x:v>0.5709883330590733</x:v>
      </x:c>
      <x:c r="Y712" s="16" t="n">
        <x:v>93.61702127659575</x:v>
      </x:c>
      <x:c r="Z712" s="16" t="n">
        <x:v>56.201550387596896</x:v>
      </x:c>
      <x:c r="AA712" s="16" t="n">
        <x:v>90.1639344262295</x:v>
      </x:c>
      <x:c r="AB712" s="16" t="n">
        <x:v>32.26744186046511</x:v>
      </x:c>
      <x:c r="AC712" s="16" t="n">
        <x:v>62.5</x:v>
      </x:c>
      <x:c r="AD712" s="16" t="n">
        <x:v>84.57317073170732</x:v>
      </x:c>
      <x:c r="AE712" s="16" t="n">
        <x:v>72.84963250391746</x:v>
      </x:c>
      <x:c r="AF712" t="str">
        <x:v>검토</x:v>
      </x:c>
      <x:c r="AG712" t="str">
        <x:v>수요·서울 업종추세 강점 / 경쟁여건 상대적 약점</x:v>
      </x:c>
    </x:row>
    <x:row r="713">
      <x:c r="A713" t="str">
        <x:v>3110602</x:v>
      </x:c>
      <x:c r="B713" t="str">
        <x:v>신월시영아파트중문</x:v>
      </x:c>
      <x:c r="C713" t="str">
        <x:v>골목상권</x:v>
      </x:c>
      <x:c r="D713" t="str">
        <x:v>양천구</x:v>
      </x:c>
      <x:c r="E713" t="str">
        <x:v>신월7동</x:v>
      </x:c>
      <x:c r="F713" t="str">
        <x:v>CS200025</x:v>
      </x:c>
      <x:c r="G713" t="str">
        <x:v>자동차수리</x:v>
      </x:c>
      <x:c r="H713" t="n">
        <x:v>724634526</x:v>
      </x:c>
      <x:c r="I713" t="n">
        <x:v>4107</x:v>
      </x:c>
      <x:c r="J713" t="n">
        <x:v>176438.8911614317</x:v>
      </x:c>
      <x:c r="K713" s="14" t="n">
        <x:v>0.16721192612741875</x:v>
      </x:c>
      <x:c r="L713" s="14" t="n">
        <x:v>0.02213950283587751</x:v>
      </x:c>
      <x:c r="M713" s="14" t="n">
        <x:v>0.024356161917000962</x:v>
      </x:c>
      <x:c r="N713" t="n">
        <x:v>13</x:v>
      </x:c>
      <x:c r="O713" t="n">
        <x:v>0</x:v>
      </x:c>
      <x:c r="P713" s="14" t="n">
        <x:v>0</x:v>
      </x:c>
      <x:c r="Q713" s="14" t="n">
        <x:v>0.07692307692307693</x:v>
      </x:c>
      <x:c r="R713" s="14" t="n">
        <x:v>0.08333333333333326</x:v>
      </x:c>
      <x:c r="S713" t="n">
        <x:v>800</x:v>
      </x:c>
      <x:c r="T713" t="n">
        <x:v>130.28467200833822</x:v>
      </x:c>
      <x:c r="U713" s="14" t="n">
        <x:v>0.8784456386777243</x:v>
      </x:c>
      <x:c r="V713" s="14" t="n">
        <x:v>0.2610977550909574</x:v>
      </x:c>
      <x:c r="W713" s="14" t="n">
        <x:v>0.10151503462864257</x:v>
      </x:c>
      <x:c r="X713" s="14" t="n">
        <x:v>0.2665480695022804</x:v>
      </x:c>
      <x:c r="Y713" s="16" t="n">
        <x:v>80.9651474530831</x:v>
      </x:c>
      <x:c r="Z713" s="16" t="n">
        <x:v>81.69398907103825</x:v>
      </x:c>
      <x:c r="AA713" s="16" t="n">
        <x:v>59.01639344262295</x:v>
      </x:c>
      <x:c r="AB713" s="16" t="n">
        <x:v>68.68279569892474</x:v>
      </x:c>
      <x:c r="AC713" s="16" t="n">
        <x:v>56.98924731182796</x:v>
      </x:c>
      <x:c r="AD713" s="16" t="n">
        <x:v>66.28048780487805</x:v>
      </x:c>
      <x:c r="AE713" s="16" t="n">
        <x:v>72.84442691544558</x:v>
      </x:c>
      <x:c r="AF713" t="str">
        <x:v>검토</x:v>
      </x:c>
      <x:c r="AG713" t="str">
        <x:v>상권 모멘텀·수요 강점 / 안정성 상대적 약점</x:v>
      </x:c>
    </x:row>
    <x:row r="714">
      <x:c r="A714" t="str">
        <x:v>3001491</x:v>
      </x:c>
      <x:c r="B714" t="str">
        <x:v>이태원 관광특구</x:v>
      </x:c>
      <x:c r="C714" t="str">
        <x:v>관광특구</x:v>
      </x:c>
      <x:c r="D714" t="str">
        <x:v>용산구</x:v>
      </x:c>
      <x:c r="E714" t="str">
        <x:v>이태원1동</x:v>
      </x:c>
      <x:c r="F714" t="str">
        <x:v>CS100002</x:v>
      </x:c>
      <x:c r="G714" t="str">
        <x:v>중식음식점</x:v>
      </x:c>
      <x:c r="H714" t="n">
        <x:v>1912847490</x:v>
      </x:c>
      <x:c r="I714" t="n">
        <x:v>40996</x:v>
      </x:c>
      <x:c r="J714" t="n">
        <x:v>46659.36896282564</x:v>
      </x:c>
      <x:c r="K714" s="14" t="n">
        <x:v>0.029115998864015724</x:v>
      </x:c>
      <x:c r="L714" s="14" t="n">
        <x:v>-0.02375238205614094</x:v>
      </x:c>
      <x:c r="M714" s="14" t="n">
        <x:v>0.025085263877023367</x:v>
      </x:c>
      <x:c r="N714" t="n">
        <x:v>14</x:v>
      </x:c>
      <x:c r="O714" t="n">
        <x:v>0</x:v>
      </x:c>
      <x:c r="P714" s="14" t="n">
        <x:v>0</x:v>
      </x:c>
      <x:c r="Q714" s="14" t="n">
        <x:v>0.07142857142857142</x:v>
      </x:c>
      <x:c r="R714" s="14" t="n">
        <x:v>-0.125</x:v>
      </x:c>
      <x:c r="S714" t="n">
        <x:v>35826</x:v>
      </x:c>
      <x:c r="T714" t="n">
        <x:v>961.6040154067075</x:v>
      </x:c>
      <x:c r="U714" s="14" t="n">
        <x:v>0.6681239365298276</x:v>
      </x:c>
      <x:c r="V714" s="14" t="n">
        <x:v>0.6890206735718382</x:v>
      </x:c>
      <x:c r="W714" s="14" t="n">
        <x:v>0.5876456407928267</x:v>
      </x:c>
      <x:c r="X714" s="14" t="n">
        <x:v>0.38921019626086345</x:v>
      </x:c>
      <x:c r="Y714" s="16" t="n">
        <x:v>93.13501144164759</x:v>
      </x:c>
      <x:c r="Z714" s="16" t="n">
        <x:v>65.26806526806527</x:v>
      </x:c>
      <x:c r="AA714" s="16" t="n">
        <x:v>32.78688524590164</x:v>
      </x:c>
      <x:c r="AB714" s="16" t="n">
        <x:v>65.33180778032036</x:v>
      </x:c>
      <x:c r="AC714" s="16" t="n">
        <x:v>76.3157894736842</x:v>
      </x:c>
      <x:c r="AD714" s="16" t="n">
        <x:v>96.76829268292683</x:v>
      </x:c>
      <x:c r="AE714" s="16" t="n">
        <x:v>72.83866459363777</x:v>
      </x:c>
      <x:c r="AF714" t="str">
        <x:v>검토</x:v>
      </x:c>
      <x:c r="AG714" t="str">
        <x:v>직장수요·수요 강점 / 서울 업종추세 상대적 약점</x:v>
      </x:c>
    </x:row>
    <x:row r="715">
      <x:c r="A715" t="str">
        <x:v>3130072</x:v>
      </x:c>
      <x:c r="B715" t="str">
        <x:v>성동용답상가시장</x:v>
      </x:c>
      <x:c r="C715" t="str">
        <x:v>전통시장</x:v>
      </x:c>
      <x:c r="D715" t="str">
        <x:v>성동구</x:v>
      </x:c>
      <x:c r="E715" t="str">
        <x:v>용답동</x:v>
      </x:c>
      <x:c r="F715" t="str">
        <x:v>CS200028</x:v>
      </x:c>
      <x:c r="G715" t="str">
        <x:v>미용실</x:v>
      </x:c>
      <x:c r="H715" t="n">
        <x:v>423983928</x:v>
      </x:c>
      <x:c r="I715" t="n">
        <x:v>19452</x:v>
      </x:c>
      <x:c r="J715" t="n">
        <x:v>21796.41826033313</x:v>
      </x:c>
      <x:c r="K715" s="14" t="n">
        <x:v>0.025933139748448575</x:v>
      </x:c>
      <x:c r="L715" s="14" t="n">
        <x:v>0.02168887159425803</x:v>
      </x:c>
      <x:c r="M715" s="14" t="n">
        <x:v>-0.013481964371473865</x:v>
      </x:c>
      <x:c r="N715" t="n">
        <x:v>34</x:v>
      </x:c>
      <x:c r="O715" t="n">
        <x:v>0</x:v>
      </x:c>
      <x:c r="P715" s="14" t="n">
        <x:v>0</x:v>
      </x:c>
      <x:c r="Q715" s="14" t="n">
        <x:v>0.058823529411764705</x:v>
      </x:c>
      <x:c r="R715" s="14" t="n">
        <x:v>0</x:v>
      </x:c>
      <x:c r="S715" t="n">
        <x:v>453</x:v>
      </x:c>
      <x:c r="T715" t="n">
        <x:v>38.368695210265535</x:v>
      </x:c>
      <x:c r="U715" s="14" t="n">
        <x:v>0.5955981142756902</x:v>
      </x:c>
      <x:c r="V715" s="14" t="n">
        <x:v>0.38025145141822453</x:v>
      </x:c>
      <x:c r="W715" s="14" t="n">
        <x:v>0.19503618542823634</x:v>
      </x:c>
      <x:c r="X715" s="14" t="n">
        <x:v>0.4177892752576225</x:v>
      </x:c>
      <x:c r="Y715" s="16" t="n">
        <x:v>91.40555058191585</x:v>
      </x:c>
      <x:c r="Z715" s="16" t="n">
        <x:v>54.67625899280576</x:v>
      </x:c>
      <x:c r="AA715" s="16" t="n">
        <x:v>57.377049180327866</x:v>
      </x:c>
      <x:c r="AB715" s="16" t="n">
        <x:v>82.45299910474485</x:v>
      </x:c>
      <x:c r="AC715" s="16" t="n">
        <x:v>75.60429722470904</x:v>
      </x:c>
      <x:c r="AD715" s="16" t="n">
        <x:v>27.5</x:v>
      </x:c>
      <x:c r="AE715" s="16" t="n">
        <x:v>72.83713146746351</x:v>
      </x:c>
      <x:c r="AF715" t="str">
        <x:v>검토</x:v>
      </x:c>
      <x:c r="AG715" t="str">
        <x:v>수요·경쟁여건 강점 / 직장수요 상대적 약점</x:v>
      </x:c>
    </x:row>
    <x:row r="716">
      <x:c r="A716" t="str">
        <x:v>3111085</x:v>
      </x:c>
      <x:c r="B716" t="str">
        <x:v>묘곡초등학교(고덕아이파크아파트)</x:v>
      </x:c>
      <x:c r="C716" t="str">
        <x:v>골목상권</x:v>
      </x:c>
      <x:c r="D716" t="str">
        <x:v>강동구</x:v>
      </x:c>
      <x:c r="E716" t="str">
        <x:v>고덕1동</x:v>
      </x:c>
      <x:c r="F716" t="str">
        <x:v>CS300007</x:v>
      </x:c>
      <x:c r="G716" t="str">
        <x:v>육류판매</x:v>
      </x:c>
      <x:c r="H716" t="n">
        <x:v>632392664</x:v>
      </x:c>
      <x:c r="I716" t="n">
        <x:v>12297</x:v>
      </x:c>
      <x:c r="J716" t="n">
        <x:v>51426.580792063105</x:v>
      </x:c>
      <x:c r="K716" s="14" t="n">
        <x:v>0.06974334555020922</x:v>
      </x:c>
      <x:c r="L716" s="14" t="n">
        <x:v>0.23518223683931017</x:v>
      </x:c>
      <x:c r="M716" s="14" t="n">
        <x:v>0.00863079289162072</x:v>
      </x:c>
      <x:c r="N716" t="n">
        <x:v>5</x:v>
      </x:c>
      <x:c r="O716" t="n">
        <x:v>0</x:v>
      </x:c>
      <x:c r="P716" s="14" t="n">
        <x:v>0</x:v>
      </x:c>
      <x:c r="Q716" s="14" t="n">
        <x:v>0</x:v>
      </x:c>
      <x:c r="R716" s="14" t="n">
        <x:v>-0.2857142857142857</x:v>
      </x:c>
      <x:c r="S716" t="n">
        <x:v>845</x:v>
      </x:c>
      <x:c r="T716" t="n">
        <x:v>58.39184034496103</x:v>
      </x:c>
      <x:c r="U716" s="14" t="n">
        <x:v>0.7069156260800648</x:v>
      </x:c>
      <x:c r="V716" s="14" t="n">
        <x:v>0.44449494910649373</x:v>
      </x:c>
      <x:c r="W716" s="14" t="n">
        <x:v>0.07230142853143534</x:v>
      </x:c>
      <x:c r="X716" s="14" t="n">
        <x:v>0.42915592866523194</x:v>
      </x:c>
      <x:c r="Y716" s="16" t="n">
        <x:v>56.18811881188119</x:v>
      </x:c>
      <x:c r="Z716" s="16" t="n">
        <x:v>74.02597402597402</x:v>
      </x:c>
      <x:c r="AA716" s="16" t="n">
        <x:v>100</x:v>
      </x:c>
      <x:c r="AB716" s="16" t="n">
        <x:v>97.27722772277228</x:v>
      </x:c>
      <x:c r="AC716" s="16" t="n">
        <x:v>66.83168316831683</x:v>
      </x:c>
      <x:c r="AD716" s="16" t="n">
        <x:v>41.76829268292683</x:v>
      </x:c>
      <x:c r="AE716" s="16" t="n">
        <x:v>72.83420349874709</x:v>
      </x:c>
      <x:c r="AF716" t="str">
        <x:v>검토</x:v>
      </x:c>
      <x:c r="AG716" t="str">
        <x:v>서울 업종추세·경쟁여건 강점 / 직장수요 상대적 약점</x:v>
      </x:c>
    </x:row>
    <x:row r="717">
      <x:c r="A717" t="str">
        <x:v>3120103</x:v>
      </x:c>
      <x:c r="B717" t="str">
        <x:v>홍대입구역(홍대)</x:v>
      </x:c>
      <x:c r="C717" t="str">
        <x:v>발달상권</x:v>
      </x:c>
      <x:c r="D717" t="str">
        <x:v>마포구</x:v>
      </x:c>
      <x:c r="E717" t="str">
        <x:v>서교동</x:v>
      </x:c>
      <x:c r="F717" t="str">
        <x:v>CS200003</x:v>
      </x:c>
      <x:c r="G717" t="str">
        <x:v>예술학원</x:v>
      </x:c>
      <x:c r="H717" t="n">
        <x:v>4789132992</x:v>
      </x:c>
      <x:c r="I717" t="n">
        <x:v>14599</x:v>
      </x:c>
      <x:c r="J717" t="n">
        <x:v>328045.27652578946</x:v>
      </x:c>
      <x:c r="K717" s="14" t="n">
        <x:v>0.20499794051407916</x:v>
      </x:c>
      <x:c r="L717" s="14" t="n">
        <x:v>0.09364146198394163</x:v>
      </x:c>
      <x:c r="M717" s="14" t="n">
        <x:v>0.053788091189524545</x:v>
      </x:c>
      <x:c r="N717" t="n">
        <x:v>170</x:v>
      </x:c>
      <x:c r="O717" t="n">
        <x:v>2</x:v>
      </x:c>
      <x:c r="P717" s="14" t="n">
        <x:v>0.011428571428571429</x:v>
      </x:c>
      <x:c r="Q717" s="14" t="n">
        <x:v>0.058823529411764705</x:v>
      </x:c>
      <x:c r="R717" s="14" t="n">
        <x:v>0.042944785276073594</x:v>
      </x:c>
      <x:c r="S717" t="n">
        <x:v>7185</x:v>
      </x:c>
      <x:c r="T717" t="n">
        <x:v>155.54540475360614</x:v>
      </x:c>
      <x:c r="U717" s="14" t="n">
        <x:v>0.78178481538397</x:v>
      </x:c>
      <x:c r="V717" s="14" t="n">
        <x:v>0.5303707529615415</x:v>
      </x:c>
      <x:c r="W717" s="14" t="n">
        <x:v>0.12568054760756162</x:v>
      </x:c>
      <x:c r="X717" s="14" t="n">
        <x:v>0.6609393122486918</x:v>
      </x:c>
      <x:c r="Y717" s="16" t="n">
        <x:v>99.800796812749</x:v>
      </x:c>
      <x:c r="Z717" s="16" t="n">
        <x:v>83.23108384458078</x:v>
      </x:c>
      <x:c r="AA717" s="16" t="n">
        <x:v>88.52459016393442</x:v>
      </x:c>
      <x:c r="AB717" s="16" t="n">
        <x:v>0.5976095617529893</x:v>
      </x:c>
      <x:c r="AC717" s="16" t="n">
        <x:v>43.42629482071713</x:v>
      </x:c>
      <x:c r="AD717" s="16" t="n">
        <x:v>70.73170731707317</x:v>
      </x:c>
      <x:c r="AE717" s="16" t="n">
        <x:v>72.82404046015678</x:v>
      </x:c>
      <x:c r="AF717" t="str">
        <x:v>검토</x:v>
      </x:c>
      <x:c r="AG717" t="str">
        <x:v>수요·서울 업종추세 강점 / 경쟁여건 상대적 약점</x:v>
      </x:c>
    </x:row>
    <x:row r="718">
      <x:c r="A718" t="str">
        <x:v>3120005</x:v>
      </x:c>
      <x:c r="B718" t="str">
        <x:v>삼청동</x:v>
      </x:c>
      <x:c r="C718" t="str">
        <x:v>발달상권</x:v>
      </x:c>
      <x:c r="D718" t="str">
        <x:v>종로구</x:v>
      </x:c>
      <x:c r="E718" t="str">
        <x:v>삼청동</x:v>
      </x:c>
      <x:c r="F718" t="str">
        <x:v>CS100001</x:v>
      </x:c>
      <x:c r="G718" t="str">
        <x:v>한식음식점</x:v>
      </x:c>
      <x:c r="H718" t="n">
        <x:v>5583718659</x:v>
      </x:c>
      <x:c r="I718" t="n">
        <x:v>128121</x:v>
      </x:c>
      <x:c r="J718" t="n">
        <x:v>43581.60378860608</x:v>
      </x:c>
      <x:c r="K718" s="14" t="n">
        <x:v>0.06575722322359856</x:v>
      </x:c>
      <x:c r="L718" s="14" t="n">
        <x:v>-0.0018259958518723751</x:v>
      </x:c>
      <x:c r="M718" s="14" t="n">
        <x:v>0.06341040875687098</x:v>
      </x:c>
      <x:c r="N718" t="n">
        <x:v>79</x:v>
      </x:c>
      <x:c r="O718" t="n">
        <x:v>3</x:v>
      </x:c>
      <x:c r="P718" s="14" t="n">
        <x:v>0.03571428571428571</x:v>
      </x:c>
      <x:c r="Q718" s="14" t="n">
        <x:v>0.0379746835443038</x:v>
      </x:c>
      <x:c r="R718" s="14" t="n">
        <x:v>0.11267605633802824</x:v>
      </x:c>
      <x:c r="S718" t="n">
        <x:v>3310</x:v>
      </x:c>
      <x:c r="T718" t="n">
        <x:v>131.53554837607246</x:v>
      </x:c>
      <x:c r="U718" s="14" t="n">
        <x:v>0.6435338972905081</x:v>
      </x:c>
      <x:c r="V718" s="14" t="n">
        <x:v>0.3289326341755429</x:v>
      </x:c>
      <x:c r="W718" s="14" t="n">
        <x:v>0.2412392808919279</x:v>
      </x:c>
      <x:c r="X718" s="14" t="n">
        <x:v>0.47504741087278335</x:v>
      </x:c>
      <x:c r="Y718" s="16" t="n">
        <x:v>87.54448398576513</x:v>
      </x:c>
      <x:c r="Z718" s="16" t="n">
        <x:v>79.48534667619728</x:v>
      </x:c>
      <x:c r="AA718" s="16" t="n">
        <x:v>40.98360655737705</x:v>
      </x:c>
      <x:c r="AB718" s="16" t="n">
        <x:v>81.31672597864768</x:v>
      </x:c>
      <x:c r="AC718" s="16" t="n">
        <x:v>46.01423487544484</x:v>
      </x:c>
      <x:c r="AD718" s="16" t="n">
        <x:v>66.52439024390245</x:v>
      </x:c>
      <x:c r="AE718" s="16" t="n">
        <x:v>72.81033161040055</x:v>
      </x:c>
      <x:c r="AF718" t="str">
        <x:v>검토</x:v>
      </x:c>
      <x:c r="AG718" t="str">
        <x:v>수요·경쟁여건 강점 / 서울 업종추세 상대적 약점</x:v>
      </x:c>
    </x:row>
    <x:row r="719">
      <x:c r="A719" t="str">
        <x:v>3120184</x:v>
      </x:c>
      <x:c r="B719" t="str">
        <x:v>포이사거리(삼호물산)</x:v>
      </x:c>
      <x:c r="C719" t="str">
        <x:v>발달상권</x:v>
      </x:c>
      <x:c r="D719" t="str">
        <x:v>서초구</x:v>
      </x:c>
      <x:c r="E719" t="str">
        <x:v>양재2동</x:v>
      </x:c>
      <x:c r="F719" t="str">
        <x:v>CS300018</x:v>
      </x:c>
      <x:c r="G719" t="str">
        <x:v>의약품</x:v>
      </x:c>
      <x:c r="H719" t="n">
        <x:v>7148519207</x:v>
      </x:c>
      <x:c r="I719" t="n">
        <x:v>177709</x:v>
      </x:c>
      <x:c r="J719" t="n">
        <x:v>40225.98296653518</x:v>
      </x:c>
      <x:c r="K719" s="14" t="n">
        <x:v>0.34179290410330165</x:v>
      </x:c>
      <x:c r="L719" s="14" t="n">
        <x:v>0.027829225601598617</x:v>
      </x:c>
      <x:c r="M719" s="14" t="n">
        <x:v>0.02632929521123617</x:v>
      </x:c>
      <x:c r="N719" t="n">
        <x:v>52</x:v>
      </x:c>
      <x:c r="O719" t="n">
        <x:v>1</x:v>
      </x:c>
      <x:c r="P719" s="14" t="n">
        <x:v>0.017543859649122806</x:v>
      </x:c>
      <x:c r="Q719" s="14" t="n">
        <x:v>0</x:v>
      </x:c>
      <x:c r="R719" s="14" t="n">
        <x:v>0.040000000000000036</x:v>
      </x:c>
      <x:c r="S719" t="n">
        <x:v>15262</x:v>
      </x:c>
      <x:c r="T719" t="n">
        <x:v>433.64237432127953</x:v>
      </x:c>
      <x:c r="U719" s="14" t="n">
        <x:v>0.9365443710977498</x:v>
      </x:c>
      <x:c r="V719" s="14" t="n">
        <x:v>0.11283500773281198</x:v>
      </x:c>
      <x:c r="W719" s="14" t="n">
        <x:v>0.11550874105387292</x:v>
      </x:c>
      <x:c r="X719" s="14" t="n">
        <x:v>0.17816895263466836</x:v>
      </x:c>
      <x:c r="Y719" s="16" t="n">
        <x:v>93.81443298969072</x:v>
      </x:c>
      <x:c r="Z719" s="16" t="n">
        <x:v>99.3006993006993</x:v>
      </x:c>
      <x:c r="AA719" s="16" t="n">
        <x:v>72.1311475409836</x:v>
      </x:c>
      <x:c r="AB719" s="16" t="n">
        <x:v>14.175257731958766</x:v>
      </x:c>
      <x:c r="AC719" s="16" t="n">
        <x:v>27.405498281786947</x:v>
      </x:c>
      <x:c r="AD719" s="16" t="n">
        <x:v>88.35365853658537</x:v>
      </x:c>
      <x:c r="AE719" s="16" t="n">
        <x:v>72.79938495248093</x:v>
      </x:c>
      <x:c r="AF719" t="str">
        <x:v>검토</x:v>
      </x:c>
      <x:c r="AG719" t="str">
        <x:v>상권 모멘텀·수요 강점 / 경쟁여건 상대적 약점</x:v>
      </x:c>
    </x:row>
    <x:row r="720">
      <x:c r="A720" t="str">
        <x:v>3110790</x:v>
      </x:c>
      <x:c r="B720" t="str">
        <x:v>대림1동주민센터</x:v>
      </x:c>
      <x:c r="C720" t="str">
        <x:v>골목상권</x:v>
      </x:c>
      <x:c r="D720" t="str">
        <x:v>영등포구</x:v>
      </x:c>
      <x:c r="E720" t="str">
        <x:v>신길5동</x:v>
      </x:c>
      <x:c r="F720" t="str">
        <x:v>CS200025</x:v>
      </x:c>
      <x:c r="G720" t="str">
        <x:v>자동차수리</x:v>
      </x:c>
      <x:c r="H720" t="n">
        <x:v>1494545071</x:v>
      </x:c>
      <x:c r="I720" t="n">
        <x:v>6856</x:v>
      </x:c>
      <x:c r="J720" t="n">
        <x:v>217990.8213243874</x:v>
      </x:c>
      <x:c r="K720" s="14" t="n">
        <x:v>0.0441398386195091</x:v>
      </x:c>
      <x:c r="L720" s="14" t="n">
        <x:v>0.02213950283587751</x:v>
      </x:c>
      <x:c r="M720" s="14" t="n">
        <x:v>0.024356161917000962</x:v>
      </x:c>
      <x:c r="N720" t="n">
        <x:v>4</x:v>
      </x:c>
      <x:c r="O720" t="n">
        <x:v>0</x:v>
      </x:c>
      <x:c r="P720" s="14" t="n">
        <x:v>0</x:v>
      </x:c>
      <x:c r="Q720" s="14" t="n">
        <x:v>0.25</x:v>
      </x:c>
      <x:c r="R720" s="14" t="n">
        <x:v>-0.19999999999999996</x:v>
      </x:c>
      <x:c r="S720" t="n">
        <x:v>443</x:v>
      </x:c>
      <x:c r="T720" t="n">
        <x:v>38.41950982602813</x:v>
      </x:c>
      <x:c r="U720" s="14" t="n">
        <x:v>0.8571507643746396</x:v>
      </x:c>
      <x:c r="V720" s="14" t="n">
        <x:v>0.28768208958216157</x:v>
      </x:c>
      <x:c r="W720" s="14" t="n">
        <x:v>0.18128408721639683</x:v>
      </x:c>
      <x:c r="X720" s="14" t="n">
        <x:v>0.1591289815307283</x:v>
      </x:c>
      <x:c r="Y720" s="16" t="n">
        <x:v>94.90616621983914</x:v>
      </x:c>
      <x:c r="Z720" s="16" t="n">
        <x:v>44.53551912568306</x:v>
      </x:c>
      <x:c r="AA720" s="16" t="n">
        <x:v>59.01639344262295</x:v>
      </x:c>
      <x:c r="AB720" s="16" t="n">
        <x:v>98.25268817204301</x:v>
      </x:c>
      <x:c r="AC720" s="16" t="n">
        <x:v>56.98924731182796</x:v>
      </x:c>
      <x:c r="AD720" s="16" t="n">
        <x:v>27.5609756097561</x:v>
      </x:c>
      <x:c r="AE720" s="16" t="n">
        <x:v>72.7915977559508</x:v>
      </x:c>
      <x:c r="AF720" t="str">
        <x:v>검토</x:v>
      </x:c>
      <x:c r="AG720" t="str">
        <x:v>경쟁여건·수요 강점 / 직장수요 상대적 약점</x:v>
      </x:c>
    </x:row>
    <x:row r="721">
      <x:c r="A721" t="str">
        <x:v>3110390</x:v>
      </x:c>
      <x:c r="B721" t="str">
        <x:v>방학초등학교</x:v>
      </x:c>
      <x:c r="C721" t="str">
        <x:v>골목상권</x:v>
      </x:c>
      <x:c r="D721" t="str">
        <x:v>도봉구</x:v>
      </x:c>
      <x:c r="E721" t="str">
        <x:v>방학2동</x:v>
      </x:c>
      <x:c r="F721" t="str">
        <x:v>CS200028</x:v>
      </x:c>
      <x:c r="G721" t="str">
        <x:v>미용실</x:v>
      </x:c>
      <x:c r="H721" t="n">
        <x:v>239907484</x:v>
      </x:c>
      <x:c r="I721" t="n">
        <x:v>7285</x:v>
      </x:c>
      <x:c r="J721" t="n">
        <x:v>32931.7067947838</x:v>
      </x:c>
      <x:c r="K721" s="14" t="n">
        <x:v>0.17427668029254995</x:v>
      </x:c>
      <x:c r="L721" s="14" t="n">
        <x:v>0.02168887159425803</x:v>
      </x:c>
      <x:c r="M721" s="14" t="n">
        <x:v>-0.013481964371473865</x:v>
      </x:c>
      <x:c r="N721" t="n">
        <x:v>64</x:v>
      </x:c>
      <x:c r="O721" t="n">
        <x:v>0</x:v>
      </x:c>
      <x:c r="P721" s="14" t="n">
        <x:v>0</x:v>
      </x:c>
      <x:c r="Q721" s="14" t="n">
        <x:v>0.015625</x:v>
      </x:c>
      <x:c r="R721" s="14" t="n">
        <x:v>0.12280701754385959</x:v>
      </x:c>
      <x:c r="S721" t="n">
        <x:v>573</x:v>
      </x:c>
      <x:c r="T721" t="n">
        <x:v>92.6869510360557</x:v>
      </x:c>
      <x:c r="U721" s="14" t="n">
        <x:v>0.6494387894960376</x:v>
      </x:c>
      <x:c r="V721" s="14" t="n">
        <x:v>0.40712969587893305</x:v>
      </x:c>
      <x:c r="W721" s="14" t="n">
        <x:v>0.13362363051583667</x:v>
      </x:c>
      <x:c r="X721" s="14" t="n">
        <x:v>0.641854970226773</x:v>
      </x:c>
      <x:c r="Y721" s="16" t="n">
        <x:v>81.9158460161146</x:v>
      </x:c>
      <x:c r="Z721" s="16" t="n">
        <x:v>93.70503597122303</x:v>
      </x:c>
      <x:c r="AA721" s="16" t="n">
        <x:v>57.377049180327866</x:v>
      </x:c>
      <x:c r="AB721" s="16" t="n">
        <x:v>42.30080572963295</x:v>
      </x:c>
      <x:c r="AC721" s="16" t="n">
        <x:v>75.60429722470904</x:v>
      </x:c>
      <x:c r="AD721" s="16" t="n">
        <x:v>57.073170731707314</x:v>
      </x:c>
      <x:c r="AE721" s="16" t="n">
        <x:v>72.7773197954351</x:v>
      </x:c>
      <x:c r="AF721" t="str">
        <x:v>검토</x:v>
      </x:c>
      <x:c r="AG721" t="str">
        <x:v>상권 모멘텀·수요 강점 / 경쟁여건 상대적 약점</x:v>
      </x:c>
    </x:row>
    <x:row r="722">
      <x:c r="A722" t="str">
        <x:v>3130221</x:v>
      </x:c>
      <x:c r="B722" t="str">
        <x:v>남부골목시장(남부화곡시장, 남부시장)</x:v>
      </x:c>
      <x:c r="C722" t="str">
        <x:v>전통시장</x:v>
      </x:c>
      <x:c r="D722" t="str">
        <x:v>강서구</x:v>
      </x:c>
      <x:c r="E722" t="str">
        <x:v>화곡4동</x:v>
      </x:c>
      <x:c r="F722" t="str">
        <x:v>CS300017</x:v>
      </x:c>
      <x:c r="G722" t="str">
        <x:v>시계및귀금속</x:v>
      </x:c>
      <x:c r="H722" t="n">
        <x:v>406724835</x:v>
      </x:c>
      <x:c r="I722" t="n">
        <x:v>854</x:v>
      </x:c>
      <x:c r="J722" t="n">
        <x:v>476258.58899297426</x:v>
      </x:c>
      <x:c r="K722" s="14" t="n">
        <x:v>0.016006212065661662</x:v>
      </x:c>
      <x:c r="L722" s="14" t="n">
        <x:v>0.09182238369060247</x:v>
      </x:c>
      <x:c r="M722" s="14" t="n">
        <x:v>0.00817160170707898</x:v>
      </x:c>
      <x:c r="N722" t="n">
        <x:v>6</x:v>
      </x:c>
      <x:c r="O722" t="n">
        <x:v>0</x:v>
      </x:c>
      <x:c r="P722" s="14" t="n">
        <x:v>0</x:v>
      </x:c>
      <x:c r="Q722" s="14" t="n">
        <x:v>0</x:v>
      </x:c>
      <x:c r="R722" s="14" t="n">
        <x:v>0.19999999999999996</x:v>
      </x:c>
      <x:c r="S722" t="n">
        <x:v>642</x:v>
      </x:c>
      <x:c r="T722" t="n">
        <x:v>79.23284830982264</x:v>
      </x:c>
      <x:c r="U722" s="14" t="n">
        <x:v>0.9032418391662757</x:v>
      </x:c>
      <x:c r="V722" s="14" t="n">
        <x:v>0.3359470414438794</x:v>
      </x:c>
      <x:c r="W722" s="14" t="n">
        <x:v>0.28313690753602494</x:v>
      </x:c>
      <x:c r="X722" s="14" t="n">
        <x:v>0.636512756837187</x:v>
      </x:c>
      <x:c r="Y722" s="16" t="n">
        <x:v>79.88826815642459</x:v>
      </x:c>
      <x:c r="Z722" s="16" t="n">
        <x:v>54.3859649122807</x:v>
      </x:c>
      <x:c r="AA722" s="16" t="n">
        <x:v>86.88524590163935</x:v>
      </x:c>
      <x:c r="AB722" s="16" t="n">
        <x:v>80.89887640449439</x:v>
      </x:c>
      <x:c r="AC722" s="16" t="n">
        <x:v>61.79775280898876</x:v>
      </x:c>
      <x:c r="AD722" s="16" t="n">
        <x:v>51.829268292682926</x:v>
      </x:c>
      <x:c r="AE722" s="16" t="n">
        <x:v>72.77694387865783</x:v>
      </x:c>
      <x:c r="AF722" t="str">
        <x:v>검토</x:v>
      </x:c>
      <x:c r="AG722" t="str">
        <x:v>서울 업종추세·경쟁여건 강점 / 직장수요 상대적 약점</x:v>
      </x:c>
    </x:row>
    <x:row r="723">
      <x:c r="A723" t="str">
        <x:v>3110907</x:v>
      </x:c>
      <x:c r="B723" t="str">
        <x:v>방배초등학교</x:v>
      </x:c>
      <x:c r="C723" t="str">
        <x:v>골목상권</x:v>
      </x:c>
      <x:c r="D723" t="str">
        <x:v>서초구</x:v>
      </x:c>
      <x:c r="E723" t="str">
        <x:v>방배4동</x:v>
      </x:c>
      <x:c r="F723" t="str">
        <x:v>CS300011</x:v>
      </x:c>
      <x:c r="G723" t="str">
        <x:v>일반의류</x:v>
      </x:c>
      <x:c r="H723" t="n">
        <x:v>247513202</x:v>
      </x:c>
      <x:c r="I723" t="n">
        <x:v>157</x:v>
      </x:c>
      <x:c r="J723" t="n">
        <x:v>1576517.210191083</x:v>
      </x:c>
      <x:c r="K723" s="14" t="n">
        <x:v>0.4025702460275007</x:v>
      </x:c>
      <x:c r="L723" s="14" t="n">
        <x:v>0.06726691045630595</x:v>
      </x:c>
      <x:c r="M723" s="14" t="n">
        <x:v>0.00788849516466894</x:v>
      </x:c>
      <x:c r="N723" t="n">
        <x:v>54</x:v>
      </x:c>
      <x:c r="O723" t="n">
        <x:v>0</x:v>
      </x:c>
      <x:c r="P723" s="14" t="n">
        <x:v>0</x:v>
      </x:c>
      <x:c r="Q723" s="14" t="n">
        <x:v>0.018518518518518517</x:v>
      </x:c>
      <x:c r="R723" s="14" t="n">
        <x:v>0.03846153846153855</x:v>
      </x:c>
      <x:c r="S723" t="n">
        <x:v>2680</x:v>
      </x:c>
      <x:c r="T723" t="n">
        <x:v>257.9701216694902</x:v>
      </x:c>
      <x:c r="U723" s="14" t="n">
        <x:v>0.5604296412439447</x:v>
      </x:c>
      <x:c r="V723" s="14" t="n">
        <x:v>0</x:v>
      </x:c>
      <x:c r="W723" s="14" t="n">
        <x:v>0</x:v>
      </x:c>
      <x:c r="X723" s="14" t="n">
        <x:v>0.4422781819937023</x:v>
      </x:c>
      <x:c r="Y723" s="16" t="n">
        <x:v>61.48409893992933</x:v>
      </x:c>
      <x:c r="Z723" s="16" t="n">
        <x:v>88.32731648616125</x:v>
      </x:c>
      <x:c r="AA723" s="16" t="n">
        <x:v>81.9672131147541</x:v>
      </x:c>
      <x:c r="AB723" s="16" t="n">
        <x:v>57.302709069493524</x:v>
      </x:c>
      <x:c r="AC723" s="16" t="n">
        <x:v>86.33686690223793</x:v>
      </x:c>
      <x:c r="AD723" s="16" t="n">
        <x:v>81.28048780487805</x:v>
      </x:c>
      <x:c r="AE723" s="16" t="n">
        <x:v>72.77309733431235</x:v>
      </x:c>
      <x:c r="AF723" t="str">
        <x:v>검토</x:v>
      </x:c>
      <x:c r="AG723" t="str">
        <x:v>상권 모멘텀·안정성 강점 / 경쟁여건 상대적 약점</x:v>
      </x:c>
    </x:row>
    <x:row r="724">
      <x:c r="A724" t="str">
        <x:v>3120056</x:v>
      </x:c>
      <x:c r="B724" t="str">
        <x:v>구의역</x:v>
      </x:c>
      <x:c r="C724" t="str">
        <x:v>발달상권</x:v>
      </x:c>
      <x:c r="D724" t="str">
        <x:v>광진구</x:v>
      </x:c>
      <x:c r="E724" t="str">
        <x:v>구의1동</x:v>
      </x:c>
      <x:c r="F724" t="str">
        <x:v>CS300024</x:v>
      </x:c>
      <x:c r="G724" t="str">
        <x:v>운동/경기용품</x:v>
      </x:c>
      <x:c r="H724" t="n">
        <x:v>787238072</x:v>
      </x:c>
      <x:c r="I724" t="n">
        <x:v>2888</x:v>
      </x:c>
      <x:c r="J724" t="n">
        <x:v>272589.36011080333</x:v>
      </x:c>
      <x:c r="K724" s="14" t="n">
        <x:v>0.2303761918641205</x:v>
      </x:c>
      <x:c r="L724" s="14" t="n">
        <x:v>0.02391308801579517</x:v>
      </x:c>
      <x:c r="M724" s="14" t="n">
        <x:v>-0.0228667837393145</x:v>
      </x:c>
      <x:c r="N724" t="n">
        <x:v>8</x:v>
      </x:c>
      <x:c r="O724" t="n">
        <x:v>0</x:v>
      </x:c>
      <x:c r="P724" s="14" t="n">
        <x:v>0</x:v>
      </x:c>
      <x:c r="Q724" s="14" t="n">
        <x:v>0</x:v>
      </x:c>
      <x:c r="R724" s="14" t="n">
        <x:v>-0.19999999999999996</x:v>
      </x:c>
      <x:c r="S724" t="n">
        <x:v>7498</x:v>
      </x:c>
      <x:c r="T724" t="n">
        <x:v>472.3625688258344</x:v>
      </x:c>
      <x:c r="U724" s="14" t="n">
        <x:v>0.8246279163693699</x:v>
      </x:c>
      <x:c r="V724" s="14" t="n">
        <x:v>0.18947196700110816</x:v>
      </x:c>
      <x:c r="W724" s="14" t="n">
        <x:v>0.2709314724301088</x:v>
      </x:c>
      <x:c r="X724" s="14" t="n">
        <x:v>0.26140441032938255</x:v>
      </x:c>
      <x:c r="Y724" s="16" t="n">
        <x:v>66.92307692307692</x:v>
      </x:c>
      <x:c r="Z724" s="16" t="n">
        <x:v>76.42276422764228</x:v>
      </x:c>
      <x:c r="AA724" s="16" t="n">
        <x:v>65.57377049180327</x:v>
      </x:c>
      <x:c r="AB724" s="16" t="n">
        <x:v>87.3076923076923</x:v>
      </x:c>
      <x:c r="AC724" s="16" t="n">
        <x:v>66.53846153846155</x:v>
      </x:c>
      <x:c r="AD724" s="16" t="n">
        <x:v>89.39024390243902</x:v>
      </x:c>
      <x:c r="AE724" s="16" t="n">
        <x:v>72.76320753749782</x:v>
      </x:c>
      <x:c r="AF724" t="str">
        <x:v>검토</x:v>
      </x:c>
      <x:c r="AG724" t="str">
        <x:v>직장수요·경쟁여건 강점 / 서울 업종추세 상대적 약점</x:v>
      </x:c>
    </x:row>
    <x:row r="725">
      <x:c r="A725" t="str">
        <x:v>3120178</x:v>
      </x:c>
      <x:c r="B725" t="str">
        <x:v>신사역</x:v>
      </x:c>
      <x:c r="C725" t="str">
        <x:v>발달상권</x:v>
      </x:c>
      <x:c r="D725" t="str">
        <x:v>서초구</x:v>
      </x:c>
      <x:c r="E725" t="str">
        <x:v>잠원동</x:v>
      </x:c>
      <x:c r="F725" t="str">
        <x:v>CS200003</x:v>
      </x:c>
      <x:c r="G725" t="str">
        <x:v>예술학원</x:v>
      </x:c>
      <x:c r="H725" t="n">
        <x:v>1968591401</x:v>
      </x:c>
      <x:c r="I725" t="n">
        <x:v>3038</x:v>
      </x:c>
      <x:c r="J725" t="n">
        <x:v>647989.2695852534</x:v>
      </x:c>
      <x:c r="K725" s="14" t="n">
        <x:v>0.0738300016477913</x:v>
      </x:c>
      <x:c r="L725" s="14" t="n">
        <x:v>0.09364146198394163</x:v>
      </x:c>
      <x:c r="M725" s="14" t="n">
        <x:v>0.053788091189524545</x:v>
      </x:c>
      <x:c r="N725" t="n">
        <x:v>72</x:v>
      </x:c>
      <x:c r="O725" t="n">
        <x:v>0</x:v>
      </x:c>
      <x:c r="P725" s="14" t="n">
        <x:v>0</x:v>
      </x:c>
      <x:c r="Q725" s="14" t="n">
        <x:v>0.013888888888888888</x:v>
      </x:c>
      <x:c r="R725" s="14" t="n">
        <x:v>0.24137931034482762</x:v>
      </x:c>
      <x:c r="S725" t="n">
        <x:v>19438</x:v>
      </x:c>
      <x:c r="T725" t="n">
        <x:v>550.5486226371273</x:v>
      </x:c>
      <x:c r="U725" s="14" t="n">
        <x:v>0.6532461821923807</x:v>
      </x:c>
      <x:c r="V725" s="14" t="n">
        <x:v>0.44788472689259706</x:v>
      </x:c>
      <x:c r="W725" s="14" t="n">
        <x:v>0.2471932279866745</x:v>
      </x:c>
      <x:c r="X725" s="14" t="n">
        <x:v>0.5716463555760498</x:v>
      </x:c>
      <x:c r="Y725" s="16" t="n">
        <x:v>98.20717131474103</x:v>
      </x:c>
      <x:c r="Z725" s="16" t="n">
        <x:v>61.758691206543965</x:v>
      </x:c>
      <x:c r="AA725" s="16" t="n">
        <x:v>88.52459016393442</x:v>
      </x:c>
      <x:c r="AB725" s="16" t="n">
        <x:v>5.876494023904385</x:v>
      </x:c>
      <x:c r="AC725" s="16" t="n">
        <x:v>73.20717131474103</x:v>
      </x:c>
      <x:c r="AD725" s="16" t="n">
        <x:v>91.03658536585365</x:v>
      </x:c>
      <x:c r="AE725" s="16" t="n">
        <x:v>72.75695722941074</x:v>
      </x:c>
      <x:c r="AF725" t="str">
        <x:v>검토</x:v>
      </x:c>
      <x:c r="AG725" t="str">
        <x:v>수요·직장수요 강점 / 경쟁여건 상대적 약점</x:v>
      </x:c>
    </x:row>
    <x:row r="726">
      <x:c r="A726" t="str">
        <x:v>3110836</x:v>
      </x:c>
      <x:c r="B726" t="str">
        <x:v>상도역 5번</x:v>
      </x:c>
      <x:c r="C726" t="str">
        <x:v>골목상권</x:v>
      </x:c>
      <x:c r="D726" t="str">
        <x:v>동작구</x:v>
      </x:c>
      <x:c r="E726" t="str">
        <x:v>상도1동</x:v>
      </x:c>
      <x:c r="F726" t="str">
        <x:v>CS300036</x:v>
      </x:c>
      <x:c r="G726" t="str">
        <x:v>조명용품</x:v>
      </x:c>
      <x:c r="H726" t="n">
        <x:v>8104975660</x:v>
      </x:c>
      <x:c r="I726" t="n">
        <x:v>91125</x:v>
      </x:c>
      <x:c r="J726" t="n">
        <x:v>88943.49146776406</x:v>
      </x:c>
      <x:c r="K726" s="14" t="n">
        <x:v>0.02215905495228232</x:v>
      </x:c>
      <x:c r="L726" s="14" t="n">
        <x:v>0.025028299232514595</x:v>
      </x:c>
      <x:c r="M726" s="14" t="n">
        <x:v>-0.03086161384017172</x:v>
      </x:c>
      <x:c r="N726" t="n">
        <x:v>8</x:v>
      </x:c>
      <x:c r="O726" t="n">
        <x:v>0</x:v>
      </x:c>
      <x:c r="P726" s="14" t="n">
        <x:v>0</x:v>
      </x:c>
      <x:c r="Q726" s="14" t="n">
        <x:v>0</x:v>
      </x:c>
      <x:c r="R726" s="14" t="n">
        <x:v>-0.33333333333333337</x:v>
      </x:c>
      <x:c r="S726" t="n">
        <x:v>1000</x:v>
      </x:c>
      <x:c r="T726" t="n">
        <x:v>41.692376965795575</x:v>
      </x:c>
      <x:c r="U726" s="14" t="n">
        <x:v>0.9691070301129072</x:v>
      </x:c>
      <x:c r="V726" s="14" t="n">
        <x:v>0.01706258695908286</x:v>
      </x:c>
      <x:c r="W726" s="14" t="n">
        <x:v>0.061058683055934065</x:v>
      </x:c>
      <x:c r="X726" s="14" t="n">
        <x:v>0.11112547708749072</x:v>
      </x:c>
      <x:c r="Y726" s="16" t="n">
        <x:v>94.15584415584415</x:v>
      </x:c>
      <x:c r="Z726" s="16" t="n">
        <x:v>45.63758389261745</x:v>
      </x:c>
      <x:c r="AA726" s="16" t="n">
        <x:v>67.21311475409836</x:v>
      </x:c>
      <x:c r="AB726" s="16" t="n">
        <x:v>88.31168831168831</x:v>
      </x:c>
      <x:c r="AC726" s="16" t="n">
        <x:v>58.44155844155844</x:v>
      </x:c>
      <x:c r="AD726" s="16" t="n">
        <x:v>30</x:v>
      </x:c>
      <x:c r="AE726" s="16" t="n">
        <x:v>72.7549385370928</x:v>
      </x:c>
      <x:c r="AF726" t="str">
        <x:v>검토</x:v>
      </x:c>
      <x:c r="AG726" t="str">
        <x:v>수요·경쟁여건 강점 / 직장수요 상대적 약점</x:v>
      </x:c>
    </x:row>
    <x:row r="727">
      <x:c r="A727" t="str">
        <x:v>3110879</x:v>
      </x:c>
      <x:c r="B727" t="str">
        <x:v>신림현대아파트</x:v>
      </x:c>
      <x:c r="C727" t="str">
        <x:v>골목상권</x:v>
      </x:c>
      <x:c r="D727" t="str">
        <x:v>관악구</x:v>
      </x:c>
      <x:c r="E727" t="str">
        <x:v>삼성동</x:v>
      </x:c>
      <x:c r="F727" t="str">
        <x:v>CS300011</x:v>
      </x:c>
      <x:c r="G727" t="str">
        <x:v>일반의류</x:v>
      </x:c>
      <x:c r="H727" t="n">
        <x:v>213747025</x:v>
      </x:c>
      <x:c r="I727" t="n">
        <x:v>1097</x:v>
      </x:c>
      <x:c r="J727" t="n">
        <x:v>194846.8778486782</x:v>
      </x:c>
      <x:c r="K727" s="14" t="n">
        <x:v>0.35659005229590957</x:v>
      </x:c>
      <x:c r="L727" s="14" t="n">
        <x:v>0.06726691045630595</x:v>
      </x:c>
      <x:c r="M727" s="14" t="n">
        <x:v>0.00788849516466894</x:v>
      </x:c>
      <x:c r="N727" t="n">
        <x:v>37</x:v>
      </x:c>
      <x:c r="O727" t="n">
        <x:v>0</x:v>
      </x:c>
      <x:c r="P727" s="14" t="n">
        <x:v>0</x:v>
      </x:c>
      <x:c r="Q727" s="14" t="n">
        <x:v>0</x:v>
      </x:c>
      <x:c r="R727" s="14" t="n">
        <x:v>-0.07499999999999996</x:v>
      </x:c>
      <x:c r="S727" t="n">
        <x:v>468</x:v>
      </x:c>
      <x:c r="T727" t="n">
        <x:v>90.75395594166926</x:v>
      </x:c>
      <x:c r="U727" s="14" t="n">
        <x:v>0.9124607933139655</x:v>
      </x:c>
      <x:c r="V727" s="14" t="n">
        <x:v>0.20958083978010922</x:v>
      </x:c>
      <x:c r="W727" s="14" t="n">
        <x:v>0</x:v>
      </x:c>
      <x:c r="X727" s="14" t="n">
        <x:v>0.9774736233170964</x:v>
      </x:c>
      <x:c r="Y727" s="16" t="n">
        <x:v>58.53945818610129</x:v>
      </x:c>
      <x:c r="Z727" s="16" t="n">
        <x:v>86.64259927797833</x:v>
      </x:c>
      <x:c r="AA727" s="16" t="n">
        <x:v>81.9672131147541</x:v>
      </x:c>
      <x:c r="AB727" s="16" t="n">
        <x:v>74.61719670200236</x:v>
      </x:c>
      <x:c r="AC727" s="16" t="n">
        <x:v>86.33686690223793</x:v>
      </x:c>
      <x:c r="AD727" s="16" t="n">
        <x:v>56.28048780487805</x:v>
      </x:c>
      <x:c r="AE727" s="16" t="n">
        <x:v>72.75270277371229</x:v>
      </x:c>
      <x:c r="AF727" t="str">
        <x:v>검토</x:v>
      </x:c>
      <x:c r="AG727" t="str">
        <x:v>상권 모멘텀·안정성 강점 / 직장수요 상대적 약점</x:v>
      </x:c>
    </x:row>
    <x:row r="728">
      <x:c r="A728" t="str">
        <x:v>3130312</x:v>
      </x:c>
      <x:c r="B728" t="str">
        <x:v>석촌시장</x:v>
      </x:c>
      <x:c r="C728" t="str">
        <x:v>전통시장</x:v>
      </x:c>
      <x:c r="D728" t="str">
        <x:v>송파구</x:v>
      </x:c>
      <x:c r="E728" t="str">
        <x:v>석촌동</x:v>
      </x:c>
      <x:c r="F728" t="str">
        <x:v>CS300009</x:v>
      </x:c>
      <x:c r="G728" t="str">
        <x:v>청과상</x:v>
      </x:c>
      <x:c r="H728" t="n">
        <x:v>3502372771</x:v>
      </x:c>
      <x:c r="I728" t="n">
        <x:v>114340</x:v>
      </x:c>
      <x:c r="J728" t="n">
        <x:v>30631.21192058772</x:v>
      </x:c>
      <x:c r="K728" s="14" t="n">
        <x:v>1.4044418897161992</x:v>
      </x:c>
      <x:c r="L728" s="14" t="n">
        <x:v>0.19728256051488424</x:v>
      </x:c>
      <x:c r="M728" s="14" t="n">
        <x:v>0.09797365727115581</x:v>
      </x:c>
      <x:c r="N728" t="n">
        <x:v>53</x:v>
      </x:c>
      <x:c r="O728" t="n">
        <x:v>2</x:v>
      </x:c>
      <x:c r="P728" s="14" t="n">
        <x:v>0.034482758620689655</x:v>
      </x:c>
      <x:c r="Q728" s="14" t="n">
        <x:v>0</x:v>
      </x:c>
      <x:c r="R728" s="14" t="n">
        <x:v>0.06000000000000005</x:v>
      </x:c>
      <x:c r="S728" t="n">
        <x:v>739</x:v>
      </x:c>
      <x:c r="T728" t="n">
        <x:v>158.2068463531074</x:v>
      </x:c>
      <x:c r="U728" s="14" t="n">
        <x:v>0.6803116632041678</x:v>
      </x:c>
      <x:c r="V728" s="14" t="n">
        <x:v>0.44532978297300724</x:v>
      </x:c>
      <x:c r="W728" s="14" t="n">
        <x:v>0.18730260765837822</x:v>
      </x:c>
      <x:c r="X728" s="14" t="n">
        <x:v>0.5192613767610861</x:v>
      </x:c>
      <x:c r="Y728" s="16" t="n">
        <x:v>90.47619047619048</x:v>
      </x:c>
      <x:c r="Z728" s="16" t="n">
        <x:v>99.23664122137404</x:v>
      </x:c>
      <x:c r="AA728" s="16" t="n">
        <x:v>95.08196721311475</x:v>
      </x:c>
      <x:c r="AB728" s="16" t="n">
        <x:v>6.959706959706963</x:v>
      </x:c>
      <x:c r="AC728" s="16" t="n">
        <x:v>23.62637362637362</x:v>
      </x:c>
      <x:c r="AD728" s="16" t="n">
        <x:v>71.34146341463415</x:v>
      </x:c>
      <x:c r="AE728" s="16" t="n">
        <x:v>72.74995657023379</x:v>
      </x:c>
      <x:c r="AF728" t="str">
        <x:v>검토</x:v>
      </x:c>
      <x:c r="AG728" t="str">
        <x:v>상권 모멘텀·서울 업종추세 강점 / 경쟁여건 상대적 약점</x:v>
      </x:c>
    </x:row>
    <x:row r="729">
      <x:c r="A729" t="str">
        <x:v>3120173</x:v>
      </x:c>
      <x:c r="B729" t="str">
        <x:v>교대역(법원.검찰청)</x:v>
      </x:c>
      <x:c r="C729" t="str">
        <x:v>발달상권</x:v>
      </x:c>
      <x:c r="D729" t="str">
        <x:v>서초구</x:v>
      </x:c>
      <x:c r="E729" t="str">
        <x:v>서초1동</x:v>
      </x:c>
      <x:c r="F729" t="str">
        <x:v>CS200006</x:v>
      </x:c>
      <x:c r="G729" t="str">
        <x:v>일반의원</x:v>
      </x:c>
      <x:c r="H729" t="n">
        <x:v>10968955798</x:v>
      </x:c>
      <x:c r="I729" t="n">
        <x:v>145386</x:v>
      </x:c>
      <x:c r="J729" t="n">
        <x:v>75447.12556917447</x:v>
      </x:c>
      <x:c r="K729" s="14" t="n">
        <x:v>0.04529673130595002</x:v>
      </x:c>
      <x:c r="L729" s="14" t="n">
        <x:v>0.09973642051122278</x:v>
      </x:c>
      <x:c r="M729" s="14" t="n">
        <x:v>0.06942273842247415</x:v>
      </x:c>
      <x:c r="N729" t="n">
        <x:v>49</x:v>
      </x:c>
      <x:c r="O729" t="n">
        <x:v>0</x:v>
      </x:c>
      <x:c r="P729" s="14" t="n">
        <x:v>0</x:v>
      </x:c>
      <x:c r="Q729" s="14" t="n">
        <x:v>0</x:v>
      </x:c>
      <x:c r="R729" s="14" t="n">
        <x:v>0.13953488372093026</x:v>
      </x:c>
      <x:c r="S729" t="n">
        <x:v>33675</x:v>
      </x:c>
      <x:c r="T729" t="n">
        <x:v>849.2400341965697</x:v>
      </x:c>
      <x:c r="U729" s="14" t="n">
        <x:v>0.8580379354538082</x:v>
      </x:c>
      <x:c r="V729" s="14" t="n">
        <x:v>0.18287444456342405</x:v>
      </x:c>
      <x:c r="W729" s="14" t="n">
        <x:v>0.31845508417828705</x:v>
      </x:c>
      <x:c r="X729" s="14" t="n">
        <x:v>0.5851313303833591</x:v>
      </x:c>
      <x:c r="Y729" s="16" t="n">
        <x:v>94.1972920696325</x:v>
      </x:c>
      <x:c r="Z729" s="16" t="n">
        <x:v>60.27131782945737</x:v>
      </x:c>
      <x:c r="AA729" s="16" t="n">
        <x:v>90.1639344262295</x:v>
      </x:c>
      <x:c r="AB729" s="16" t="n">
        <x:v>21.02713178294573</x:v>
      </x:c>
      <x:c r="AC729" s="16" t="n">
        <x:v>62.5</x:v>
      </x:c>
      <x:c r="AD729" s="16" t="n">
        <x:v>95.91463414634147</x:v>
      </x:c>
      <x:c r="AE729" s="16" t="n">
        <x:v>72.74770742895622</x:v>
      </x:c>
      <x:c r="AF729" t="str">
        <x:v>검토</x:v>
      </x:c>
      <x:c r="AG729" t="str">
        <x:v>직장수요·수요 강점 / 경쟁여건 상대적 약점</x:v>
      </x:c>
    </x:row>
    <x:row r="730">
      <x:c r="A730" t="str">
        <x:v>3120043</x:v>
      </x:c>
      <x:c r="B730" t="str">
        <x:v>서울역</x:v>
      </x:c>
      <x:c r="C730" t="str">
        <x:v>발달상권</x:v>
      </x:c>
      <x:c r="D730" t="str">
        <x:v>중구</x:v>
      </x:c>
      <x:c r="E730" t="str">
        <x:v>회현동</x:v>
      </x:c>
      <x:c r="F730" t="str">
        <x:v>CS100001</x:v>
      </x:c>
      <x:c r="G730" t="str">
        <x:v>한식음식점</x:v>
      </x:c>
      <x:c r="H730" t="n">
        <x:v>17918313677</x:v>
      </x:c>
      <x:c r="I730" t="n">
        <x:v>382541</x:v>
      </x:c>
      <x:c r="J730" t="n">
        <x:v>46840.24373073736</x:v>
      </x:c>
      <x:c r="K730" s="14" t="n">
        <x:v>0.059247722483464216</x:v>
      </x:c>
      <x:c r="L730" s="14" t="n">
        <x:v>-0.0018259958518723751</x:v>
      </x:c>
      <x:c r="M730" s="14" t="n">
        <x:v>0.06341040875687098</x:v>
      </x:c>
      <x:c r="N730" t="n">
        <x:v>266</x:v>
      </x:c>
      <x:c r="O730" t="n">
        <x:v>3</x:v>
      </x:c>
      <x:c r="P730" s="14" t="n">
        <x:v>0.01107011070110701</x:v>
      </x:c>
      <x:c r="Q730" s="14" t="n">
        <x:v>0.13533834586466165</x:v>
      </x:c>
      <x:c r="R730" s="14" t="n">
        <x:v>-0.007462686567164201</x:v>
      </x:c>
      <x:c r="S730" t="n">
        <x:v>27333</x:v>
      </x:c>
      <x:c r="T730" t="n">
        <x:v>627.6882800748642</x:v>
      </x:c>
      <x:c r="U730" s="14" t="n">
        <x:v>0.8996070643461813</x:v>
      </x:c>
      <x:c r="V730" s="14" t="n">
        <x:v>0.4313113782531981</x:v>
      </x:c>
      <x:c r="W730" s="14" t="n">
        <x:v>0.1786698506182201</x:v>
      </x:c>
      <x:c r="X730" s="14" t="n">
        <x:v>0.1963784651519247</x:v>
      </x:c>
      <x:c r="Y730" s="16" t="n">
        <x:v>97.43772241992883</x:v>
      </x:c>
      <x:c r="Z730" s="16" t="n">
        <x:v>76.62616154395997</x:v>
      </x:c>
      <x:c r="AA730" s="16" t="n">
        <x:v>40.98360655737705</x:v>
      </x:c>
      <x:c r="AB730" s="16" t="n">
        <x:v>21.565836298932382</x:v>
      </x:c>
      <x:c r="AC730" s="16" t="n">
        <x:v>92.66903914590748</x:v>
      </x:c>
      <x:c r="AD730" s="16" t="n">
        <x:v>93.17073170731707</x:v>
      </x:c>
      <x:c r="AE730" s="16" t="n">
        <x:v>72.73629208417009</x:v>
      </x:c>
      <x:c r="AF730" t="str">
        <x:v>검토</x:v>
      </x:c>
      <x:c r="AG730" t="str">
        <x:v>수요·직장수요 강점 / 경쟁여건 상대적 약점</x:v>
      </x:c>
    </x:row>
    <x:row r="731">
      <x:c r="A731" t="str">
        <x:v>3120014</x:v>
      </x:c>
      <x:c r="B731" t="str">
        <x:v>종로5가역</x:v>
      </x:c>
      <x:c r="C731" t="str">
        <x:v>발달상권</x:v>
      </x:c>
      <x:c r="D731" t="str">
        <x:v>종로구</x:v>
      </x:c>
      <x:c r="E731" t="str">
        <x:v>종로5·6가동</x:v>
      </x:c>
      <x:c r="F731" t="str">
        <x:v>CS300011</x:v>
      </x:c>
      <x:c r="G731" t="str">
        <x:v>일반의류</x:v>
      </x:c>
      <x:c r="H731" t="n">
        <x:v>5554613818</x:v>
      </x:c>
      <x:c r="I731" t="n">
        <x:v>39305</x:v>
      </x:c>
      <x:c r="J731" t="n">
        <x:v>141320.7942500954</x:v>
      </x:c>
      <x:c r="K731" s="14" t="n">
        <x:v>0.20778803311019978</x:v>
      </x:c>
      <x:c r="L731" s="14" t="n">
        <x:v>0.06726691045630595</x:v>
      </x:c>
      <x:c r="M731" s="14" t="n">
        <x:v>0.00788849516466894</x:v>
      </x:c>
      <x:c r="N731" t="n">
        <x:v>247</x:v>
      </x:c>
      <x:c r="O731" t="n">
        <x:v>4</x:v>
      </x:c>
      <x:c r="P731" s="14" t="n">
        <x:v>0.015873015873015872</x:v>
      </x:c>
      <x:c r="Q731" s="14" t="n">
        <x:v>0.012145748987854251</x:v>
      </x:c>
      <x:c r="R731" s="14" t="n">
        <x:v>0.1875</x:v>
      </x:c>
      <x:c r="S731" t="n">
        <x:v>5154</x:v>
      </x:c>
      <x:c r="T731" t="n">
        <x:v>378.898151823916</x:v>
      </x:c>
      <x:c r="U731" s="14" t="n">
        <x:v>0.6875526755116713</x:v>
      </x:c>
      <x:c r="V731" s="14" t="n">
        <x:v>0.23962400530650177</x:v>
      </x:c>
      <x:c r="W731" s="14" t="n">
        <x:v>0.18868266315899623</x:v>
      </x:c>
      <x:c r="X731" s="14" t="n">
        <x:v>0.38092860715956256</x:v>
      </x:c>
      <x:c r="Y731" s="16" t="n">
        <x:v>94.69964664310955</x:v>
      </x:c>
      <x:c r="Z731" s="16" t="n">
        <x:v>76.6546329723225</x:v>
      </x:c>
      <x:c r="AA731" s="16" t="n">
        <x:v>81.9672131147541</x:v>
      </x:c>
      <x:c r="AB731" s="16" t="n">
        <x:v>16.784452296819794</x:v>
      </x:c>
      <x:c r="AC731" s="16" t="n">
        <x:v>51.06007067137809</x:v>
      </x:c>
      <x:c r="AD731" s="16" t="n">
        <x:v>86.76829268292683</x:v>
      </x:c>
      <x:c r="AE731" s="16" t="n">
        <x:v>72.73297443257309</x:v>
      </x:c>
      <x:c r="AF731" t="str">
        <x:v>검토</x:v>
      </x:c>
      <x:c r="AG731" t="str">
        <x:v>수요·직장수요 강점 / 경쟁여건 상대적 약점</x:v>
      </x:c>
    </x:row>
    <x:row r="732">
      <x:c r="A732" t="str">
        <x:v>3110702</x:v>
      </x:c>
      <x:c r="B732" t="str">
        <x:v>개봉초등학교</x:v>
      </x:c>
      <x:c r="C732" t="str">
        <x:v>골목상권</x:v>
      </x:c>
      <x:c r="D732" t="str">
        <x:v>구로구</x:v>
      </x:c>
      <x:c r="E732" t="str">
        <x:v>개봉3동</x:v>
      </x:c>
      <x:c r="F732" t="str">
        <x:v>CS200003</x:v>
      </x:c>
      <x:c r="G732" t="str">
        <x:v>예술학원</x:v>
      </x:c>
      <x:c r="H732" t="n">
        <x:v>138505264</x:v>
      </x:c>
      <x:c r="I732" t="n">
        <x:v>966</x:v>
      </x:c>
      <x:c r="J732" t="n">
        <x:v>143380.19047619047</x:v>
      </x:c>
      <x:c r="K732" s="14" t="n">
        <x:v>0.06281591219697247</x:v>
      </x:c>
      <x:c r="L732" s="14" t="n">
        <x:v>0.09364146198394163</x:v>
      </x:c>
      <x:c r="M732" s="14" t="n">
        <x:v>0.053788091189524545</x:v>
      </x:c>
      <x:c r="N732" t="n">
        <x:v>14</x:v>
      </x:c>
      <x:c r="O732" t="n">
        <x:v>0</x:v>
      </x:c>
      <x:c r="P732" s="14" t="n">
        <x:v>0</x:v>
      </x:c>
      <x:c r="Q732" s="14" t="n">
        <x:v>0</x:v>
      </x:c>
      <x:c r="R732" s="14" t="n">
        <x:v>-0.125</x:v>
      </x:c>
      <x:c r="S732" t="n">
        <x:v>1970</x:v>
      </x:c>
      <x:c r="T732" t="n">
        <x:v>214.2538636388354</x:v>
      </x:c>
      <x:c r="U732" s="14" t="n">
        <x:v>0.9457364378584195</x:v>
      </x:c>
      <x:c r="V732" s="14" t="n">
        <x:v>0.45736434248448493</x:v>
      </x:c>
      <x:c r="W732" s="14" t="n">
        <x:v>0.1782945664794372</x:v>
      </x:c>
      <x:c r="X732" s="14" t="n">
        <x:v>0.8372093135752587</x:v>
      </x:c>
      <x:c r="Y732" s="16" t="n">
        <x:v>66.53386454183267</x:v>
      </x:c>
      <x:c r="Z732" s="16" t="n">
        <x:v>59.304703476482615</x:v>
      </x:c>
      <x:c r="AA732" s="16" t="n">
        <x:v>88.52459016393442</x:v>
      </x:c>
      <x:c r="AB732" s="16" t="n">
        <x:v>87.25099601593625</x:v>
      </x:c>
      <x:c r="AC732" s="16" t="n">
        <x:v>73.20717131474103</x:v>
      </x:c>
      <x:c r="AD732" s="16" t="n">
        <x:v>77.6219512195122</x:v>
      </x:c>
      <x:c r="AE732" s="16" t="n">
        <x:v>72.71594590436827</x:v>
      </x:c>
      <x:c r="AF732" t="str">
        <x:v>검토</x:v>
      </x:c>
      <x:c r="AG732" t="str">
        <x:v>서울 업종추세·경쟁여건 강점 / 상권 모멘텀 상대적 약점</x:v>
      </x:c>
    </x:row>
    <x:row r="733">
      <x:c r="A733" t="str">
        <x:v>3120032</x:v>
      </x:c>
      <x:c r="B733" t="str">
        <x:v>충무로역</x:v>
      </x:c>
      <x:c r="C733" t="str">
        <x:v>발달상권</x:v>
      </x:c>
      <x:c r="D733" t="str">
        <x:v>중구</x:v>
      </x:c>
      <x:c r="E733" t="str">
        <x:v>필동</x:v>
      </x:c>
      <x:c r="F733" t="str">
        <x:v>CS300002</x:v>
      </x:c>
      <x:c r="G733" t="str">
        <x:v>편의점</x:v>
      </x:c>
      <x:c r="H733" t="n">
        <x:v>2614154212</x:v>
      </x:c>
      <x:c r="I733" t="n">
        <x:v>428926</x:v>
      </x:c>
      <x:c r="J733" t="n">
        <x:v>6094.650853527181</x:v>
      </x:c>
      <x:c r="K733" s="14" t="n">
        <x:v>0.051972444953293895</x:v>
      </x:c>
      <x:c r="L733" s="14" t="n">
        <x:v>-0.03570715280155945</x:v>
      </x:c>
      <x:c r="M733" s="14" t="n">
        <x:v>-0.014869839696300402</x:v>
      </x:c>
      <x:c r="N733" t="n">
        <x:v>22</x:v>
      </x:c>
      <x:c r="O733" t="n">
        <x:v>0</x:v>
      </x:c>
      <x:c r="P733" s="14" t="n">
        <x:v>0</x:v>
      </x:c>
      <x:c r="Q733" s="14" t="n">
        <x:v>0.8181818181818182</x:v>
      </x:c>
      <x:c r="R733" s="14" t="n">
        <x:v>-0.04347826086956519</x:v>
      </x:c>
      <x:c r="S733" t="n">
        <x:v>12883</x:v>
      </x:c>
      <x:c r="T733" t="n">
        <x:v>544.6988787227925</x:v>
      </x:c>
      <x:c r="U733" s="14" t="n">
        <x:v>0.8118949816568817</x:v>
      </x:c>
      <x:c r="V733" s="14" t="n">
        <x:v>0.34790256589499163</x:v>
      </x:c>
      <x:c r="W733" s="14" t="n">
        <x:v>0.38840864985665197</x:v>
      </x:c>
      <x:c r="X733" s="14" t="n">
        <x:v>0.30161395314042017</x:v>
      </x:c>
      <x:c r="Y733" s="16" t="n">
        <x:v>88.95522388059702</x:v>
      </x:c>
      <x:c r="Z733" s="16" t="n">
        <x:v>81.45896656534954</x:v>
      </x:c>
      <x:c r="AA733" s="16" t="n">
        <x:v>29.508196721311474</x:v>
      </x:c>
      <x:c r="AB733" s="16" t="n">
        <x:v>59.1044776119403</x:v>
      </x:c>
      <x:c r="AC733" s="16" t="n">
        <x:v>74.40298507462687</x:v>
      </x:c>
      <x:c r="AD733" s="16" t="n">
        <x:v>90.91463414634147</x:v>
      </x:c>
      <x:c r="AE733" s="16" t="n">
        <x:v>72.70405303604639</x:v>
      </x:c>
      <x:c r="AF733" t="str">
        <x:v>검토</x:v>
      </x:c>
      <x:c r="AG733" t="str">
        <x:v>직장수요·수요 강점 / 서울 업종추세 상대적 약점</x:v>
      </x:c>
    </x:row>
    <x:row r="734">
      <x:c r="A734" t="str">
        <x:v>3130185</x:v>
      </x:c>
      <x:c r="B734" t="str">
        <x:v>망원월드컵시장</x:v>
      </x:c>
      <x:c r="C734" t="str">
        <x:v>전통시장</x:v>
      </x:c>
      <x:c r="D734" t="str">
        <x:v>마포구</x:v>
      </x:c>
      <x:c r="E734" t="str">
        <x:v>망원2동</x:v>
      </x:c>
      <x:c r="F734" t="str">
        <x:v>CS300007</x:v>
      </x:c>
      <x:c r="G734" t="str">
        <x:v>육류판매</x:v>
      </x:c>
      <x:c r="H734" t="n">
        <x:v>1833185848</x:v>
      </x:c>
      <x:c r="I734" t="n">
        <x:v>44137</x:v>
      </x:c>
      <x:c r="J734" t="n">
        <x:v>41533.992976414345</x:v>
      </x:c>
      <x:c r="K734" s="14" t="n">
        <x:v>0.027610761592976596</x:v>
      </x:c>
      <x:c r="L734" s="14" t="n">
        <x:v>0.23518223683931017</x:v>
      </x:c>
      <x:c r="M734" s="14" t="n">
        <x:v>0.00863079289162072</x:v>
      </x:c>
      <x:c r="N734" t="n">
        <x:v>13</x:v>
      </x:c>
      <x:c r="O734" t="n">
        <x:v>0</x:v>
      </x:c>
      <x:c r="P734" s="14" t="n">
        <x:v>0</x:v>
      </x:c>
      <x:c r="Q734" s="14" t="n">
        <x:v>0</x:v>
      </x:c>
      <x:c r="R734" s="14" t="n">
        <x:v>-0.0714285714285714</x:v>
      </x:c>
      <x:c r="S734" t="n">
        <x:v>474</x:v>
      </x:c>
      <x:c r="T734" t="n">
        <x:v>157.8684429641965</x:v>
      </x:c>
      <x:c r="U734" s="14" t="n">
        <x:v>0.6482022929079474</x:v>
      </x:c>
      <x:c r="V734" s="14" t="n">
        <x:v>0.3161588006105969</x:v>
      </x:c>
      <x:c r="W734" s="14" t="n">
        <x:v>0.12772604875575058</x:v>
      </x:c>
      <x:c r="X734" s="14" t="n">
        <x:v>0.6122042564448162</x:v>
      </x:c>
      <x:c r="Y734" s="16" t="n">
        <x:v>82.92079207920793</x:v>
      </x:c>
      <x:c r="Z734" s="16" t="n">
        <x:v>46.493506493506494</x:v>
      </x:c>
      <x:c r="AA734" s="16" t="n">
        <x:v>100</x:v>
      </x:c>
      <x:c r="AB734" s="16" t="n">
        <x:v>60.89108910891089</x:v>
      </x:c>
      <x:c r="AC734" s="16" t="n">
        <x:v>66.83168316831683</x:v>
      </x:c>
      <x:c r="AD734" s="16" t="n">
        <x:v>71.21951219512195</x:v>
      </x:c>
      <x:c r="AE734" s="16" t="n">
        <x:v>72.69878581934849</x:v>
      </x:c>
      <x:c r="AF734" t="str">
        <x:v>검토</x:v>
      </x:c>
      <x:c r="AG734" t="str">
        <x:v>서울 업종추세·수요 강점 / 상권 모멘텀 상대적 약점</x:v>
      </x:c>
    </x:row>
    <x:row r="735">
      <x:c r="A735" t="str">
        <x:v>3130207</x:v>
      </x:c>
      <x:c r="B735" t="str">
        <x:v>신정1동 골목시장(신정제일시장)</x:v>
      </x:c>
      <x:c r="C735" t="str">
        <x:v>전통시장</x:v>
      </x:c>
      <x:c r="D735" t="str">
        <x:v>양천구</x:v>
      </x:c>
      <x:c r="E735" t="str">
        <x:v>신정1동</x:v>
      </x:c>
      <x:c r="F735" t="str">
        <x:v>CS300007</x:v>
      </x:c>
      <x:c r="G735" t="str">
        <x:v>육류판매</x:v>
      </x:c>
      <x:c r="H735" t="n">
        <x:v>1085794396</x:v>
      </x:c>
      <x:c r="I735" t="n">
        <x:v>27913</x:v>
      </x:c>
      <x:c r="J735" t="n">
        <x:v>38899.23677139684</x:v>
      </x:c>
      <x:c r="K735" s="14" t="n">
        <x:v>0.05163441585955031</x:v>
      </x:c>
      <x:c r="L735" s="14" t="n">
        <x:v>0.23518223683931017</x:v>
      </x:c>
      <x:c r="M735" s="14" t="n">
        <x:v>0.00863079289162072</x:v>
      </x:c>
      <x:c r="N735" t="n">
        <x:v>15</x:v>
      </x:c>
      <x:c r="O735" t="n">
        <x:v>0</x:v>
      </x:c>
      <x:c r="P735" s="14" t="n">
        <x:v>0</x:v>
      </x:c>
      <x:c r="Q735" s="14" t="n">
        <x:v>0</x:v>
      </x:c>
      <x:c r="R735" s="14" t="n">
        <x:v>0</x:v>
      </x:c>
      <x:c r="S735" t="n">
        <x:v>989</x:v>
      </x:c>
      <x:c r="T735" t="n">
        <x:v>623.8566832776131</x:v>
      </x:c>
      <x:c r="U735" s="14" t="n">
        <x:v>0.7136650040326787</x:v>
      </x:c>
      <x:c r="V735" s="14" t="n">
        <x:v>0.3525630408576911</x:v>
      </x:c>
      <x:c r="W735" s="14" t="n">
        <x:v>0.07701228916639205</x:v>
      </x:c>
      <x:c r="X735" s="14" t="n">
        <x:v>0.5299752385165193</x:v>
      </x:c>
      <x:c r="Y735" s="16" t="n">
        <x:v>73.01980198019803</x:v>
      </x:c>
      <x:c r="Z735" s="16" t="n">
        <x:v>65.71428571428571</x:v>
      </x:c>
      <x:c r="AA735" s="16" t="n">
        <x:v>100</x:v>
      </x:c>
      <x:c r="AB735" s="16" t="n">
        <x:v>50.99009900990099</x:v>
      </x:c>
      <x:c r="AC735" s="16" t="n">
        <x:v>66.83168316831683</x:v>
      </x:c>
      <x:c r="AD735" s="16" t="n">
        <x:v>93.10975609756098</x:v>
      </x:c>
      <x:c r="AE735" s="16" t="n">
        <x:v>72.68695880912134</x:v>
      </x:c>
      <x:c r="AF735" t="str">
        <x:v>검토</x:v>
      </x:c>
      <x:c r="AG735" t="str">
        <x:v>서울 업종추세·직장수요 강점 / 경쟁여건 상대적 약점</x:v>
      </x:c>
    </x:row>
    <x:row r="736">
      <x:c r="A736" t="str">
        <x:v>3130261</x:v>
      </x:c>
      <x:c r="B736" t="str">
        <x:v>성대전통시장(성대시장)</x:v>
      </x:c>
      <x:c r="C736" t="str">
        <x:v>전통시장</x:v>
      </x:c>
      <x:c r="D736" t="str">
        <x:v>동작구</x:v>
      </x:c>
      <x:c r="E736" t="str">
        <x:v>상도3동</x:v>
      </x:c>
      <x:c r="F736" t="str">
        <x:v>CS100008</x:v>
      </x:c>
      <x:c r="G736" t="str">
        <x:v>분식전문점</x:v>
      </x:c>
      <x:c r="H736" t="n">
        <x:v>819770190</x:v>
      </x:c>
      <x:c r="I736" t="n">
        <x:v>76032</x:v>
      </x:c>
      <x:c r="J736" t="n">
        <x:v>10781.91011679293</x:v>
      </x:c>
      <x:c r="K736" s="14" t="n">
        <x:v>0.03674550374401231</x:v>
      </x:c>
      <x:c r="L736" s="14" t="n">
        <x:v>-0.021494731595524064</x:v>
      </x:c>
      <x:c r="M736" s="14" t="n">
        <x:v>0.009923521656473921</x:v>
      </x:c>
      <x:c r="N736" t="n">
        <x:v>15</x:v>
      </x:c>
      <x:c r="O736" t="n">
        <x:v>0</x:v>
      </x:c>
      <x:c r="P736" s="14" t="n">
        <x:v>0</x:v>
      </x:c>
      <x:c r="Q736" s="14" t="n">
        <x:v>0.06666666666666667</x:v>
      </x:c>
      <x:c r="R736" s="14" t="n">
        <x:v>-0.0625</x:v>
      </x:c>
      <x:c r="S736" t="n">
        <x:v>389</x:v>
      </x:c>
      <x:c r="T736" t="n">
        <x:v>73.26904241693664</x:v>
      </x:c>
      <x:c r="U736" s="14" t="n">
        <x:v>0.7351038185470004</x:v>
      </x:c>
      <x:c r="V736" s="14" t="n">
        <x:v>0.3693619647233086</x:v>
      </x:c>
      <x:c r="W736" s="14" t="n">
        <x:v>0.23330542551199623</x:v>
      </x:c>
      <x:c r="X736" s="14" t="n">
        <x:v>0.4863095009590432</x:v>
      </x:c>
      <x:c r="Y736" s="16" t="n">
        <x:v>89.03061224489795</x:v>
      </x:c>
      <x:c r="Z736" s="16" t="n">
        <x:v>61.09660574412533</x:v>
      </x:c>
      <x:c r="AA736" s="16" t="n">
        <x:v>34.42622950819672</x:v>
      </x:c>
      <x:c r="AB736" s="16" t="n">
        <x:v>89.47704081632654</x:v>
      </x:c>
      <x:c r="AC736" s="16" t="n">
        <x:v>82.71683673469389</x:v>
      </x:c>
      <x:c r="AD736" s="16" t="n">
        <x:v>48.96341463414634</x:v>
      </x:c>
      <x:c r="AE736" s="16" t="n">
        <x:v>72.68538038839455</x:v>
      </x:c>
      <x:c r="AF736" t="str">
        <x:v>검토</x:v>
      </x:c>
      <x:c r="AG736" t="str">
        <x:v>경쟁여건·수요 강점 / 서울 업종추세 상대적 약점</x:v>
      </x:c>
    </x:row>
    <x:row r="737">
      <x:c r="A737" t="str">
        <x:v>3120229</x:v>
      </x:c>
      <x:c r="B737" t="str">
        <x:v>방이동먹자골목</x:v>
      </x:c>
      <x:c r="C737" t="str">
        <x:v>발달상권</x:v>
      </x:c>
      <x:c r="D737" t="str">
        <x:v>송파구</x:v>
      </x:c>
      <x:c r="E737" t="str">
        <x:v>방이2동</x:v>
      </x:c>
      <x:c r="F737" t="str">
        <x:v>CS100003</x:v>
      </x:c>
      <x:c r="G737" t="str">
        <x:v>일식음식점</x:v>
      </x:c>
      <x:c r="H737" t="n">
        <x:v>2659841840</x:v>
      </x:c>
      <x:c r="I737" t="n">
        <x:v>44962</x:v>
      </x:c>
      <x:c r="J737" t="n">
        <x:v>59157.55171033317</x:v>
      </x:c>
      <x:c r="K737" s="14" t="n">
        <x:v>0.13243657222804828</x:v>
      </x:c>
      <x:c r="L737" s="14" t="n">
        <x:v>0.048235937606500245</x:v>
      </x:c>
      <x:c r="M737" s="14" t="n">
        <x:v>-0.004288267098710441</x:v>
      </x:c>
      <x:c r="N737" t="n">
        <x:v>67</x:v>
      </x:c>
      <x:c r="O737" t="n">
        <x:v>2</x:v>
      </x:c>
      <x:c r="P737" s="14" t="n">
        <x:v>0.027777777777777776</x:v>
      </x:c>
      <x:c r="Q737" s="14" t="n">
        <x:v>0.16417910447761194</x:v>
      </x:c>
      <x:c r="R737" s="14" t="n">
        <x:v>0.39583333333333326</x:v>
      </x:c>
      <x:c r="S737" t="n">
        <x:v>16204</x:v>
      </x:c>
      <x:c r="T737" t="n">
        <x:v>1104.6123222490355</x:v>
      </x:c>
      <x:c r="U737" s="14" t="n">
        <x:v>0.6459082984422864</x:v>
      </x:c>
      <x:c r="V737" s="14" t="n">
        <x:v>0.7721013603575767</x:v>
      </x:c>
      <x:c r="W737" s="14" t="n">
        <x:v>0.5902352863206333</x:v>
      </x:c>
      <x:c r="X737" s="14" t="n">
        <x:v>0.3469932306200582</x:v>
      </x:c>
      <x:c r="Y737" s="16" t="n">
        <x:v>91.36904761904762</x:v>
      </x:c>
      <x:c r="Z737" s="16" t="n">
        <x:v>81.17283950617283</x:v>
      </x:c>
      <x:c r="AA737" s="16" t="n">
        <x:v>78.68852459016394</x:v>
      </x:c>
      <x:c r="AB737" s="16" t="n">
        <x:v>19.04761904761905</x:v>
      </x:c>
      <x:c r="AC737" s="16" t="n">
        <x:v>49.404761904761905</x:v>
      </x:c>
      <x:c r="AD737" s="16" t="n">
        <x:v>97.3780487804878</x:v>
      </x:c>
      <x:c r="AE737" s="16" t="n">
        <x:v>72.68353474306926</x:v>
      </x:c>
      <x:c r="AF737" t="str">
        <x:v>검토</x:v>
      </x:c>
      <x:c r="AG737" t="str">
        <x:v>직장수요·수요 강점 / 경쟁여건 상대적 약점</x:v>
      </x:c>
    </x:row>
    <x:row r="738">
      <x:c r="A738" t="str">
        <x:v>3120194</x:v>
      </x:c>
      <x:c r="B738" t="str">
        <x:v>언주역(차병원)</x:v>
      </x:c>
      <x:c r="C738" t="str">
        <x:v>발달상권</x:v>
      </x:c>
      <x:c r="D738" t="str">
        <x:v>강남구</x:v>
      </x:c>
      <x:c r="E738" t="str">
        <x:v>논현2동</x:v>
      </x:c>
      <x:c r="F738" t="str">
        <x:v>CS200003</x:v>
      </x:c>
      <x:c r="G738" t="str">
        <x:v>예술학원</x:v>
      </x:c>
      <x:c r="H738" t="n">
        <x:v>159055545</x:v>
      </x:c>
      <x:c r="I738" t="n">
        <x:v>57</x:v>
      </x:c>
      <x:c r="J738" t="n">
        <x:v>2790448.1578947366</x:v>
      </x:c>
      <x:c r="K738" s="14" t="n">
        <x:v>0.31943884788292354</x:v>
      </x:c>
      <x:c r="L738" s="14" t="n">
        <x:v>0.09364146198394163</x:v>
      </x:c>
      <x:c r="M738" s="14" t="n">
        <x:v>0.053788091189524545</x:v>
      </x:c>
      <x:c r="N738" t="n">
        <x:v>40</x:v>
      </x:c>
      <x:c r="O738" t="n">
        <x:v>0</x:v>
      </x:c>
      <x:c r="P738" s="14" t="n">
        <x:v>0</x:v>
      </x:c>
      <x:c r="Q738" s="14" t="n">
        <x:v>0</x:v>
      </x:c>
      <x:c r="R738" s="14" t="n">
        <x:v>0.05263157894736836</x:v>
      </x:c>
      <x:c r="S738" t="n">
        <x:v>14060</x:v>
      </x:c>
      <x:c r="T738" t="n">
        <x:v>579.9229519150656</x:v>
      </x:c>
      <x:c r="U738" s="14" t="n">
        <x:v>0.5234942799384957</x:v>
      </x:c>
      <x:c r="V738" s="14" t="n">
        <x:v>0.45873209890293354</x:v>
      </x:c>
      <x:c r="W738" s="14" t="n">
        <x:v>0</x:v>
      </x:c>
      <x:c r="X738" s="14" t="n">
        <x:v>0.9280420245644375</x:v>
      </x:c>
      <x:c r="Y738" s="16" t="n">
        <x:v>71.91235059760956</x:v>
      </x:c>
      <x:c r="Z738" s="16" t="n">
        <x:v>90.59304703476482</x:v>
      </x:c>
      <x:c r="AA738" s="16" t="n">
        <x:v>88.52459016393442</x:v>
      </x:c>
      <x:c r="AB738" s="16" t="n">
        <x:v>27.988047808764946</x:v>
      </x:c>
      <x:c r="AC738" s="16" t="n">
        <x:v>73.20717131474103</x:v>
      </x:c>
      <x:c r="AD738" s="16" t="n">
        <x:v>91.82926829268293</x:v>
      </x:c>
      <x:c r="AE738" s="16" t="n">
        <x:v>72.67700835812947</x:v>
      </x:c>
      <x:c r="AF738" t="str">
        <x:v>검토</x:v>
      </x:c>
      <x:c r="AG738" t="str">
        <x:v>직장수요·상권 모멘텀 강점 / 경쟁여건 상대적 약점</x:v>
      </x:c>
    </x:row>
    <x:row r="739">
      <x:c r="A739" t="str">
        <x:v>3130177</x:v>
      </x:c>
      <x:c r="B739" t="str">
        <x:v>인왕시장(홍제골목형상점가)</x:v>
      </x:c>
      <x:c r="C739" t="str">
        <x:v>전통시장</x:v>
      </x:c>
      <x:c r="D739" t="str">
        <x:v>서대문구</x:v>
      </x:c>
      <x:c r="E739" t="str">
        <x:v>홍제3동</x:v>
      </x:c>
      <x:c r="F739" t="str">
        <x:v>CS100008</x:v>
      </x:c>
      <x:c r="G739" t="str">
        <x:v>분식전문점</x:v>
      </x:c>
      <x:c r="H739" t="n">
        <x:v>585000000</x:v>
      </x:c>
      <x:c r="I739" t="n">
        <x:v>71256</x:v>
      </x:c>
      <x:c r="J739" t="n">
        <x:v>8209.83496126642</x:v>
      </x:c>
      <x:c r="K739" s="14" t="n">
        <x:v>0.2786805785587625</x:v>
      </x:c>
      <x:c r="L739" s="14" t="n">
        <x:v>-0.021494731595524064</x:v>
      </x:c>
      <x:c r="M739" s="14" t="n">
        <x:v>0.009923521656473921</x:v>
      </x:c>
      <x:c r="N739" t="n">
        <x:v>27</x:v>
      </x:c>
      <x:c r="O739" t="n">
        <x:v>0</x:v>
      </x:c>
      <x:c r="P739" s="14" t="n">
        <x:v>0</x:v>
      </x:c>
      <x:c r="Q739" s="14" t="n">
        <x:v>0.07407407407407407</x:v>
      </x:c>
      <x:c r="R739" s="14" t="n">
        <x:v>0.2272727272727273</x:v>
      </x:c>
      <x:c r="S739" t="n">
        <x:v>131</x:v>
      </x:c>
      <x:c r="T739" t="n">
        <x:v>57.516684229012995</x:v>
      </x:c>
      <x:c r="U739" s="14" t="n">
        <x:v>0.8014849897435897</x:v>
      </x:c>
      <x:c r="V739" s="14" t="n">
        <x:v>0.2834395743589744</x:v>
      </x:c>
      <x:c r="W739" s="14" t="n">
        <x:v>0.17776955726495727</x:v>
      </x:c>
      <x:c r="X739" s="14" t="n">
        <x:v>0.5932844871794872</x:v>
      </x:c>
      <x:c r="Y739" s="16" t="n">
        <x:v>84.43877551020408</x:v>
      </x:c>
      <x:c r="Z739" s="16" t="n">
        <x:v>93.73368146214099</x:v>
      </x:c>
      <x:c r="AA739" s="16" t="n">
        <x:v>34.42622950819672</x:v>
      </x:c>
      <x:c r="AB739" s="16" t="n">
        <x:v>59.183673469387756</x:v>
      </x:c>
      <x:c r="AC739" s="16" t="n">
        <x:v>82.71683673469389</x:v>
      </x:c>
      <x:c r="AD739" s="16" t="n">
        <x:v>41.21951219512195</x:v>
      </x:c>
      <x:c r="AE739" s="16" t="n">
        <x:v>72.67445245086279</x:v>
      </x:c>
      <x:c r="AF739" t="str">
        <x:v>검토</x:v>
      </x:c>
      <x:c r="AG739" t="str">
        <x:v>상권 모멘텀·수요 강점 / 서울 업종추세 상대적 약점</x:v>
      </x:c>
    </x:row>
    <x:row r="740">
      <x:c r="A740" t="str">
        <x:v>3120028</x:v>
      </x:c>
      <x:c r="B740" t="str">
        <x:v>명동(명동거리)</x:v>
      </x:c>
      <x:c r="C740" t="str">
        <x:v>발달상권</x:v>
      </x:c>
      <x:c r="D740" t="str">
        <x:v>중구</x:v>
      </x:c>
      <x:c r="E740" t="str">
        <x:v>명동</x:v>
      </x:c>
      <x:c r="F740" t="str">
        <x:v>CS300010</x:v>
      </x:c>
      <x:c r="G740" t="str">
        <x:v>반찬가게</x:v>
      </x:c>
      <x:c r="H740" t="n">
        <x:v>4204019481</x:v>
      </x:c>
      <x:c r="I740" t="n">
        <x:v>203363</x:v>
      </x:c>
      <x:c r="J740" t="n">
        <x:v>20672.489494155772</x:v>
      </x:c>
      <x:c r="K740" s="14" t="n">
        <x:v>0.13647462995513648</x:v>
      </x:c>
      <x:c r="L740" s="14" t="n">
        <x:v>0.02346021551670452</x:v>
      </x:c>
      <x:c r="M740" s="14" t="n">
        <x:v>0.024589273784872745</x:v>
      </x:c>
      <x:c r="N740" t="n">
        <x:v>51</x:v>
      </x:c>
      <x:c r="O740" t="n">
        <x:v>0</x:v>
      </x:c>
      <x:c r="P740" s="14" t="n">
        <x:v>0</x:v>
      </x:c>
      <x:c r="Q740" s="14" t="n">
        <x:v>0.0784313725490196</x:v>
      </x:c>
      <x:c r="R740" s="14" t="n">
        <x:v>0.2142857142857142</x:v>
      </x:c>
      <x:c r="S740" t="n">
        <x:v>37526</x:v>
      </x:c>
      <x:c r="T740" t="n">
        <x:v>1694.0613502471615</x:v>
      </x:c>
      <x:c r="U740" s="14" t="n">
        <x:v>0.6147329177897308</x:v>
      </x:c>
      <x:c r="V740" s="14" t="n">
        <x:v>0.5069335785982292</x:v>
      </x:c>
      <x:c r="W740" s="14" t="n">
        <x:v>0.4247249355217724</x:v>
      </x:c>
      <x:c r="X740" s="14" t="n">
        <x:v>0.49626168894529915</x:v>
      </x:c>
      <x:c r="Y740" s="16" t="n">
        <x:v>91.97994987468671</x:v>
      </x:c>
      <x:c r="Z740" s="16" t="n">
        <x:v>78.33333333333333</x:v>
      </x:c>
      <x:c r="AA740" s="16" t="n">
        <x:v>63.9344262295082</x:v>
      </x:c>
      <x:c r="AB740" s="16" t="n">
        <x:v>19.42355889724311</x:v>
      </x:c>
      <x:c r="AC740" s="16" t="n">
        <x:v>73.93483709273183</x:v>
      </x:c>
      <x:c r="AD740" s="16" t="n">
        <x:v>98.23170731707317</x:v>
      </x:c>
      <x:c r="AE740" s="16" t="n">
        <x:v>72.66841596694654</x:v>
      </x:c>
      <x:c r="AF740" t="str">
        <x:v>검토</x:v>
      </x:c>
      <x:c r="AG740" t="str">
        <x:v>직장수요·수요 강점 / 경쟁여건 상대적 약점</x:v>
      </x:c>
    </x:row>
    <x:row r="741">
      <x:c r="A741" t="str">
        <x:v>3110255</x:v>
      </x:c>
      <x:c r="B741" t="str">
        <x:v>상봉역 4번</x:v>
      </x:c>
      <x:c r="C741" t="str">
        <x:v>골목상권</x:v>
      </x:c>
      <x:c r="D741" t="str">
        <x:v>중랑구</x:v>
      </x:c>
      <x:c r="E741" t="str">
        <x:v>상봉2동</x:v>
      </x:c>
      <x:c r="F741" t="str">
        <x:v>CS300011</x:v>
      </x:c>
      <x:c r="G741" t="str">
        <x:v>일반의류</x:v>
      </x:c>
      <x:c r="H741" t="n">
        <x:v>1395017158</x:v>
      </x:c>
      <x:c r="I741" t="n">
        <x:v>8573</x:v>
      </x:c>
      <x:c r="J741" t="n">
        <x:v>162722.16936894902</x:v>
      </x:c>
      <x:c r="K741" s="14" t="n">
        <x:v>0.2812913583826515</x:v>
      </x:c>
      <x:c r="L741" s="14" t="n">
        <x:v>0.06726691045630595</x:v>
      </x:c>
      <x:c r="M741" s="14" t="n">
        <x:v>0.00788849516466894</x:v>
      </x:c>
      <x:c r="N741" t="n">
        <x:v>77</x:v>
      </x:c>
      <x:c r="O741" t="n">
        <x:v>1</x:v>
      </x:c>
      <x:c r="P741" s="14" t="n">
        <x:v>0.012195121951219513</x:v>
      </x:c>
      <x:c r="Q741" s="14" t="n">
        <x:v>0</x:v>
      </x:c>
      <x:c r="R741" s="14" t="n">
        <x:v>-0.03749999999999998</x:v>
      </x:c>
      <x:c r="S741" t="n">
        <x:v>789</x:v>
      </x:c>
      <x:c r="T741" t="n">
        <x:v>41.255980548511076</x:v>
      </x:c>
      <x:c r="U741" s="14" t="n">
        <x:v>0.6923011982050474</x:v>
      </x:c>
      <x:c r="V741" s="14" t="n">
        <x:v>0.22355278156370892</x:v>
      </x:c>
      <x:c r="W741" s="14" t="n">
        <x:v>0.042870254790084814</x:v>
      </x:c>
      <x:c r="X741" s="14" t="n">
        <x:v>0.8455428216317322</x:v>
      </x:c>
      <x:c r="Y741" s="16" t="n">
        <x:v>85.98351001177856</x:v>
      </x:c>
      <x:c r="Z741" s="16" t="n">
        <x:v>83.03249097472924</x:v>
      </x:c>
      <x:c r="AA741" s="16" t="n">
        <x:v>81.9672131147541</x:v>
      </x:c>
      <x:c r="AB741" s="16" t="n">
        <x:v>41.57832744405182</x:v>
      </x:c>
      <x:c r="AC741" s="16" t="n">
        <x:v>59.48174322732627</x:v>
      </x:c>
      <x:c r="AD741" s="16" t="n">
        <x:v>29.634146341463413</x:v>
      </x:c>
      <x:c r="AE741" s="16" t="n">
        <x:v>72.66243942269503</x:v>
      </x:c>
      <x:c r="AF741" t="str">
        <x:v>검토</x:v>
      </x:c>
      <x:c r="AG741" t="str">
        <x:v>수요·상권 모멘텀 강점 / 직장수요 상대적 약점</x:v>
      </x:c>
    </x:row>
    <x:row r="742">
      <x:c r="A742" t="str">
        <x:v>3110569</x:v>
      </x:c>
      <x:c r="B742" t="str">
        <x:v>홍대땡땡거리</x:v>
      </x:c>
      <x:c r="C742" t="str">
        <x:v>골목상권</x:v>
      </x:c>
      <x:c r="D742" t="str">
        <x:v>마포구</x:v>
      </x:c>
      <x:c r="E742" t="str">
        <x:v>서강동</x:v>
      </x:c>
      <x:c r="F742" t="str">
        <x:v>CS200003</x:v>
      </x:c>
      <x:c r="G742" t="str">
        <x:v>예술학원</x:v>
      </x:c>
      <x:c r="H742" t="n">
        <x:v>744962714</x:v>
      </x:c>
      <x:c r="I742" t="n">
        <x:v>1016</x:v>
      </x:c>
      <x:c r="J742" t="n">
        <x:v>733231.0177165355</x:v>
      </x:c>
      <x:c r="K742" s="14" t="n">
        <x:v>0.2907607977434621</x:v>
      </x:c>
      <x:c r="L742" s="14" t="n">
        <x:v>0.09364146198394163</x:v>
      </x:c>
      <x:c r="M742" s="14" t="n">
        <x:v>0.053788091189524545</x:v>
      </x:c>
      <x:c r="N742" t="n">
        <x:v>50</x:v>
      </x:c>
      <x:c r="O742" t="n">
        <x:v>1</x:v>
      </x:c>
      <x:c r="P742" s="14" t="n">
        <x:v>0.01818181818181818</x:v>
      </x:c>
      <x:c r="Q742" s="14" t="n">
        <x:v>0.02</x:v>
      </x:c>
      <x:c r="R742" s="14" t="n">
        <x:v>0.08695652173913038</x:v>
      </x:c>
      <x:c r="S742" t="n">
        <x:v>661</x:v>
      </x:c>
      <x:c r="T742" t="n">
        <x:v>77.8251348105588</x:v>
      </x:c>
      <x:c r="U742" s="14" t="n">
        <x:v>0.7539876445413616</x:v>
      </x:c>
      <x:c r="V742" s="14" t="n">
        <x:v>0.5720896952166119</x:v>
      </x:c>
      <x:c r="W742" s="14" t="n">
        <x:v>0.12287168240744999</x:v>
      </x:c>
      <x:c r="X742" s="14" t="n">
        <x:v>0.4891661168427283</x:v>
      </x:c>
      <x:c r="Y742" s="16" t="n">
        <x:v>93.82470119521912</x:v>
      </x:c>
      <x:c r="Z742" s="16" t="n">
        <x:v>89.16155419222903</x:v>
      </x:c>
      <x:c r="AA742" s="16" t="n">
        <x:v>88.52459016393442</x:v>
      </x:c>
      <x:c r="AB742" s="16" t="n">
        <x:v>14.741035856573703</x:v>
      </x:c>
      <x:c r="AC742" s="16" t="n">
        <x:v>39.44223107569721</x:v>
      </x:c>
      <x:c r="AD742" s="16" t="n">
        <x:v>51.03658536585366</x:v>
      </x:c>
      <x:c r="AE742" s="16" t="n">
        <x:v>72.65685253571112</x:v>
      </x:c>
      <x:c r="AF742" t="str">
        <x:v>검토</x:v>
      </x:c>
      <x:c r="AG742" t="str">
        <x:v>수요·상권 모멘텀 강점 / 경쟁여건 상대적 약점</x:v>
      </x:c>
    </x:row>
    <x:row r="743">
      <x:c r="A743" t="str">
        <x:v>3120167</x:v>
      </x:c>
      <x:c r="B743" t="str">
        <x:v>고속터미널(고속터미널역)</x:v>
      </x:c>
      <x:c r="C743" t="str">
        <x:v>발달상권</x:v>
      </x:c>
      <x:c r="D743" t="str">
        <x:v>서초구</x:v>
      </x:c>
      <x:c r="E743" t="str">
        <x:v>반포4동</x:v>
      </x:c>
      <x:c r="F743" t="str">
        <x:v>CS200030</x:v>
      </x:c>
      <x:c r="G743" t="str">
        <x:v>피부관리실</x:v>
      </x:c>
      <x:c r="H743" t="n">
        <x:v>46994411</x:v>
      </x:c>
      <x:c r="I743" t="n">
        <x:v>94</x:v>
      </x:c>
      <x:c r="J743" t="n">
        <x:v>499940.5425531915</x:v>
      </x:c>
      <x:c r="K743" s="14" t="n">
        <x:v>0.26515502963943827</x:v>
      </x:c>
      <x:c r="L743" s="14" t="n">
        <x:v>0.11857168683779085</x:v>
      </x:c>
      <x:c r="M743" s="14" t="n">
        <x:v>0.0314283578178467</x:v>
      </x:c>
      <x:c r="N743" t="n">
        <x:v>26</x:v>
      </x:c>
      <x:c r="O743" t="n">
        <x:v>0</x:v>
      </x:c>
      <x:c r="P743" s="14" t="n">
        <x:v>0</x:v>
      </x:c>
      <x:c r="Q743" s="14" t="n">
        <x:v>0.07692307692307693</x:v>
      </x:c>
      <x:c r="R743" s="14" t="n">
        <x:v>0.625</x:v>
      </x:c>
      <x:c r="S743" t="n">
        <x:v>26897</x:v>
      </x:c>
      <x:c r="T743" t="n">
        <x:v>838.3959602886398</x:v>
      </x:c>
      <x:c r="U743" s="14" t="n">
        <x:v>0.24999998404065538</x:v>
      </x:c>
      <x:c r="V743" s="14" t="n">
        <x:v>0.712500003457858</x:v>
      </x:c>
      <x:c r="W743" s="14" t="n">
        <x:v>0</x:v>
      </x:c>
      <x:c r="X743" s="14" t="n">
        <x:v>0.7250000005319781</x:v>
      </x:c>
      <x:c r="Y743" s="16" t="n">
        <x:v>61.04218362282879</x:v>
      </x:c>
      <x:c r="Z743" s="16" t="n">
        <x:v>79.57559681697613</x:v>
      </x:c>
      <x:c r="AA743" s="16" t="n">
        <x:v>91.80327868852459</x:v>
      </x:c>
      <x:c r="AB743" s="16" t="n">
        <x:v>59.42928039702233</x:v>
      </x:c>
      <x:c r="AC743" s="16" t="n">
        <x:v>79.15632754342431</x:v>
      </x:c>
      <x:c r="AD743" s="16" t="n">
        <x:v>95.42682926829268</x:v>
      </x:c>
      <x:c r="AE743" s="16" t="n">
        <x:v>72.6517417119744</x:v>
      </x:c>
      <x:c r="AF743" t="str">
        <x:v>검토</x:v>
      </x:c>
      <x:c r="AG743" t="str">
        <x:v>직장수요·서울 업종추세 강점 / 경쟁여건 상대적 약점</x:v>
      </x:c>
    </x:row>
    <x:row r="744">
      <x:c r="A744" t="str">
        <x:v>3120219</x:v>
      </x:c>
      <x:c r="B744" t="str">
        <x:v>은마아파트</x:v>
      </x:c>
      <x:c r="C744" t="str">
        <x:v>발달상권</x:v>
      </x:c>
      <x:c r="D744" t="str">
        <x:v>강남구</x:v>
      </x:c>
      <x:c r="E744" t="str">
        <x:v>대치4동</x:v>
      </x:c>
      <x:c r="F744" t="str">
        <x:v>CS200006</x:v>
      </x:c>
      <x:c r="G744" t="str">
        <x:v>일반의원</x:v>
      </x:c>
      <x:c r="H744" t="n">
        <x:v>6178283158</x:v>
      </x:c>
      <x:c r="I744" t="n">
        <x:v>113662</x:v>
      </x:c>
      <x:c r="J744" t="n">
        <x:v>54356.62893491228</x:v>
      </x:c>
      <x:c r="K744" s="14" t="n">
        <x:v>0.08259669723287932</x:v>
      </x:c>
      <x:c r="L744" s="14" t="n">
        <x:v>0.09973642051122278</x:v>
      </x:c>
      <x:c r="M744" s="14" t="n">
        <x:v>0.06942273842247415</x:v>
      </x:c>
      <x:c r="N744" t="n">
        <x:v>57</x:v>
      </x:c>
      <x:c r="O744" t="n">
        <x:v>0</x:v>
      </x:c>
      <x:c r="P744" s="14" t="n">
        <x:v>0</x:v>
      </x:c>
      <x:c r="Q744" s="14" t="n">
        <x:v>0</x:v>
      </x:c>
      <x:c r="R744" s="14" t="n">
        <x:v>0.23913043478260865</x:v>
      </x:c>
      <x:c r="S744" t="n">
        <x:v>10976</x:v>
      </x:c>
      <x:c r="T744" t="n">
        <x:v>733.3956969130028</x:v>
      </x:c>
      <x:c r="U744" s="14" t="n">
        <x:v>0.7939748762806704</x:v>
      </x:c>
      <x:c r="V744" s="14" t="n">
        <x:v>0.20342332891826323</x:v>
      </x:c>
      <x:c r="W744" s="14" t="n">
        <x:v>0.15462381855435187</x:v>
      </x:c>
      <x:c r="X744" s="14" t="n">
        <x:v>0.5965901525939741</x:v>
      </x:c>
      <x:c r="Y744" s="16" t="n">
        <x:v>86.46034816247582</x:v>
      </x:c>
      <x:c r="Z744" s="16" t="n">
        <x:v>76.35658914728683</x:v>
      </x:c>
      <x:c r="AA744" s="16" t="n">
        <x:v>90.1639344262295</x:v>
      </x:c>
      <x:c r="AB744" s="16" t="n">
        <x:v>17.538759689922486</x:v>
      </x:c>
      <x:c r="AC744" s="16" t="n">
        <x:v>62.5</x:v>
      </x:c>
      <x:c r="AD744" s="16" t="n">
        <x:v>94.20731707317073</x:v>
      </x:c>
      <x:c r="AE744" s="16" t="n">
        <x:v>72.64820965740523</x:v>
      </x:c>
      <x:c r="AF744" t="str">
        <x:v>검토</x:v>
      </x:c>
      <x:c r="AG744" t="str">
        <x:v>직장수요·서울 업종추세 강점 / 경쟁여건 상대적 약점</x:v>
      </x:c>
    </x:row>
    <x:row r="745">
      <x:c r="A745" t="str">
        <x:v>3130088</x:v>
      </x:c>
      <x:c r="B745" t="str">
        <x:v>경동시장</x:v>
      </x:c>
      <x:c r="C745" t="str">
        <x:v>전통시장</x:v>
      </x:c>
      <x:c r="D745" t="str">
        <x:v>동대문구</x:v>
      </x:c>
      <x:c r="E745" t="str">
        <x:v>제기동</x:v>
      </x:c>
      <x:c r="F745" t="str">
        <x:v>CS300007</x:v>
      </x:c>
      <x:c r="G745" t="str">
        <x:v>육류판매</x:v>
      </x:c>
      <x:c r="H745" t="n">
        <x:v>12624170370</x:v>
      </x:c>
      <x:c r="I745" t="n">
        <x:v>276833</x:v>
      </x:c>
      <x:c r="J745" t="n">
        <x:v>45602.11524637597</x:v>
      </x:c>
      <x:c r="K745" s="14" t="n">
        <x:v>0.09242001851944392</x:v>
      </x:c>
      <x:c r="L745" s="14" t="n">
        <x:v>0.23518223683931017</x:v>
      </x:c>
      <x:c r="M745" s="14" t="n">
        <x:v>0.00863079289162072</x:v>
      </x:c>
      <x:c r="N745" t="n">
        <x:v>88</x:v>
      </x:c>
      <x:c r="O745" t="n">
        <x:v>2</x:v>
      </x:c>
      <x:c r="P745" s="14" t="n">
        <x:v>0.021505376344086023</x:v>
      </x:c>
      <x:c r="Q745" s="14" t="n">
        <x:v>0</x:v>
      </x:c>
      <x:c r="R745" s="14" t="n">
        <x:v>-0.022222222222222254</x:v>
      </x:c>
      <x:c r="S745" t="n">
        <x:v>297</x:v>
      </x:c>
      <x:c r="T745" t="n">
        <x:v>139.2862167612437</x:v>
      </x:c>
      <x:c r="U745" s="14" t="n">
        <x:v>0.6532714887623938</x:v>
      </x:c>
      <x:c r="V745" s="14" t="n">
        <x:v>0.057610163177796214</x:v>
      </x:c>
      <x:c r="W745" s="14" t="n">
        <x:v>0.055561954603120585</x:v>
      </x:c>
      <x:c r="X745" s="14" t="n">
        <x:v>0.5885794752625791</x:v>
      </x:c>
      <x:c r="Y745" s="16" t="n">
        <x:v>98.76237623762377</x:v>
      </x:c>
      <x:c r="Z745" s="16" t="n">
        <x:v>81.03896103896103</x:v>
      </x:c>
      <x:c r="AA745" s="16" t="n">
        <x:v>100</x:v>
      </x:c>
      <x:c r="AB745" s="16" t="n">
        <x:v>2.351485148514854</x:v>
      </x:c>
      <x:c r="AC745" s="16" t="n">
        <x:v>31.311881188118818</x:v>
      </x:c>
      <x:c r="AD745" s="16" t="n">
        <x:v>67.7439024390244</x:v>
      </x:c>
      <x:c r="AE745" s="16" t="n">
        <x:v>72.64572990400086</x:v>
      </x:c>
      <x:c r="AF745" t="str">
        <x:v>검토</x:v>
      </x:c>
      <x:c r="AG745" t="str">
        <x:v>서울 업종추세·수요 강점 / 경쟁여건 상대적 약점</x:v>
      </x:c>
    </x:row>
    <x:row r="746">
      <x:c r="A746" t="str">
        <x:v>3120218</x:v>
      </x:c>
      <x:c r="B746" t="str">
        <x:v>코엑스</x:v>
      </x:c>
      <x:c r="C746" t="str">
        <x:v>발달상권</x:v>
      </x:c>
      <x:c r="D746" t="str">
        <x:v>강남구</x:v>
      </x:c>
      <x:c r="E746" t="str">
        <x:v>삼성1동</x:v>
      </x:c>
      <x:c r="F746" t="str">
        <x:v>CS300011</x:v>
      </x:c>
      <x:c r="G746" t="str">
        <x:v>일반의류</x:v>
      </x:c>
      <x:c r="H746" t="n">
        <x:v>3606047803</x:v>
      </x:c>
      <x:c r="I746" t="n">
        <x:v>1830</x:v>
      </x:c>
      <x:c r="J746" t="n">
        <x:v>1970517.925136612</x:v>
      </x:c>
      <x:c r="K746" s="14" t="n">
        <x:v>0.2671351062148313</x:v>
      </x:c>
      <x:c r="L746" s="14" t="n">
        <x:v>0.06726691045630595</x:v>
      </x:c>
      <x:c r="M746" s="14" t="n">
        <x:v>0.00788849516466894</x:v>
      </x:c>
      <x:c r="N746" t="n">
        <x:v>443</x:v>
      </x:c>
      <x:c r="O746" t="n">
        <x:v>7</x:v>
      </x:c>
      <x:c r="P746" s="14" t="n">
        <x:v>0.015625</x:v>
      </x:c>
      <x:c r="Q746" s="14" t="n">
        <x:v>0</x:v>
      </x:c>
      <x:c r="R746" s="14" t="n">
        <x:v>-0.06342494714587743</x:v>
      </x:c>
      <x:c r="S746" t="n">
        <x:v>52540</x:v>
      </x:c>
      <x:c r="T746" t="n">
        <x:v>3613.5794657349584</x:v>
      </x:c>
      <x:c r="U746" s="14" t="n">
        <x:v>0.9026374853633631</x:v>
      </x:c>
      <x:c r="V746" s="14" t="n">
        <x:v>0.13897146471077992</x:v>
      </x:c>
      <x:c r="W746" s="14" t="n">
        <x:v>0.5618111019811126</x:v>
      </x:c>
      <x:c r="X746" s="14" t="n">
        <x:v>0.6649319276924738</x:v>
      </x:c>
      <x:c r="Y746" s="16" t="n">
        <x:v>92.93286219081273</x:v>
      </x:c>
      <x:c r="Z746" s="16" t="n">
        <x:v>82.31046931407943</x:v>
      </x:c>
      <x:c r="AA746" s="16" t="n">
        <x:v>81.9672131147541</x:v>
      </x:c>
      <x:c r="AB746" s="16" t="n">
        <x:v>7.950530035335689</x:v>
      </x:c>
      <x:c r="AC746" s="16" t="n">
        <x:v>51.76678445229682</x:v>
      </x:c>
      <x:c r="AD746" s="16" t="n">
        <x:v>99.8170731707317</x:v>
      </x:c>
      <x:c r="AE746" s="16" t="n">
        <x:v>72.64378920588007</x:v>
      </x:c>
      <x:c r="AF746" t="str">
        <x:v>검토</x:v>
      </x:c>
      <x:c r="AG746" t="str">
        <x:v>직장수요·수요 강점 / 경쟁여건 상대적 약점</x:v>
      </x:c>
    </x:row>
    <x:row r="747">
      <x:c r="A747" t="str">
        <x:v>3130279</x:v>
      </x:c>
      <x:c r="B747" t="str">
        <x:v>관악신사시장</x:v>
      </x:c>
      <x:c r="C747" t="str">
        <x:v>전통시장</x:v>
      </x:c>
      <x:c r="D747" t="str">
        <x:v>관악구</x:v>
      </x:c>
      <x:c r="E747" t="str">
        <x:v>신사동</x:v>
      </x:c>
      <x:c r="F747" t="str">
        <x:v>CS300004</x:v>
      </x:c>
      <x:c r="G747" t="str">
        <x:v>핸드폰</x:v>
      </x:c>
      <x:c r="H747" t="n">
        <x:v>372834082</x:v>
      </x:c>
      <x:c r="I747" t="n">
        <x:v>3809</x:v>
      </x:c>
      <x:c r="J747" t="n">
        <x:v>97882.40535573641</x:v>
      </x:c>
      <x:c r="K747" s="14" t="n">
        <x:v>0.6857889238352084</x:v>
      </x:c>
      <x:c r="L747" s="14" t="n">
        <x:v>0.021417847123978317</x:v>
      </x:c>
      <x:c r="M747" s="14" t="n">
        <x:v>-0.06496332404204874</x:v>
      </x:c>
      <x:c r="N747" t="n">
        <x:v>12</x:v>
      </x:c>
      <x:c r="O747" t="n">
        <x:v>0</x:v>
      </x:c>
      <x:c r="P747" s="14" t="n">
        <x:v>0</x:v>
      </x:c>
      <x:c r="Q747" s="14" t="n">
        <x:v>0</x:v>
      </x:c>
      <x:c r="R747" s="14" t="n">
        <x:v>-0.4285714285714286</x:v>
      </x:c>
      <x:c r="S747" t="n">
        <x:v>373</x:v>
      </x:c>
      <x:c r="T747" t="n">
        <x:v>74.62089385027808</x:v>
      </x:c>
      <x:c r="U747" s="14" t="n">
        <x:v>0.9695936676733325</x:v>
      </x:c>
      <x:c r="V747" s="14" t="n">
        <x:v>0.05436830477316717</x:v>
      </x:c>
      <x:c r="W747" s="14" t="n">
        <x:v>0.36464188915003753</x:v>
      </x:c>
      <x:c r="X747" s="14" t="n">
        <x:v>0.030406332326667496</x:v>
      </x:c>
      <x:c r="Y747" s="16" t="n">
        <x:v>79.3103448275862</x:v>
      </x:c>
      <x:c r="Z747" s="16" t="n">
        <x:v>84.14634146341463</x:v>
      </x:c>
      <x:c r="AA747" s="16" t="n">
        <x:v>55.73770491803279</x:v>
      </x:c>
      <x:c r="AB747" s="16" t="n">
        <x:v>74.42528735632183</x:v>
      </x:c>
      <x:c r="AC747" s="16" t="n">
        <x:v>60.3448275862069</x:v>
      </x:c>
      <x:c r="AD747" s="16" t="n">
        <x:v>49.81707317073171</x:v>
      </x:c>
      <x:c r="AE747" s="16" t="n">
        <x:v>72.63767424064856</x:v>
      </x:c>
      <x:c r="AF747" t="str">
        <x:v>검토</x:v>
      </x:c>
      <x:c r="AG747" t="str">
        <x:v>상권 모멘텀·수요 강점 / 직장수요 상대적 약점</x:v>
      </x:c>
    </x:row>
    <x:row r="748">
      <x:c r="A748" t="str">
        <x:v>3120099</x:v>
      </x:c>
      <x:c r="B748" t="str">
        <x:v>월드컵경기장역(월드컵경기장)</x:v>
      </x:c>
      <x:c r="C748" t="str">
        <x:v>발달상권</x:v>
      </x:c>
      <x:c r="D748" t="str">
        <x:v>마포구</x:v>
      </x:c>
      <x:c r="E748" t="str">
        <x:v>성산2동</x:v>
      </x:c>
      <x:c r="F748" t="str">
        <x:v>CS100010</x:v>
      </x:c>
      <x:c r="G748" t="str">
        <x:v>커피-음료</x:v>
      </x:c>
      <x:c r="H748" t="n">
        <x:v>500897688</x:v>
      </x:c>
      <x:c r="I748" t="n">
        <x:v>81912</x:v>
      </x:c>
      <x:c r="J748" t="n">
        <x:v>6115.070905361852</x:v>
      </x:c>
      <x:c r="K748" s="14" t="n">
        <x:v>0.3966153219500159</x:v>
      </x:c>
      <x:c r="L748" s="14" t="n">
        <x:v>-0.00844757257331652</x:v>
      </x:c>
      <x:c r="M748" s="14" t="n">
        <x:v>0.016227780215539944</x:v>
      </x:c>
      <x:c r="N748" t="n">
        <x:v>59</x:v>
      </x:c>
      <x:c r="O748" t="n">
        <x:v>0</x:v>
      </x:c>
      <x:c r="P748" s="14" t="n">
        <x:v>0</x:v>
      </x:c>
      <x:c r="Q748" s="14" t="n">
        <x:v>0.22033898305084745</x:v>
      </x:c>
      <x:c r="R748" s="14" t="n">
        <x:v>0.20408163265306123</x:v>
      </x:c>
      <x:c r="S748"/>
      <x:c r="T748"/>
      <x:c r="U748" s="14" t="n">
        <x:v>0.6008575986878981</x:v>
      </x:c>
      <x:c r="V748" s="14" t="n">
        <x:v>0.2104605821219123</x:v>
      </x:c>
      <x:c r="W748" s="14" t="n">
        <x:v>0.3704281881213235</x:v>
      </x:c>
      <x:c r="X748" s="14" t="n">
        <x:v>0.5189857075163821</x:v>
      </x:c>
      <x:c r="Y748" s="16" t="n">
        <x:v>76.96629213483146</x:v>
      </x:c>
      <x:c r="Z748" s="16" t="n">
        <x:v>97.81783681214421</x:v>
      </x:c>
      <x:c r="AA748" s="16" t="n">
        <x:v>37.704918032786885</x:v>
      </x:c>
      <x:c r="AB748" s="16" t="n">
        <x:v>57.6310861423221</x:v>
      </x:c>
      <x:c r="AC748" s="16" t="n">
        <x:v>93.25842696629213</x:v>
      </x:c>
      <x:c r="AD748" s="16" t="n">
        <x:v>50</x:v>
      </x:c>
      <x:c r="AE748" s="16" t="n">
        <x:v>72.62801293251542</x:v>
      </x:c>
      <x:c r="AF748" t="str">
        <x:v>검토</x:v>
      </x:c>
      <x:c r="AG748" t="str">
        <x:v>상권 모멘텀·안정성 강점 / 서울 업종추세 상대적 약점</x:v>
      </x:c>
    </x:row>
    <x:row r="749">
      <x:c r="A749" t="str">
        <x:v>3110314</x:v>
      </x:c>
      <x:c r="B749" t="str">
        <x:v>종암경찰서</x:v>
      </x:c>
      <x:c r="C749" t="str">
        <x:v>골목상권</x:v>
      </x:c>
      <x:c r="D749" t="str">
        <x:v>성북구</x:v>
      </x:c>
      <x:c r="E749" t="str">
        <x:v>종암동</x:v>
      </x:c>
      <x:c r="F749" t="str">
        <x:v>CS300010</x:v>
      </x:c>
      <x:c r="G749" t="str">
        <x:v>반찬가게</x:v>
      </x:c>
      <x:c r="H749" t="n">
        <x:v>788132076</x:v>
      </x:c>
      <x:c r="I749" t="n">
        <x:v>9363</x:v>
      </x:c>
      <x:c r="J749" t="n">
        <x:v>84175.1656520346</x:v>
      </x:c>
      <x:c r="K749" s="14" t="n">
        <x:v>0.2625309335613817</x:v>
      </x:c>
      <x:c r="L749" s="14" t="n">
        <x:v>0.02346021551670452</x:v>
      </x:c>
      <x:c r="M749" s="14" t="n">
        <x:v>0.024589273784872745</x:v>
      </x:c>
      <x:c r="N749" t="n">
        <x:v>26</x:v>
      </x:c>
      <x:c r="O749" t="n">
        <x:v>0</x:v>
      </x:c>
      <x:c r="P749" s="14" t="n">
        <x:v>0</x:v>
      </x:c>
      <x:c r="Q749" s="14" t="n">
        <x:v>0.11538461538461539</x:v>
      </x:c>
      <x:c r="R749" s="14" t="n">
        <x:v>0.13043478260869557</x:v>
      </x:c>
      <x:c r="S749" t="n">
        <x:v>4425</x:v>
      </x:c>
      <x:c r="T749" t="n">
        <x:v>526.1968749256783</x:v>
      </x:c>
      <x:c r="U749" s="14" t="n">
        <x:v>0.9310073899339684</x:v>
      </x:c>
      <x:c r="V749" s="14" t="n">
        <x:v>0.10247255055255484</x:v>
      </x:c>
      <x:c r="W749" s="14" t="n">
        <x:v>0.02663425412976086</x:v>
      </x:c>
      <x:c r="X749" s="14" t="n">
        <x:v>0.4978720559014527</x:v>
      </x:c>
      <x:c r="Y749" s="16" t="n">
        <x:v>71.9298245614035</x:v>
      </x:c>
      <x:c r="Z749" s="16" t="n">
        <x:v>89.16666666666667</x:v>
      </x:c>
      <x:c r="AA749" s="16" t="n">
        <x:v>63.9344262295082</x:v>
      </x:c>
      <x:c r="AB749" s="16" t="n">
        <x:v>54.010025062656645</x:v>
      </x:c>
      <x:c r="AC749" s="16" t="n">
        <x:v>73.93483709273183</x:v>
      </x:c>
      <x:c r="AD749" s="16" t="n">
        <x:v>90.60975609756098</x:v>
      </x:c>
      <x:c r="AE749" s="16" t="n">
        <x:v>72.62441113780052</x:v>
      </x:c>
      <x:c r="AF749" t="str">
        <x:v>검토</x:v>
      </x:c>
      <x:c r="AG749" t="str">
        <x:v>직장수요·상권 모멘텀 강점 / 경쟁여건 상대적 약점</x:v>
      </x:c>
    </x:row>
    <x:row r="750">
      <x:c r="A750" t="str">
        <x:v>3130067</x:v>
      </x:c>
      <x:c r="B750" t="str">
        <x:v>왕십리도선동상점가</x:v>
      </x:c>
      <x:c r="C750" t="str">
        <x:v>전통시장</x:v>
      </x:c>
      <x:c r="D750" t="str">
        <x:v>성동구</x:v>
      </x:c>
      <x:c r="E750" t="str">
        <x:v>왕십리도선동</x:v>
      </x:c>
      <x:c r="F750" t="str">
        <x:v>CS300009</x:v>
      </x:c>
      <x:c r="G750" t="str">
        <x:v>청과상</x:v>
      </x:c>
      <x:c r="H750" t="n">
        <x:v>937630910</x:v>
      </x:c>
      <x:c r="I750" t="n">
        <x:v>2838</x:v>
      </x:c>
      <x:c r="J750" t="n">
        <x:v>330384.3939393939</x:v>
      </x:c>
      <x:c r="K750" s="14" t="n">
        <x:v>1.3950690388300648</x:v>
      </x:c>
      <x:c r="L750" s="14" t="n">
        <x:v>0.19728256051488424</x:v>
      </x:c>
      <x:c r="M750" s="14" t="n">
        <x:v>0.09797365727115581</x:v>
      </x:c>
      <x:c r="N750" t="n">
        <x:v>17</x:v>
      </x:c>
      <x:c r="O750" t="n">
        <x:v>1</x:v>
      </x:c>
      <x:c r="P750" s="14" t="n">
        <x:v>0.045454545454545456</x:v>
      </x:c>
      <x:c r="Q750" s="14" t="n">
        <x:v>0</x:v>
      </x:c>
      <x:c r="R750" s="14" t="n">
        <x:v>0.7</x:v>
      </x:c>
      <x:c r="S750" t="n">
        <x:v>1834</x:v>
      </x:c>
      <x:c r="T750" t="n">
        <x:v>211.54622527250706</x:v>
      </x:c>
      <x:c r="U750" s="14" t="n">
        <x:v>0.9841493600077668</x:v>
      </x:c>
      <x:c r="V750" s="14" t="n">
        <x:v>0.10406411623098048</x:v>
      </x:c>
      <x:c r="W750" s="14" t="n">
        <x:v>0.0012463518294208113</x:v>
      </x:c>
      <x:c r="X750" s="14" t="n">
        <x:v>0.029656900922773545</x:v>
      </x:c>
      <x:c r="Y750" s="16" t="n">
        <x:v>70.32967032967034</x:v>
      </x:c>
      <x:c r="Z750" s="16" t="n">
        <x:v>98.85496183206106</x:v>
      </x:c>
      <x:c r="AA750" s="16" t="n">
        <x:v>95.08196721311475</x:v>
      </x:c>
      <x:c r="AB750" s="16" t="n">
        <x:v>53.663003663003664</x:v>
      </x:c>
      <x:c r="AC750" s="16" t="n">
        <x:v>20.329670329670336</x:v>
      </x:c>
      <x:c r="AD750" s="16" t="n">
        <x:v>77.5609756097561</x:v>
      </x:c>
      <x:c r="AE750" s="16" t="n">
        <x:v>72.60913842666943</x:v>
      </x:c>
      <x:c r="AF750" t="str">
        <x:v>검토</x:v>
      </x:c>
      <x:c r="AG750" t="str">
        <x:v>상권 모멘텀·서울 업종추세 강점 / 안정성 상대적 약점</x:v>
      </x:c>
    </x:row>
    <x:row r="751">
      <x:c r="A751" t="str">
        <x:v>3130225</x:v>
      </x:c>
      <x:c r="B751" t="str">
        <x:v>개봉중앙시장</x:v>
      </x:c>
      <x:c r="C751" t="str">
        <x:v>전통시장</x:v>
      </x:c>
      <x:c r="D751" t="str">
        <x:v>구로구</x:v>
      </x:c>
      <x:c r="E751" t="str">
        <x:v>개봉2동</x:v>
      </x:c>
      <x:c r="F751" t="str">
        <x:v>CS200006</x:v>
      </x:c>
      <x:c r="G751" t="str">
        <x:v>일반의원</x:v>
      </x:c>
      <x:c r="H751" t="n">
        <x:v>2303398628</x:v>
      </x:c>
      <x:c r="I751" t="n">
        <x:v>118504</x:v>
      </x:c>
      <x:c r="J751" t="n">
        <x:v>19437.306993856746</x:v>
      </x:c>
      <x:c r="K751" s="14" t="n">
        <x:v>0.10562112467738527</x:v>
      </x:c>
      <x:c r="L751" s="14" t="n">
        <x:v>0.09973642051122278</x:v>
      </x:c>
      <x:c r="M751" s="14" t="n">
        <x:v>0.06942273842247415</x:v>
      </x:c>
      <x:c r="N751" t="n">
        <x:v>23</x:v>
      </x:c>
      <x:c r="O751" t="n">
        <x:v>0</x:v>
      </x:c>
      <x:c r="P751" s="14" t="n">
        <x:v>0</x:v>
      </x:c>
      <x:c r="Q751" s="14" t="n">
        <x:v>0</x:v>
      </x:c>
      <x:c r="R751" s="14" t="n">
        <x:v>0.21052631578947367</x:v>
      </x:c>
      <x:c r="S751" t="n">
        <x:v>3096</x:v>
      </x:c>
      <x:c r="T751" t="n">
        <x:v>388.3933611832449</x:v>
      </x:c>
      <x:c r="U751" s="14" t="n">
        <x:v>0.7397265685095302</x:v>
      </x:c>
      <x:c r="V751" s="14" t="n">
        <x:v>0.23337633810555522</x:v>
      </x:c>
      <x:c r="W751" s="14" t="n">
        <x:v>0.2604753218599208</x:v>
      </x:c>
      <x:c r="X751" s="14" t="n">
        <x:v>0.547985027713579</x:v>
      </x:c>
      <x:c r="Y751" s="16" t="n">
        <x:v>66.34429400386847</x:v>
      </x:c>
      <x:c r="Z751" s="16" t="n">
        <x:v>83.13953488372093</x:v>
      </x:c>
      <x:c r="AA751" s="16" t="n">
        <x:v>90.1639344262295</x:v>
      </x:c>
      <x:c r="AB751" s="16" t="n">
        <x:v>57.55813953488372</x:v>
      </x:c>
      <x:c r="AC751" s="16" t="n">
        <x:v>62.5</x:v>
      </x:c>
      <x:c r="AD751" s="16" t="n">
        <x:v>87.01219512195122</x:v>
      </x:c>
      <x:c r="AE751" s="16" t="n">
        <x:v>72.60733072836268</x:v>
      </x:c>
      <x:c r="AF751" t="str">
        <x:v>검토</x:v>
      </x:c>
      <x:c r="AG751" t="str">
        <x:v>서울 업종추세·직장수요 강점 / 경쟁여건 상대적 약점</x:v>
      </x:c>
    </x:row>
    <x:row r="752">
      <x:c r="A752" t="str">
        <x:v>3120166</x:v>
      </x:c>
      <x:c r="B752" t="str">
        <x:v>방배역</x:v>
      </x:c>
      <x:c r="C752" t="str">
        <x:v>발달상권</x:v>
      </x:c>
      <x:c r="D752" t="str">
        <x:v>서초구</x:v>
      </x:c>
      <x:c r="E752" t="str">
        <x:v>방배1동</x:v>
      </x:c>
      <x:c r="F752" t="str">
        <x:v>CS200028</x:v>
      </x:c>
      <x:c r="G752" t="str">
        <x:v>미용실</x:v>
      </x:c>
      <x:c r="H752" t="n">
        <x:v>2113345656</x:v>
      </x:c>
      <x:c r="I752" t="n">
        <x:v>27967</x:v>
      </x:c>
      <x:c r="J752" t="n">
        <x:v>75565.69013480173</x:v>
      </x:c>
      <x:c r="K752" s="14" t="n">
        <x:v>0.029899589034190655</x:v>
      </x:c>
      <x:c r="L752" s="14" t="n">
        <x:v>0.02168887159425803</x:v>
      </x:c>
      <x:c r="M752" s="14" t="n">
        <x:v>-0.013481964371473865</x:v>
      </x:c>
      <x:c r="N752" t="n">
        <x:v>66</x:v>
      </x:c>
      <x:c r="O752" t="n">
        <x:v>0</x:v>
      </x:c>
      <x:c r="P752" s="14" t="n">
        <x:v>0</x:v>
      </x:c>
      <x:c r="Q752" s="14" t="n">
        <x:v>0.13636363636363635</x:v>
      </x:c>
      <x:c r="R752" s="14" t="n">
        <x:v>0.19999999999999996</x:v>
      </x:c>
      <x:c r="S752" t="n">
        <x:v>10702</x:v>
      </x:c>
      <x:c r="T752" t="n">
        <x:v>552.7407200813979</x:v>
      </x:c>
      <x:c r="U752" s="14" t="n">
        <x:v>0.6258409443078818</x:v>
      </x:c>
      <x:c r="V752" s="14" t="n">
        <x:v>0.32895279057937504</x:v>
      </x:c>
      <x:c r="W752" s="14" t="n">
        <x:v>0.29830314043052125</x:v>
      </x:c>
      <x:c r="X752" s="14" t="n">
        <x:v>0.5518436308272328</x:v>
      </x:c>
      <x:c r="Y752" s="16" t="n">
        <x:v>98.74664279319606</x:v>
      </x:c>
      <x:c r="Z752" s="16" t="n">
        <x:v>57.10431654676259</x:v>
      </x:c>
      <x:c r="AA752" s="16" t="n">
        <x:v>57.377049180327866</x:v>
      </x:c>
      <x:c r="AB752" s="16" t="n">
        <x:v>39.30170098478066</x:v>
      </x:c>
      <x:c r="AC752" s="16" t="n">
        <x:v>75.60429722470904</x:v>
      </x:c>
      <x:c r="AD752" s="16" t="n">
        <x:v>91.09756097560975</x:v>
      </x:c>
      <x:c r="AE752" s="16" t="n">
        <x:v>72.59930858298881</x:v>
      </x:c>
      <x:c r="AF752" t="str">
        <x:v>검토</x:v>
      </x:c>
      <x:c r="AG752" t="str">
        <x:v>수요·직장수요 강점 / 경쟁여건 상대적 약점</x:v>
      </x:c>
    </x:row>
    <x:row r="753">
      <x:c r="A753" t="str">
        <x:v>3120188</x:v>
      </x:c>
      <x:c r="B753" t="str">
        <x:v>압구정역</x:v>
      </x:c>
      <x:c r="C753" t="str">
        <x:v>발달상권</x:v>
      </x:c>
      <x:c r="D753" t="str">
        <x:v>강남구</x:v>
      </x:c>
      <x:c r="E753" t="str">
        <x:v>신사동</x:v>
      </x:c>
      <x:c r="F753" t="str">
        <x:v>CS200024</x:v>
      </x:c>
      <x:c r="G753" t="str">
        <x:v>스포츠클럽</x:v>
      </x:c>
      <x:c r="H753" t="n">
        <x:v>691976814</x:v>
      </x:c>
      <x:c r="I753" t="n">
        <x:v>1180</x:v>
      </x:c>
      <x:c r="J753" t="n">
        <x:v>586421.0288135593</x:v>
      </x:c>
      <x:c r="K753" s="14" t="n">
        <x:v>2.88750736874927</x:v>
      </x:c>
      <x:c r="L753" s="14" t="n">
        <x:v>0.03927856170757105</x:v>
      </x:c>
      <x:c r="M753" s="14" t="n">
        <x:v>-0.042593628048716026</x:v>
      </x:c>
      <x:c r="N753" t="n">
        <x:v>43</x:v>
      </x:c>
      <x:c r="O753" t="n">
        <x:v>1</x:v>
      </x:c>
      <x:c r="P753" s="14" t="n">
        <x:v>0.020833333333333332</x:v>
      </x:c>
      <x:c r="Q753" s="14" t="n">
        <x:v>0.06976744186046512</x:v>
      </x:c>
      <x:c r="R753" s="14" t="n">
        <x:v>1.263157894736842</x:v>
      </x:c>
      <x:c r="S753" t="n">
        <x:v>14682</x:v>
      </x:c>
      <x:c r="T753" t="n">
        <x:v>583.2068831282324</x:v>
      </x:c>
      <x:c r="U753" s="14" t="n">
        <x:v>0.8608570893532858</x:v>
      </x:c>
      <x:c r="V753" s="14" t="n">
        <x:v>0.4237186767936996</x:v>
      </x:c>
      <x:c r="W753" s="14" t="n">
        <x:v>0.20266817639355184</x:v>
      </x:c>
      <x:c r="X753" s="14" t="n">
        <x:v>0.48044086055172364</x:v>
      </x:c>
      <x:c r="Y753" s="16" t="n">
        <x:v>90.21739130434783</x:v>
      </x:c>
      <x:c r="Z753" s="16" t="n">
        <x:v>98.21428571428571</x:v>
      </x:c>
      <x:c r="AA753" s="16" t="n">
        <x:v>75.40983606557377</x:v>
      </x:c>
      <x:c r="AB753" s="16" t="n">
        <x:v>13.586956521739125</x:v>
      </x:c>
      <x:c r="AC753" s="16" t="n">
        <x:v>34.23913043478261</x:v>
      </x:c>
      <x:c r="AD753" s="16" t="n">
        <x:v>91.95121951219512</x:v>
      </x:c>
      <x:c r="AE753" s="16" t="n">
        <x:v>72.58993700656383</x:v>
      </x:c>
      <x:c r="AF753" t="str">
        <x:v>검토</x:v>
      </x:c>
      <x:c r="AG753" t="str">
        <x:v>상권 모멘텀·직장수요 강점 / 경쟁여건 상대적 약점</x:v>
      </x:c>
    </x:row>
    <x:row r="754">
      <x:c r="A754" t="str">
        <x:v>3120130</x:v>
      </x:c>
      <x:c r="B754" t="str">
        <x:v>구로디지털단지역</x:v>
      </x:c>
      <x:c r="C754" t="str">
        <x:v>발달상권</x:v>
      </x:c>
      <x:c r="D754" t="str">
        <x:v>구로구</x:v>
      </x:c>
      <x:c r="E754" t="str">
        <x:v>구로3동</x:v>
      </x:c>
      <x:c r="F754" t="str">
        <x:v>CS300016</x:v>
      </x:c>
      <x:c r="G754" t="str">
        <x:v>안경</x:v>
      </x:c>
      <x:c r="H754" t="n">
        <x:v>2367420210</x:v>
      </x:c>
      <x:c r="I754" t="n">
        <x:v>34835</x:v>
      </x:c>
      <x:c r="J754" t="n">
        <x:v>67960.96483421845</x:v>
      </x:c>
      <x:c r="K754" s="14" t="n">
        <x:v>0.06985844795354268</x:v>
      </x:c>
      <x:c r="L754" s="14" t="n">
        <x:v>0.02313988190963734</x:v>
      </x:c>
      <x:c r="M754" s="14" t="n">
        <x:v>0.009707725123368816</x:v>
      </x:c>
      <x:c r="N754" t="n">
        <x:v>16</x:v>
      </x:c>
      <x:c r="O754" t="n">
        <x:v>0</x:v>
      </x:c>
      <x:c r="P754" s="14" t="n">
        <x:v>0</x:v>
      </x:c>
      <x:c r="Q754" s="14" t="n">
        <x:v>0.25</x:v>
      </x:c>
      <x:c r="R754" s="14" t="n">
        <x:v>0.06666666666666665</x:v>
      </x:c>
      <x:c r="S754" t="n">
        <x:v>2310</x:v>
      </x:c>
      <x:c r="T754" t="n">
        <x:v>136.93920136583515</x:v>
      </x:c>
      <x:c r="U754" s="14" t="n">
        <x:v>0.7000092970398356</x:v>
      </x:c>
      <x:c r="V754" s="14" t="n">
        <x:v>0.4686673854152829</x:v>
      </x:c>
      <x:c r="W754" s="14" t="n">
        <x:v>0.6168671179840945</x:v>
      </x:c>
      <x:c r="X754" s="14" t="n">
        <x:v>0.633471401344504</x:v>
      </x:c>
      <x:c r="Y754" s="16" t="n">
        <x:v>98.55072463768116</x:v>
      </x:c>
      <x:c r="Z754" s="16" t="n">
        <x:v>82.4390243902439</x:v>
      </x:c>
      <x:c r="AA754" s="16" t="n">
        <x:v>62.295081967213115</x:v>
      </x:c>
      <x:c r="AB754" s="16" t="n">
        <x:v>21.116504854368927</x:v>
      </x:c>
      <x:c r="AC754" s="16" t="n">
        <x:v>57.28155339805825</x:v>
      </x:c>
      <x:c r="AD754" s="16" t="n">
        <x:v>67.3170731707317</x:v>
      </x:c>
      <x:c r="AE754" s="16" t="n">
        <x:v>72.5863055228169</x:v>
      </x:c>
      <x:c r="AF754" t="str">
        <x:v>검토</x:v>
      </x:c>
      <x:c r="AG754" t="str">
        <x:v>수요·상권 모멘텀 강점 / 경쟁여건 상대적 약점</x:v>
      </x:c>
    </x:row>
    <x:row r="755">
      <x:c r="A755" t="str">
        <x:v>3120056</x:v>
      </x:c>
      <x:c r="B755" t="str">
        <x:v>구의역</x:v>
      </x:c>
      <x:c r="C755" t="str">
        <x:v>발달상권</x:v>
      </x:c>
      <x:c r="D755" t="str">
        <x:v>광진구</x:v>
      </x:c>
      <x:c r="E755" t="str">
        <x:v>구의1동</x:v>
      </x:c>
      <x:c r="F755" t="str">
        <x:v>CS300001</x:v>
      </x:c>
      <x:c r="G755" t="str">
        <x:v>슈퍼마켓</x:v>
      </x:c>
      <x:c r="H755" t="n">
        <x:v>2706514779</x:v>
      </x:c>
      <x:c r="I755" t="n">
        <x:v>321721</x:v>
      </x:c>
      <x:c r="J755" t="n">
        <x:v>8412.614591524954</x:v>
      </x:c>
      <x:c r="K755" s="14" t="n">
        <x:v>0.007377838470965292</x:v>
      </x:c>
      <x:c r="L755" s="14" t="n">
        <x:v>-0.02979620222776047</x:v>
      </x:c>
      <x:c r="M755" s="14" t="n">
        <x:v>-0.03099912402160654</x:v>
      </x:c>
      <x:c r="N755" t="n">
        <x:v>22</x:v>
      </x:c>
      <x:c r="O755" t="n">
        <x:v>0</x:v>
      </x:c>
      <x:c r="P755" s="14" t="n">
        <x:v>0</x:v>
      </x:c>
      <x:c r="Q755" s="14" t="n">
        <x:v>0.2727272727272727</x:v>
      </x:c>
      <x:c r="R755" s="14" t="n">
        <x:v>0.1578947368421053</x:v>
      </x:c>
      <x:c r="S755" t="n">
        <x:v>7498</x:v>
      </x:c>
      <x:c r="T755" t="n">
        <x:v>472.3625688258344</x:v>
      </x:c>
      <x:c r="U755" s="14" t="n">
        <x:v>0.7548485823361543</x:v>
      </x:c>
      <x:c r="V755" s="14" t="n">
        <x:v>0.544892086473251</x:v>
      </x:c>
      <x:c r="W755" s="14" t="n">
        <x:v>0.4377364761472821</x:v>
      </x:c>
      <x:c r="X755" s="14" t="n">
        <x:v>0.4598837902743261</x:v>
      </x:c>
      <x:c r="Y755" s="16" t="n">
        <x:v>92.89740698985344</x:v>
      </x:c>
      <x:c r="Z755" s="16" t="n">
        <x:v>51.74825174825175</x:v>
      </x:c>
      <x:c r="AA755" s="16" t="n">
        <x:v>31.147540983606557</x:v>
      </x:c>
      <x:c r="AB755" s="16" t="n">
        <x:v>84.6674182638106</x:v>
      </x:c>
      <x:c r="AC755" s="16" t="n">
        <x:v>78.80496054114994</x:v>
      </x:c>
      <x:c r="AD755" s="16" t="n">
        <x:v>89.39024390243902</x:v>
      </x:c>
      <x:c r="AE755" s="16" t="n">
        <x:v>72.58599493244857</x:v>
      </x:c>
      <x:c r="AF755" t="str">
        <x:v>검토</x:v>
      </x:c>
      <x:c r="AG755" t="str">
        <x:v>수요·직장수요 강점 / 서울 업종추세 상대적 약점</x:v>
      </x:c>
    </x:row>
    <x:row r="756">
      <x:c r="A756" t="str">
        <x:v>3110288</x:v>
      </x:c>
      <x:c r="B756" t="str">
        <x:v>동구여중</x:v>
      </x:c>
      <x:c r="C756" t="str">
        <x:v>골목상권</x:v>
      </x:c>
      <x:c r="D756" t="str">
        <x:v>성북구</x:v>
      </x:c>
      <x:c r="E756" t="str">
        <x:v>성북동</x:v>
      </x:c>
      <x:c r="F756" t="str">
        <x:v>CS200028</x:v>
      </x:c>
      <x:c r="G756" t="str">
        <x:v>미용실</x:v>
      </x:c>
      <x:c r="H756" t="n">
        <x:v>114292360</x:v>
      </x:c>
      <x:c r="I756" t="n">
        <x:v>2756</x:v>
      </x:c>
      <x:c r="J756" t="n">
        <x:v>41470.377358490565</x:v>
      </x:c>
      <x:c r="K756" s="14" t="n">
        <x:v>0.15875190460362454</x:v>
      </x:c>
      <x:c r="L756" s="14" t="n">
        <x:v>0.02168887159425803</x:v>
      </x:c>
      <x:c r="M756" s="14" t="n">
        <x:v>-0.013481964371473865</x:v>
      </x:c>
      <x:c r="N756" t="n">
        <x:v>37</x:v>
      </x:c>
      <x:c r="O756" t="n">
        <x:v>0</x:v>
      </x:c>
      <x:c r="P756" s="14" t="n">
        <x:v>0</x:v>
      </x:c>
      <x:c r="Q756" s="14" t="n">
        <x:v>0.08108108108108109</x:v>
      </x:c>
      <x:c r="R756" s="14" t="n">
        <x:v>-0.02631578947368418</x:v>
      </x:c>
      <x:c r="S756" t="n">
        <x:v>1888</x:v>
      </x:c>
      <x:c r="T756" t="n">
        <x:v>228.1295311744804</x:v>
      </x:c>
      <x:c r="U756" s="14" t="n">
        <x:v>0.6018481287813113</x:v>
      </x:c>
      <x:c r="V756" s="14" t="n">
        <x:v>0.34967606758666986</x:v>
      </x:c>
      <x:c r="W756" s="14" t="n">
        <x:v>0.2648088463655838</x:v>
      </x:c>
      <x:c r="X756" s="14" t="n">
        <x:v>0.504662122647568</x:v>
      </x:c>
      <x:c r="Y756" s="16" t="n">
        <x:v>62.578334825425245</x:v>
      </x:c>
      <x:c r="Z756" s="16" t="n">
        <x:v>92.53597122302158</x:v>
      </x:c>
      <x:c r="AA756" s="16" t="n">
        <x:v>57.377049180327866</x:v>
      </x:c>
      <x:c r="AB756" s="16" t="n">
        <x:v>80.39391226499552</x:v>
      </x:c>
      <x:c r="AC756" s="16" t="n">
        <x:v>75.60429722470904</x:v>
      </x:c>
      <x:c r="AD756" s="16" t="n">
        <x:v>78.96341463414635</x:v>
      </x:c>
      <x:c r="AE756" s="16" t="n">
        <x:v>72.58385610447988</x:v>
      </x:c>
      <x:c r="AF756" t="str">
        <x:v>검토</x:v>
      </x:c>
      <x:c r="AG756" t="str">
        <x:v>상권 모멘텀·경쟁여건 강점 / 서울 업종추세 상대적 약점</x:v>
      </x:c>
    </x:row>
    <x:row r="757">
      <x:c r="A757" t="str">
        <x:v>3110069</x:v>
      </x:c>
      <x:c r="B757" t="str">
        <x:v>숙대입구</x:v>
      </x:c>
      <x:c r="C757" t="str">
        <x:v>골목상권</x:v>
      </x:c>
      <x:c r="D757" t="str">
        <x:v>용산구</x:v>
      </x:c>
      <x:c r="E757" t="str">
        <x:v>청파동</x:v>
      </x:c>
      <x:c r="F757" t="str">
        <x:v>CS300028</x:v>
      </x:c>
      <x:c r="G757" t="str">
        <x:v>화초</x:v>
      </x:c>
      <x:c r="H757" t="n">
        <x:v>187576420</x:v>
      </x:c>
      <x:c r="I757" t="n">
        <x:v>4845</x:v>
      </x:c>
      <x:c r="J757" t="n">
        <x:v>38715.463364293086</x:v>
      </x:c>
      <x:c r="K757" s="14" t="n">
        <x:v>0.05157819727056845</x:v>
      </x:c>
      <x:c r="L757" s="14" t="n">
        <x:v>0.028008199294863756</x:v>
      </x:c>
      <x:c r="M757" s="14" t="n">
        <x:v>-0.0030123365554672876</x:v>
      </x:c>
      <x:c r="N757" t="n">
        <x:v>18</x:v>
      </x:c>
      <x:c r="O757" t="n">
        <x:v>0</x:v>
      </x:c>
      <x:c r="P757" s="14" t="n">
        <x:v>0</x:v>
      </x:c>
      <x:c r="Q757" s="14" t="n">
        <x:v>0</x:v>
      </x:c>
      <x:c r="R757" s="14" t="n">
        <x:v>1.25</x:v>
      </x:c>
      <x:c r="S757" t="n">
        <x:v>1042</x:v>
      </x:c>
      <x:c r="T757" t="n">
        <x:v>60.04310195802745</x:v>
      </x:c>
      <x:c r="U757" s="14" t="n">
        <x:v>0.7655417136119774</x:v>
      </x:c>
      <x:c r="V757" s="14" t="n">
        <x:v>0.3152879663659217</x:v>
      </x:c>
      <x:c r="W757" s="14" t="n">
        <x:v>0.47785290923027535</x:v>
      </x:c>
      <x:c r="X757" s="14" t="n">
        <x:v>0.5267924507781948</x:v>
      </x:c>
      <x:c r="Y757" s="16" t="n">
        <x:v>83.89261744966443</x:v>
      </x:c>
      <x:c r="Z757" s="16" t="n">
        <x:v>77.73972602739725</x:v>
      </x:c>
      <x:c r="AA757" s="16" t="n">
        <x:v>73.77049180327869</x:v>
      </x:c>
      <x:c r="AB757" s="16" t="n">
        <x:v>51.84563758389262</x:v>
      </x:c>
      <x:c r="AC757" s="16" t="n">
        <x:v>66.7785234899329</x:v>
      </x:c>
      <x:c r="AD757" s="16" t="n">
        <x:v>42.86585365853659</x:v>
      </x:c>
      <x:c r="AE757" s="16" t="n">
        <x:v>72.5739257528578</x:v>
      </x:c>
      <x:c r="AF757" t="str">
        <x:v>검토</x:v>
      </x:c>
      <x:c r="AG757" t="str">
        <x:v>수요·상권 모멘텀 강점 / 직장수요 상대적 약점</x:v>
      </x:c>
    </x:row>
    <x:row r="758">
      <x:c r="A758" t="str">
        <x:v>3110052</x:v>
      </x:c>
      <x:c r="B758" t="str">
        <x:v>장충초등학교</x:v>
      </x:c>
      <x:c r="C758" t="str">
        <x:v>골목상권</x:v>
      </x:c>
      <x:c r="D758" t="str">
        <x:v>중구</x:v>
      </x:c>
      <x:c r="E758" t="str">
        <x:v>다산동</x:v>
      </x:c>
      <x:c r="F758" t="str">
        <x:v>CS300018</x:v>
      </x:c>
      <x:c r="G758" t="str">
        <x:v>의약품</x:v>
      </x:c>
      <x:c r="H758" t="n">
        <x:v>6873985456</x:v>
      </x:c>
      <x:c r="I758" t="n">
        <x:v>75387</x:v>
      </x:c>
      <x:c r="J758" t="n">
        <x:v>91182.6370063804</x:v>
      </x:c>
      <x:c r="K758" s="14" t="n">
        <x:v>-0.001160460294735044</x:v>
      </x:c>
      <x:c r="L758" s="14" t="n">
        <x:v>0.027829225601598617</x:v>
      </x:c>
      <x:c r="M758" s="14" t="n">
        <x:v>0.02632929521123617</x:v>
      </x:c>
      <x:c r="N758" t="n">
        <x:v>12</x:v>
      </x:c>
      <x:c r="O758" t="n">
        <x:v>0</x:v>
      </x:c>
      <x:c r="P758" s="14" t="n">
        <x:v>0</x:v>
      </x:c>
      <x:c r="Q758" s="14" t="n">
        <x:v>0.08333333333333333</x:v>
      </x:c>
      <x:c r="R758" s="14" t="n">
        <x:v>0.09090909090909083</x:v>
      </x:c>
      <x:c r="S758" t="n">
        <x:v>794</x:v>
      </x:c>
      <x:c r="T758" t="n">
        <x:v>115.25118662273381</x:v>
      </x:c>
      <x:c r="U758" s="14" t="n">
        <x:v>0.9496058057996566</x:v>
      </x:c>
      <x:c r="V758" s="14" t="n">
        <x:v>0.1702968993014407</x:v>
      </x:c>
      <x:c r="W758" s="14" t="n">
        <x:v>0.17883292230812076</x:v>
      </x:c>
      <x:c r="X758" s="14" t="n">
        <x:v>0.42226471638318813</x:v>
      </x:c>
      <x:c r="Y758" s="16" t="n">
        <x:v>92.9553264604811</x:v>
      </x:c>
      <x:c r="Z758" s="16" t="n">
        <x:v>31.643356643356643</x:v>
      </x:c>
      <x:c r="AA758" s="16" t="n">
        <x:v>72.1311475409836</x:v>
      </x:c>
      <x:c r="AB758" s="16" t="n">
        <x:v>87.37113402061856</x:v>
      </x:c>
      <x:c r="AC758" s="16" t="n">
        <x:v>66.32302405498282</x:v>
      </x:c>
      <x:c r="AD758" s="16" t="n">
        <x:v>62.80487804878049</x:v>
      </x:c>
      <x:c r="AE758" s="16" t="n">
        <x:v>72.56092413201735</x:v>
      </x:c>
      <x:c r="AF758" t="str">
        <x:v>검토</x:v>
      </x:c>
      <x:c r="AG758" t="str">
        <x:v>수요·경쟁여건 강점 / 상권 모멘텀 상대적 약점</x:v>
      </x:c>
    </x:row>
    <x:row r="759">
      <x:c r="A759" t="str">
        <x:v>3110981</x:v>
      </x:c>
      <x:c r="B759" t="str">
        <x:v>국악고교사거리</x:v>
      </x:c>
      <x:c r="C759" t="str">
        <x:v>골목상권</x:v>
      </x:c>
      <x:c r="D759" t="str">
        <x:v>강남구</x:v>
      </x:c>
      <x:c r="E759" t="str">
        <x:v>개포4동</x:v>
      </x:c>
      <x:c r="F759" t="str">
        <x:v>CS300028</x:v>
      </x:c>
      <x:c r="G759" t="str">
        <x:v>화초</x:v>
      </x:c>
      <x:c r="H759" t="n">
        <x:v>218000000</x:v>
      </x:c>
      <x:c r="I759" t="n">
        <x:v>68</x:v>
      </x:c>
      <x:c r="J759" t="n">
        <x:v>3205882.3529411764</x:v>
      </x:c>
      <x:c r="K759" s="14" t="n">
        <x:v>0.055975815517673055</x:v>
      </x:c>
      <x:c r="L759" s="14" t="n">
        <x:v>0.028008199294863756</x:v>
      </x:c>
      <x:c r="M759" s="14" t="n">
        <x:v>-0.0030123365554672876</x:v>
      </x:c>
      <x:c r="N759" t="n">
        <x:v>25</x:v>
      </x:c>
      <x:c r="O759" t="n">
        <x:v>0</x:v>
      </x:c>
      <x:c r="P759" s="14" t="n">
        <x:v>0</x:v>
      </x:c>
      <x:c r="Q759" s="14" t="n">
        <x:v>0</x:v>
      </x:c>
      <x:c r="R759" s="14" t="n">
        <x:v>0.25</x:v>
      </x:c>
      <x:c r="S759" t="n">
        <x:v>899</x:v>
      </x:c>
      <x:c r="T759" t="n">
        <x:v>133.36498093726357</x:v>
      </x:c>
      <x:c r="U759" s="14" t="n">
        <x:v>0.01418354128440367</x:v>
      </x:c>
      <x:c r="V759" s="14" t="n">
        <x:v>0.609833243119266</x:v>
      </x:c>
      <x:c r="W759" s="14" t="n">
        <x:v>0.1866093486238532</x:v>
      </x:c>
      <x:c r="X759" s="14" t="n">
        <x:v>0.11515525229357798</x:v>
      </x:c>
      <x:c r="Y759" s="16" t="n">
        <x:v>85.90604026845638</x:v>
      </x:c>
      <x:c r="Z759" s="16" t="n">
        <x:v>79.79452054794521</x:v>
      </x:c>
      <x:c r="AA759" s="16" t="n">
        <x:v>73.77049180327869</x:v>
      </x:c>
      <x:c r="AB759" s="16" t="n">
        <x:v>36.241610738255034</x:v>
      </x:c>
      <x:c r="AC759" s="16" t="n">
        <x:v>66.7785234899329</x:v>
      </x:c>
      <x:c r="AD759" s="16" t="n">
        <x:v>67.07317073170732</x:v>
      </x:c>
      <x:c r="AE759" s="16" t="n">
        <x:v>72.55934447035749</x:v>
      </x:c>
      <x:c r="AF759" t="str">
        <x:v>검토</x:v>
      </x:c>
      <x:c r="AG759" t="str">
        <x:v>수요·상권 모멘텀 강점 / 경쟁여건 상대적 약점</x:v>
      </x:c>
    </x:row>
    <x:row r="760">
      <x:c r="A760" t="str">
        <x:v>3111090</x:v>
      </x:c>
      <x:c r="B760" t="str">
        <x:v>강일동주민센터</x:v>
      </x:c>
      <x:c r="C760" t="str">
        <x:v>골목상권</x:v>
      </x:c>
      <x:c r="D760" t="str">
        <x:v>강동구</x:v>
      </x:c>
      <x:c r="E760" t="str">
        <x:v>강일동</x:v>
      </x:c>
      <x:c r="F760" t="str">
        <x:v>CS200028</x:v>
      </x:c>
      <x:c r="G760" t="str">
        <x:v>미용실</x:v>
      </x:c>
      <x:c r="H760" t="n">
        <x:v>320120684</x:v>
      </x:c>
      <x:c r="I760" t="n">
        <x:v>11443</x:v>
      </x:c>
      <x:c r="J760" t="n">
        <x:v>27975.24110810102</x:v>
      </x:c>
      <x:c r="K760" s="14" t="n">
        <x:v>0.03588106174877348</x:v>
      </x:c>
      <x:c r="L760" s="14" t="n">
        <x:v>0.02168887159425803</x:v>
      </x:c>
      <x:c r="M760" s="14" t="n">
        <x:v>-0.013481964371473865</x:v>
      </x:c>
      <x:c r="N760" t="n">
        <x:v>38</x:v>
      </x:c>
      <x:c r="O760" t="n">
        <x:v>0</x:v>
      </x:c>
      <x:c r="P760" s="14" t="n">
        <x:v>0</x:v>
      </x:c>
      <x:c r="Q760" s="14" t="n">
        <x:v>0.21052631578947367</x:v>
      </x:c>
      <x:c r="R760" s="14" t="n">
        <x:v>0.3571428571428572</x:v>
      </x:c>
      <x:c r="S760" t="n">
        <x:v>143</x:v>
      </x:c>
      <x:c r="T760" t="n">
        <x:v>48.497592077596146</x:v>
      </x:c>
      <x:c r="U760" s="14" t="n">
        <x:v>0.6197088876643785</x:v>
      </x:c>
      <x:c r="V760" s="14" t="n">
        <x:v>0.3519173162831303</x:v>
      </x:c>
      <x:c r="W760" s="14" t="n">
        <x:v>0.21411868531431727</x:v>
      </x:c>
      <x:c r="X760" s="14" t="n">
        <x:v>0.43974893855968394</x:v>
      </x:c>
      <x:c r="Y760" s="16" t="n">
        <x:v>87.55595344673232</x:v>
      </x:c>
      <x:c r="Z760" s="16" t="n">
        <x:v>60.701438848920866</x:v>
      </x:c>
      <x:c r="AA760" s="16" t="n">
        <x:v>57.377049180327866</x:v>
      </x:c>
      <x:c r="AB760" s="16" t="n">
        <x:v>79.18531781557743</x:v>
      </x:c>
      <x:c r="AC760" s="16" t="n">
        <x:v>75.60429722470904</x:v>
      </x:c>
      <x:c r="AD760" s="16" t="n">
        <x:v>34.573170731707314</x:v>
      </x:c>
      <x:c r="AE760" s="16" t="n">
        <x:v>72.55831478458255</x:v>
      </x:c>
      <x:c r="AF760" t="str">
        <x:v>검토</x:v>
      </x:c>
      <x:c r="AG760" t="str">
        <x:v>수요·경쟁여건 강점 / 직장수요 상대적 약점</x:v>
      </x:c>
    </x:row>
    <x:row r="761">
      <x:c r="A761" t="str">
        <x:v>3120165</x:v>
      </x:c>
      <x:c r="B761" t="str">
        <x:v>서래마을카페거리(서래마을)</x:v>
      </x:c>
      <x:c r="C761" t="str">
        <x:v>발달상권</x:v>
      </x:c>
      <x:c r="D761" t="str">
        <x:v>서초구</x:v>
      </x:c>
      <x:c r="E761" t="str">
        <x:v>반포4동</x:v>
      </x:c>
      <x:c r="F761" t="str">
        <x:v>CS100001</x:v>
      </x:c>
      <x:c r="G761" t="str">
        <x:v>한식음식점</x:v>
      </x:c>
      <x:c r="H761" t="n">
        <x:v>6597957260</x:v>
      </x:c>
      <x:c r="I761" t="n">
        <x:v>110002</x:v>
      </x:c>
      <x:c r="J761" t="n">
        <x:v>59980.339084743915</x:v>
      </x:c>
      <x:c r="K761" s="14" t="n">
        <x:v>0.04004845800218426</x:v>
      </x:c>
      <x:c r="L761" s="14" t="n">
        <x:v>-0.0018259958518723751</x:v>
      </x:c>
      <x:c r="M761" s="14" t="n">
        <x:v>0.06341040875687098</x:v>
      </x:c>
      <x:c r="N761" t="n">
        <x:v>133</x:v>
      </x:c>
      <x:c r="O761" t="n">
        <x:v>2</x:v>
      </x:c>
      <x:c r="P761" s="14" t="n">
        <x:v>0.014492753623188406</x:v>
      </x:c>
      <x:c r="Q761" s="14" t="n">
        <x:v>0.2556390977443609</x:v>
      </x:c>
      <x:c r="R761" s="14" t="n">
        <x:v>-0.10135135135135132</x:v>
      </x:c>
      <x:c r="S761" t="n">
        <x:v>11545</x:v>
      </x:c>
      <x:c r="T761" t="n">
        <x:v>1062.9384793857146</x:v>
      </x:c>
      <x:c r="U761" s="14" t="n">
        <x:v>0.723321975110824</x:v>
      </x:c>
      <x:c r="V761" s="14" t="n">
        <x:v>0.6121982234543908</x:v>
      </x:c>
      <x:c r="W761" s="14" t="n">
        <x:v>0.1300822762528777</x:v>
      </x:c>
      <x:c r="X761" s="14" t="n">
        <x:v>0.24606286431143085</x:v>
      </x:c>
      <x:c r="Y761" s="16" t="n">
        <x:v>89.3950177935943</x:v>
      </x:c>
      <x:c r="Z761" s="16" t="n">
        <x:v>65.68977841315225</x:v>
      </x:c>
      <x:c r="AA761" s="16" t="n">
        <x:v>40.98360655737705</x:v>
      </x:c>
      <x:c r="AB761" s="16" t="n">
        <x:v>56.29893238434164</x:v>
      </x:c>
      <x:c r="AC761" s="16" t="n">
        <x:v>86.72597864768683</x:v>
      </x:c>
      <x:c r="AD761" s="16" t="n">
        <x:v>97.3170731707317</x:v>
      </x:c>
      <x:c r="AE761" s="16" t="n">
        <x:v>72.55704427495154</x:v>
      </x:c>
      <x:c r="AF761" t="str">
        <x:v>검토</x:v>
      </x:c>
      <x:c r="AG761" t="str">
        <x:v>직장수요·수요 강점 / 서울 업종추세 상대적 약점</x:v>
      </x:c>
    </x:row>
    <x:row r="762">
      <x:c r="A762" t="str">
        <x:v>3120238</x:v>
      </x:c>
      <x:c r="B762" t="str">
        <x:v>방이역</x:v>
      </x:c>
      <x:c r="C762" t="str">
        <x:v>발달상권</x:v>
      </x:c>
      <x:c r="D762" t="str">
        <x:v>송파구</x:v>
      </x:c>
      <x:c r="E762" t="str">
        <x:v>방이1동</x:v>
      </x:c>
      <x:c r="F762" t="str">
        <x:v>CS200007</x:v>
      </x:c>
      <x:c r="G762" t="str">
        <x:v>치과의원</x:v>
      </x:c>
      <x:c r="H762" t="n">
        <x:v>2391584919</x:v>
      </x:c>
      <x:c r="I762" t="n">
        <x:v>11940</x:v>
      </x:c>
      <x:c r="J762" t="n">
        <x:v>200300.2444723618</x:v>
      </x:c>
      <x:c r="K762" s="14" t="n">
        <x:v>0.09706924910794279</x:v>
      </x:c>
      <x:c r="L762" s="14" t="n">
        <x:v>-0.09996789807987227</x:v>
      </x:c>
      <x:c r="M762" s="14" t="n">
        <x:v>-0.02262230060507886</x:v>
      </x:c>
      <x:c r="N762" t="n">
        <x:v>10</x:v>
      </x:c>
      <x:c r="O762" t="n">
        <x:v>0</x:v>
      </x:c>
      <x:c r="P762" s="14" t="n">
        <x:v>0</x:v>
      </x:c>
      <x:c r="Q762" s="14" t="n">
        <x:v>0</x:v>
      </x:c>
      <x:c r="R762" s="14" t="n">
        <x:v>0</x:v>
      </x:c>
      <x:c r="S762" t="n">
        <x:v>1298</x:v>
      </x:c>
      <x:c r="T762" t="n">
        <x:v>284.58671344003506</x:v>
      </x:c>
      <x:c r="U762" s="14" t="n">
        <x:v>0.87532085244764</x:v>
      </x:c>
      <x:c r="V762" s="14" t="n">
        <x:v>0.1942970029240262</x:v>
      </x:c>
      <x:c r="W762" s="14" t="n">
        <x:v>0.16279591701171786</x:v>
      </x:c>
      <x:c r="X762" s="14" t="n">
        <x:v>0.5018804778639767</x:v>
      </x:c>
      <x:c r="Y762" s="16" t="n">
        <x:v>89.06666666666666</x:v>
      </x:c>
      <x:c r="Z762" s="16" t="n">
        <x:v>92.51336898395722</x:v>
      </x:c>
      <x:c r="AA762" s="16" t="n">
        <x:v>11.475409836065573</x:v>
      </x:c>
      <x:c r="AB762" s="16" t="n">
        <x:v>75.46666666666667</x:v>
      </x:c>
      <x:c r="AC762" s="16" t="n">
        <x:v>56.666666666666664</x:v>
      </x:c>
      <x:c r="AD762" s="16" t="n">
        <x:v>83.10975609756098</x:v>
      </x:c>
      <x:c r="AE762" s="16" t="n">
        <x:v>72.53947307707932</x:v>
      </x:c>
      <x:c r="AF762" t="str">
        <x:v>검토</x:v>
      </x:c>
      <x:c r="AG762" t="str">
        <x:v>상권 모멘텀·수요 강점 / 서울 업종추세 상대적 약점</x:v>
      </x:c>
    </x:row>
    <x:row r="763">
      <x:c r="A763" t="str">
        <x:v>3110591</x:v>
      </x:c>
      <x:c r="B763" t="str">
        <x:v>충정로역 6번</x:v>
      </x:c>
      <x:c r="C763" t="str">
        <x:v>골목상권</x:v>
      </x:c>
      <x:c r="D763" t="str">
        <x:v>중구</x:v>
      </x:c>
      <x:c r="E763" t="str">
        <x:v>중림동</x:v>
      </x:c>
      <x:c r="F763" t="str">
        <x:v>CS300009</x:v>
      </x:c>
      <x:c r="G763" t="str">
        <x:v>청과상</x:v>
      </x:c>
      <x:c r="H763" t="n">
        <x:v>1258486442</x:v>
      </x:c>
      <x:c r="I763" t="n">
        <x:v>107940</x:v>
      </x:c>
      <x:c r="J763" t="n">
        <x:v>11659.129534926811</x:v>
      </x:c>
      <x:c r="K763" s="14" t="n">
        <x:v>0.039355937893535975</x:v>
      </x:c>
      <x:c r="L763" s="14" t="n">
        <x:v>0.19728256051488424</x:v>
      </x:c>
      <x:c r="M763" s="14" t="n">
        <x:v>0.09797365727115581</x:v>
      </x:c>
      <x:c r="N763" t="n">
        <x:v>12</x:v>
      </x:c>
      <x:c r="O763" t="n">
        <x:v>0</x:v>
      </x:c>
      <x:c r="P763" s="14" t="n">
        <x:v>0</x:v>
      </x:c>
      <x:c r="Q763" s="14" t="n">
        <x:v>0</x:v>
      </x:c>
      <x:c r="R763" s="14" t="n">
        <x:v>-0.1428571428571429</x:v>
      </x:c>
      <x:c r="S763" t="n">
        <x:v>212</x:v>
      </x:c>
      <x:c r="T763" t="n">
        <x:v>41.53767780869157</x:v>
      </x:c>
      <x:c r="U763" s="14" t="n">
        <x:v>0.8546643317751372</x:v>
      </x:c>
      <x:c r="V763" s="14" t="n">
        <x:v>0.3392273835874984</x:v>
      </x:c>
      <x:c r="W763" s="14" t="n">
        <x:v>0.065662824995297</x:v>
      </x:c>
      <x:c r="X763" s="14" t="n">
        <x:v>0.6911343268964673</x:v>
      </x:c>
      <x:c r="Y763" s="16" t="n">
        <x:v>76.19047619047619</x:v>
      </x:c>
      <x:c r="Z763" s="16" t="n">
        <x:v>58.396946564885496</x:v>
      </x:c>
      <x:c r="AA763" s="16" t="n">
        <x:v>95.08196721311475</x:v>
      </x:c>
      <x:c r="AB763" s="16" t="n">
        <x:v>76.55677655677655</x:v>
      </x:c>
      <x:c r="AC763" s="16" t="n">
        <x:v>69.5970695970696</x:v>
      </x:c>
      <x:c r="AD763" s="16" t="n">
        <x:v>29.75609756097561</x:v>
      </x:c>
      <x:c r="AE763" s="16" t="n">
        <x:v>72.5393793828832</x:v>
      </x:c>
      <x:c r="AF763" t="str">
        <x:v>검토</x:v>
      </x:c>
      <x:c r="AG763" t="str">
        <x:v>서울 업종추세·경쟁여건 강점 / 직장수요 상대적 약점</x:v>
      </x:c>
    </x:row>
    <x:row r="764">
      <x:c r="A764" t="str">
        <x:v>3120131</x:v>
      </x:c>
      <x:c r="B764" t="str">
        <x:v>가산디지털단지</x:v>
      </x:c>
      <x:c r="C764" t="str">
        <x:v>발달상권</x:v>
      </x:c>
      <x:c r="D764" t="str">
        <x:v>금천구</x:v>
      </x:c>
      <x:c r="E764" t="str">
        <x:v>가산동</x:v>
      </x:c>
      <x:c r="F764" t="str">
        <x:v>CS300019</x:v>
      </x:c>
      <x:c r="G764" t="str">
        <x:v>의료기기</x:v>
      </x:c>
      <x:c r="H764" t="n">
        <x:v>8646634307</x:v>
      </x:c>
      <x:c r="I764" t="n">
        <x:v>7255</x:v>
      </x:c>
      <x:c r="J764" t="n">
        <x:v>1191817.271812543</x:v>
      </x:c>
      <x:c r="K764" s="14" t="n">
        <x:v>0.3411599060955417</x:v>
      </x:c>
      <x:c r="L764" s="14" t="n">
        <x:v>0.026268479822085578</x:v>
      </x:c>
      <x:c r="M764" s="14" t="n">
        <x:v>-0.00009912701459890982</x:v>
      </x:c>
      <x:c r="N764" t="n">
        <x:v>113</x:v>
      </x:c>
      <x:c r="O764" t="n">
        <x:v>0</x:v>
      </x:c>
      <x:c r="P764" s="14" t="n">
        <x:v>0</x:v>
      </x:c>
      <x:c r="Q764" s="14" t="n">
        <x:v>0</x:v>
      </x:c>
      <x:c r="R764" s="14" t="n">
        <x:v>0.14141414141414144</x:v>
      </x:c>
      <x:c r="S764" t="n">
        <x:v>104860</x:v>
      </x:c>
      <x:c r="T764" t="n">
        <x:v>611.9209626404921</x:v>
      </x:c>
      <x:c r="U764" s="14" t="n">
        <x:v>0.9998365421793245</x:v>
      </x:c>
      <x:c r="V764" s="14" t="n">
        <x:v>0.061107727844144616</x:v>
      </x:c>
      <x:c r="W764" s="14" t="n">
        <x:v>0.6784931746506901</x:v>
      </x:c>
      <x:c r="X764" s="14" t="n">
        <x:v>0.04464606808772721</x:v>
      </x:c>
      <x:c r="Y764" s="16" t="n">
        <x:v>98.70967741935483</x:v>
      </x:c>
      <x:c r="Z764" s="16" t="n">
        <x:v>84.61538461538461</x:v>
      </x:c>
      <x:c r="AA764" s="16" t="n">
        <x:v>68.85245901639344</x:v>
      </x:c>
      <x:c r="AB764" s="16" t="n">
        <x:v>0</x:v>
      </x:c>
      <x:c r="AC764" s="16" t="n">
        <x:v>60.96774193548387</x:v>
      </x:c>
      <x:c r="AD764" s="16" t="n">
        <x:v>92.7439024390244</x:v>
      </x:c>
      <x:c r="AE764" s="16" t="n">
        <x:v>72.53330218780974</x:v>
      </x:c>
      <x:c r="AF764" t="str">
        <x:v>검토</x:v>
      </x:c>
      <x:c r="AG764" t="str">
        <x:v>수요·직장수요 강점 / 경쟁여건 상대적 약점</x:v>
      </x:c>
    </x:row>
    <x:row r="765">
      <x:c r="A765" t="str">
        <x:v>3120085</x:v>
      </x:c>
      <x:c r="B765" t="str">
        <x:v>은행사거리</x:v>
      </x:c>
      <x:c r="C765" t="str">
        <x:v>발달상권</x:v>
      </x:c>
      <x:c r="D765" t="str">
        <x:v>노원구</x:v>
      </x:c>
      <x:c r="E765" t="str">
        <x:v>중계본동</x:v>
      </x:c>
      <x:c r="F765" t="str">
        <x:v>CS100008</x:v>
      </x:c>
      <x:c r="G765" t="str">
        <x:v>분식전문점</x:v>
      </x:c>
      <x:c r="H765" t="n">
        <x:v>1095231593</x:v>
      </x:c>
      <x:c r="I765" t="n">
        <x:v>109281</x:v>
      </x:c>
      <x:c r="J765" t="n">
        <x:v>10022.159323212636</x:v>
      </x:c>
      <x:c r="K765" s="14" t="n">
        <x:v>0.02652124903741737</x:v>
      </x:c>
      <x:c r="L765" s="14" t="n">
        <x:v>-0.021494731595524064</x:v>
      </x:c>
      <x:c r="M765" s="14" t="n">
        <x:v>0.009923521656473921</x:v>
      </x:c>
      <x:c r="N765" t="n">
        <x:v>20</x:v>
      </x:c>
      <x:c r="O765" t="n">
        <x:v>0</x:v>
      </x:c>
      <x:c r="P765" s="14" t="n">
        <x:v>0</x:v>
      </x:c>
      <x:c r="Q765" s="14" t="n">
        <x:v>0.2</x:v>
      </x:c>
      <x:c r="R765" s="14" t="n">
        <x:v>-0.23076923076923073</x:v>
      </x:c>
      <x:c r="S765" t="n">
        <x:v>1811</x:v>
      </x:c>
      <x:c r="T765" t="n">
        <x:v>294.05556367415204</x:v>
      </x:c>
      <x:c r="U765" s="14" t="n">
        <x:v>0.6327186098620878</x:v>
      </x:c>
      <x:c r="V765" s="14" t="n">
        <x:v>0.4104142401231846</x:v>
      </x:c>
      <x:c r="W765" s="14" t="n">
        <x:v>0.14345133394996942</x:v>
      </x:c>
      <x:c r="X765" s="14" t="n">
        <x:v>0.5504758088182725</x:v>
      </x:c>
      <x:c r="Y765" s="16" t="n">
        <x:v>92.34693877551021</x:v>
      </x:c>
      <x:c r="Z765" s="16" t="n">
        <x:v>54.56919060052219</x:v>
      </x:c>
      <x:c r="AA765" s="16" t="n">
        <x:v>34.42622950819672</x:v>
      </x:c>
      <x:c r="AB765" s="16" t="n">
        <x:v>77.93367346938776</x:v>
      </x:c>
      <x:c r="AC765" s="16" t="n">
        <x:v>82.71683673469389</x:v>
      </x:c>
      <x:c r="AD765" s="16" t="n">
        <x:v>83.41463414634147</x:v>
      </x:c>
      <x:c r="AE765" s="16" t="n">
        <x:v>72.53166751895714</x:v>
      </x:c>
      <x:c r="AF765" t="str">
        <x:v>검토</x:v>
      </x:c>
      <x:c r="AG765" t="str">
        <x:v>수요·직장수요 강점 / 서울 업종추세 상대적 약점</x:v>
      </x:c>
    </x:row>
    <x:row r="766">
      <x:c r="A766" t="str">
        <x:v>3120051</x:v>
      </x:c>
      <x:c r="B766" t="str">
        <x:v>뚝섬역</x:v>
      </x:c>
      <x:c r="C766" t="str">
        <x:v>발달상권</x:v>
      </x:c>
      <x:c r="D766" t="str">
        <x:v>성동구</x:v>
      </x:c>
      <x:c r="E766" t="str">
        <x:v>성수1가2동</x:v>
      </x:c>
      <x:c r="F766" t="str">
        <x:v>CS100001</x:v>
      </x:c>
      <x:c r="G766" t="str">
        <x:v>한식음식점</x:v>
      </x:c>
      <x:c r="H766" t="n">
        <x:v>13445904134</x:v>
      </x:c>
      <x:c r="I766" t="n">
        <x:v>395877</x:v>
      </x:c>
      <x:c r="J766" t="n">
        <x:v>33964.853057894245</x:v>
      </x:c>
      <x:c r="K766" s="14" t="n">
        <x:v>0.058258341791836976</x:v>
      </x:c>
      <x:c r="L766" s="14" t="n">
        <x:v>-0.0018259958518723751</x:v>
      </x:c>
      <x:c r="M766" s="14" t="n">
        <x:v>0.06341040875687098</x:v>
      </x:c>
      <x:c r="N766" t="n">
        <x:v>215</x:v>
      </x:c>
      <x:c r="O766" t="n">
        <x:v>3</x:v>
      </x:c>
      <x:c r="P766" s="14" t="n">
        <x:v>0.013636363636363636</x:v>
      </x:c>
      <x:c r="Q766" s="14" t="n">
        <x:v>0.06511627906976744</x:v>
      </x:c>
      <x:c r="R766" s="14" t="n">
        <x:v>0.16216216216216206</x:v>
      </x:c>
      <x:c r="S766" t="n">
        <x:v>6598</x:v>
      </x:c>
      <x:c r="T766" t="n">
        <x:v>302.4344183019119</x:v>
      </x:c>
      <x:c r="U766" s="14" t="n">
        <x:v>0.8021226962884428</x:v>
      </x:c>
      <x:c r="V766" s="14" t="n">
        <x:v>0.5544072313553207</x:v>
      </x:c>
      <x:c r="W766" s="14" t="n">
        <x:v>0.39485086484999327</x:v>
      </x:c>
      <x:c r="X766" s="14" t="n">
        <x:v>0.3327171434078291</x:v>
      </x:c>
      <x:c r="Y766" s="16" t="n">
        <x:v>95.87188612099644</x:v>
      </x:c>
      <x:c r="Z766" s="16" t="n">
        <x:v>76.19728377412437</x:v>
      </x:c>
      <x:c r="AA766" s="16" t="n">
        <x:v>40.98360655737705</x:v>
      </x:c>
      <x:c r="AB766" s="16" t="n">
        <x:v>30.67615658362989</x:v>
      </x:c>
      <x:c r="AC766" s="16" t="n">
        <x:v>87.86476868327402</x:v>
      </x:c>
      <x:c r="AD766" s="16" t="n">
        <x:v>83.96341463414635</x:v>
      </x:c>
      <x:c r="AE766" s="16" t="n">
        <x:v>72.52822896835939</x:v>
      </x:c>
      <x:c r="AF766" t="str">
        <x:v>검토</x:v>
      </x:c>
      <x:c r="AG766" t="str">
        <x:v>수요·안정성 강점 / 경쟁여건 상대적 약점</x:v>
      </x:c>
    </x:row>
    <x:row r="767">
      <x:c r="A767" t="str">
        <x:v>3120145</x:v>
      </x:c>
      <x:c r="B767" t="str">
        <x:v>영등포역(영등포)</x:v>
      </x:c>
      <x:c r="C767" t="str">
        <x:v>발달상권</x:v>
      </x:c>
      <x:c r="D767" t="str">
        <x:v>영등포구</x:v>
      </x:c>
      <x:c r="E767" t="str">
        <x:v>영등포동</x:v>
      </x:c>
      <x:c r="F767" t="str">
        <x:v>CS300015</x:v>
      </x:c>
      <x:c r="G767" t="str">
        <x:v>가방</x:v>
      </x:c>
      <x:c r="H767" t="n">
        <x:v>4656701208</x:v>
      </x:c>
      <x:c r="I767" t="n">
        <x:v>31986</x:v>
      </x:c>
      <x:c r="J767" t="n">
        <x:v>145585.60645282312</x:v>
      </x:c>
      <x:c r="K767" s="14" t="n">
        <x:v>0.058502651065274414</x:v>
      </x:c>
      <x:c r="L767" s="14" t="n">
        <x:v>0.08003853878387823</x:v>
      </x:c>
      <x:c r="M767" s="14" t="n">
        <x:v>0.032771077188109565</x:v>
      </x:c>
      <x:c r="N767" t="n">
        <x:v>55</x:v>
      </x:c>
      <x:c r="O767" t="n">
        <x:v>0</x:v>
      </x:c>
      <x:c r="P767" s="14" t="n">
        <x:v>0</x:v>
      </x:c>
      <x:c r="Q767" s="14" t="n">
        <x:v>0</x:v>
      </x:c>
      <x:c r="R767" s="14" t="n">
        <x:v>-0.051724137931034475</x:v>
      </x:c>
      <x:c r="S767" t="n">
        <x:v>4867</x:v>
      </x:c>
      <x:c r="T767" t="n">
        <x:v>120.23815405899502</x:v>
      </x:c>
      <x:c r="U767" s="14" t="n">
        <x:v>0.5919730736136163</x:v>
      </x:c>
      <x:c r="V767" s="14" t="n">
        <x:v>0.4430876373290386</x:v>
      </x:c>
      <x:c r="W767" s="14" t="n">
        <x:v>0.5444727721942344</x:v>
      </x:c>
      <x:c r="X767" s="14" t="n">
        <x:v>0.7063030583430123</x:v>
      </x:c>
      <x:c r="Y767" s="16" t="n">
        <x:v>93.44262295081967</x:v>
      </x:c>
      <x:c r="Z767" s="16" t="n">
        <x:v>66.66666666666667</x:v>
      </x:c>
      <x:c r="AA767" s="16" t="n">
        <x:v>83.60655737704919</x:v>
      </x:c>
      <x:c r="AB767" s="16" t="n">
        <x:v>24.59016393442623</x:v>
      </x:c>
      <x:c r="AC767" s="16" t="n">
        <x:v>70.49180327868852</x:v>
      </x:c>
      <x:c r="AD767" s="16" t="n">
        <x:v>63.84146341463415</x:v>
      </x:c>
      <x:c r="AE767" s="16" t="n">
        <x:v>72.50901306144209</x:v>
      </x:c>
      <x:c r="AF767" t="str">
        <x:v>검토</x:v>
      </x:c>
      <x:c r="AG767" t="str">
        <x:v>수요·서울 업종추세 강점 / 경쟁여건 상대적 약점</x:v>
      </x:c>
    </x:row>
    <x:row r="768">
      <x:c r="A768" t="str">
        <x:v>3120119</x:v>
      </x:c>
      <x:c r="B768" t="str">
        <x:v>발산역(마곡)</x:v>
      </x:c>
      <x:c r="C768" t="str">
        <x:v>발달상권</x:v>
      </x:c>
      <x:c r="D768" t="str">
        <x:v>강서구</x:v>
      </x:c>
      <x:c r="E768" t="str">
        <x:v>가양1동</x:v>
      </x:c>
      <x:c r="F768" t="str">
        <x:v>CS300020</x:v>
      </x:c>
      <x:c r="G768" t="str">
        <x:v>서적</x:v>
      </x:c>
      <x:c r="H768" t="n">
        <x:v>1401000000</x:v>
      </x:c>
      <x:c r="I768" t="n">
        <x:v>77524</x:v>
      </x:c>
      <x:c r="J768" t="n">
        <x:v>18071.822919354006</x:v>
      </x:c>
      <x:c r="K768" s="14" t="n">
        <x:v>0</x:v>
      </x:c>
      <x:c r="L768" s="14" t="n">
        <x:v>0.20039418624921757</x:v>
      </x:c>
      <x:c r="M768" s="14" t="n">
        <x:v>-0.01061516125540185</x:v>
      </x:c>
      <x:c r="N768" t="n">
        <x:v>25</x:v>
      </x:c>
      <x:c r="O768" t="n">
        <x:v>0</x:v>
      </x:c>
      <x:c r="P768" s="14" t="n">
        <x:v>0</x:v>
      </x:c>
      <x:c r="Q768" s="14" t="n">
        <x:v>0</x:v>
      </x:c>
      <x:c r="R768" s="14" t="n">
        <x:v>0.25</x:v>
      </x:c>
      <x:c r="S768" t="n">
        <x:v>7795</x:v>
      </x:c>
      <x:c r="T768" t="n">
        <x:v>186.896392983533</x:v>
      </x:c>
      <x:c r="U768" s="14" t="n">
        <x:v>0.5248358529621698</x:v>
      </x:c>
      <x:c r="V768" s="14" t="n">
        <x:v>0.3930757737330478</x:v>
      </x:c>
      <x:c r="W768" s="14" t="n">
        <x:v>0.31706675374732335</x:v>
      </x:c>
      <x:c r="X768" s="14" t="n">
        <x:v>0.5262272191291935</x:v>
      </x:c>
      <x:c r="Y768" s="16" t="n">
        <x:v>93.95973154362416</x:v>
      </x:c>
      <x:c r="Z768" s="16" t="n">
        <x:v>59.642857142857146</x:v>
      </x:c>
      <x:c r="AA768" s="16" t="n">
        <x:v>96.72131147540983</x:v>
      </x:c>
      <x:c r="AB768" s="16" t="n">
        <x:v>23.489932885906043</x:v>
      </x:c>
      <x:c r="AC768" s="16" t="n">
        <x:v>59.395973154362416</x:v>
      </x:c>
      <x:c r="AD768" s="16" t="n">
        <x:v>74.45121951219512</x:v>
      </x:c>
      <x:c r="AE768" s="16" t="n">
        <x:v>72.50832241408327</x:v>
      </x:c>
      <x:c r="AF768" t="str">
        <x:v>검토</x:v>
      </x:c>
      <x:c r="AG768" t="str">
        <x:v>서울 업종추세·수요 강점 / 경쟁여건 상대적 약점</x:v>
      </x:c>
    </x:row>
    <x:row r="769">
      <x:c r="A769" t="str">
        <x:v>3120077</x:v>
      </x:c>
      <x:c r="B769" t="str">
        <x:v>미아역</x:v>
      </x:c>
      <x:c r="C769" t="str">
        <x:v>발달상권</x:v>
      </x:c>
      <x:c r="D769" t="str">
        <x:v>강북구</x:v>
      </x:c>
      <x:c r="E769" t="str">
        <x:v>미아동</x:v>
      </x:c>
      <x:c r="F769" t="str">
        <x:v>CS100005</x:v>
      </x:c>
      <x:c r="G769" t="str">
        <x:v>제과점</x:v>
      </x:c>
      <x:c r="H769" t="n">
        <x:v>1003895652</x:v>
      </x:c>
      <x:c r="I769" t="n">
        <x:v>99689</x:v>
      </x:c>
      <x:c r="J769" t="n">
        <x:v>10070.275075484758</x:v>
      </x:c>
      <x:c r="K769" s="14" t="n">
        <x:v>0.2537405636533776</x:v>
      </x:c>
      <x:c r="L769" s="14" t="n">
        <x:v>0.015772977300780644</x:v>
      </x:c>
      <x:c r="M769" s="14" t="n">
        <x:v>-0.01180050626373963</x:v>
      </x:c>
      <x:c r="N769" t="n">
        <x:v>12</x:v>
      </x:c>
      <x:c r="O769" t="n">
        <x:v>1</x:v>
      </x:c>
      <x:c r="P769" s="14" t="n">
        <x:v>0.058823529411764705</x:v>
      </x:c>
      <x:c r="Q769" s="14" t="n">
        <x:v>0.3333333333333333</x:v>
      </x:c>
      <x:c r="R769" s="14" t="n">
        <x:v>-0.25</x:v>
      </x:c>
      <x:c r="S769" t="n">
        <x:v>354</x:v>
      </x:c>
      <x:c r="T769" t="n">
        <x:v>37.92261216094614</x:v>
      </x:c>
      <x:c r="U769" s="14" t="n">
        <x:v>0.788888965125232</x:v>
      </x:c>
      <x:c r="V769" s="14" t="n">
        <x:v>0.35195225449586864</x:v>
      </x:c>
      <x:c r="W769" s="14" t="n">
        <x:v>0.20258815405248912</x:v>
      </x:c>
      <x:c r="X769" s="14" t="n">
        <x:v>0.5701864928487608</x:v>
      </x:c>
      <x:c r="Y769" s="16" t="n">
        <x:v>88.57808857808858</x:v>
      </x:c>
      <x:c r="Z769" s="16" t="n">
        <x:v>95.03722084367246</x:v>
      </x:c>
      <x:c r="AA769" s="16" t="n">
        <x:v>52.459016393442624</x:v>
      </x:c>
      <x:c r="AB769" s="16" t="n">
        <x:v>77.62237762237763</x:v>
      </x:c>
      <x:c r="AC769" s="16" t="n">
        <x:v>16.200466200466195</x:v>
      </x:c>
      <x:c r="AD769" s="16" t="n">
        <x:v>27.317073170731707</x:v>
      </x:c>
      <x:c r="AE769" s="16" t="n">
        <x:v>72.50788455202174</x:v>
      </x:c>
      <x:c r="AF769" t="str">
        <x:v>검토</x:v>
      </x:c>
      <x:c r="AG769" t="str">
        <x:v>상권 모멘텀·수요 강점 / 안정성 상대적 약점</x:v>
      </x:c>
    </x:row>
    <x:row r="770">
      <x:c r="A770" t="str">
        <x:v>3120166</x:v>
      </x:c>
      <x:c r="B770" t="str">
        <x:v>방배역</x:v>
      </x:c>
      <x:c r="C770" t="str">
        <x:v>발달상권</x:v>
      </x:c>
      <x:c r="D770" t="str">
        <x:v>서초구</x:v>
      </x:c>
      <x:c r="E770" t="str">
        <x:v>방배1동</x:v>
      </x:c>
      <x:c r="F770" t="str">
        <x:v>CS200001</x:v>
      </x:c>
      <x:c r="G770" t="str">
        <x:v>일반교습학원</x:v>
      </x:c>
      <x:c r="H770" t="n">
        <x:v>5678386225</x:v>
      </x:c>
      <x:c r="I770" t="n">
        <x:v>11192</x:v>
      </x:c>
      <x:c r="J770" t="n">
        <x:v>507361.17092566116</x:v>
      </x:c>
      <x:c r="K770" s="14" t="n">
        <x:v>0.07410997784295636</x:v>
      </x:c>
      <x:c r="L770" s="14" t="n">
        <x:v>0.026465986538897424</x:v>
      </x:c>
      <x:c r="M770" s="14" t="n">
        <x:v>0.05930632525283164</x:v>
      </x:c>
      <x:c r="N770" t="n">
        <x:v>60</x:v>
      </x:c>
      <x:c r="O770" t="n">
        <x:v>2</x:v>
      </x:c>
      <x:c r="P770" s="14" t="n">
        <x:v>0.03076923076923077</x:v>
      </x:c>
      <x:c r="Q770" s="14" t="n">
        <x:v>0.05</x:v>
      </x:c>
      <x:c r="R770" s="14" t="n">
        <x:v>0.39534883720930236</x:v>
      </x:c>
      <x:c r="S770" t="n">
        <x:v>10702</x:v>
      </x:c>
      <x:c r="T770" t="n">
        <x:v>552.7407200813979</x:v>
      </x:c>
      <x:c r="U770" s="14" t="n">
        <x:v>0.780162782076346</x:v>
      </x:c>
      <x:c r="V770" s="14" t="n">
        <x:v>0.5399490986543453</x:v>
      </x:c>
      <x:c r="W770" s="14" t="n">
        <x:v>0.03246021487381302</x:v>
      </x:c>
      <x:c r="X770" s="14" t="n">
        <x:v>0.6244051756095544</x:v>
      </x:c>
      <x:c r="Y770" s="16" t="n">
        <x:v>96.42857142857143</x:v>
      </x:c>
      <x:c r="Z770" s="16" t="n">
        <x:v>73.21428571428571</x:v>
      </x:c>
      <x:c r="AA770" s="16" t="n">
        <x:v>70.49180327868852</x:v>
      </x:c>
      <x:c r="AB770" s="16" t="n">
        <x:v>44.099378881987576</x:v>
      </x:c>
      <x:c r="AC770" s="16" t="n">
        <x:v>23.68012422360249</x:v>
      </x:c>
      <x:c r="AD770" s="16" t="n">
        <x:v>91.09756097560975</x:v>
      </x:c>
      <x:c r="AE770" s="16" t="n">
        <x:v>72.5044249380993</x:v>
      </x:c>
      <x:c r="AF770" t="str">
        <x:v>검토</x:v>
      </x:c>
      <x:c r="AG770" t="str">
        <x:v>수요·직장수요 강점 / 안정성 상대적 약점</x:v>
      </x:c>
    </x:row>
    <x:row r="771">
      <x:c r="A771" t="str">
        <x:v>3120160</x:v>
      </x:c>
      <x:c r="B771" t="str">
        <x:v>사당역(사당)</x:v>
      </x:c>
      <x:c r="C771" t="str">
        <x:v>발달상권</x:v>
      </x:c>
      <x:c r="D771" t="str">
        <x:v>서초구</x:v>
      </x:c>
      <x:c r="E771" t="str">
        <x:v>방배2동</x:v>
      </x:c>
      <x:c r="F771" t="str">
        <x:v>CS300007</x:v>
      </x:c>
      <x:c r="G771" t="str">
        <x:v>육류판매</x:v>
      </x:c>
      <x:c r="H771" t="n">
        <x:v>807633929</x:v>
      </x:c>
      <x:c r="I771" t="n">
        <x:v>19074</x:v>
      </x:c>
      <x:c r="J771" t="n">
        <x:v>42342.13741218412</x:v>
      </x:c>
      <x:c r="K771" s="14" t="n">
        <x:v>0.04075406861047459</x:v>
      </x:c>
      <x:c r="L771" s="14" t="n">
        <x:v>0.23518223683931017</x:v>
      </x:c>
      <x:c r="M771" s="14" t="n">
        <x:v>0.00863079289162072</x:v>
      </x:c>
      <x:c r="N771" t="n">
        <x:v>9</x:v>
      </x:c>
      <x:c r="O771" t="n">
        <x:v>0</x:v>
      </x:c>
      <x:c r="P771" s="14" t="n">
        <x:v>0</x:v>
      </x:c>
      <x:c r="Q771" s="14" t="n">
        <x:v>0</x:v>
      </x:c>
      <x:c r="R771" s="14" t="n">
        <x:v>-0.18181818181818177</x:v>
      </x:c>
      <x:c r="S771" t="n">
        <x:v>12897</x:v>
      </x:c>
      <x:c r="T771" t="n">
        <x:v>507.2426717848476</x:v>
      </x:c>
      <x:c r="U771" s="14" t="n">
        <x:v>0.7095267452539131</x:v>
      </x:c>
      <x:c r="V771" s="14" t="n">
        <x:v>0.31404741045741774</x:v>
      </x:c>
      <x:c r="W771" s="14" t="n">
        <x:v>0.13227181420209996</x:v>
      </x:c>
      <x:c r="X771" s="14" t="n">
        <x:v>0.519037240695221</x:v>
      </x:c>
      <x:c r="Y771" s="16" t="n">
        <x:v>62.87128712871287</x:v>
      </x:c>
      <x:c r="Z771" s="16" t="n">
        <x:v>58.96103896103896</x:v>
      </x:c>
      <x:c r="AA771" s="16" t="n">
        <x:v>100</x:v>
      </x:c>
      <x:c r="AB771" s="16" t="n">
        <x:v>83.41584158415841</x:v>
      </x:c>
      <x:c r="AC771" s="16" t="n">
        <x:v>66.83168316831683</x:v>
      </x:c>
      <x:c r="AD771" s="16" t="n">
        <x:v>90.1829268292683</x:v>
      </x:c>
      <x:c r="AE771" s="16" t="n">
        <x:v>72.50184918317616</x:v>
      </x:c>
      <x:c r="AF771" t="str">
        <x:v>검토</x:v>
      </x:c>
      <x:c r="AG771" t="str">
        <x:v>서울 업종추세·직장수요 강점 / 상권 모멘텀 상대적 약점</x:v>
      </x:c>
    </x:row>
    <x:row r="772">
      <x:c r="A772" t="str">
        <x:v>3120248</x:v>
      </x:c>
      <x:c r="B772" t="str">
        <x:v>명일역</x:v>
      </x:c>
      <x:c r="C772" t="str">
        <x:v>발달상권</x:v>
      </x:c>
      <x:c r="D772" t="str">
        <x:v>강동구</x:v>
      </x:c>
      <x:c r="E772" t="str">
        <x:v>명일1동</x:v>
      </x:c>
      <x:c r="F772" t="str">
        <x:v>CS200003</x:v>
      </x:c>
      <x:c r="G772" t="str">
        <x:v>예술학원</x:v>
      </x:c>
      <x:c r="H772" t="n">
        <x:v>1030051025</x:v>
      </x:c>
      <x:c r="I772" t="n">
        <x:v>4328</x:v>
      </x:c>
      <x:c r="J772" t="n">
        <x:v>237997.00207948245</x:v>
      </x:c>
      <x:c r="K772" s="14" t="n">
        <x:v>0.043845867008027506</x:v>
      </x:c>
      <x:c r="L772" s="14" t="n">
        <x:v>0.09364146198394163</x:v>
      </x:c>
      <x:c r="M772" s="14" t="n">
        <x:v>0.053788091189524545</x:v>
      </x:c>
      <x:c r="N772" t="n">
        <x:v>40</x:v>
      </x:c>
      <x:c r="O772" t="n">
        <x:v>0</x:v>
      </x:c>
      <x:c r="P772" s="14" t="n">
        <x:v>0</x:v>
      </x:c>
      <x:c r="Q772" s="14" t="n">
        <x:v>0.05</x:v>
      </x:c>
      <x:c r="R772" s="14" t="n">
        <x:v>0.11111111111111116</x:v>
      </x:c>
      <x:c r="S772" t="n">
        <x:v>2489</x:v>
      </x:c>
      <x:c r="T772" t="n">
        <x:v>173.93552715253074</x:v>
      </x:c>
      <x:c r="U772" s="14" t="n">
        <x:v>0.7873604610994878</x:v>
      </x:c>
      <x:c r="V772" s="14" t="n">
        <x:v>0.3788973920005565</x:v>
      </x:c>
      <x:c r="W772" s="14" t="n">
        <x:v>0.1300653227348616</x:v>
      </x:c>
      <x:c r="X772" s="14" t="n">
        <x:v>0.575637538926773</x:v>
      </x:c>
      <x:c r="Y772" s="16" t="n">
        <x:v>95.61752988047809</x:v>
      </x:c>
      <x:c r="Z772" s="16" t="n">
        <x:v>52.760736196319016</x:v>
      </x:c>
      <x:c r="AA772" s="16" t="n">
        <x:v>88.52459016393442</x:v>
      </x:c>
      <x:c r="AB772" s="16" t="n">
        <x:v>27.988047808764946</x:v>
      </x:c>
      <x:c r="AC772" s="16" t="n">
        <x:v>73.20717131474103</x:v>
      </x:c>
      <x:c r="AD772" s="16" t="n">
        <x:v>73.35365853658537</x:v>
      </x:c>
      <x:c r="AE772" s="16" t="n">
        <x:v>72.48357845163942</x:v>
      </x:c>
      <x:c r="AF772" t="str">
        <x:v>검토</x:v>
      </x:c>
      <x:c r="AG772" t="str">
        <x:v>수요·서울 업종추세 강점 / 경쟁여건 상대적 약점</x:v>
      </x:c>
    </x:row>
    <x:row r="773">
      <x:c r="A773" t="str">
        <x:v>3001492</x:v>
      </x:c>
      <x:c r="B773" t="str">
        <x:v>명동 남대문 북창동 다동 무교동 관광특구</x:v>
      </x:c>
      <x:c r="C773" t="str">
        <x:v>관광특구</x:v>
      </x:c>
      <x:c r="D773" t="str">
        <x:v>중구</x:v>
      </x:c>
      <x:c r="E773" t="str">
        <x:v>소공동</x:v>
      </x:c>
      <x:c r="F773" t="str">
        <x:v>CS300011</x:v>
      </x:c>
      <x:c r="G773" t="str">
        <x:v>일반의류</x:v>
      </x:c>
      <x:c r="H773" t="n">
        <x:v>76297435052</x:v>
      </x:c>
      <x:c r="I773" t="n">
        <x:v>1115190</x:v>
      </x:c>
      <x:c r="J773" t="n">
        <x:v>68416.53444883831</x:v>
      </x:c>
      <x:c r="K773" s="14" t="n">
        <x:v>0.12404837041932537</x:v>
      </x:c>
      <x:c r="L773" s="14" t="n">
        <x:v>0.06726691045630595</x:v>
      </x:c>
      <x:c r="M773" s="14" t="n">
        <x:v>0.00788849516466894</x:v>
      </x:c>
      <x:c r="N773" t="n">
        <x:v>559</x:v>
      </x:c>
      <x:c r="O773" t="n">
        <x:v>4</x:v>
      </x:c>
      <x:c r="P773" s="14" t="n">
        <x:v>0.0070921985815602835</x:v>
      </x:c>
      <x:c r="Q773" s="14" t="n">
        <x:v>0.0017889087656529517</x:v>
      </x:c>
      <x:c r="R773" s="14" t="n">
        <x:v>-0.09400324149108585</x:v>
      </x:c>
      <x:c r="S773" t="n">
        <x:v>199667</x:v>
      </x:c>
      <x:c r="T773" t="n">
        <x:v>2029.9242185482574</x:v>
      </x:c>
      <x:c r="U773" s="14" t="n">
        <x:v>0.7639748581623131</x:v>
      </x:c>
      <x:c r="V773" s="14" t="n">
        <x:v>0.15348960512261703</x:v>
      </x:c>
      <x:c r="W773" s="14" t="n">
        <x:v>0.14684516878403647</x:v>
      </x:c>
      <x:c r="X773" s="14" t="n">
        <x:v>0.7038440099644255</x:v>
      </x:c>
      <x:c r="Y773" s="16" t="n">
        <x:v>99.52885747938751</x:v>
      </x:c>
      <x:c r="Z773" s="16" t="n">
        <x:v>63.77858002406739</x:v>
      </x:c>
      <x:c r="AA773" s="16" t="n">
        <x:v>81.9672131147541</x:v>
      </x:c>
      <x:c r="AB773" s="16" t="n">
        <x:v>4.534746760895175</x:v>
      </x:c>
      <x:c r="AC773" s="16" t="n">
        <x:v>69.67020023557126</x:v>
      </x:c>
      <x:c r="AD773" s="16" t="n">
        <x:v>98.84146341463415</x:v>
      </x:c>
      <x:c r="AE773" s="16" t="n">
        <x:v>72.47520329823533</x:v>
      </x:c>
      <x:c r="AF773" t="str">
        <x:v>검토</x:v>
      </x:c>
      <x:c r="AG773" t="str">
        <x:v>수요·직장수요 강점 / 경쟁여건 상대적 약점</x:v>
      </x:c>
    </x:row>
    <x:row r="774">
      <x:c r="A774" t="str">
        <x:v>3120182</x:v>
      </x:c>
      <x:c r="B774" t="str">
        <x:v>양재시민의숲역(양재동꽃시장, aT센터)</x:v>
      </x:c>
      <x:c r="C774" t="str">
        <x:v>발달상권</x:v>
      </x:c>
      <x:c r="D774" t="str">
        <x:v>서초구</x:v>
      </x:c>
      <x:c r="E774" t="str">
        <x:v>양재2동</x:v>
      </x:c>
      <x:c r="F774" t="str">
        <x:v>CS200024</x:v>
      </x:c>
      <x:c r="G774" t="str">
        <x:v>스포츠클럽</x:v>
      </x:c>
      <x:c r="H774" t="n">
        <x:v>290255834</x:v>
      </x:c>
      <x:c r="I774" t="n">
        <x:v>779</x:v>
      </x:c>
      <x:c r="J774" t="n">
        <x:v>372600.5571245186</x:v>
      </x:c>
      <x:c r="K774" s="14" t="n">
        <x:v>0.12782861939105805</x:v>
      </x:c>
      <x:c r="L774" s="14" t="n">
        <x:v>0.03927856170757105</x:v>
      </x:c>
      <x:c r="M774" s="14" t="n">
        <x:v>-0.042593628048716026</x:v>
      </x:c>
      <x:c r="N774" t="n">
        <x:v>17</x:v>
      </x:c>
      <x:c r="O774" t="n">
        <x:v>0</x:v>
      </x:c>
      <x:c r="P774" s="14" t="n">
        <x:v>0</x:v>
      </x:c>
      <x:c r="Q774" s="14" t="n">
        <x:v>0</x:v>
      </x:c>
      <x:c r="R774" s="14" t="n">
        <x:v>0.8888888888888888</x:v>
      </x:c>
      <x:c r="S774" t="n">
        <x:v>8588</x:v>
      </x:c>
      <x:c r="T774" t="n">
        <x:v>285.07599924316105</x:v>
      </x:c>
      <x:c r="U774" s="14" t="n">
        <x:v>0.9444336198940966</x:v>
      </x:c>
      <x:c r="V774" s="14" t="n">
        <x:v>0.4836659889495968</x:v>
      </x:c>
      <x:c r="W774" s="14" t="n">
        <x:v>0.6264711805930488</x:v>
      </x:c>
      <x:c r="X774" s="14" t="n">
        <x:v>0.5280515636423004</x:v>
      </x:c>
      <x:c r="Y774" s="16" t="n">
        <x:v>75.3623188405797</x:v>
      </x:c>
      <x:c r="Z774" s="16" t="n">
        <x:v>74.10714285714286</x:v>
      </x:c>
      <x:c r="AA774" s="16" t="n">
        <x:v>75.40983606557377</x:v>
      </x:c>
      <x:c r="AB774" s="16" t="n">
        <x:v>59.42028985507246</x:v>
      </x:c>
      <x:c r="AC774" s="16" t="n">
        <x:v>68.84057971014492</x:v>
      </x:c>
      <x:c r="AD774" s="16" t="n">
        <x:v>83.17073170731707</x:v>
      </x:c>
      <x:c r="AE774" s="16" t="n">
        <x:v>72.46535361010874</x:v>
      </x:c>
      <x:c r="AF774" t="str">
        <x:v>검토</x:v>
      </x:c>
      <x:c r="AG774" t="str">
        <x:v>직장수요·서울 업종추세 강점 / 경쟁여건 상대적 약점</x:v>
      </x:c>
    </x:row>
    <x:row r="775">
      <x:c r="A775" t="str">
        <x:v>3130087</x:v>
      </x:c>
      <x:c r="B775" t="str">
        <x:v>경동광성상가(경동시장)</x:v>
      </x:c>
      <x:c r="C775" t="str">
        <x:v>전통시장</x:v>
      </x:c>
      <x:c r="D775" t="str">
        <x:v>동대문구</x:v>
      </x:c>
      <x:c r="E775" t="str">
        <x:v>제기동</x:v>
      </x:c>
      <x:c r="F775" t="str">
        <x:v>CS300009</x:v>
      </x:c>
      <x:c r="G775" t="str">
        <x:v>청과상</x:v>
      </x:c>
      <x:c r="H775" t="n">
        <x:v>88188355693</x:v>
      </x:c>
      <x:c r="I775" t="n">
        <x:v>2042621</x:v>
      </x:c>
      <x:c r="J775" t="n">
        <x:v>43174.11585066441</x:v>
      </x:c>
      <x:c r="K775" s="14" t="n">
        <x:v>0.2395427794897067</x:v>
      </x:c>
      <x:c r="L775" s="14" t="n">
        <x:v>0.19728256051488424</x:v>
      </x:c>
      <x:c r="M775" s="14" t="n">
        <x:v>0.09797365727115581</x:v>
      </x:c>
      <x:c r="N775" t="n">
        <x:v>752</x:v>
      </x:c>
      <x:c r="O775" t="n">
        <x:v>12</x:v>
      </x:c>
      <x:c r="P775" s="14" t="n">
        <x:v>0.015852047556142668</x:v>
      </x:c>
      <x:c r="Q775" s="14" t="n">
        <x:v>0</x:v>
      </x:c>
      <x:c r="R775" s="14" t="n">
        <x:v>0.002666666666666595</x:v>
      </x:c>
      <x:c r="S775" t="n">
        <x:v>111</x:v>
      </x:c>
      <x:c r="T775" t="n">
        <x:v>52.91762013729977</x:v>
      </x:c>
      <x:c r="U775" s="14" t="n">
        <x:v>0.7082501578828932</x:v>
      </x:c>
      <x:c r="V775" s="14" t="n">
        <x:v>0.03339929024477542</x:v>
      </x:c>
      <x:c r="W775" s="14" t="n">
        <x:v>0.03663657949636152</x:v>
      </x:c>
      <x:c r="X775" s="14" t="n">
        <x:v>0.5371976468063389</x:v>
      </x:c>
      <x:c r="Y775" s="16" t="n">
        <x:v>98.53479853479854</x:v>
      </x:c>
      <x:c r="Z775" s="16" t="n">
        <x:v>89.69465648854961</x:v>
      </x:c>
      <x:c r="AA775" s="16" t="n">
        <x:v>95.08196721311475</x:v>
      </x:c>
      <x:c r="AB775" s="16" t="n">
        <x:v>1.6483516483516496</x:v>
      </x:c>
      <x:c r="AC775" s="16" t="n">
        <x:v>36.446886446886445</x:v>
      </x:c>
      <x:c r="AD775" s="16" t="n">
        <x:v>37.6219512195122</x:v>
      </x:c>
      <x:c r="AE775" s="16" t="n">
        <x:v>72.46144481977362</x:v>
      </x:c>
      <x:c r="AF775" t="str">
        <x:v>검토</x:v>
      </x:c>
      <x:c r="AG775" t="str">
        <x:v>수요·서울 업종추세 강점 / 경쟁여건 상대적 약점</x:v>
      </x:c>
    </x:row>
    <x:row r="776">
      <x:c r="A776" t="str">
        <x:v>3120027</x:v>
      </x:c>
      <x:c r="B776" t="str">
        <x:v>명동역(명동재미로)</x:v>
      </x:c>
      <x:c r="C776" t="str">
        <x:v>발달상권</x:v>
      </x:c>
      <x:c r="D776" t="str">
        <x:v>중구</x:v>
      </x:c>
      <x:c r="E776" t="str">
        <x:v>명동</x:v>
      </x:c>
      <x:c r="F776" t="str">
        <x:v>CS300011</x:v>
      </x:c>
      <x:c r="G776" t="str">
        <x:v>일반의류</x:v>
      </x:c>
      <x:c r="H776" t="n">
        <x:v>8712391238</x:v>
      </x:c>
      <x:c r="I776" t="n">
        <x:v>38343</x:v>
      </x:c>
      <x:c r="J776" t="n">
        <x:v>227222.4718462301</x:v>
      </x:c>
      <x:c r="K776" s="14" t="n">
        <x:v>0.14033079588484654</x:v>
      </x:c>
      <x:c r="L776" s="14" t="n">
        <x:v>0.06726691045630595</x:v>
      </x:c>
      <x:c r="M776" s="14" t="n">
        <x:v>0.00788849516466894</x:v>
      </x:c>
      <x:c r="N776" t="n">
        <x:v>377</x:v>
      </x:c>
      <x:c r="O776" t="n">
        <x:v>3</x:v>
      </x:c>
      <x:c r="P776" s="14" t="n">
        <x:v>0.007853403141361256</x:v>
      </x:c>
      <x:c r="Q776" s="14" t="n">
        <x:v>0</x:v>
      </x:c>
      <x:c r="R776" s="14" t="n">
        <x:v>0.05602240896358546</x:v>
      </x:c>
      <x:c r="S776" t="n">
        <x:v>10825</x:v>
      </x:c>
      <x:c r="T776" t="n">
        <x:v>688.8060271322762</x:v>
      </x:c>
      <x:c r="U776" s="14" t="n">
        <x:v>0.6927334595209784</x:v>
      </x:c>
      <x:c r="V776" s="14" t="n">
        <x:v>0.2878822997595049</x:v>
      </x:c>
      <x:c r="W776" s="14" t="n">
        <x:v>0.18939780881314</x:v>
      </x:c>
      <x:c r="X776" s="14" t="n">
        <x:v>0.6064282079018362</x:v>
      </x:c>
      <x:c r="Y776" s="16" t="n">
        <x:v>95.75971731448763</x:v>
      </x:c>
      <x:c r="Z776" s="16" t="n">
        <x:v>68.1107099879663</x:v>
      </x:c>
      <x:c r="AA776" s="16" t="n">
        <x:v>81.9672131147541</x:v>
      </x:c>
      <x:c r="AB776" s="16" t="n">
        <x:v>9.717314487632507</x:v>
      </x:c>
      <x:c r="AC776" s="16" t="n">
        <x:v>68.66902237926973</x:v>
      </x:c>
      <x:c r="AD776" s="16" t="n">
        <x:v>93.90243902439025</x:v>
      </x:c>
      <x:c r="AE776" s="16" t="n">
        <x:v>72.45274638716842</x:v>
      </x:c>
      <x:c r="AF776" t="str">
        <x:v>검토</x:v>
      </x:c>
      <x:c r="AG776" t="str">
        <x:v>수요·직장수요 강점 / 경쟁여건 상대적 약점</x:v>
      </x:c>
    </x:row>
    <x:row r="777">
      <x:c r="A777" t="str">
        <x:v>3120093</x:v>
      </x:c>
      <x:c r="B777" t="str">
        <x:v>연희동</x:v>
      </x:c>
      <x:c r="C777" t="str">
        <x:v>발달상권</x:v>
      </x:c>
      <x:c r="D777" t="str">
        <x:v>서대문구</x:v>
      </x:c>
      <x:c r="E777" t="str">
        <x:v>연희동</x:v>
      </x:c>
      <x:c r="F777" t="str">
        <x:v>CS300028</x:v>
      </x:c>
      <x:c r="G777" t="str">
        <x:v>화초</x:v>
      </x:c>
      <x:c r="H777" t="n">
        <x:v>601663043</x:v>
      </x:c>
      <x:c r="I777" t="n">
        <x:v>5927</x:v>
      </x:c>
      <x:c r="J777" t="n">
        <x:v>101512.23941285642</x:v>
      </x:c>
      <x:c r="K777" s="14" t="n">
        <x:v>0.17945214305858714</x:v>
      </x:c>
      <x:c r="L777" s="14" t="n">
        <x:v>0.028008199294863756</x:v>
      </x:c>
      <x:c r="M777" s="14" t="n">
        <x:v>-0.0030123365554672876</x:v>
      </x:c>
      <x:c r="N777" t="n">
        <x:v>35</x:v>
      </x:c>
      <x:c r="O777" t="n">
        <x:v>1</x:v>
      </x:c>
      <x:c r="P777" s="14" t="n">
        <x:v>0.025</x:v>
      </x:c>
      <x:c r="Q777" s="14" t="n">
        <x:v>0</x:v>
      </x:c>
      <x:c r="R777" s="14" t="n">
        <x:v>0.25</x:v>
      </x:c>
      <x:c r="S777" t="n">
        <x:v>2613</x:v>
      </x:c>
      <x:c r="T777" t="n">
        <x:v>233.660320668163</x:v>
      </x:c>
      <x:c r="U777" s="14" t="n">
        <x:v>0.8452620846781842</x:v>
      </x:c>
      <x:c r="V777" s="14" t="n">
        <x:v>0.1596174571752781</x:v>
      </x:c>
      <x:c r="W777" s="14" t="n">
        <x:v>0.20272076109550907</x:v>
      </x:c>
      <x:c r="X777" s="14" t="n">
        <x:v>0.7346147484747538</x:v>
      </x:c>
      <x:c r="Y777" s="16" t="n">
        <x:v>95.30201342281879</x:v>
      </x:c>
      <x:c r="Z777" s="16" t="n">
        <x:v>90.06849315068493</x:v>
      </x:c>
      <x:c r="AA777" s="16" t="n">
        <x:v>73.77049180327869</x:v>
      </x:c>
      <x:c r="AB777" s="16" t="n">
        <x:v>24.16107382550335</x:v>
      </x:c>
      <x:c r="AC777" s="16" t="n">
        <x:v>24.16107382550335</x:v>
      </x:c>
      <x:c r="AD777" s="16" t="n">
        <x:v>79.45121951219512</x:v>
      </x:c>
      <x:c r="AE777" s="16" t="n">
        <x:v>72.44780653060096</x:v>
      </x:c>
      <x:c r="AF777" t="str">
        <x:v>검토</x:v>
      </x:c>
      <x:c r="AG777" t="str">
        <x:v>수요·상권 모멘텀 강점 / 경쟁여건 상대적 약점</x:v>
      </x:c>
    </x:row>
    <x:row r="778">
      <x:c r="A778" t="str">
        <x:v>3120215</x:v>
      </x:c>
      <x:c r="B778" t="str">
        <x:v>포스코사거리</x:v>
      </x:c>
      <x:c r="C778" t="str">
        <x:v>발달상권</x:v>
      </x:c>
      <x:c r="D778" t="str">
        <x:v>강남구</x:v>
      </x:c>
      <x:c r="E778" t="str">
        <x:v>삼성2동</x:v>
      </x:c>
      <x:c r="F778" t="str">
        <x:v>CS100007</x:v>
      </x:c>
      <x:c r="G778" t="str">
        <x:v>치킨전문점</x:v>
      </x:c>
      <x:c r="H778" t="n">
        <x:v>750284914</x:v>
      </x:c>
      <x:c r="I778" t="n">
        <x:v>11434</x:v>
      </x:c>
      <x:c r="J778" t="n">
        <x:v>65618.76106349484</x:v>
      </x:c>
      <x:c r="K778" s="14" t="n">
        <x:v>0.08831970053745053</x:v>
      </x:c>
      <x:c r="L778" s="14" t="n">
        <x:v>-0.0724550541763268</x:v>
      </x:c>
      <x:c r="M778" s="14" t="n">
        <x:v>-0.037092372220345116</x:v>
      </x:c>
      <x:c r="N778" t="n">
        <x:v>17</x:v>
      </x:c>
      <x:c r="O778" t="n">
        <x:v>0</x:v>
      </x:c>
      <x:c r="P778" s="14" t="n">
        <x:v>0</x:v>
      </x:c>
      <x:c r="Q778" s="14" t="n">
        <x:v>0.7647058823529411</x:v>
      </x:c>
      <x:c r="R778" s="14" t="n">
        <x:v>-0.26086956521739135</x:v>
      </x:c>
      <x:c r="S778" t="n">
        <x:v>94741</x:v>
      </x:c>
      <x:c r="T778" t="n">
        <x:v>2973.4233866664995</x:v>
      </x:c>
      <x:c r="U778" s="14" t="n">
        <x:v>0.8211271951550928</x:v>
      </x:c>
      <x:c r="V778" s="14" t="n">
        <x:v>0.8609518930031426</x:v>
      </x:c>
      <x:c r="W778" s="14" t="n">
        <x:v>0.2594691328153241</x:v>
      </x:c>
      <x:c r="X778" s="14" t="n">
        <x:v>0.20167848396855811</x:v>
      </x:c>
      <x:c r="Y778" s="16" t="n">
        <x:v>96.41434262948208</x:v>
      </x:c>
      <x:c r="Z778" s="16" t="n">
        <x:v>79.42973523421588</x:v>
      </x:c>
      <x:c r="AA778" s="16" t="n">
        <x:v>16.39344262295082</x:v>
      </x:c>
      <x:c r="AB778" s="16" t="n">
        <x:v>51.69322709163347</x:v>
      </x:c>
      <x:c r="AC778" s="16" t="n">
        <x:v>76.29482071713147</x:v>
      </x:c>
      <x:c r="AD778" s="16" t="n">
        <x:v>99.45121951219512</x:v>
      </x:c>
      <x:c r="AE778" s="16" t="n">
        <x:v>72.44601047167245</x:v>
      </x:c>
      <x:c r="AF778" t="str">
        <x:v>검토</x:v>
      </x:c>
      <x:c r="AG778" t="str">
        <x:v>직장수요·수요 강점 / 서울 업종추세 상대적 약점</x:v>
      </x:c>
    </x:row>
    <x:row r="779">
      <x:c r="A779" t="str">
        <x:v>3130057</x:v>
      </x:c>
      <x:c r="B779" t="str">
        <x:v>만리시장</x:v>
      </x:c>
      <x:c r="C779" t="str">
        <x:v>전통시장</x:v>
      </x:c>
      <x:c r="D779" t="str">
        <x:v>용산구</x:v>
      </x:c>
      <x:c r="E779" t="str">
        <x:v>청파동</x:v>
      </x:c>
      <x:c r="F779" t="str">
        <x:v>CS300007</x:v>
      </x:c>
      <x:c r="G779" t="str">
        <x:v>육류판매</x:v>
      </x:c>
      <x:c r="H779" t="n">
        <x:v>1543215159</x:v>
      </x:c>
      <x:c r="I779" t="n">
        <x:v>40189</x:v>
      </x:c>
      <x:c r="J779" t="n">
        <x:v>38398.94396476648</x:v>
      </x:c>
      <x:c r="K779" s="14" t="n">
        <x:v>0.044927383914723285</x:v>
      </x:c>
      <x:c r="L779" s="14" t="n">
        <x:v>0.23518223683931017</x:v>
      </x:c>
      <x:c r="M779" s="14" t="n">
        <x:v>0.00863079289162072</x:v>
      </x:c>
      <x:c r="N779" t="n">
        <x:v>8</x:v>
      </x:c>
      <x:c r="O779" t="n">
        <x:v>2</x:v>
      </x:c>
      <x:c r="P779" s="14" t="n">
        <x:v>0.15384615384615385</x:v>
      </x:c>
      <x:c r="Q779" s="14" t="n">
        <x:v>0</x:v>
      </x:c>
      <x:c r="R779" s="14" t="n">
        <x:v>-0.2727272727272727</x:v>
      </x:c>
      <x:c r="S779" t="n">
        <x:v>97</x:v>
      </x:c>
      <x:c r="T779" t="n">
        <x:v>143.17343173431735</x:v>
      </x:c>
      <x:c r="U779" s="14" t="n">
        <x:v>0.6793365078653948</x:v>
      </x:c>
      <x:c r="V779" s="14" t="n">
        <x:v>0.274602956385293</x:v>
      </x:c>
      <x:c r="W779" s="14" t="n">
        <x:v>0.061247529515746545</x:v>
      </x:c>
      <x:c r="X779" s="14" t="n">
        <x:v>0.6691718785792461</x:v>
      </x:c>
      <x:c r="Y779" s="16" t="n">
        <x:v>80.94059405940594</x:v>
      </x:c>
      <x:c r="Z779" s="16" t="n">
        <x:v>62.077922077922075</x:v>
      </x:c>
      <x:c r="AA779" s="16" t="n">
        <x:v>100</x:v>
      </x:c>
      <x:c r="AB779" s="16" t="n">
        <x:v>87.25247524752476</x:v>
      </x:c>
      <x:c r="AC779" s="16" t="n">
        <x:v>1.60891089108911</x:v>
      </x:c>
      <x:c r="AD779" s="16" t="n">
        <x:v>68.90243902439025</x:v>
      </x:c>
      <x:c r="AE779" s="16" t="n">
        <x:v>72.43867666383363</x:v>
      </x:c>
      <x:c r="AF779" t="str">
        <x:v>검토</x:v>
      </x:c>
      <x:c r="AG779" t="str">
        <x:v>서울 업종추세·경쟁여건 강점 / 안정성 상대적 약점</x:v>
      </x:c>
    </x:row>
    <x:row r="780">
      <x:c r="A780" t="str">
        <x:v>3110856</x:v>
      </x:c>
      <x:c r="B780" t="str">
        <x:v>미성초등학교</x:v>
      </x:c>
      <x:c r="C780" t="str">
        <x:v>골목상권</x:v>
      </x:c>
      <x:c r="D780" t="str">
        <x:v>관악구</x:v>
      </x:c>
      <x:c r="E780" t="str">
        <x:v>미성동</x:v>
      </x:c>
      <x:c r="F780" t="str">
        <x:v>CS200024</x:v>
      </x:c>
      <x:c r="G780" t="str">
        <x:v>스포츠클럽</x:v>
      </x:c>
      <x:c r="H780" t="n">
        <x:v>172147923</x:v>
      </x:c>
      <x:c r="I780" t="n">
        <x:v>562</x:v>
      </x:c>
      <x:c r="J780" t="n">
        <x:v>306313.0302491103</x:v>
      </x:c>
      <x:c r="K780" s="14" t="n">
        <x:v>0.36380841490321436</x:v>
      </x:c>
      <x:c r="L780" s="14" t="n">
        <x:v>0.03927856170757105</x:v>
      </x:c>
      <x:c r="M780" s="14" t="n">
        <x:v>-0.042593628048716026</x:v>
      </x:c>
      <x:c r="N780" t="n">
        <x:v>10</x:v>
      </x:c>
      <x:c r="O780" t="n">
        <x:v>0</x:v>
      </x:c>
      <x:c r="P780" s="14" t="n">
        <x:v>0</x:v>
      </x:c>
      <x:c r="Q780" s="14" t="n">
        <x:v>0</x:v>
      </x:c>
      <x:c r="R780" s="14" t="n">
        <x:v>0.4285714285714286</x:v>
      </x:c>
      <x:c r="S780" t="n">
        <x:v>1001</x:v>
      </x:c>
      <x:c r="T780" t="n">
        <x:v>78.5079566755292</x:v>
      </x:c>
      <x:c r="U780" s="14" t="n">
        <x:v>0.9115753316408006</x:v>
      </x:c>
      <x:c r="V780" s="14" t="n">
        <x:v>0.5938699359155207</x:v>
      </x:c>
      <x:c r="W780" s="14" t="n">
        <x:v>0.6709900763658938</x:v>
      </x:c>
      <x:c r="X780" s="14" t="n">
        <x:v>0.399486649629807</x:v>
      </x:c>
      <x:c r="Y780" s="16" t="n">
        <x:v>61.95652173913044</x:v>
      </x:c>
      <x:c r="Z780" s="16" t="n">
        <x:v>87.5</x:v>
      </x:c>
      <x:c r="AA780" s="16" t="n">
        <x:v>75.40983606557377</x:v>
      </x:c>
      <x:c r="AB780" s="16" t="n">
        <x:v>83.15217391304347</x:v>
      </x:c>
      <x:c r="AC780" s="16" t="n">
        <x:v>68.84057971014492</x:v>
      </x:c>
      <x:c r="AD780" s="16" t="n">
        <x:v>51.52439024390244</x:v>
      </x:c>
      <x:c r="AE780" s="16" t="n">
        <x:v>72.42936158869786</x:v>
      </x:c>
      <x:c r="AF780" t="str">
        <x:v>검토</x:v>
      </x:c>
      <x:c r="AG780" t="str">
        <x:v>상권 모멘텀·경쟁여건 강점 / 직장수요 상대적 약점</x:v>
      </x:c>
    </x:row>
    <x:row r="781">
      <x:c r="A781" t="str">
        <x:v>3130056</x:v>
      </x:c>
      <x:c r="B781" t="str">
        <x:v>용산용문시장</x:v>
      </x:c>
      <x:c r="C781" t="str">
        <x:v>전통시장</x:v>
      </x:c>
      <x:c r="D781" t="str">
        <x:v>용산구</x:v>
      </x:c>
      <x:c r="E781" t="str">
        <x:v>용문동</x:v>
      </x:c>
      <x:c r="F781" t="str">
        <x:v>CS300035</x:v>
      </x:c>
      <x:c r="G781" t="str">
        <x:v>인테리어</x:v>
      </x:c>
      <x:c r="H781" t="n">
        <x:v>89627751</x:v>
      </x:c>
      <x:c r="I781" t="n">
        <x:v>2805</x:v>
      </x:c>
      <x:c r="J781" t="n">
        <x:v>31952.85240641711</x:v>
      </x:c>
      <x:c r="K781" s="14" t="n">
        <x:v>0.08028815488566132</x:v>
      </x:c>
      <x:c r="L781" s="14" t="n">
        <x:v>0.20213561276420866</x:v>
      </x:c>
      <x:c r="M781" s="14" t="n">
        <x:v>0.044160820891303576</x:v>
      </x:c>
      <x:c r="N781" t="n">
        <x:v>5</x:v>
      </x:c>
      <x:c r="O781" t="n">
        <x:v>0</x:v>
      </x:c>
      <x:c r="P781" s="14" t="n">
        <x:v>0</x:v>
      </x:c>
      <x:c r="Q781" s="14" t="n">
        <x:v>0</x:v>
      </x:c>
      <x:c r="R781" s="14" t="n">
        <x:v>0</x:v>
      </x:c>
      <x:c r="S781" t="n">
        <x:v>909</x:v>
      </x:c>
      <x:c r="T781" t="n">
        <x:v>225.86095512597524</x:v>
      </x:c>
      <x:c r="U781" s="14" t="n">
        <x:v>0.8721385522660275</x:v>
      </x:c>
      <x:c r="V781" s="14" t="n">
        <x:v>0.0897964627049495</x:v>
      </x:c>
      <x:c r="W781" s="14" t="n">
        <x:v>0.018098345455527496</x:v>
      </x:c>
      <x:c r="X781" s="14" t="n">
        <x:v>0.06934651300131363</x:v>
      </x:c>
      <x:c r="Y781" s="16" t="n">
        <x:v>65.21739130434783</x:v>
      </x:c>
      <x:c r="Z781" s="16" t="n">
        <x:v>52.22929936305732</x:v>
      </x:c>
      <x:c r="AA781" s="16" t="n">
        <x:v>98.36065573770492</x:v>
      </x:c>
      <x:c r="AB781" s="16" t="n">
        <x:v>96.19565217391305</x:v>
      </x:c>
      <x:c r="AC781" s="16" t="n">
        <x:v>60.32608695652174</x:v>
      </x:c>
      <x:c r="AD781" s="16" t="n">
        <x:v>78.78048780487805</x:v>
      </x:c>
      <x:c r="AE781" s="16" t="n">
        <x:v>72.42702610177197</x:v>
      </x:c>
      <x:c r="AF781" t="str">
        <x:v>검토</x:v>
      </x:c>
      <x:c r="AG781" t="str">
        <x:v>서울 업종추세·경쟁여건 강점 / 상권 모멘텀 상대적 약점</x:v>
      </x:c>
    </x:row>
    <x:row r="782">
      <x:c r="A782" t="str">
        <x:v>3120063</x:v>
      </x:c>
      <x:c r="B782" t="str">
        <x:v>청량리역(청량리)</x:v>
      </x:c>
      <x:c r="C782" t="str">
        <x:v>발달상권</x:v>
      </x:c>
      <x:c r="D782" t="str">
        <x:v>동대문구</x:v>
      </x:c>
      <x:c r="E782" t="str">
        <x:v>전농1동</x:v>
      </x:c>
      <x:c r="F782" t="str">
        <x:v>CS300019</x:v>
      </x:c>
      <x:c r="G782" t="str">
        <x:v>의료기기</x:v>
      </x:c>
      <x:c r="H782" t="n">
        <x:v>959517570</x:v>
      </x:c>
      <x:c r="I782" t="n">
        <x:v>2951</x:v>
      </x:c>
      <x:c r="J782" t="n">
        <x:v>325149.97289054556</x:v>
      </x:c>
      <x:c r="K782" s="14" t="n">
        <x:v>0.5380603506405479</x:v>
      </x:c>
      <x:c r="L782" s="14" t="n">
        <x:v>0.026268479822085578</x:v>
      </x:c>
      <x:c r="M782" s="14" t="n">
        <x:v>-0.00009912701459890982</x:v>
      </x:c>
      <x:c r="N782" t="n">
        <x:v>11</x:v>
      </x:c>
      <x:c r="O782" t="n">
        <x:v>0</x:v>
      </x:c>
      <x:c r="P782" s="14" t="n">
        <x:v>0</x:v>
      </x:c>
      <x:c r="Q782" s="14" t="n">
        <x:v>0</x:v>
      </x:c>
      <x:c r="R782" s="14" t="n">
        <x:v>0.10000000000000009</x:v>
      </x:c>
      <x:c r="S782" t="n">
        <x:v>1560</x:v>
      </x:c>
      <x:c r="T782" t="n">
        <x:v>49.221759804122634</x:v>
      </x:c>
      <x:c r="U782" s="14" t="n">
        <x:v>0.8621891613720007</x:v>
      </x:c>
      <x:c r="V782" s="14" t="n">
        <x:v>0.09172973351597928</x:v>
      </x:c>
      <x:c r="W782" s="14" t="n">
        <x:v>0.0008592474236818822</x:v>
      </x:c>
      <x:c r="X782" s="14" t="n">
        <x:v>0.54414934058998</x:v>
      </x:c>
      <x:c r="Y782" s="16" t="n">
        <x:v>75.48387096774194</x:v>
      </x:c>
      <x:c r="Z782" s="16" t="n">
        <x:v>88.81118881118881</x:v>
      </x:c>
      <x:c r="AA782" s="16" t="n">
        <x:v>68.85245901639344</x:v>
      </x:c>
      <x:c r="AB782" s="16" t="n">
        <x:v>67.09677419354838</x:v>
      </x:c>
      <x:c r="AC782" s="16" t="n">
        <x:v>60.96774193548387</x:v>
      </x:c>
      <x:c r="AD782" s="16" t="n">
        <x:v>34.9390243902439</x:v>
      </x:c>
      <x:c r="AE782" s="16" t="n">
        <x:v>72.4177029954993</x:v>
      </x:c>
      <x:c r="AF782" t="str">
        <x:v>검토</x:v>
      </x:c>
      <x:c r="AG782" t="str">
        <x:v>상권 모멘텀·수요 강점 / 직장수요 상대적 약점</x:v>
      </x:c>
    </x:row>
    <x:row r="783">
      <x:c r="A783" t="str">
        <x:v>3120104</x:v>
      </x:c>
      <x:c r="B783" t="str">
        <x:v>연남동(홍대)</x:v>
      </x:c>
      <x:c r="C783" t="str">
        <x:v>발달상권</x:v>
      </x:c>
      <x:c r="D783" t="str">
        <x:v>마포구</x:v>
      </x:c>
      <x:c r="E783" t="str">
        <x:v>연남동</x:v>
      </x:c>
      <x:c r="F783" t="str">
        <x:v>CS200006</x:v>
      </x:c>
      <x:c r="G783" t="str">
        <x:v>일반의원</x:v>
      </x:c>
      <x:c r="H783" t="n">
        <x:v>3816376563</x:v>
      </x:c>
      <x:c r="I783" t="n">
        <x:v>40378</x:v>
      </x:c>
      <x:c r="J783" t="n">
        <x:v>94516.23564812522</x:v>
      </x:c>
      <x:c r="K783" s="14" t="n">
        <x:v>0.002498291257384544</x:v>
      </x:c>
      <x:c r="L783" s="14" t="n">
        <x:v>0.09973642051122278</x:v>
      </x:c>
      <x:c r="M783" s="14" t="n">
        <x:v>0.06942273842247415</x:v>
      </x:c>
      <x:c r="N783" t="n">
        <x:v>3</x:v>
      </x:c>
      <x:c r="O783" t="n">
        <x:v>0</x:v>
      </x:c>
      <x:c r="P783" s="14" t="n">
        <x:v>0</x:v>
      </x:c>
      <x:c r="Q783" s="14" t="n">
        <x:v>0</x:v>
      </x:c>
      <x:c r="R783" s="14" t="n">
        <x:v>0</x:v>
      </x:c>
      <x:c r="S783" t="n">
        <x:v>6380</x:v>
      </x:c>
      <x:c r="T783" t="n">
        <x:v>145.84623965874724</x:v>
      </x:c>
      <x:c r="U783" s="14" t="n">
        <x:v>0.8305028224228721</x:v>
      </x:c>
      <x:c r="V783" s="14" t="n">
        <x:v>0.2484085596246232</x:v>
      </x:c>
      <x:c r="W783" s="14" t="n">
        <x:v>0.5161190599209746</x:v>
      </x:c>
      <x:c r="X783" s="14" t="n">
        <x:v>0.7529398943119964</x:v>
      </x:c>
      <x:c r="Y783" s="16" t="n">
        <x:v>78.72340425531915</x:v>
      </x:c>
      <x:c r="Z783" s="16" t="n">
        <x:v>33.333333333333336</x:v>
      </x:c>
      <x:c r="AA783" s="16" t="n">
        <x:v>90.1639344262295</x:v>
      </x:c>
      <x:c r="AB783" s="16" t="n">
        <x:v>99.70930232558139</x:v>
      </x:c>
      <x:c r="AC783" s="16" t="n">
        <x:v>62.5</x:v>
      </x:c>
      <x:c r="AD783" s="16" t="n">
        <x:v>69.32926829268293</x:v>
      </x:c>
      <x:c r="AE783" s="16" t="n">
        <x:v>72.41730708343415</x:v>
      </x:c>
      <x:c r="AF783" t="str">
        <x:v>검토</x:v>
      </x:c>
      <x:c r="AG783" t="str">
        <x:v>경쟁여건·서울 업종추세 강점 / 상권 모멘텀 상대적 약점</x:v>
      </x:c>
    </x:row>
    <x:row r="784">
      <x:c r="A784" t="str">
        <x:v>3130088</x:v>
      </x:c>
      <x:c r="B784" t="str">
        <x:v>경동시장</x:v>
      </x:c>
      <x:c r="C784" t="str">
        <x:v>전통시장</x:v>
      </x:c>
      <x:c r="D784" t="str">
        <x:v>동대문구</x:v>
      </x:c>
      <x:c r="E784" t="str">
        <x:v>제기동</x:v>
      </x:c>
      <x:c r="F784" t="str">
        <x:v>CS300009</x:v>
      </x:c>
      <x:c r="G784" t="str">
        <x:v>청과상</x:v>
      </x:c>
      <x:c r="H784" t="n">
        <x:v>79630270637</x:v>
      </x:c>
      <x:c r="I784" t="n">
        <x:v>3043205</x:v>
      </x:c>
      <x:c r="J784" t="n">
        <x:v>26166.581165908967</x:v>
      </x:c>
      <x:c r="K784" s="14" t="n">
        <x:v>0.15177117870627188</x:v>
      </x:c>
      <x:c r="L784" s="14" t="n">
        <x:v>0.19728256051488424</x:v>
      </x:c>
      <x:c r="M784" s="14" t="n">
        <x:v>0.09797365727115581</x:v>
      </x:c>
      <x:c r="N784" t="n">
        <x:v>752</x:v>
      </x:c>
      <x:c r="O784" t="n">
        <x:v>12</x:v>
      </x:c>
      <x:c r="P784" s="14" t="n">
        <x:v>0.015852047556142668</x:v>
      </x:c>
      <x:c r="Q784" s="14" t="n">
        <x:v>0</x:v>
      </x:c>
      <x:c r="R784" s="14" t="n">
        <x:v>0.002666666666666595</x:v>
      </x:c>
      <x:c r="S784" t="n">
        <x:v>297</x:v>
      </x:c>
      <x:c r="T784" t="n">
        <x:v>139.2862167612437</x:v>
      </x:c>
      <x:c r="U784" s="14" t="n">
        <x:v>0.7160811195774713</x:v>
      </x:c>
      <x:c r="V784" s="14" t="n">
        <x:v>0.0431128187376124</x:v>
      </x:c>
      <x:c r="W784" s="14" t="n">
        <x:v>0.03170548988222196</x:v>
      </x:c>
      <x:c r="X784" s="14" t="n">
        <x:v>0.5819617963029678</x:v>
      </x:c>
      <x:c r="Y784" s="16" t="n">
        <x:v>97.8021978021978</x:v>
      </x:c>
      <x:c r="Z784" s="16" t="n">
        <x:v>83.20610687022901</x:v>
      </x:c>
      <x:c r="AA784" s="16" t="n">
        <x:v>95.08196721311475</x:v>
      </x:c>
      <x:c r="AB784" s="16" t="n">
        <x:v>1.6483516483516496</x:v>
      </x:c>
      <x:c r="AC784" s="16" t="n">
        <x:v>36.446886446886445</x:v>
      </x:c>
      <x:c r="AD784" s="16" t="n">
        <x:v>67.7439024390244</x:v>
      </x:c>
      <x:c r="AE784" s="16" t="n">
        <x:v>72.41342220067484</x:v>
      </x:c>
      <x:c r="AF784" t="str">
        <x:v>검토</x:v>
      </x:c>
      <x:c r="AG784" t="str">
        <x:v>수요·서울 업종추세 강점 / 경쟁여건 상대적 약점</x:v>
      </x:c>
    </x:row>
    <x:row r="785">
      <x:c r="A785" t="str">
        <x:v>3130287</x:v>
      </x:c>
      <x:c r="B785" t="str">
        <x:v>삼성동 시장(삼성동시장)</x:v>
      </x:c>
      <x:c r="C785" t="str">
        <x:v>전통시장</x:v>
      </x:c>
      <x:c r="D785" t="str">
        <x:v>관악구</x:v>
      </x:c>
      <x:c r="E785" t="str">
        <x:v>삼성동</x:v>
      </x:c>
      <x:c r="F785" t="str">
        <x:v>CS300009</x:v>
      </x:c>
      <x:c r="G785" t="str">
        <x:v>청과상</x:v>
      </x:c>
      <x:c r="H785" t="n">
        <x:v>1357969870</x:v>
      </x:c>
      <x:c r="I785" t="n">
        <x:v>153779</x:v>
      </x:c>
      <x:c r="J785" t="n">
        <x:v>8830.658737538935</x:v>
      </x:c>
      <x:c r="K785" s="14" t="n">
        <x:v>0.28627111625799206</x:v>
      </x:c>
      <x:c r="L785" s="14" t="n">
        <x:v>0.19728256051488424</x:v>
      </x:c>
      <x:c r="M785" s="14" t="n">
        <x:v>0.09797365727115581</x:v>
      </x:c>
      <x:c r="N785" t="n">
        <x:v>24</x:v>
      </x:c>
      <x:c r="O785" t="n">
        <x:v>0</x:v>
      </x:c>
      <x:c r="P785" s="14" t="n">
        <x:v>0</x:v>
      </x:c>
      <x:c r="Q785" s="14" t="n">
        <x:v>0</x:v>
      </x:c>
      <x:c r="R785" s="14" t="n">
        <x:v>0.26315789473684204</x:v>
      </x:c>
      <x:c r="S785" t="n">
        <x:v>30</x:v>
      </x:c>
      <x:c r="T785" t="n">
        <x:v>22.488755622188904</x:v>
      </x:c>
      <x:c r="U785" s="14" t="n">
        <x:v>0.7078164930124702</x:v>
      </x:c>
      <x:c r="V785" s="14" t="n">
        <x:v>0.23157272554213593</x:v>
      </x:c>
      <x:c r="W785" s="14" t="n">
        <x:v>0.09919671339983412</x:v>
      </x:c>
      <x:c r="X785" s="14" t="n">
        <x:v>0.6013951738119196</x:v>
      </x:c>
      <x:c r="Y785" s="16" t="n">
        <x:v>76.92307692307692</x:v>
      </x:c>
      <x:c r="Z785" s="16" t="n">
        <x:v>91.6030534351145</x:v>
      </x:c>
      <x:c r="AA785" s="16" t="n">
        <x:v>95.08196721311475</x:v>
      </x:c>
      <x:c r="AB785" s="16" t="n">
        <x:v>34.7985347985348</x:v>
      </x:c>
      <x:c r="AC785" s="16" t="n">
        <x:v>69.5970695970696</x:v>
      </x:c>
      <x:c r="AD785" s="16" t="n">
        <x:v>14.451219512195122</x:v>
      </x:c>
      <x:c r="AE785" s="16" t="n">
        <x:v>72.40803084716397</x:v>
      </x:c>
      <x:c r="AF785" t="str">
        <x:v>검토</x:v>
      </x:c>
      <x:c r="AG785" t="str">
        <x:v>서울 업종추세·상권 모멘텀 강점 / 직장수요 상대적 약점</x:v>
      </x:c>
    </x:row>
    <x:row r="786">
      <x:c r="A786" t="str">
        <x:v>3120227</x:v>
      </x:c>
      <x:c r="B786" t="str">
        <x:v>잠실역</x:v>
      </x:c>
      <x:c r="C786" t="str">
        <x:v>발달상권</x:v>
      </x:c>
      <x:c r="D786" t="str">
        <x:v>송파구</x:v>
      </x:c>
      <x:c r="E786" t="str">
        <x:v>잠실6동</x:v>
      </x:c>
      <x:c r="F786" t="str">
        <x:v>CS100004</x:v>
      </x:c>
      <x:c r="G786" t="str">
        <x:v>양식음식점</x:v>
      </x:c>
      <x:c r="H786" t="n">
        <x:v>5073678983</x:v>
      </x:c>
      <x:c r="I786" t="n">
        <x:v>73472</x:v>
      </x:c>
      <x:c r="J786" t="n">
        <x:v>69055.95305694686</x:v>
      </x:c>
      <x:c r="K786" s="14" t="n">
        <x:v>0.17249762534969348</x:v>
      </x:c>
      <x:c r="L786" s="14" t="n">
        <x:v>-0.044984231184224344</x:v>
      </x:c>
      <x:c r="M786" s="14" t="n">
        <x:v>0.00784185409553384</x:v>
      </x:c>
      <x:c r="N786" t="n">
        <x:v>48</x:v>
      </x:c>
      <x:c r="O786" t="n">
        <x:v>1</x:v>
      </x:c>
      <x:c r="P786" s="14" t="n">
        <x:v>0.018867924528301886</x:v>
      </x:c>
      <x:c r="Q786" s="14" t="n">
        <x:v>0.10416666666666667</x:v>
      </x:c>
      <x:c r="R786" s="14" t="n">
        <x:v>-0.09433962264150941</x:v>
      </x:c>
      <x:c r="S786" t="n">
        <x:v>110575</x:v>
      </x:c>
      <x:c r="T786" t="n">
        <x:v>2098.727003209539</x:v>
      </x:c>
      <x:c r="U786" s="14" t="n">
        <x:v>0.6039560266361456</x:v>
      </x:c>
      <x:c r="V786" s="14" t="n">
        <x:v>0.5197659514596846</x:v>
      </x:c>
      <x:c r="W786" s="14" t="n">
        <x:v>0.39374720704516436</x:v>
      </x:c>
      <x:c r="X786" s="14" t="n">
        <x:v>0.4510681085003915</x:v>
      </x:c>
      <x:c r="Y786" s="16" t="n">
        <x:v>95.45454545454545</x:v>
      </x:c>
      <x:c r="Z786" s="16" t="n">
        <x:v>89.75155279503106</x:v>
      </x:c>
      <x:c r="AA786" s="16" t="n">
        <x:v>24.59016393442623</x:v>
      </x:c>
      <x:c r="AB786" s="16" t="n">
        <x:v>45.45454545454545</x:v>
      </x:c>
      <x:c r="AC786" s="16" t="n">
        <x:v>55.90909090909091</x:v>
      </x:c>
      <x:c r="AD786" s="16" t="n">
        <x:v>98.90243902439025</x:v>
      </x:c>
      <x:c r="AE786" s="16" t="n">
        <x:v>72.40213891857147</x:v>
      </x:c>
      <x:c r="AF786" t="str">
        <x:v>검토</x:v>
      </x:c>
      <x:c r="AG786" t="str">
        <x:v>직장수요·수요 강점 / 서울 업종추세 상대적 약점</x:v>
      </x:c>
    </x:row>
    <x:row r="787">
      <x:c r="A787" t="str">
        <x:v>3120046</x:v>
      </x:c>
      <x:c r="B787" t="str">
        <x:v>이태원(이태원역)</x:v>
      </x:c>
      <x:c r="C787" t="str">
        <x:v>발달상권</x:v>
      </x:c>
      <x:c r="D787" t="str">
        <x:v>용산구</x:v>
      </x:c>
      <x:c r="E787" t="str">
        <x:v>이태원1동</x:v>
      </x:c>
      <x:c r="F787" t="str">
        <x:v>CS200028</x:v>
      </x:c>
      <x:c r="G787" t="str">
        <x:v>미용실</x:v>
      </x:c>
      <x:c r="H787" t="n">
        <x:v>477084230</x:v>
      </x:c>
      <x:c r="I787" t="n">
        <x:v>6095</x:v>
      </x:c>
      <x:c r="J787" t="n">
        <x:v>78274.68908941756</x:v>
      </x:c>
      <x:c r="K787" s="14" t="n">
        <x:v>-0.009171315802694369</x:v>
      </x:c>
      <x:c r="L787" s="14" t="n">
        <x:v>0.02168887159425803</x:v>
      </x:c>
      <x:c r="M787" s="14" t="n">
        <x:v>-0.013481964371473865</x:v>
      </x:c>
      <x:c r="N787" t="n">
        <x:v>33</x:v>
      </x:c>
      <x:c r="O787" t="n">
        <x:v>0</x:v>
      </x:c>
      <x:c r="P787" s="14" t="n">
        <x:v>0</x:v>
      </x:c>
      <x:c r="Q787" s="14" t="n">
        <x:v>0</x:v>
      </x:c>
      <x:c r="R787" s="14" t="n">
        <x:v>0.32000000000000006</x:v>
      </x:c>
      <x:c r="S787" t="n">
        <x:v>22140</x:v>
      </x:c>
      <x:c r="T787" t="n">
        <x:v>781.1480123769975</x:v>
      </x:c>
      <x:c r="U787" s="14" t="n">
        <x:v>0.6008147471149906</x:v>
      </x:c>
      <x:c r="V787" s="14" t="n">
        <x:v>0.4012882232556712</x:v>
      </x:c>
      <x:c r="W787" s="14" t="n">
        <x:v>0.6037250047019999</x:v>
      </x:c>
      <x:c r="X787" s="14" t="n">
        <x:v>0.5724003222659445</x:v>
      </x:c>
      <x:c r="Y787" s="16" t="n">
        <x:v>92.7484333034915</x:v>
      </x:c>
      <x:c r="Z787" s="16" t="n">
        <x:v>32.73381294964029</x:v>
      </x:c>
      <x:c r="AA787" s="16" t="n">
        <x:v>57.377049180327866</x:v>
      </x:c>
      <x:c r="AB787" s="16" t="n">
        <x:v>83.25872873769023</x:v>
      </x:c>
      <x:c r="AC787" s="16" t="n">
        <x:v>75.60429722470904</x:v>
      </x:c>
      <x:c r="AD787" s="16" t="n">
        <x:v>94.6951219512195</x:v>
      </x:c>
      <x:c r="AE787" s="16" t="n">
        <x:v>72.39926675388467</x:v>
      </x:c>
      <x:c r="AF787" t="str">
        <x:v>검토</x:v>
      </x:c>
      <x:c r="AG787" t="str">
        <x:v>직장수요·수요 강점 / 상권 모멘텀 상대적 약점</x:v>
      </x:c>
    </x:row>
    <x:row r="788">
      <x:c r="A788" t="str">
        <x:v>3120066</x:v>
      </x:c>
      <x:c r="B788" t="str">
        <x:v>장한평역(장한평)</x:v>
      </x:c>
      <x:c r="C788" t="str">
        <x:v>발달상권</x:v>
      </x:c>
      <x:c r="D788" t="str">
        <x:v>동대문구</x:v>
      </x:c>
      <x:c r="E788" t="str">
        <x:v>장안1동</x:v>
      </x:c>
      <x:c r="F788" t="str">
        <x:v>CS200016</x:v>
      </x:c>
      <x:c r="G788" t="str">
        <x:v>당구장</x:v>
      </x:c>
      <x:c r="H788" t="n">
        <x:v>310904662</x:v>
      </x:c>
      <x:c r="I788" t="n">
        <x:v>12579</x:v>
      </x:c>
      <x:c r="J788" t="n">
        <x:v>24716.16678591303</x:v>
      </x:c>
      <x:c r="K788" s="14" t="n">
        <x:v>0.026037650572254156</x:v>
      </x:c>
      <x:c r="L788" s="14" t="n">
        <x:v>0.052763611334009974</x:v>
      </x:c>
      <x:c r="M788" s="14" t="n">
        <x:v>0.07602781601598463</x:v>
      </x:c>
      <x:c r="N788" t="n">
        <x:v>19</x:v>
      </x:c>
      <x:c r="O788" t="n">
        <x:v>0</x:v>
      </x:c>
      <x:c r="P788" s="14" t="n">
        <x:v>0</x:v>
      </x:c>
      <x:c r="Q788" s="14" t="n">
        <x:v>0.05263157894736842</x:v>
      </x:c>
      <x:c r="R788" s="14" t="n">
        <x:v>0.05555555555555558</x:v>
      </x:c>
      <x:c r="S788" t="n">
        <x:v>7238</x:v>
      </x:c>
      <x:c r="T788" t="n">
        <x:v>160.81799881797215</x:v>
      </x:c>
      <x:c r="U788" s="14" t="n">
        <x:v>0.7126227106880758</x:v>
      </x:c>
      <x:c r="V788" s="14" t="n">
        <x:v>0.5696627315289341</x:v>
      </x:c>
      <x:c r="W788" s="14" t="n">
        <x:v>0.22778186259555028</x:v>
      </x:c>
      <x:c r="X788" s="14" t="n">
        <x:v>0.15124203251735094</x:v>
      </x:c>
      <x:c r="Y788" s="16" t="n">
        <x:v>95.28023598820059</x:v>
      </x:c>
      <x:c r="Z788" s="16" t="n">
        <x:v>62.96296296296296</x:v>
      </x:c>
      <x:c r="AA788" s="16" t="n">
        <x:v>80.32786885245902</x:v>
      </x:c>
      <x:c r="AB788" s="16" t="n">
        <x:v>25.958702064896755</x:v>
      </x:c>
      <x:c r="AC788" s="16" t="n">
        <x:v>69.32153392330383</x:v>
      </x:c>
      <x:c r="AD788" s="16" t="n">
        <x:v>71.58536585365853</x:v>
      </x:c>
      <x:c r="AE788" s="16" t="n">
        <x:v>72.39508251107947</x:v>
      </x:c>
      <x:c r="AF788" t="str">
        <x:v>검토</x:v>
      </x:c>
      <x:c r="AG788" t="str">
        <x:v>수요·서울 업종추세 강점 / 경쟁여건 상대적 약점</x:v>
      </x:c>
    </x:row>
    <x:row r="789">
      <x:c r="A789" t="str">
        <x:v>3120106</x:v>
      </x:c>
      <x:c r="B789" t="str">
        <x:v>마포역</x:v>
      </x:c>
      <x:c r="C789" t="str">
        <x:v>발달상권</x:v>
      </x:c>
      <x:c r="D789" t="str">
        <x:v>마포구</x:v>
      </x:c>
      <x:c r="E789" t="str">
        <x:v>용강동</x:v>
      </x:c>
      <x:c r="F789" t="str">
        <x:v>CS200024</x:v>
      </x:c>
      <x:c r="G789" t="str">
        <x:v>스포츠클럽</x:v>
      </x:c>
      <x:c r="H789" t="n">
        <x:v>472889520</x:v>
      </x:c>
      <x:c r="I789" t="n">
        <x:v>863</x:v>
      </x:c>
      <x:c r="J789" t="n">
        <x:v>547960.0463499421</x:v>
      </x:c>
      <x:c r="K789" s="14" t="n">
        <x:v>0.08689547955481114</x:v>
      </x:c>
      <x:c r="L789" s="14" t="n">
        <x:v>0.03927856170757105</x:v>
      </x:c>
      <x:c r="M789" s="14" t="n">
        <x:v>-0.042593628048716026</x:v>
      </x:c>
      <x:c r="N789" t="n">
        <x:v>26</x:v>
      </x:c>
      <x:c r="O789" t="n">
        <x:v>0</x:v>
      </x:c>
      <x:c r="P789" s="14" t="n">
        <x:v>0</x:v>
      </x:c>
      <x:c r="Q789" s="14" t="n">
        <x:v>0</x:v>
      </x:c>
      <x:c r="R789" s="14" t="n">
        <x:v>1</x:v>
      </x:c>
      <x:c r="S789" t="n">
        <x:v>14017</x:v>
      </x:c>
      <x:c r="T789" t="n">
        <x:v>1025.2040607354963</x:v>
      </x:c>
      <x:c r="U789" s="14" t="n">
        <x:v>0.8679661202895763</x:v>
      </x:c>
      <x:c r="V789" s="14" t="n">
        <x:v>0.5312899596506178</x:v>
      </x:c>
      <x:c r="W789" s="14" t="n">
        <x:v>0.39158262378070885</x:v>
      </x:c>
      <x:c r="X789" s="14" t="n">
        <x:v>0.38909367667949163</x:v>
      </x:c>
      <x:c r="Y789" s="16" t="n">
        <x:v>84.78260869565217</x:v>
      </x:c>
      <x:c r="Z789" s="16" t="n">
        <x:v>70.08928571428571</x:v>
      </x:c>
      <x:c r="AA789" s="16" t="n">
        <x:v>75.40983606557377</x:v>
      </x:c>
      <x:c r="AB789" s="16" t="n">
        <x:v>37.68115942028985</x:v>
      </x:c>
      <x:c r="AC789" s="16" t="n">
        <x:v>68.84057971014492</x:v>
      </x:c>
      <x:c r="AD789" s="16" t="n">
        <x:v>97.07317073170732</x:v>
      </x:c>
      <x:c r="AE789" s="16" t="n">
        <x:v>72.39313601681481</x:v>
      </x:c>
      <x:c r="AF789" t="str">
        <x:v>검토</x:v>
      </x:c>
      <x:c r="AG789" t="str">
        <x:v>직장수요·수요 강점 / 경쟁여건 상대적 약점</x:v>
      </x:c>
    </x:row>
    <x:row r="790">
      <x:c r="A790" t="str">
        <x:v>3120179</x:v>
      </x:c>
      <x:c r="B790" t="str">
        <x:v>양재역</x:v>
      </x:c>
      <x:c r="C790" t="str">
        <x:v>발달상권</x:v>
      </x:c>
      <x:c r="D790" t="str">
        <x:v>서초구</x:v>
      </x:c>
      <x:c r="E790" t="str">
        <x:v>도곡1동</x:v>
      </x:c>
      <x:c r="F790" t="str">
        <x:v>CS300021</x:v>
      </x:c>
      <x:c r="G790" t="str">
        <x:v>문구</x:v>
      </x:c>
      <x:c r="H790" t="n">
        <x:v>6470260631</x:v>
      </x:c>
      <x:c r="I790" t="n">
        <x:v>41853</x:v>
      </x:c>
      <x:c r="J790" t="n">
        <x:v>154594.90672114305</x:v>
      </x:c>
      <x:c r="K790" s="14" t="n">
        <x:v>0.18085393431054442</x:v>
      </x:c>
      <x:c r="L790" s="14" t="n">
        <x:v>-0.12173752447550934</x:v>
      </x:c>
      <x:c r="M790" s="14" t="n">
        <x:v>-0.09215553033338975</x:v>
      </x:c>
      <x:c r="N790" t="n">
        <x:v>13</x:v>
      </x:c>
      <x:c r="O790" t="n">
        <x:v>0</x:v>
      </x:c>
      <x:c r="P790" s="14" t="n">
        <x:v>0</x:v>
      </x:c>
      <x:c r="Q790" s="14" t="n">
        <x:v>0.15384615384615385</x:v>
      </x:c>
      <x:c r="R790" s="14" t="n">
        <x:v>-0.0714285714285714</x:v>
      </x:c>
      <x:c r="S790" t="n">
        <x:v>27837</x:v>
      </x:c>
      <x:c r="T790" t="n">
        <x:v>798.9839411030267</x:v>
      </x:c>
      <x:c r="U790" s="14" t="n">
        <x:v>0.9993013187168472</x:v>
      </x:c>
      <x:c r="V790" s="14" t="n">
        <x:v>0.08890318594648278</x:v>
      </x:c>
      <x:c r="W790" s="14" t="n">
        <x:v>0.006746758977660107</x:v>
      </x:c>
      <x:c r="X790" s="14" t="n">
        <x:v>0.01586303208687545</x:v>
      </x:c>
      <x:c r="Y790" s="16" t="n">
        <x:v>97.10743801652893</x:v>
      </x:c>
      <x:c r="Z790" s="16" t="n">
        <x:v>80.76923076923077</x:v>
      </x:c>
      <x:c r="AA790" s="16" t="n">
        <x:v>8.19672131147541</x:v>
      </x:c>
      <x:c r="AB790" s="16" t="n">
        <x:v>66.32231404958678</x:v>
      </x:c>
      <x:c r="AC790" s="16" t="n">
        <x:v>63.22314049586777</x:v>
      </x:c>
      <x:c r="AD790" s="16" t="n">
        <x:v>95</x:v>
      </x:c>
      <x:c r="AE790" s="16" t="n">
        <x:v>72.39161881337738</x:v>
      </x:c>
      <x:c r="AF790" t="str">
        <x:v>검토</x:v>
      </x:c>
      <x:c r="AG790" t="str">
        <x:v>수요·직장수요 강점 / 서울 업종추세 상대적 약점</x:v>
      </x:c>
    </x:row>
    <x:row r="791">
      <x:c r="A791" t="str">
        <x:v>3110147</x:v>
      </x:c>
      <x:c r="B791" t="str">
        <x:v>능동우편취급국</x:v>
      </x:c>
      <x:c r="C791" t="str">
        <x:v>골목상권</x:v>
      </x:c>
      <x:c r="D791" t="str">
        <x:v>광진구</x:v>
      </x:c>
      <x:c r="E791" t="str">
        <x:v>군자동</x:v>
      </x:c>
      <x:c r="F791" t="str">
        <x:v>CS200031</x:v>
      </x:c>
      <x:c r="G791" t="str">
        <x:v>세탁소</x:v>
      </x:c>
      <x:c r="H791" t="n">
        <x:v>94791607</x:v>
      </x:c>
      <x:c r="I791" t="n">
        <x:v>8840</x:v>
      </x:c>
      <x:c r="J791" t="n">
        <x:v>10723.032466063349</x:v>
      </x:c>
      <x:c r="K791" s="14" t="n">
        <x:v>1.6807662305687603</x:v>
      </x:c>
      <x:c r="L791" s="14" t="n">
        <x:v>0.00038108013748794356</x:v>
      </x:c>
      <x:c r="M791" s="14" t="n">
        <x:v>0.043856378214214065</x:v>
      </x:c>
      <x:c r="N791" t="n">
        <x:v>15</x:v>
      </x:c>
      <x:c r="O791" t="n">
        <x:v>0</x:v>
      </x:c>
      <x:c r="P791" s="14" t="n">
        <x:v>0</x:v>
      </x:c>
      <x:c r="Q791" s="14" t="n">
        <x:v>0</x:v>
      </x:c>
      <x:c r="R791" s="14" t="n">
        <x:v>0.15384615384615374</x:v>
      </x:c>
      <x:c r="S791" t="n">
        <x:v>225</x:v>
      </x:c>
      <x:c r="T791" t="n">
        <x:v>14.32856351374587</x:v>
      </x:c>
      <x:c r="U791" s="14" t="n">
        <x:v>0.5890303347215118</x:v>
      </x:c>
      <x:c r="V791" s="14" t="n">
        <x:v>0.4136724467599753</x:v>
      </x:c>
      <x:c r="W791" s="14" t="n">
        <x:v>0.7621036322340226</x:v>
      </x:c>
      <x:c r="X791" s="14" t="n">
        <x:v>0.47938571185948986</x:v>
      </x:c>
      <x:c r="Y791" s="16" t="n">
        <x:v>84.14918414918415</x:v>
      </x:c>
      <x:c r="Z791" s="16" t="n">
        <x:v>99.51690821256038</x:v>
      </x:c>
      <x:c r="AA791" s="16" t="n">
        <x:v>42.622950819672134</x:v>
      </x:c>
      <x:c r="AB791" s="16" t="n">
        <x:v>66.78321678321677</x:v>
      </x:c>
      <x:c r="AC791" s="16" t="n">
        <x:v>62.47086247086247</x:v>
      </x:c>
      <x:c r="AD791" s="16" t="n">
        <x:v>7.5</x:v>
      </x:c>
      <x:c r="AE791" s="16" t="n">
        <x:v>72.38860748224612</x:v>
      </x:c>
      <x:c r="AF791" t="str">
        <x:v>검토</x:v>
      </x:c>
      <x:c r="AG791" t="str">
        <x:v>상권 모멘텀·수요 강점 / 직장수요 상대적 약점</x:v>
      </x:c>
    </x:row>
    <x:row r="792">
      <x:c r="A792" t="str">
        <x:v>3110754</x:v>
      </x:c>
      <x:c r="B792" t="str">
        <x:v>삼성산자연공원(서울금천초등학교)</x:v>
      </x:c>
      <x:c r="C792" t="str">
        <x:v>골목상권</x:v>
      </x:c>
      <x:c r="D792" t="str">
        <x:v>금천구</x:v>
      </x:c>
      <x:c r="E792" t="str">
        <x:v>시흥5동</x:v>
      </x:c>
      <x:c r="F792" t="str">
        <x:v>CS200006</x:v>
      </x:c>
      <x:c r="G792" t="str">
        <x:v>일반의원</x:v>
      </x:c>
      <x:c r="H792" t="n">
        <x:v>3061845386</x:v>
      </x:c>
      <x:c r="I792" t="n">
        <x:v>101521</x:v>
      </x:c>
      <x:c r="J792" t="n">
        <x:v>30159.724451098788</x:v>
      </x:c>
      <x:c r="K792" s="14" t="n">
        <x:v>0.10715759108092682</x:v>
      </x:c>
      <x:c r="L792" s="14" t="n">
        <x:v>0.09973642051122278</x:v>
      </x:c>
      <x:c r="M792" s="14" t="n">
        <x:v>0.06942273842247415</x:v>
      </x:c>
      <x:c r="N792" t="n">
        <x:v>21</x:v>
      </x:c>
      <x:c r="O792" t="n">
        <x:v>0</x:v>
      </x:c>
      <x:c r="P792" s="14" t="n">
        <x:v>0</x:v>
      </x:c>
      <x:c r="Q792" s="14" t="n">
        <x:v>0</x:v>
      </x:c>
      <x:c r="R792" s="14" t="n">
        <x:v>0.16666666666666674</x:v>
      </x:c>
      <x:c r="S792" t="n">
        <x:v>294</x:v>
      </x:c>
      <x:c r="T792" t="n">
        <x:v>21.879883902656843</x:v>
      </x:c>
      <x:c r="U792" s="14" t="n">
        <x:v>0.8358373896675918</x:v>
      </x:c>
      <x:c r="V792" s="14" t="n">
        <x:v>0.19625406029564943</x:v>
      </x:c>
      <x:c r="W792" s="14" t="n">
        <x:v>0.19587373475559292</x:v>
      </x:c>
      <x:c r="X792" s="14" t="n">
        <x:v>0.537211599423329</x:v>
      </x:c>
      <x:c r="Y792" s="16" t="n">
        <x:v>73.5009671179884</x:v>
      </x:c>
      <x:c r="Z792" s="16" t="n">
        <x:v>83.52713178294573</x:v>
      </x:c>
      <x:c r="AA792" s="16" t="n">
        <x:v>90.1639344262295</x:v>
      </x:c>
      <x:c r="AB792" s="16" t="n">
        <x:v>63.372093023255815</x:v>
      </x:c>
      <x:c r="AC792" s="16" t="n">
        <x:v>62.5</x:v>
      </x:c>
      <x:c r="AD792" s="16" t="n">
        <x:v>13.536585365853659</x:v>
      </x:c>
      <x:c r="AE792" s="16" t="n">
        <x:v>72.38799823360057</x:v>
      </x:c>
      <x:c r="AF792" t="str">
        <x:v>검토</x:v>
      </x:c>
      <x:c r="AG792" t="str">
        <x:v>서울 업종추세·상권 모멘텀 강점 / 직장수요 상대적 약점</x:v>
      </x:c>
    </x:row>
    <x:row r="793">
      <x:c r="A793" t="str">
        <x:v>3110214</x:v>
      </x:c>
      <x:c r="B793" t="str">
        <x:v>경희대후문</x:v>
      </x:c>
      <x:c r="C793" t="str">
        <x:v>골목상권</x:v>
      </x:c>
      <x:c r="D793" t="str">
        <x:v>동대문구</x:v>
      </x:c>
      <x:c r="E793" t="str">
        <x:v>이문1동</x:v>
      </x:c>
      <x:c r="F793" t="str">
        <x:v>CS200031</x:v>
      </x:c>
      <x:c r="G793" t="str">
        <x:v>세탁소</x:v>
      </x:c>
      <x:c r="H793" t="n">
        <x:v>112782949</x:v>
      </x:c>
      <x:c r="I793" t="n">
        <x:v>6877</x:v>
      </x:c>
      <x:c r="J793" t="n">
        <x:v>16400.021666424313</x:v>
      </x:c>
      <x:c r="K793" s="14" t="n">
        <x:v>0.0918499060099427</x:v>
      </x:c>
      <x:c r="L793" s="14" t="n">
        <x:v>0.00038108013748794356</x:v>
      </x:c>
      <x:c r="M793" s="14" t="n">
        <x:v>0.043856378214214065</x:v>
      </x:c>
      <x:c r="N793" t="n">
        <x:v>12</x:v>
      </x:c>
      <x:c r="O793" t="n">
        <x:v>0</x:v>
      </x:c>
      <x:c r="P793" s="14" t="n">
        <x:v>0</x:v>
      </x:c>
      <x:c r="Q793" s="14" t="n">
        <x:v>0.25</x:v>
      </x:c>
      <x:c r="R793" s="14" t="n">
        <x:v>-0.1428571428571429</x:v>
      </x:c>
      <x:c r="S793" t="n">
        <x:v>440</x:v>
      </x:c>
      <x:c r="T793" t="n">
        <x:v>55.09503894217525</x:v>
      </x:c>
      <x:c r="U793" s="14" t="n">
        <x:v>0.7940696868992139</x:v>
      </x:c>
      <x:c r="V793" s="14" t="n">
        <x:v>0.30439562278159615</x:v>
      </x:c>
      <x:c r="W793" s="14" t="n">
        <x:v>0.4116840303581705</x:v>
      </x:c>
      <x:c r="X793" s="14" t="n">
        <x:v>0.43710028366078635</x:v>
      </x:c>
      <x:c r="Y793" s="16" t="n">
        <x:v>87.87878787878788</x:v>
      </x:c>
      <x:c r="Z793" s="16" t="n">
        <x:v>75.1207729468599</x:v>
      </x:c>
      <x:c r="AA793" s="16" t="n">
        <x:v>42.622950819672134</x:v>
      </x:c>
      <x:c r="AB793" s="16" t="n">
        <x:v>79.95337995337995</x:v>
      </x:c>
      <x:c r="AC793" s="16" t="n">
        <x:v>62.47086247086247</x:v>
      </x:c>
      <x:c r="AD793" s="16" t="n">
        <x:v>39.451219512195124</x:v>
      </x:c>
      <x:c r="AE793" s="16" t="n">
        <x:v>72.38782718560155</x:v>
      </x:c>
      <x:c r="AF793" t="str">
        <x:v>검토</x:v>
      </x:c>
      <x:c r="AG793" t="str">
        <x:v>수요·경쟁여건 강점 / 직장수요 상대적 약점</x:v>
      </x:c>
    </x:row>
    <x:row r="794">
      <x:c r="A794" t="str">
        <x:v>3120153</x:v>
      </x:c>
      <x:c r="B794" t="str">
        <x:v>노량진역(노량진)</x:v>
      </x:c>
      <x:c r="C794" t="str">
        <x:v>발달상권</x:v>
      </x:c>
      <x:c r="D794" t="str">
        <x:v>동작구</x:v>
      </x:c>
      <x:c r="E794" t="str">
        <x:v>노량진1동</x:v>
      </x:c>
      <x:c r="F794" t="str">
        <x:v>CS100001</x:v>
      </x:c>
      <x:c r="G794" t="str">
        <x:v>한식음식점</x:v>
      </x:c>
      <x:c r="H794" t="n">
        <x:v>31448459473</x:v>
      </x:c>
      <x:c r="I794" t="n">
        <x:v>603097</x:v>
      </x:c>
      <x:c r="J794" t="n">
        <x:v>52144.944300833864</x:v>
      </x:c>
      <x:c r="K794" s="14" t="n">
        <x:v>0.11038213044197898</x:v>
      </x:c>
      <x:c r="L794" s="14" t="n">
        <x:v>-0.0018259958518723751</x:v>
      </x:c>
      <x:c r="M794" s="14" t="n">
        <x:v>0.06341040875687098</x:v>
      </x:c>
      <x:c r="N794" t="n">
        <x:v>147</x:v>
      </x:c>
      <x:c r="O794" t="n">
        <x:v>7</x:v>
      </x:c>
      <x:c r="P794" s="14" t="n">
        <x:v>0.046052631578947366</x:v>
      </x:c>
      <x:c r="Q794" s="14" t="n">
        <x:v>0.22448979591836735</x:v>
      </x:c>
      <x:c r="R794" s="14" t="n">
        <x:v>-0.039215686274509776</x:v>
      </x:c>
      <x:c r="S794" t="n">
        <x:v>5349</x:v>
      </x:c>
      <x:c r="T794" t="n">
        <x:v>120.5202038636763</x:v>
      </x:c>
      <x:c r="U794" s="14" t="n">
        <x:v>0.6698442116087051</x:v>
      </x:c>
      <x:c r="V794" s="14" t="n">
        <x:v>0.7205226060581477</x:v>
      </x:c>
      <x:c r="W794" s="14" t="n">
        <x:v>0.4209889060660253</x:v>
      </x:c>
      <x:c r="X794" s="14" t="n">
        <x:v>0.28487397348323523</x:v>
      </x:c>
      <x:c r="Y794" s="16" t="n">
        <x:v>98.932384341637</x:v>
      </x:c>
      <x:c r="Z794" s="16" t="n">
        <x:v>90.8506075768406</x:v>
      </x:c>
      <x:c r="AA794" s="16" t="n">
        <x:v>40.98360655737705</x:v>
      </x:c>
      <x:c r="AB794" s="16" t="n">
        <x:v>49.4661921708185</x:v>
      </x:c>
      <x:c r="AC794" s="16" t="n">
        <x:v>28.256227758007114</x:v>
      </x:c>
      <x:c r="AD794" s="16" t="n">
        <x:v>63.96341463414634</x:v>
      </x:c>
      <x:c r="AE794" s="16" t="n">
        <x:v>72.38771935167844</x:v>
      </x:c>
      <x:c r="AF794" t="str">
        <x:v>검토</x:v>
      </x:c>
      <x:c r="AG794" t="str">
        <x:v>수요·상권 모멘텀 강점 / 안정성 상대적 약점</x:v>
      </x:c>
    </x:row>
    <x:row r="795">
      <x:c r="A795" t="str">
        <x:v>3120196</x:v>
      </x:c>
      <x:c r="B795" t="str">
        <x:v>서울세관</x:v>
      </x:c>
      <x:c r="C795" t="str">
        <x:v>발달상권</x:v>
      </x:c>
      <x:c r="D795" t="str">
        <x:v>강남구</x:v>
      </x:c>
      <x:c r="E795" t="str">
        <x:v>논현2동</x:v>
      </x:c>
      <x:c r="F795" t="str">
        <x:v>CS300028</x:v>
      </x:c>
      <x:c r="G795" t="str">
        <x:v>화초</x:v>
      </x:c>
      <x:c r="H795" t="n">
        <x:v>1380100862</x:v>
      </x:c>
      <x:c r="I795" t="n">
        <x:v>258</x:v>
      </x:c>
      <x:c r="J795" t="n">
        <x:v>5349228.147286822</x:v>
      </x:c>
      <x:c r="K795" s="14" t="n">
        <x:v>13.271741290529233</x:v>
      </x:c>
      <x:c r="L795" s="14" t="n">
        <x:v>0.028008199294863756</x:v>
      </x:c>
      <x:c r="M795" s="14" t="n">
        <x:v>-0.0030123365554672876</x:v>
      </x:c>
      <x:c r="N795" t="n">
        <x:v>79</x:v>
      </x:c>
      <x:c r="O795" t="n">
        <x:v>3</x:v>
      </x:c>
      <x:c r="P795" s="14" t="n">
        <x:v>0.03571428571428571</x:v>
      </x:c>
      <x:c r="Q795" s="14" t="n">
        <x:v>0</x:v>
      </x:c>
      <x:c r="R795" s="14" t="n">
        <x:v>0.05333333333333323</x:v>
      </x:c>
      <x:c r="S795" t="n">
        <x:v>8018</x:v>
      </x:c>
      <x:c r="T795" t="n">
        <x:v>432.2838041837395</x:v>
      </x:c>
      <x:c r="U795" s="14" t="n">
        <x:v>0.005300904594319426</x:v>
      </x:c>
      <x:c r="V795" s="14" t="n">
        <x:v>0.7608356721684303</x:v>
      </x:c>
      <x:c r="W795" s="14" t="n">
        <x:v>0.23386342396183504</x:v>
      </x:c>
      <x:c r="X795" s="14" t="n">
        <x:v>0</x:v>
      </x:c>
      <x:c r="Y795" s="16" t="n">
        <x:v>98.65771812080537</x:v>
      </x:c>
      <x:c r="Z795" s="16" t="n">
        <x:v>100</x:v>
      </x:c>
      <x:c r="AA795" s="16" t="n">
        <x:v>73.77049180327869</x:v>
      </x:c>
      <x:c r="AB795" s="16" t="n">
        <x:v>6.375838926174495</x:v>
      </x:c>
      <x:c r="AC795" s="16" t="n">
        <x:v>14.09395973154362</x:v>
      </x:c>
      <x:c r="AD795" s="16" t="n">
        <x:v>88.29268292682927</x:v>
      </x:c>
      <x:c r="AE795" s="16" t="n">
        <x:v>72.37618107119569</x:v>
      </x:c>
      <x:c r="AF795" t="str">
        <x:v>검토</x:v>
      </x:c>
      <x:c r="AG795" t="str">
        <x:v>상권 모멘텀·수요 강점 / 경쟁여건 상대적 약점</x:v>
      </x:c>
    </x:row>
    <x:row r="796">
      <x:c r="A796" t="str">
        <x:v>3120104</x:v>
      </x:c>
      <x:c r="B796" t="str">
        <x:v>연남동(홍대)</x:v>
      </x:c>
      <x:c r="C796" t="str">
        <x:v>발달상권</x:v>
      </x:c>
      <x:c r="D796" t="str">
        <x:v>마포구</x:v>
      </x:c>
      <x:c r="E796" t="str">
        <x:v>연남동</x:v>
      </x:c>
      <x:c r="F796" t="str">
        <x:v>CS300007</x:v>
      </x:c>
      <x:c r="G796" t="str">
        <x:v>육류판매</x:v>
      </x:c>
      <x:c r="H796" t="n">
        <x:v>413647447</x:v>
      </x:c>
      <x:c r="I796" t="n">
        <x:v>9043</x:v>
      </x:c>
      <x:c r="J796" t="n">
        <x:v>45742.28099082163</x:v>
      </x:c>
      <x:c r="K796" s="14" t="n">
        <x:v>0.13175028365098695</x:v>
      </x:c>
      <x:c r="L796" s="14" t="n">
        <x:v>0.23518223683931017</x:v>
      </x:c>
      <x:c r="M796" s="14" t="n">
        <x:v>0.00863079289162072</x:v>
      </x:c>
      <x:c r="N796" t="n">
        <x:v>5</x:v>
      </x:c>
      <x:c r="O796" t="n">
        <x:v>0</x:v>
      </x:c>
      <x:c r="P796" s="14" t="n">
        <x:v>0</x:v>
      </x:c>
      <x:c r="Q796" s="14" t="n">
        <x:v>0</x:v>
      </x:c>
      <x:c r="R796" s="14" t="n">
        <x:v>-0.375</x:v>
      </x:c>
      <x:c r="S796" t="n">
        <x:v>6380</x:v>
      </x:c>
      <x:c r="T796" t="n">
        <x:v>145.84623965874724</x:v>
      </x:c>
      <x:c r="U796" s="14" t="n">
        <x:v>0.8259428928616112</x:v>
      </x:c>
      <x:c r="V796" s="14" t="n">
        <x:v>0.29439030963002655</x:v>
      </x:c>
      <x:c r="W796" s="14" t="n">
        <x:v>0.2414516364705135</x:v>
      </x:c>
      <x:c r="X796" s="14" t="n">
        <x:v>0.3757432062671476</x:v>
      </x:c>
      <x:c r="Y796" s="16" t="n">
        <x:v>43.06930693069307</x:v>
      </x:c>
      <x:c r="Z796" s="16" t="n">
        <x:v>87.79220779220779</x:v>
      </x:c>
      <x:c r="AA796" s="16" t="n">
        <x:v>100</x:v>
      </x:c>
      <x:c r="AB796" s="16" t="n">
        <x:v>97.27722772277228</x:v>
      </x:c>
      <x:c r="AC796" s="16" t="n">
        <x:v>66.83168316831683</x:v>
      </x:c>
      <x:c r="AD796" s="16" t="n">
        <x:v>69.32926829268293</x:v>
      </x:c>
      <x:c r="AE796" s="16" t="n">
        <x:v>72.3739148740658</x:v>
      </x:c>
      <x:c r="AF796" t="str">
        <x:v>검토</x:v>
      </x:c>
      <x:c r="AG796" t="str">
        <x:v>서울 업종추세·경쟁여건 강점 / 수요 상대적 약점</x:v>
      </x:c>
    </x:row>
    <x:row r="797">
      <x:c r="A797" t="str">
        <x:v>3120210</x:v>
      </x:c>
      <x:c r="B797" t="str">
        <x:v>선릉역</x:v>
      </x:c>
      <x:c r="C797" t="str">
        <x:v>발달상권</x:v>
      </x:c>
      <x:c r="D797" t="str">
        <x:v>강남구</x:v>
      </x:c>
      <x:c r="E797" t="str">
        <x:v>대치4동</x:v>
      </x:c>
      <x:c r="F797" t="str">
        <x:v>CS200006</x:v>
      </x:c>
      <x:c r="G797" t="str">
        <x:v>일반의원</x:v>
      </x:c>
      <x:c r="H797" t="n">
        <x:v>15465599088</x:v>
      </x:c>
      <x:c r="I797" t="n">
        <x:v>139565</x:v>
      </x:c>
      <x:c r="J797" t="n">
        <x:v>110812.8763515208</x:v>
      </x:c>
      <x:c r="K797" s="14" t="n">
        <x:v>0.041078682146907575</x:v>
      </x:c>
      <x:c r="L797" s="14" t="n">
        <x:v>0.09973642051122278</x:v>
      </x:c>
      <x:c r="M797" s="14" t="n">
        <x:v>0.06942273842247415</x:v>
      </x:c>
      <x:c r="N797" t="n">
        <x:v>57</x:v>
      </x:c>
      <x:c r="O797" t="n">
        <x:v>0</x:v>
      </x:c>
      <x:c r="P797" s="14" t="n">
        <x:v>0</x:v>
      </x:c>
      <x:c r="Q797" s="14" t="n">
        <x:v>0</x:v>
      </x:c>
      <x:c r="R797" s="14" t="n">
        <x:v>0.23913043478260865</x:v>
      </x:c>
      <x:c r="S797" t="n">
        <x:v>59959</x:v>
      </x:c>
      <x:c r="T797" t="n">
        <x:v>1663.5223092161116</x:v>
      </x:c>
      <x:c r="U797" s="14" t="n">
        <x:v>0.8534734850486123</x:v>
      </x:c>
      <x:c r="V797" s="14" t="n">
        <x:v>0.21305822860471657</x:v>
      </x:c>
      <x:c r="W797" s="14" t="n">
        <x:v>0.4221353239439411</x:v>
      </x:c>
      <x:c r="X797" s="14" t="n">
        <x:v>0.5942691508880008</x:v>
      </x:c>
      <x:c r="Y797" s="16" t="n">
        <x:v>95.93810444874275</x:v>
      </x:c>
      <x:c r="Z797" s="16" t="n">
        <x:v>57.36434108527132</x:v>
      </x:c>
      <x:c r="AA797" s="16" t="n">
        <x:v>90.1639344262295</x:v>
      </x:c>
      <x:c r="AB797" s="16" t="n">
        <x:v>17.538759689922486</x:v>
      </x:c>
      <x:c r="AC797" s="16" t="n">
        <x:v>62.5</x:v>
      </x:c>
      <x:c r="AD797" s="16" t="n">
        <x:v>98.17073170731707</x:v>
      </x:c>
      <x:c r="AE797" s="16" t="n">
        <x:v>72.36514547690288</x:v>
      </x:c>
      <x:c r="AF797" t="str">
        <x:v>검토</x:v>
      </x:c>
      <x:c r="AG797" t="str">
        <x:v>직장수요·수요 강점 / 경쟁여건 상대적 약점</x:v>
      </x:c>
    </x:row>
    <x:row r="798">
      <x:c r="A798" t="str">
        <x:v>3130167</x:v>
      </x:c>
      <x:c r="B798" t="str">
        <x:v>연신내상점가(연빛거리)</x:v>
      </x:c>
      <x:c r="C798" t="str">
        <x:v>전통시장</x:v>
      </x:c>
      <x:c r="D798" t="str">
        <x:v>은평구</x:v>
      </x:c>
      <x:c r="E798" t="str">
        <x:v>갈현1동</x:v>
      </x:c>
      <x:c r="F798" t="str">
        <x:v>CS100006</x:v>
      </x:c>
      <x:c r="G798" t="str">
        <x:v>패스트푸드점</x:v>
      </x:c>
      <x:c r="H798" t="n">
        <x:v>1342638728</x:v>
      </x:c>
      <x:c r="I798" t="n">
        <x:v>136750</x:v>
      </x:c>
      <x:c r="J798" t="n">
        <x:v>9818.19910786106</x:v>
      </x:c>
      <x:c r="K798" s="14" t="n">
        <x:v>0.05558572085294444</x:v>
      </x:c>
      <x:c r="L798" s="14" t="n">
        <x:v>0.0037102725933797487</x:v>
      </x:c>
      <x:c r="M798" s="14" t="n">
        <x:v>0.011474434125836375</x:v>
      </x:c>
      <x:c r="N798" t="n">
        <x:v>9</x:v>
      </x:c>
      <x:c r="O798" t="n">
        <x:v>1</x:v>
      </x:c>
      <x:c r="P798" s="14" t="n">
        <x:v>0.07142857142857142</x:v>
      </x:c>
      <x:c r="Q798" s="14" t="n">
        <x:v>0.4444444444444444</x:v>
      </x:c>
      <x:c r="R798" s="14" t="n">
        <x:v>0</x:v>
      </x:c>
      <x:c r="S798" t="n">
        <x:v>1492</x:v>
      </x:c>
      <x:c r="T798" t="n">
        <x:v>148.96761052757697</x:v>
      </x:c>
      <x:c r="U798" s="14" t="n">
        <x:v>0.6684208449259033</x:v>
      </x:c>
      <x:c r="V798" s="14" t="n">
        <x:v>0.42930897268144347</x:v>
      </x:c>
      <x:c r="W798" s="14" t="n">
        <x:v>0.5219678111355656</x:v>
      </x:c>
      <x:c r="X798" s="14" t="n">
        <x:v>0.4351696251681487</x:v>
      </x:c>
      <x:c r="Y798" s="16" t="n">
        <x:v>93.51620947630923</x:v>
      </x:c>
      <x:c r="Z798" s="16" t="n">
        <x:v>75.71801566579634</x:v>
      </x:c>
      <x:c r="AA798" s="16" t="n">
        <x:v>44.26229508196721</x:v>
      </x:c>
      <x:c r="AB798" s="16" t="n">
        <x:v>86.78304239401496</x:v>
      </x:c>
      <x:c r="AC798" s="16" t="n">
        <x:v>13.216957605985044</x:v>
      </x:c>
      <x:c r="AD798" s="16" t="n">
        <x:v>70</x:v>
      </x:c>
      <x:c r="AE798" s="16" t="n">
        <x:v>72.35277283186332</x:v>
      </x:c>
      <x:c r="AF798" t="str">
        <x:v>검토</x:v>
      </x:c>
      <x:c r="AG798" t="str">
        <x:v>수요·경쟁여건 강점 / 안정성 상대적 약점</x:v>
      </x:c>
    </x:row>
    <x:row r="799">
      <x:c r="A799" t="str">
        <x:v>3120189</x:v>
      </x:c>
      <x:c r="B799" t="str">
        <x:v>강남역</x:v>
      </x:c>
      <x:c r="C799" t="str">
        <x:v>발달상권</x:v>
      </x:c>
      <x:c r="D799" t="str">
        <x:v>서초구</x:v>
      </x:c>
      <x:c r="E799" t="str">
        <x:v>서초2동</x:v>
      </x:c>
      <x:c r="F799" t="str">
        <x:v>CS100007</x:v>
      </x:c>
      <x:c r="G799" t="str">
        <x:v>치킨전문점</x:v>
      </x:c>
      <x:c r="H799" t="n">
        <x:v>1154690443</x:v>
      </x:c>
      <x:c r="I799" t="n">
        <x:v>19840</x:v>
      </x:c>
      <x:c r="J799" t="n">
        <x:v>58200.12313508065</x:v>
      </x:c>
      <x:c r="K799" s="14" t="n">
        <x:v>0.08531790331849542</x:v>
      </x:c>
      <x:c r="L799" s="14" t="n">
        <x:v>-0.0724550541763268</x:v>
      </x:c>
      <x:c r="M799" s="14" t="n">
        <x:v>-0.037092372220345116</x:v>
      </x:c>
      <x:c r="N799" t="n">
        <x:v>18</x:v>
      </x:c>
      <x:c r="O799" t="n">
        <x:v>0</x:v>
      </x:c>
      <x:c r="P799" s="14" t="n">
        <x:v>0</x:v>
      </x:c>
      <x:c r="Q799" s="14" t="n">
        <x:v>0.6111111111111112</x:v>
      </x:c>
      <x:c r="R799" s="14" t="n">
        <x:v>-0.18181818181818177</x:v>
      </x:c>
      <x:c r="S799" t="n">
        <x:v>87191</x:v>
      </x:c>
      <x:c r="T799" t="n">
        <x:v>1411.89253611466</x:v>
      </x:c>
      <x:c r="U799" s="14" t="n">
        <x:v>0.7777942317307289</x:v>
      </x:c>
      <x:c r="V799" s="14" t="n">
        <x:v>0.8283171319189657</x:v>
      </x:c>
      <x:c r="W799" s="14" t="n">
        <x:v>0.4330889200924996</x:v>
      </x:c>
      <x:c r="X799" s="14" t="n">
        <x:v>0.223902519993404</x:v>
      </x:c>
      <x:c r="Y799" s="16" t="n">
        <x:v>98.80478087649402</x:v>
      </x:c>
      <x:c r="Z799" s="16" t="n">
        <x:v>78.81873727087576</x:v>
      </x:c>
      <x:c r="AA799" s="16" t="n">
        <x:v>16.39344262295082</x:v>
      </x:c>
      <x:c r="AB799" s="16" t="n">
        <x:v>46.81274900398407</x:v>
      </x:c>
      <x:c r="AC799" s="16" t="n">
        <x:v>76.29482071713147</x:v>
      </x:c>
      <x:c r="AD799" s="16" t="n">
        <x:v>97.92682926829268</x:v>
      </x:c>
      <x:c r="AE799" s="16" t="n">
        <x:v>72.35217304011607</x:v>
      </x:c>
      <x:c r="AF799" t="str">
        <x:v>검토</x:v>
      </x:c>
      <x:c r="AG799" t="str">
        <x:v>수요·직장수요 강점 / 서울 업종추세 상대적 약점</x:v>
      </x:c>
    </x:row>
    <x:row r="800">
      <x:c r="A800" t="str">
        <x:v>3120114</x:v>
      </x:c>
      <x:c r="B800" t="str">
        <x:v>목동신시가지</x:v>
      </x:c>
      <x:c r="C800" t="str">
        <x:v>발달상권</x:v>
      </x:c>
      <x:c r="D800" t="str">
        <x:v>양천구</x:v>
      </x:c>
      <x:c r="E800" t="str">
        <x:v>목1동</x:v>
      </x:c>
      <x:c r="F800" t="str">
        <x:v>CS300007</x:v>
      </x:c>
      <x:c r="G800" t="str">
        <x:v>육류판매</x:v>
      </x:c>
      <x:c r="H800" t="n">
        <x:v>527784929</x:v>
      </x:c>
      <x:c r="I800" t="n">
        <x:v>6671</x:v>
      </x:c>
      <x:c r="J800" t="n">
        <x:v>79116.31374606506</x:v>
      </x:c>
      <x:c r="K800" s="14" t="n">
        <x:v>0.05612853726143108</x:v>
      </x:c>
      <x:c r="L800" s="14" t="n">
        <x:v>0.23518223683931017</x:v>
      </x:c>
      <x:c r="M800" s="14" t="n">
        <x:v>0.00863079289162072</x:v>
      </x:c>
      <x:c r="N800" t="n">
        <x:v>5</x:v>
      </x:c>
      <x:c r="O800" t="n">
        <x:v>0</x:v>
      </x:c>
      <x:c r="P800" s="14" t="n">
        <x:v>0</x:v>
      </x:c>
      <x:c r="Q800" s="14" t="n">
        <x:v>0</x:v>
      </x:c>
      <x:c r="R800" s="14" t="n">
        <x:v>-0.16666666666666663</x:v>
      </x:c>
      <x:c r="S800" t="n">
        <x:v>27985</x:v>
      </x:c>
      <x:c r="T800" t="n">
        <x:v>664.0501721523673</x:v>
      </x:c>
      <x:c r="U800" s="14" t="n">
        <x:v>0.7361765383035407</x:v>
      </x:c>
      <x:c r="V800" s="14" t="n">
        <x:v>0.2894406766965489</x:v>
      </x:c>
      <x:c r="W800" s="14" t="n">
        <x:v>0.08847077177529637</x:v>
      </x:c>
      <x:c r="X800" s="14" t="n">
        <x:v>0.5166274385981946</x:v>
      </x:c>
      <x:c r="Y800" s="16" t="n">
        <x:v>50.495049504950494</x:v>
      </x:c>
      <x:c r="Z800" s="16" t="n">
        <x:v>68.57142857142857</x:v>
      </x:c>
      <x:c r="AA800" s="16" t="n">
        <x:v>100</x:v>
      </x:c>
      <x:c r="AB800" s="16" t="n">
        <x:v>97.27722772277228</x:v>
      </x:c>
      <x:c r="AC800" s="16" t="n">
        <x:v>66.83168316831683</x:v>
      </x:c>
      <x:c r="AD800" s="16" t="n">
        <x:v>93.65853658536585</x:v>
      </x:c>
      <x:c r="AE800" s="16" t="n">
        <x:v>72.34523234553421</x:v>
      </x:c>
      <x:c r="AF800" t="str">
        <x:v>검토</x:v>
      </x:c>
      <x:c r="AG800" t="str">
        <x:v>서울 업종추세·경쟁여건 강점 / 수요 상대적 약점</x:v>
      </x:c>
    </x:row>
    <x:row r="801">
      <x:c r="A801" t="str">
        <x:v>3110659</x:v>
      </x:c>
      <x:c r="B801" t="str">
        <x:v>화곡역 4번</x:v>
      </x:c>
      <x:c r="C801" t="str">
        <x:v>골목상권</x:v>
      </x:c>
      <x:c r="D801" t="str">
        <x:v>강서구</x:v>
      </x:c>
      <x:c r="E801" t="str">
        <x:v>화곡본동</x:v>
      </x:c>
      <x:c r="F801" t="str">
        <x:v>CS200003</x:v>
      </x:c>
      <x:c r="G801" t="str">
        <x:v>예술학원</x:v>
      </x:c>
      <x:c r="H801" t="n">
        <x:v>430715697</x:v>
      </x:c>
      <x:c r="I801" t="n">
        <x:v>2544</x:v>
      </x:c>
      <x:c r="J801" t="n">
        <x:v>169306.48466981133</x:v>
      </x:c>
      <x:c r="K801" s="14" t="n">
        <x:v>0.04611341632828103</x:v>
      </x:c>
      <x:c r="L801" s="14" t="n">
        <x:v>0.09364146198394163</x:v>
      </x:c>
      <x:c r="M801" s="14" t="n">
        <x:v>0.053788091189524545</x:v>
      </x:c>
      <x:c r="N801" t="n">
        <x:v>26</x:v>
      </x:c>
      <x:c r="O801" t="n">
        <x:v>0</x:v>
      </x:c>
      <x:c r="P801" s="14" t="n">
        <x:v>0</x:v>
      </x:c>
      <x:c r="Q801" s="14" t="n">
        <x:v>0.038461538461538464</x:v>
      </x:c>
      <x:c r="R801" s="14" t="n">
        <x:v>-0.10344827586206895</x:v>
      </x:c>
      <x:c r="S801" t="n">
        <x:v>874</x:v>
      </x:c>
      <x:c r="T801" t="n">
        <x:v>23.44496067469983</x:v>
      </x:c>
      <x:c r="U801" s="14" t="n">
        <x:v>0.9368259081581602</x:v>
      </x:c>
      <x:c r="V801" s="14" t="n">
        <x:v>0.3711735539557083</x:v>
      </x:c>
      <x:c r="W801" s="14" t="n">
        <x:v>0.3148741128884374</x:v>
      </x:c>
      <x:c r="X801" s="14" t="n">
        <x:v>0.5031400097777259</x:v>
      </x:c>
      <x:c r="Y801" s="16" t="n">
        <x:v>89.24302788844622</x:v>
      </x:c>
      <x:c r="Z801" s="16" t="n">
        <x:v>53.78323108384458</x:v>
      </x:c>
      <x:c r="AA801" s="16" t="n">
        <x:v>88.52459016393442</x:v>
      </x:c>
      <x:c r="AB801" s="16" t="n">
        <x:v>59.9601593625498</x:v>
      </x:c>
      <x:c r="AC801" s="16" t="n">
        <x:v>73.20717131474103</x:v>
      </x:c>
      <x:c r="AD801" s="16" t="n">
        <x:v>15.182926829268293</x:v>
      </x:c>
      <x:c r="AE801" s="16" t="n">
        <x:v>72.34428187963525</x:v>
      </x:c>
      <x:c r="AF801" t="str">
        <x:v>검토</x:v>
      </x:c>
      <x:c r="AG801" t="str">
        <x:v>수요·서울 업종추세 강점 / 직장수요 상대적 약점</x:v>
      </x:c>
    </x:row>
    <x:row r="802">
      <x:c r="A802" t="str">
        <x:v>3130261</x:v>
      </x:c>
      <x:c r="B802" t="str">
        <x:v>성대전통시장(성대시장)</x:v>
      </x:c>
      <x:c r="C802" t="str">
        <x:v>전통시장</x:v>
      </x:c>
      <x:c r="D802" t="str">
        <x:v>동작구</x:v>
      </x:c>
      <x:c r="E802" t="str">
        <x:v>상도3동</x:v>
      </x:c>
      <x:c r="F802" t="str">
        <x:v>CS200029</x:v>
      </x:c>
      <x:c r="G802" t="str">
        <x:v>네일숍</x:v>
      </x:c>
      <x:c r="H802" t="n">
        <x:v>73630071</x:v>
      </x:c>
      <x:c r="I802" t="n">
        <x:v>587</x:v>
      </x:c>
      <x:c r="J802" t="n">
        <x:v>125434.5332197615</x:v>
      </x:c>
      <x:c r="K802" s="14" t="n">
        <x:v>0.28229833130920845</x:v>
      </x:c>
      <x:c r="L802" s="14" t="n">
        <x:v>-0.03823077167694788</x:v>
      </x:c>
      <x:c r="M802" s="14" t="n">
        <x:v>-0.06057133576425</x:v>
      </x:c>
      <x:c r="N802" t="n">
        <x:v>10</x:v>
      </x:c>
      <x:c r="O802" t="n">
        <x:v>0</x:v>
      </x:c>
      <x:c r="P802" s="14" t="n">
        <x:v>0</x:v>
      </x:c>
      <x:c r="Q802" s="14" t="n">
        <x:v>0</x:v>
      </x:c>
      <x:c r="R802" s="14" t="n">
        <x:v>0.11111111111111116</x:v>
      </x:c>
      <x:c r="S802" t="n">
        <x:v>389</x:v>
      </x:c>
      <x:c r="T802" t="n">
        <x:v>73.26904241693664</x:v>
      </x:c>
      <x:c r="U802" s="14" t="n">
        <x:v>0.7752226396739452</x:v>
      </x:c>
      <x:c r="V802" s="14" t="n">
        <x:v>0.69736314664154</x:v>
      </x:c>
      <x:c r="W802" s="14" t="n">
        <x:v>0.6720534467500378</x:v>
      </x:c>
      <x:c r="X802" s="14" t="n">
        <x:v>0.9077508291415337</x:v>
      </x:c>
      <x:c r="Y802" s="16" t="n">
        <x:v>86.12244897959184</x:v>
      </x:c>
      <x:c r="Z802" s="16" t="n">
        <x:v>89.2116182572614</x:v>
      </x:c>
      <x:c r="AA802" s="16" t="n">
        <x:v>26.229508196721312</x:v>
      </x:c>
      <x:c r="AB802" s="16" t="n">
        <x:v>75.3061224489796</x:v>
      </x:c>
      <x:c r="AC802" s="16" t="n">
        <x:v>66.73469387755102</x:v>
      </x:c>
      <x:c r="AD802" s="16" t="n">
        <x:v>48.96341463414634</x:v>
      </x:c>
      <x:c r="AE802" s="16" t="n">
        <x:v>72.33716551062699</x:v>
      </x:c>
      <x:c r="AF802" t="str">
        <x:v>검토</x:v>
      </x:c>
      <x:c r="AG802" t="str">
        <x:v>상권 모멘텀·수요 강점 / 서울 업종추세 상대적 약점</x:v>
      </x:c>
    </x:row>
    <x:row r="803">
      <x:c r="A803" t="str">
        <x:v>3120222</x:v>
      </x:c>
      <x:c r="B803" t="str">
        <x:v>삼성역</x:v>
      </x:c>
      <x:c r="C803" t="str">
        <x:v>발달상권</x:v>
      </x:c>
      <x:c r="D803" t="str">
        <x:v>강남구</x:v>
      </x:c>
      <x:c r="E803" t="str">
        <x:v>대치2동</x:v>
      </x:c>
      <x:c r="F803" t="str">
        <x:v>CS100010</x:v>
      </x:c>
      <x:c r="G803" t="str">
        <x:v>커피-음료</x:v>
      </x:c>
      <x:c r="H803" t="n">
        <x:v>9616432745</x:v>
      </x:c>
      <x:c r="I803" t="n">
        <x:v>967836</x:v>
      </x:c>
      <x:c r="J803" t="n">
        <x:v>9936.014722535636</x:v>
      </x:c>
      <x:c r="K803" s="14" t="n">
        <x:v>0.18409516174642193</x:v>
      </x:c>
      <x:c r="L803" s="14" t="n">
        <x:v>-0.00844757257331652</x:v>
      </x:c>
      <x:c r="M803" s="14" t="n">
        <x:v>0.016227780215539944</x:v>
      </x:c>
      <x:c r="N803" t="n">
        <x:v>121</x:v>
      </x:c>
      <x:c r="O803" t="n">
        <x:v>4</x:v>
      </x:c>
      <x:c r="P803" s="14" t="n">
        <x:v>0.031746031746031744</x:v>
      </x:c>
      <x:c r="Q803" s="14" t="n">
        <x:v>0.256198347107438</x:v>
      </x:c>
      <x:c r="R803" s="14" t="n">
        <x:v>0.12037037037037046</x:v>
      </x:c>
      <x:c r="S803" t="n">
        <x:v>109259</x:v>
      </x:c>
      <x:c r="T803" t="n">
        <x:v>3066.170507132293</x:v>
      </x:c>
      <x:c r="U803" s="14" t="n">
        <x:v>0.8052623210021732</x:v>
      </x:c>
      <x:c r="V803" s="14" t="n">
        <x:v>0.16040356272465148</x:v>
      </x:c>
      <x:c r="W803" s="14" t="n">
        <x:v>0.4027166129782983</x:v>
      </x:c>
      <x:c r="X803" s="14" t="n">
        <x:v>0.40249129605907724</x:v>
      </x:c>
      <x:c r="Y803" s="16" t="n">
        <x:v>99.15730337078652</x:v>
      </x:c>
      <x:c r="Z803" s="16" t="n">
        <x:v>91.3662239089184</x:v>
      </x:c>
      <x:c r="AA803" s="16" t="n">
        <x:v>37.704918032786885</x:v>
      </x:c>
      <x:c r="AB803" s="16" t="n">
        <x:v>23.923220973782776</x:v>
      </x:c>
      <x:c r="AC803" s="16" t="n">
        <x:v>51.264044943820224</x:v>
      </x:c>
      <x:c r="AD803" s="16" t="n">
        <x:v>99.57317073170732</x:v>
      </x:c>
      <x:c r="AE803" s="16" t="n">
        <x:v>72.32758484351181</x:v>
      </x:c>
      <x:c r="AF803" t="str">
        <x:v>검토</x:v>
      </x:c>
      <x:c r="AG803" t="str">
        <x:v>직장수요·수요 강점 / 경쟁여건 상대적 약점</x:v>
      </x:c>
    </x:row>
    <x:row r="804">
      <x:c r="A804" t="str">
        <x:v>3120039</x:v>
      </x:c>
      <x:c r="B804" t="str">
        <x:v>신당역</x:v>
      </x:c>
      <x:c r="C804" t="str">
        <x:v>발달상권</x:v>
      </x:c>
      <x:c r="D804" t="str">
        <x:v>중구</x:v>
      </x:c>
      <x:c r="E804" t="str">
        <x:v>신당동</x:v>
      </x:c>
      <x:c r="F804" t="str">
        <x:v>CS300011</x:v>
      </x:c>
      <x:c r="G804" t="str">
        <x:v>일반의류</x:v>
      </x:c>
      <x:c r="H804" t="n">
        <x:v>19471048796</x:v>
      </x:c>
      <x:c r="I804" t="n">
        <x:v>206294</x:v>
      </x:c>
      <x:c r="J804" t="n">
        <x:v>94384.94961559716</x:v>
      </x:c>
      <x:c r="K804" s="14" t="n">
        <x:v>0.52871633596113</x:v>
      </x:c>
      <x:c r="L804" s="14" t="n">
        <x:v>0.06726691045630595</x:v>
      </x:c>
      <x:c r="M804" s="14" t="n">
        <x:v>0.00788849516466894</x:v>
      </x:c>
      <x:c r="N804" t="n">
        <x:v>8793</x:v>
      </x:c>
      <x:c r="O804" t="n">
        <x:v>173</x:v>
      </x:c>
      <x:c r="P804" s="14" t="n">
        <x:v>0.019663559899977267</x:v>
      </x:c>
      <x:c r="Q804" s="14" t="n">
        <x:v>0.0009098146252701012</x:v>
      </x:c>
      <x:c r="R804" s="14" t="n">
        <x:v>-0.15944938342414683</x:v>
      </x:c>
      <x:c r="S804" t="n">
        <x:v>2321</x:v>
      </x:c>
      <x:c r="T804" t="n">
        <x:v>116.6472338372467</x:v>
      </x:c>
      <x:c r="U804" s="14" t="n">
        <x:v>0.6081542910227115</x:v>
      </x:c>
      <x:c r="V804" s="14" t="n">
        <x:v>0.2551913625742012</x:v>
      </x:c>
      <x:c r="W804" s="14" t="n">
        <x:v>0.513013592983859</x:v>
      </x:c>
      <x:c r="X804" s="14" t="n">
        <x:v>0.6256371494227136</x:v>
      </x:c>
      <x:c r="Y804" s="16" t="n">
        <x:v>97.7620730270907</x:v>
      </x:c>
      <x:c r="Z804" s="16" t="n">
        <x:v>92.4187725631769</x:v>
      </x:c>
      <x:c r="AA804" s="16" t="n">
        <x:v>81.9672131147541</x:v>
      </x:c>
      <x:c r="AB804" s="16" t="n">
        <x:v>0.4711425206124886</x:v>
      </x:c>
      <x:c r="AC804" s="16" t="n">
        <x:v>40.98939929328622</x:v>
      </x:c>
      <x:c r="AD804" s="16" t="n">
        <x:v>63.23170731707317</x:v>
      </x:c>
      <x:c r="AE804" s="16" t="n">
        <x:v>72.32675871260437</x:v>
      </x:c>
      <x:c r="AF804" t="str">
        <x:v>검토</x:v>
      </x:c>
      <x:c r="AG804" t="str">
        <x:v>수요·상권 모멘텀 강점 / 경쟁여건 상대적 약점</x:v>
      </x:c>
    </x:row>
    <x:row r="805">
      <x:c r="A805" t="str">
        <x:v>3130312</x:v>
      </x:c>
      <x:c r="B805" t="str">
        <x:v>석촌시장</x:v>
      </x:c>
      <x:c r="C805" t="str">
        <x:v>전통시장</x:v>
      </x:c>
      <x:c r="D805" t="str">
        <x:v>송파구</x:v>
      </x:c>
      <x:c r="E805" t="str">
        <x:v>석촌동</x:v>
      </x:c>
      <x:c r="F805" t="str">
        <x:v>CS300007</x:v>
      </x:c>
      <x:c r="G805" t="str">
        <x:v>육류판매</x:v>
      </x:c>
      <x:c r="H805" t="n">
        <x:v>2827543449</x:v>
      </x:c>
      <x:c r="I805" t="n">
        <x:v>68452</x:v>
      </x:c>
      <x:c r="J805" t="n">
        <x:v>41306.9515719044</x:v>
      </x:c>
      <x:c r="K805" s="14" t="n">
        <x:v>0.036097143629440165</x:v>
      </x:c>
      <x:c r="L805" s="14" t="n">
        <x:v>0.23518223683931017</x:v>
      </x:c>
      <x:c r="M805" s="14" t="n">
        <x:v>0.00863079289162072</x:v>
      </x:c>
      <x:c r="N805" t="n">
        <x:v>20</x:v>
      </x:c>
      <x:c r="O805" t="n">
        <x:v>0</x:v>
      </x:c>
      <x:c r="P805" s="14" t="n">
        <x:v>0</x:v>
      </x:c>
      <x:c r="Q805" s="14" t="n">
        <x:v>0</x:v>
      </x:c>
      <x:c r="R805" s="14" t="n">
        <x:v>0.05263157894736836</x:v>
      </x:c>
      <x:c r="S805" t="n">
        <x:v>739</x:v>
      </x:c>
      <x:c r="T805" t="n">
        <x:v>158.2068463531074</x:v>
      </x:c>
      <x:c r="U805" s="14" t="n">
        <x:v>0.6234098548064433</x:v>
      </x:c>
      <x:c r="V805" s="14" t="n">
        <x:v>0.49627284860866516</x:v>
      </x:c>
      <x:c r="W805" s="14" t="n">
        <x:v>0.170779372168721</x:v>
      </x:c>
      <x:c r="X805" s="14" t="n">
        <x:v>0.48664383370895464</x:v>
      </x:c>
      <x:c r="Y805" s="16" t="n">
        <x:v>88.86138613861387</x:v>
      </x:c>
      <x:c r="Z805" s="16" t="n">
        <x:v>56.103896103896105</x:v>
      </x:c>
      <x:c r="AA805" s="16" t="n">
        <x:v>100</x:v>
      </x:c>
      <x:c r="AB805" s="16" t="n">
        <x:v>31.683168316831683</x:v>
      </x:c>
      <x:c r="AC805" s="16" t="n">
        <x:v>66.83168316831683</x:v>
      </x:c>
      <x:c r="AD805" s="16" t="n">
        <x:v>71.34146341463415</x:v>
      </x:c>
      <x:c r="AE805" s="16" t="n">
        <x:v>72.3249811043822</x:v>
      </x:c>
      <x:c r="AF805" t="str">
        <x:v>검토</x:v>
      </x:c>
      <x:c r="AG805" t="str">
        <x:v>서울 업종추세·수요 강점 / 경쟁여건 상대적 약점</x:v>
      </x:c>
    </x:row>
    <x:row r="806">
      <x:c r="A806" t="str">
        <x:v>3130042</x:v>
      </x:c>
      <x:c r="B806" t="str">
        <x:v>약수시장</x:v>
      </x:c>
      <x:c r="C806" t="str">
        <x:v>전통시장</x:v>
      </x:c>
      <x:c r="D806" t="str">
        <x:v>중구</x:v>
      </x:c>
      <x:c r="E806" t="str">
        <x:v>약수동</x:v>
      </x:c>
      <x:c r="F806" t="str">
        <x:v>CS300035</x:v>
      </x:c>
      <x:c r="G806" t="str">
        <x:v>인테리어</x:v>
      </x:c>
      <x:c r="H806" t="n">
        <x:v>52590774</x:v>
      </x:c>
      <x:c r="I806" t="n">
        <x:v>3067</x:v>
      </x:c>
      <x:c r="J806" t="n">
        <x:v>17147.30159765243</x:v>
      </x:c>
      <x:c r="K806" s="14" t="n">
        <x:v>0.1910597416155524</x:v>
      </x:c>
      <x:c r="L806" s="14" t="n">
        <x:v>0.20213561276420866</x:v>
      </x:c>
      <x:c r="M806" s="14" t="n">
        <x:v>0.044160820891303576</x:v>
      </x:c>
      <x:c r="N806" t="n">
        <x:v>6</x:v>
      </x:c>
      <x:c r="O806" t="n">
        <x:v>0</x:v>
      </x:c>
      <x:c r="P806" s="14" t="n">
        <x:v>0</x:v>
      </x:c>
      <x:c r="Q806" s="14" t="n">
        <x:v>0</x:v>
      </x:c>
      <x:c r="R806" s="14" t="n">
        <x:v>-0.1428571428571429</x:v>
      </x:c>
      <x:c r="S806" t="n">
        <x:v>3917</x:v>
      </x:c>
      <x:c r="T806" t="n">
        <x:v>1390.3382671352006</x:v>
      </x:c>
      <x:c r="U806" s="14" t="n">
        <x:v>0.7509505564607206</x:v>
      </x:c>
      <x:c r="V806" s="14" t="n">
        <x:v>0.041825092743453446</x:v>
      </x:c>
      <x:c r="W806" s="14" t="n">
        <x:v>0.04930066250783835</x:v>
      </x:c>
      <x:c r="X806" s="14" t="n">
        <x:v>0.17585270754904653</x:v>
      </x:c>
      <x:c r="Y806" s="16" t="n">
        <x:v>54.34782608695652</x:v>
      </x:c>
      <x:c r="Z806" s="16" t="n">
        <x:v>69.4267515923567</x:v>
      </x:c>
      <x:c r="AA806" s="16" t="n">
        <x:v>98.36065573770492</x:v>
      </x:c>
      <x:c r="AB806" s="16" t="n">
        <x:v>91.57608695652173</x:v>
      </x:c>
      <x:c r="AC806" s="16" t="n">
        <x:v>60.32608695652174</x:v>
      </x:c>
      <x:c r="AD806" s="16" t="n">
        <x:v>97.86585365853658</x:v>
      </x:c>
      <x:c r="AE806" s="16" t="n">
        <x:v>72.32350223161912</x:v>
      </x:c>
      <x:c r="AF806" t="str">
        <x:v>검토</x:v>
      </x:c>
      <x:c r="AG806" t="str">
        <x:v>서울 업종추세·직장수요 강점 / 수요 상대적 약점</x:v>
      </x:c>
    </x:row>
    <x:row r="807">
      <x:c r="A807" t="str">
        <x:v>3120003</x:v>
      </x:c>
      <x:c r="B807" t="str">
        <x:v>광화문역</x:v>
      </x:c>
      <x:c r="C807" t="str">
        <x:v>발달상권</x:v>
      </x:c>
      <x:c r="D807" t="str">
        <x:v>종로구</x:v>
      </x:c>
      <x:c r="E807" t="str">
        <x:v>사직동</x:v>
      </x:c>
      <x:c r="F807" t="str">
        <x:v>CS100003</x:v>
      </x:c>
      <x:c r="G807" t="str">
        <x:v>일식음식점</x:v>
      </x:c>
      <x:c r="H807" t="n">
        <x:v>3296461504</x:v>
      </x:c>
      <x:c r="I807" t="n">
        <x:v>61038</x:v>
      </x:c>
      <x:c r="J807" t="n">
        <x:v>54006.70900095023</x:v>
      </x:c>
      <x:c r="K807" s="14" t="n">
        <x:v>0.10296117477496725</x:v>
      </x:c>
      <x:c r="L807" s="14" t="n">
        <x:v>0.048235937606500245</x:v>
      </x:c>
      <x:c r="M807" s="14" t="n">
        <x:v>-0.004288267098710441</x:v>
      </x:c>
      <x:c r="N807" t="n">
        <x:v>54</x:v>
      </x:c>
      <x:c r="O807" t="n">
        <x:v>2</x:v>
      </x:c>
      <x:c r="P807" s="14" t="n">
        <x:v>0.03389830508474576</x:v>
      </x:c>
      <x:c r="Q807" s="14" t="n">
        <x:v>0.14814814814814814</x:v>
      </x:c>
      <x:c r="R807" s="14" t="n">
        <x:v>0</x:v>
      </x:c>
      <x:c r="S807" t="n">
        <x:v>43594</x:v>
      </x:c>
      <x:c r="T807" t="n">
        <x:v>1104.9827386051982</x:v>
      </x:c>
      <x:c r="U807" s="14" t="n">
        <x:v>0.8910183171973726</x:v>
      </x:c>
      <x:c r="V807" s="14" t="n">
        <x:v>0.5063767785470854</x:v>
      </x:c>
      <x:c r="W807" s="14" t="n">
        <x:v>0.22604143658156914</x:v>
      </x:c>
      <x:c r="X807" s="14" t="n">
        <x:v>0.24600699902485498</x:v>
      </x:c>
      <x:c r="Y807" s="16" t="n">
        <x:v>93.75</x:v>
      </x:c>
      <x:c r="Z807" s="16" t="n">
        <x:v>74.07407407407408</x:v>
      </x:c>
      <x:c r="AA807" s="16" t="n">
        <x:v>78.68852459016394</x:v>
      </x:c>
      <x:c r="AB807" s="16" t="n">
        <x:v>26.48809523809524</x:v>
      </x:c>
      <x:c r="AC807" s="16" t="n">
        <x:v>40.476190476190474</x:v>
      </x:c>
      <x:c r="AD807" s="16" t="n">
        <x:v>97.4390243902439</x:v>
      </x:c>
      <x:c r="AE807" s="16" t="n">
        <x:v>72.32337805618494</x:v>
      </x:c>
      <x:c r="AF807" t="str">
        <x:v>검토</x:v>
      </x:c>
      <x:c r="AG807" t="str">
        <x:v>직장수요·수요 강점 / 경쟁여건 상대적 약점</x:v>
      </x:c>
    </x:row>
    <x:row r="808">
      <x:c r="A808" t="str">
        <x:v>3130222</x:v>
      </x:c>
      <x:c r="B808" t="str">
        <x:v>오류시장</x:v>
      </x:c>
      <x:c r="C808" t="str">
        <x:v>전통시장</x:v>
      </x:c>
      <x:c r="D808" t="str">
        <x:v>구로구</x:v>
      </x:c>
      <x:c r="E808" t="str">
        <x:v>오류1동</x:v>
      </x:c>
      <x:c r="F808" t="str">
        <x:v>CS300007</x:v>
      </x:c>
      <x:c r="G808" t="str">
        <x:v>육류판매</x:v>
      </x:c>
      <x:c r="H808" t="n">
        <x:v>767366494</x:v>
      </x:c>
      <x:c r="I808" t="n">
        <x:v>19022</x:v>
      </x:c>
      <x:c r="J808" t="n">
        <x:v>40340.99957943434</x:v>
      </x:c>
      <x:c r="K808" s="14" t="n">
        <x:v>0.05755308387645197</x:v>
      </x:c>
      <x:c r="L808" s="14" t="n">
        <x:v>0.23518223683931017</x:v>
      </x:c>
      <x:c r="M808" s="14" t="n">
        <x:v>0.00863079289162072</x:v>
      </x:c>
      <x:c r="N808" t="n">
        <x:v>10</x:v>
      </x:c>
      <x:c r="O808" t="n">
        <x:v>0</x:v>
      </x:c>
      <x:c r="P808" s="14" t="n">
        <x:v>0</x:v>
      </x:c>
      <x:c r="Q808" s="14" t="n">
        <x:v>0</x:v>
      </x:c>
      <x:c r="R808" s="14" t="n">
        <x:v>-0.33333333333333337</x:v>
      </x:c>
      <x:c r="S808" t="n">
        <x:v>281</x:v>
      </x:c>
      <x:c r="T808" t="n">
        <x:v>139.3641819173734</x:v>
      </x:c>
      <x:c r="U808" s="14" t="n">
        <x:v>0.744479257912452</x:v>
      </x:c>
      <x:c r="V808" s="14" t="n">
        <x:v>0.23325567821834034</x:v>
      </x:c>
      <x:c r="W808" s="14" t="n">
        <x:v>0.05827698674578825</x:v>
      </x:c>
      <x:c r="X808" s="14" t="n">
        <x:v>0.6920982257533908</x:v>
      </x:c>
      <x:c r="Y808" s="16" t="n">
        <x:v>61.13861386138614</x:v>
      </x:c>
      <x:c r="Z808" s="16" t="n">
        <x:v>69.6103896103896</x:v>
      </x:c>
      <x:c r="AA808" s="16" t="n">
        <x:v>100</x:v>
      </x:c>
      <x:c r="AB808" s="16" t="n">
        <x:v>79.45544554455445</x:v>
      </x:c>
      <x:c r="AC808" s="16" t="n">
        <x:v>66.83168316831683</x:v>
      </x:c>
      <x:c r="AD808" s="16" t="n">
        <x:v>67.92682926829268</x:v>
      </x:c>
      <x:c r="AE808" s="16" t="n">
        <x:v>72.31841938549255</x:v>
      </x:c>
      <x:c r="AF808" t="str">
        <x:v>검토</x:v>
      </x:c>
      <x:c r="AG808" t="str">
        <x:v>서울 업종추세·경쟁여건 강점 / 수요 상대적 약점</x:v>
      </x:c>
    </x:row>
    <x:row r="809">
      <x:c r="A809" t="str">
        <x:v>3120022</x:v>
      </x:c>
      <x:c r="B809" t="str">
        <x:v>북창동(시청역_6번)</x:v>
      </x:c>
      <x:c r="C809" t="str">
        <x:v>발달상권</x:v>
      </x:c>
      <x:c r="D809" t="str">
        <x:v>중구</x:v>
      </x:c>
      <x:c r="E809" t="str">
        <x:v>소공동</x:v>
      </x:c>
      <x:c r="F809" t="str">
        <x:v>CS100008</x:v>
      </x:c>
      <x:c r="G809" t="str">
        <x:v>분식전문점</x:v>
      </x:c>
      <x:c r="H809" t="n">
        <x:v>1464248721</x:v>
      </x:c>
      <x:c r="I809" t="n">
        <x:v>83223</x:v>
      </x:c>
      <x:c r="J809" t="n">
        <x:v>17594.27947802891</x:v>
      </x:c>
      <x:c r="K809" s="14" t="n">
        <x:v>0.21558684115656468</x:v>
      </x:c>
      <x:c r="L809" s="14" t="n">
        <x:v>-0.021494731595524064</x:v>
      </x:c>
      <x:c r="M809" s="14" t="n">
        <x:v>0.009923521656473921</x:v>
      </x:c>
      <x:c r="N809" t="n">
        <x:v>44</x:v>
      </x:c>
      <x:c r="O809" t="n">
        <x:v>1</x:v>
      </x:c>
      <x:c r="P809" s="14" t="n">
        <x:v>0.02040816326530612</x:v>
      </x:c>
      <x:c r="Q809" s="14" t="n">
        <x:v>0.2727272727272727</x:v>
      </x:c>
      <x:c r="R809" s="14" t="n">
        <x:v>0.04761904761904767</x:v>
      </x:c>
      <x:c r="S809" t="n">
        <x:v>21464</x:v>
      </x:c>
      <x:c r="T809" t="n">
        <x:v>1977.9389404425112</x:v>
      </x:c>
      <x:c r="U809" s="14" t="n">
        <x:v>0.8908195624778695</x:v>
      </x:c>
      <x:c r="V809" s="14" t="n">
        <x:v>0.25679259992332953</x:v>
      </x:c>
      <x:c r="W809" s="14" t="n">
        <x:v>0.34022387648716956</x:v>
      </x:c>
      <x:c r="X809" s="14" t="n">
        <x:v>0.33208624124179786</x:v>
      </x:c>
      <x:c r="Y809" s="16" t="n">
        <x:v>95.15306122448979</x:v>
      </x:c>
      <x:c r="Z809" s="16" t="n">
        <x:v>92.03655352480418</x:v>
      </x:c>
      <x:c r="AA809" s="16" t="n">
        <x:v>34.42622950819672</x:v>
      </x:c>
      <x:c r="AB809" s="16" t="n">
        <x:v>30.73979591836735</x:v>
      </x:c>
      <x:c r="AC809" s="16" t="n">
        <x:v>58.99234693877551</x:v>
      </x:c>
      <x:c r="AD809" s="16" t="n">
        <x:v>98.65853658536585</x:v>
      </x:c>
      <x:c r="AE809" s="16" t="n">
        <x:v>72.31794747066272</x:v>
      </x:c>
      <x:c r="AF809" t="str">
        <x:v>검토</x:v>
      </x:c>
      <x:c r="AG809" t="str">
        <x:v>직장수요·수요 강점 / 경쟁여건 상대적 약점</x:v>
      </x:c>
    </x:row>
    <x:row r="810">
      <x:c r="A810" t="str">
        <x:v>3120234</x:v>
      </x:c>
      <x:c r="B810" t="str">
        <x:v>가락시장역</x:v>
      </x:c>
      <x:c r="C810" t="str">
        <x:v>발달상권</x:v>
      </x:c>
      <x:c r="D810" t="str">
        <x:v>송파구</x:v>
      </x:c>
      <x:c r="E810" t="str">
        <x:v>가락본동</x:v>
      </x:c>
      <x:c r="F810" t="str">
        <x:v>CS200030</x:v>
      </x:c>
      <x:c r="G810" t="str">
        <x:v>피부관리실</x:v>
      </x:c>
      <x:c r="H810" t="n">
        <x:v>338460604</x:v>
      </x:c>
      <x:c r="I810" t="n">
        <x:v>436</x:v>
      </x:c>
      <x:c r="J810" t="n">
        <x:v>776285.7889908256</x:v>
      </x:c>
      <x:c r="K810" s="14" t="n">
        <x:v>-0.03726310320398474</x:v>
      </x:c>
      <x:c r="L810" s="14" t="n">
        <x:v>0.11857168683779085</x:v>
      </x:c>
      <x:c r="M810" s="14" t="n">
        <x:v>0.0314283578178467</x:v>
      </x:c>
      <x:c r="N810" t="n">
        <x:v>28</x:v>
      </x:c>
      <x:c r="O810" t="n">
        <x:v>0</x:v>
      </x:c>
      <x:c r="P810" s="14" t="n">
        <x:v>0</x:v>
      </x:c>
      <x:c r="Q810" s="14" t="n">
        <x:v>0.03571428571428571</x:v>
      </x:c>
      <x:c r="R810" s="14" t="n">
        <x:v>0.2727272727272727</x:v>
      </x:c>
      <x:c r="S810" t="n">
        <x:v>11587</x:v>
      </x:c>
      <x:c r="T810" t="n">
        <x:v>701.409235090438</x:v>
      </x:c>
      <x:c r="U810" s="14" t="n">
        <x:v>0.6309839209528799</x:v>
      </x:c>
      <x:c r="V810" s="14" t="n">
        <x:v>0.23633626500294255</x:v>
      </x:c>
      <x:c r="W810" s="14" t="n">
        <x:v>0.26173372603211453</x:v>
      </x:c>
      <x:c r="X810" s="14" t="n">
        <x:v>0.8807247947829107</x:v>
      </x:c>
      <x:c r="Y810" s="16" t="n">
        <x:v>89.82630272952854</x:v>
      </x:c>
      <x:c r="Z810" s="16" t="n">
        <x:v>31.03448275862069</x:v>
      </x:c>
      <x:c r="AA810" s="16" t="n">
        <x:v>91.80327868852459</x:v>
      </x:c>
      <x:c r="AB810" s="16" t="n">
        <x:v>55.21091811414392</x:v>
      </x:c>
      <x:c r="AC810" s="16" t="n">
        <x:v>79.15632754342431</x:v>
      </x:c>
      <x:c r="AD810" s="16" t="n">
        <x:v>93.96341463414635</x:v>
      </x:c>
      <x:c r="AE810" s="16" t="n">
        <x:v>72.31203551350916</x:v>
      </x:c>
      <x:c r="AF810" t="str">
        <x:v>검토</x:v>
      </x:c>
      <x:c r="AG810" t="str">
        <x:v>직장수요·서울 업종추세 강점 / 상권 모멘텀 상대적 약점</x:v>
      </x:c>
    </x:row>
    <x:row r="811">
      <x:c r="A811" t="str">
        <x:v>3120178</x:v>
      </x:c>
      <x:c r="B811" t="str">
        <x:v>신사역</x:v>
      </x:c>
      <x:c r="C811" t="str">
        <x:v>발달상권</x:v>
      </x:c>
      <x:c r="D811" t="str">
        <x:v>서초구</x:v>
      </x:c>
      <x:c r="E811" t="str">
        <x:v>잠원동</x:v>
      </x:c>
      <x:c r="F811" t="str">
        <x:v>CS300004</x:v>
      </x:c>
      <x:c r="G811" t="str">
        <x:v>핸드폰</x:v>
      </x:c>
      <x:c r="H811" t="n">
        <x:v>378757399</x:v>
      </x:c>
      <x:c r="I811" t="n">
        <x:v>21070</x:v>
      </x:c>
      <x:c r="J811" t="n">
        <x:v>17976.14613194115</x:v>
      </x:c>
      <x:c r="K811" s="14" t="n">
        <x:v>0.1019047472918162</x:v>
      </x:c>
      <x:c r="L811" s="14" t="n">
        <x:v>0.021417847123978317</x:v>
      </x:c>
      <x:c r="M811" s="14" t="n">
        <x:v>-0.06496332404204874</x:v>
      </x:c>
      <x:c r="N811" t="n">
        <x:v>6</x:v>
      </x:c>
      <x:c r="O811" t="n">
        <x:v>0</x:v>
      </x:c>
      <x:c r="P811" s="14" t="n">
        <x:v>0</x:v>
      </x:c>
      <x:c r="Q811" s="14" t="n">
        <x:v>0</x:v>
      </x:c>
      <x:c r="R811" s="14" t="n">
        <x:v>-0.4545454545454546</x:v>
      </x:c>
      <x:c r="S811" t="n">
        <x:v>19438</x:v>
      </x:c>
      <x:c r="T811" t="n">
        <x:v>550.5486226371273</x:v>
      </x:c>
      <x:c r="U811" s="14" t="n">
        <x:v>0.5040297021365912</x:v>
      </x:c>
      <x:c r="V811" s="14" t="n">
        <x:v>0.6704867750979566</x:v>
      </x:c>
      <x:c r="W811" s="14" t="n">
        <x:v>0.18319026158483045</x:v>
      </x:c>
      <x:c r="X811" s="14" t="n">
        <x:v>0.3283033079440911</x:v>
      </x:c>
      <x:c r="Y811" s="16" t="n">
        <x:v>79.88505747126437</x:v>
      </x:c>
      <x:c r="Z811" s="16" t="n">
        <x:v>56.09756097560975</x:v>
      </x:c>
      <x:c r="AA811" s="16" t="n">
        <x:v>55.73770491803279</x:v>
      </x:c>
      <x:c r="AB811" s="16" t="n">
        <x:v>94.54022988505747</x:v>
      </x:c>
      <x:c r="AC811" s="16" t="n">
        <x:v>60.3448275862069</x:v>
      </x:c>
      <x:c r="AD811" s="16" t="n">
        <x:v>91.03658536585365</x:v>
      </x:c>
      <x:c r="AE811" s="16" t="n">
        <x:v>72.30728455744138</x:v>
      </x:c>
      <x:c r="AF811" t="str">
        <x:v>검토</x:v>
      </x:c>
      <x:c r="AG811" t="str">
        <x:v>경쟁여건·직장수요 강점 / 서울 업종추세 상대적 약점</x:v>
      </x:c>
    </x:row>
    <x:row r="812">
      <x:c r="A812" t="str">
        <x:v>3130208</x:v>
      </x:c>
      <x:c r="B812" t="str">
        <x:v>목동깨비시장(목3동시장)</x:v>
      </x:c>
      <x:c r="C812" t="str">
        <x:v>전통시장</x:v>
      </x:c>
      <x:c r="D812" t="str">
        <x:v>양천구</x:v>
      </x:c>
      <x:c r="E812" t="str">
        <x:v>목3동</x:v>
      </x:c>
      <x:c r="F812" t="str">
        <x:v>CS300008</x:v>
      </x:c>
      <x:c r="G812" t="str">
        <x:v>수산물판매</x:v>
      </x:c>
      <x:c r="H812" t="n">
        <x:v>1730211170</x:v>
      </x:c>
      <x:c r="I812" t="n">
        <x:v>92616</x:v>
      </x:c>
      <x:c r="J812" t="n">
        <x:v>18681.557938153233</x:v>
      </x:c>
      <x:c r="K812" s="14" t="n">
        <x:v>0.08705396184244174</x:v>
      </x:c>
      <x:c r="L812" s="14" t="n">
        <x:v>0.022342410896780907</x:v>
      </x:c>
      <x:c r="M812" s="14" t="n">
        <x:v>0.037399436424052857</x:v>
      </x:c>
      <x:c r="N812" t="n">
        <x:v>10</x:v>
      </x:c>
      <x:c r="O812" t="n">
        <x:v>0</x:v>
      </x:c>
      <x:c r="P812" s="14" t="n">
        <x:v>0</x:v>
      </x:c>
      <x:c r="Q812" s="14" t="n">
        <x:v>0</x:v>
      </x:c>
      <x:c r="R812" s="14" t="n">
        <x:v>-0.2857142857142857</x:v>
      </x:c>
      <x:c r="S812" t="n">
        <x:v>465</x:v>
      </x:c>
      <x:c r="T812" t="n">
        <x:v>88.55793402910032</x:v>
      </x:c>
      <x:c r="U812" s="14" t="n">
        <x:v>0.6814590793561921</x:v>
      </x:c>
      <x:c r="V812" s="14" t="n">
        <x:v>0.19164500192193304</x:v>
      </x:c>
      <x:c r="W812" s="14" t="n">
        <x:v>0.056665257224064736</x:v>
      </x:c>
      <x:c r="X812" s="14" t="n">
        <x:v>0.686956957976407</x:v>
      </x:c>
      <x:c r="Y812" s="16" t="n">
        <x:v>84.49612403100775</x:v>
      </x:c>
      <x:c r="Z812" s="16" t="n">
        <x:v>72.44094488188976</x:v>
      </x:c>
      <x:c r="AA812" s="16" t="n">
        <x:v>60.65573770491803</x:v>
      </x:c>
      <x:c r="AB812" s="16" t="n">
        <x:v>67.44186046511628</x:v>
      </x:c>
      <x:c r="AC812" s="16" t="n">
        <x:v>62.4031007751938</x:v>
      </x:c>
      <x:c r="AD812" s="16" t="n">
        <x:v>55.792682926829265</x:v>
      </x:c>
      <x:c r="AE812" s="16" t="n">
        <x:v>72.30641633659667</x:v>
      </x:c>
      <x:c r="AF812" t="str">
        <x:v>검토</x:v>
      </x:c>
      <x:c r="AG812" t="str">
        <x:v>수요·상권 모멘텀 강점 / 직장수요 상대적 약점</x:v>
      </x:c>
    </x:row>
    <x:row r="813">
      <x:c r="A813" t="str">
        <x:v>3130283</x:v>
      </x:c>
      <x:c r="B813" t="str">
        <x:v>신원시장</x:v>
      </x:c>
      <x:c r="C813" t="str">
        <x:v>전통시장</x:v>
      </x:c>
      <x:c r="D813" t="str">
        <x:v>관악구</x:v>
      </x:c>
      <x:c r="E813" t="str">
        <x:v>신원동</x:v>
      </x:c>
      <x:c r="F813" t="str">
        <x:v>CS200030</x:v>
      </x:c>
      <x:c r="G813" t="str">
        <x:v>피부관리실</x:v>
      </x:c>
      <x:c r="H813" t="n">
        <x:v>58333334</x:v>
      </x:c>
      <x:c r="I813" t="n">
        <x:v>85</x:v>
      </x:c>
      <x:c r="J813" t="n">
        <x:v>686274.5176470588</x:v>
      </x:c>
      <x:c r="K813" s="14" t="n">
        <x:v>0.15895498018354015</x:v>
      </x:c>
      <x:c r="L813" s="14" t="n">
        <x:v>0.11857168683779085</x:v>
      </x:c>
      <x:c r="M813" s="14" t="n">
        <x:v>0.0314283578178467</x:v>
      </x:c>
      <x:c r="N813" t="n">
        <x:v>15</x:v>
      </x:c>
      <x:c r="O813" t="n">
        <x:v>0</x:v>
      </x:c>
      <x:c r="P813" s="14" t="n">
        <x:v>0</x:v>
      </x:c>
      <x:c r="Q813" s="14" t="n">
        <x:v>0</x:v>
      </x:c>
      <x:c r="R813" s="14" t="n">
        <x:v>0.5</x:v>
      </x:c>
      <x:c r="S813" t="n">
        <x:v>103</x:v>
      </x:c>
      <x:c r="T813" t="n">
        <x:v>38.76844323998796</x:v>
      </x:c>
      <x:c r="U813" s="14" t="n">
        <x:v>0.5853658561672473</x:v>
      </x:c>
      <x:c r="V813" s="14" t="n">
        <x:v>1</x:v>
      </x:c>
      <x:c r="W813" s="14" t="n">
        <x:v>0</x:v>
      </x:c>
      <x:c r="X813" s="14" t="n">
        <x:v>0.7073170719163763</x:v>
      </x:c>
      <x:c r="Y813" s="16" t="n">
        <x:v>66.74937965260546</x:v>
      </x:c>
      <x:c r="Z813" s="16" t="n">
        <x:v>68.16976127320955</x:v>
      </x:c>
      <x:c r="AA813" s="16" t="n">
        <x:v>91.80327868852459</x:v>
      </x:c>
      <x:c r="AB813" s="16" t="n">
        <x:v>81.5136476426799</x:v>
      </x:c>
      <x:c r="AC813" s="16" t="n">
        <x:v>79.15632754342431</x:v>
      </x:c>
      <x:c r="AD813" s="16" t="n">
        <x:v>27.926829268292682</x:v>
      </x:c>
      <x:c r="AE813" s="16" t="n">
        <x:v>72.30574830049154</x:v>
      </x:c>
      <x:c r="AF813" t="str">
        <x:v>검토</x:v>
      </x:c>
      <x:c r="AG813" t="str">
        <x:v>서울 업종추세·경쟁여건 강점 / 직장수요 상대적 약점</x:v>
      </x:c>
    </x:row>
    <x:row r="814">
      <x:c r="A814" t="str">
        <x:v>3120046</x:v>
      </x:c>
      <x:c r="B814" t="str">
        <x:v>이태원(이태원역)</x:v>
      </x:c>
      <x:c r="C814" t="str">
        <x:v>발달상권</x:v>
      </x:c>
      <x:c r="D814" t="str">
        <x:v>용산구</x:v>
      </x:c>
      <x:c r="E814" t="str">
        <x:v>이태원1동</x:v>
      </x:c>
      <x:c r="F814" t="str">
        <x:v>CS300011</x:v>
      </x:c>
      <x:c r="G814" t="str">
        <x:v>일반의류</x:v>
      </x:c>
      <x:c r="H814" t="n">
        <x:v>14290612348</x:v>
      </x:c>
      <x:c r="I814" t="n">
        <x:v>73110</x:v>
      </x:c>
      <x:c r="J814" t="n">
        <x:v>195467.27325947201</x:v>
      </x:c>
      <x:c r="K814" s="14" t="n">
        <x:v>0.12433481238787181</x:v>
      </x:c>
      <x:c r="L814" s="14" t="n">
        <x:v>0.06726691045630595</x:v>
      </x:c>
      <x:c r="M814" s="14" t="n">
        <x:v>0.00788849516466894</x:v>
      </x:c>
      <x:c r="N814" t="n">
        <x:v>252</x:v>
      </x:c>
      <x:c r="O814" t="n">
        <x:v>3</x:v>
      </x:c>
      <x:c r="P814" s="14" t="n">
        <x:v>0.011673151750972763</x:v>
      </x:c>
      <x:c r="Q814" s="14" t="n">
        <x:v>0</x:v>
      </x:c>
      <x:c r="R814" s="14" t="n">
        <x:v>-0.07352941176470584</x:v>
      </x:c>
      <x:c r="S814" t="n">
        <x:v>22140</x:v>
      </x:c>
      <x:c r="T814" t="n">
        <x:v>781.1480123769975</x:v>
      </x:c>
      <x:c r="U814" s="14" t="n">
        <x:v>0.5380221960240944</x:v>
      </x:c>
      <x:c r="V814" s="14" t="n">
        <x:v>0.3341906465378568</x:v>
      </x:c>
      <x:c r="W814" s="14" t="n">
        <x:v>0.46997739253209503</x:v>
      </x:c>
      <x:c r="X814" s="14" t="n">
        <x:v>0.48486414656470117</x:v>
      </x:c>
      <x:c r="Y814" s="16" t="n">
        <x:v>96.81978798586573</x:v>
      </x:c>
      <x:c r="Z814" s="16" t="n">
        <x:v>63.898916967509024</x:v>
      </x:c>
      <x:c r="AA814" s="16" t="n">
        <x:v>81.9672131147541</x:v>
      </x:c>
      <x:c r="AB814" s="16" t="n">
        <x:v>15.901060070671377</x:v>
      </x:c>
      <x:c r="AC814" s="16" t="n">
        <x:v>62.19081272084806</x:v>
      </x:c>
      <x:c r="AD814" s="16" t="n">
        <x:v>94.6951219512195</x:v>
      </x:c>
      <x:c r="AE814" s="16" t="n">
        <x:v>72.30078753601441</x:v>
      </x:c>
      <x:c r="AF814" t="str">
        <x:v>검토</x:v>
      </x:c>
      <x:c r="AG814" t="str">
        <x:v>수요·직장수요 강점 / 경쟁여건 상대적 약점</x:v>
      </x:c>
    </x:row>
    <x:row r="815">
      <x:c r="A815" t="str">
        <x:v>3120081</x:v>
      </x:c>
      <x:c r="B815" t="str">
        <x:v>노원역</x:v>
      </x:c>
      <x:c r="C815" t="str">
        <x:v>발달상권</x:v>
      </x:c>
      <x:c r="D815" t="str">
        <x:v>노원구</x:v>
      </x:c>
      <x:c r="E815" t="str">
        <x:v>상계2동</x:v>
      </x:c>
      <x:c r="F815" t="str">
        <x:v>CS200016</x:v>
      </x:c>
      <x:c r="G815" t="str">
        <x:v>당구장</x:v>
      </x:c>
      <x:c r="H815" t="n">
        <x:v>201643774</x:v>
      </x:c>
      <x:c r="I815" t="n">
        <x:v>5746</x:v>
      </x:c>
      <x:c r="J815" t="n">
        <x:v>35092.894883397144</x:v>
      </x:c>
      <x:c r="K815" s="14" t="n">
        <x:v>0.1738740751584169</x:v>
      </x:c>
      <x:c r="L815" s="14" t="n">
        <x:v>0.052763611334009974</x:v>
      </x:c>
      <x:c r="M815" s="14" t="n">
        <x:v>0.07602781601598463</x:v>
      </x:c>
      <x:c r="N815" t="n">
        <x:v>21</x:v>
      </x:c>
      <x:c r="O815" t="n">
        <x:v>1</x:v>
      </x:c>
      <x:c r="P815" s="14" t="n">
        <x:v>0.038461538461538464</x:v>
      </x:c>
      <x:c r="Q815" s="14" t="n">
        <x:v>0</x:v>
      </x:c>
      <x:c r="R815" s="14" t="n">
        <x:v>0.16666666666666674</x:v>
      </x:c>
      <x:c r="S815" t="n">
        <x:v>5934</x:v>
      </x:c>
      <x:c r="T815" t="n">
        <x:v>221.67184050386078</x:v>
      </x:c>
      <x:c r="U815" s="14" t="n">
        <x:v>0.5862228357221682</x:v>
      </x:c>
      <x:c r="V815" s="14" t="n">
        <x:v>0.44918315206697135</x:v>
      </x:c>
      <x:c r="W815" s="14" t="n">
        <x:v>0.10159470631609979</x:v>
      </x:c>
      <x:c r="X815" s="14" t="n">
        <x:v>0.4718839769384598</x:v>
      </x:c>
      <x:c r="Y815" s="16" t="n">
        <x:v>92.33038348082596</x:v>
      </x:c>
      <x:c r="Z815" s="16" t="n">
        <x:v>89.50617283950618</x:v>
      </x:c>
      <x:c r="AA815" s="16" t="n">
        <x:v>80.32786885245902</x:v>
      </x:c>
      <x:c r="AB815" s="16" t="n">
        <x:v>19.174041297935105</x:v>
      </x:c>
      <x:c r="AC815" s="16" t="n">
        <x:v>32.44837758112094</x:v>
      </x:c>
      <x:c r="AD815" s="16" t="n">
        <x:v>78.23170731707317</x:v>
      </x:c>
      <x:c r="AE815" s="16" t="n">
        <x:v>72.29857843271519</x:v>
      </x:c>
      <x:c r="AF815" t="str">
        <x:v>검토</x:v>
      </x:c>
      <x:c r="AG815" t="str">
        <x:v>수요·상권 모멘텀 강점 / 경쟁여건 상대적 약점</x:v>
      </x:c>
    </x:row>
    <x:row r="816">
      <x:c r="A816" t="str">
        <x:v>3111072</x:v>
      </x:c>
      <x:c r="B816" t="str">
        <x:v>굽은다리역 1번(십자성마을)</x:v>
      </x:c>
      <x:c r="C816" t="str">
        <x:v>골목상권</x:v>
      </x:c>
      <x:c r="D816" t="str">
        <x:v>강동구</x:v>
      </x:c>
      <x:c r="E816" t="str">
        <x:v>천호1동</x:v>
      </x:c>
      <x:c r="F816" t="str">
        <x:v>CS300035</x:v>
      </x:c>
      <x:c r="G816" t="str">
        <x:v>인테리어</x:v>
      </x:c>
      <x:c r="H816" t="n">
        <x:v>279791533</x:v>
      </x:c>
      <x:c r="I816" t="n">
        <x:v>2689</x:v>
      </x:c>
      <x:c r="J816" t="n">
        <x:v>104050.4027519524</x:v>
      </x:c>
      <x:c r="K816" s="14" t="n">
        <x:v>0.3346047893412747</x:v>
      </x:c>
      <x:c r="L816" s="14" t="n">
        <x:v>0.20213561276420866</x:v>
      </x:c>
      <x:c r="M816" s="14" t="n">
        <x:v>0.044160820891303576</x:v>
      </x:c>
      <x:c r="N816" t="n">
        <x:v>16</x:v>
      </x:c>
      <x:c r="O816" t="n">
        <x:v>0</x:v>
      </x:c>
      <x:c r="P816" s="14" t="n">
        <x:v>0</x:v>
      </x:c>
      <x:c r="Q816" s="14" t="n">
        <x:v>0</x:v>
      </x:c>
      <x:c r="R816" s="14" t="n">
        <x:v>0</x:v>
      </x:c>
      <x:c r="S816" t="n">
        <x:v>445</x:v>
      </x:c>
      <x:c r="T816" t="n">
        <x:v>29.036762498858103</x:v>
      </x:c>
      <x:c r="U816" s="14" t="n">
        <x:v>0.811698912275519</x:v>
      </x:c>
      <x:c r="V816" s="14" t="n">
        <x:v>0.02932925779423068</x:v>
      </x:c>
      <x:c r="W816" s="14" t="n">
        <x:v>0.020714865592448076</x:v>
      </x:c>
      <x:c r="X816" s="14" t="n">
        <x:v>0.266146663558972</x:v>
      </x:c>
      <x:c r="Y816" s="16" t="n">
        <x:v>82.6086956521739</x:v>
      </x:c>
      <x:c r="Z816" s="16" t="n">
        <x:v>77.07006369426752</x:v>
      </x:c>
      <x:c r="AA816" s="16" t="n">
        <x:v>98.36065573770492</x:v>
      </x:c>
      <x:c r="AB816" s="16" t="n">
        <x:v>41.03260869565217</x:v>
      </x:c>
      <x:c r="AC816" s="16" t="n">
        <x:v>60.32608695652174</x:v>
      </x:c>
      <x:c r="AD816" s="16" t="n">
        <x:v>20.48780487804878</x:v>
      </x:c>
      <x:c r="AE816" s="16" t="n">
        <x:v>72.29304482167255</x:v>
      </x:c>
      <x:c r="AF816" t="str">
        <x:v>검토</x:v>
      </x:c>
      <x:c r="AG816" t="str">
        <x:v>서울 업종추세·수요 강점 / 직장수요 상대적 약점</x:v>
      </x:c>
    </x:row>
    <x:row r="817">
      <x:c r="A817" t="str">
        <x:v>3120222</x:v>
      </x:c>
      <x:c r="B817" t="str">
        <x:v>삼성역</x:v>
      </x:c>
      <x:c r="C817" t="str">
        <x:v>발달상권</x:v>
      </x:c>
      <x:c r="D817" t="str">
        <x:v>강남구</x:v>
      </x:c>
      <x:c r="E817" t="str">
        <x:v>대치2동</x:v>
      </x:c>
      <x:c r="F817" t="str">
        <x:v>CS200028</x:v>
      </x:c>
      <x:c r="G817" t="str">
        <x:v>미용실</x:v>
      </x:c>
      <x:c r="H817" t="n">
        <x:v>634539982</x:v>
      </x:c>
      <x:c r="I817" t="n">
        <x:v>5866</x:v>
      </x:c>
      <x:c r="J817" t="n">
        <x:v>108172.51653596999</x:v>
      </x:c>
      <x:c r="K817" s="14" t="n">
        <x:v>0.07887505062286215</x:v>
      </x:c>
      <x:c r="L817" s="14" t="n">
        <x:v>0.02168887159425803</x:v>
      </x:c>
      <x:c r="M817" s="14" t="n">
        <x:v>-0.013481964371473865</x:v>
      </x:c>
      <x:c r="N817" t="n">
        <x:v>69</x:v>
      </x:c>
      <x:c r="O817" t="n">
        <x:v>1</x:v>
      </x:c>
      <x:c r="P817" s="14" t="n">
        <x:v>0.013513513513513514</x:v>
      </x:c>
      <x:c r="Q817" s="14" t="n">
        <x:v>0.043478260869565216</x:v>
      </x:c>
      <x:c r="R817" s="14" t="n">
        <x:v>0.014705882352941124</x:v>
      </x:c>
      <x:c r="S817" t="n">
        <x:v>109259</x:v>
      </x:c>
      <x:c r="T817" t="n">
        <x:v>3066.170507132293</x:v>
      </x:c>
      <x:c r="U817" s="14" t="n">
        <x:v>0.7564173710333669</x:v>
      </x:c>
      <x:c r="V817" s="14" t="n">
        <x:v>0.3481749886014275</x:v>
      </x:c>
      <x:c r="W817" s="14" t="n">
        <x:v>0.17093297676552083</x:v>
      </x:c>
      <x:c r="X817" s="14" t="n">
        <x:v>0.46180984699558303</x:v>
      </x:c>
      <x:c r="Y817" s="16" t="n">
        <x:v>95.16562220232767</x:v>
      </x:c>
      <x:c r="Z817" s="16" t="n">
        <x:v>79.5863309352518</x:v>
      </x:c>
      <x:c r="AA817" s="16" t="n">
        <x:v>57.377049180327866</x:v>
      </x:c>
      <x:c r="AB817" s="16" t="n">
        <x:v>35.541629364368845</x:v>
      </x:c>
      <x:c r="AC817" s="16" t="n">
        <x:v>41.36078782452999</x:v>
      </x:c>
      <x:c r="AD817" s="16" t="n">
        <x:v>99.57317073170732</x:v>
      </x:c>
      <x:c r="AE817" s="16" t="n">
        <x:v>72.27777305860792</x:v>
      </x:c>
      <x:c r="AF817" t="str">
        <x:v>검토</x:v>
      </x:c>
      <x:c r="AG817" t="str">
        <x:v>직장수요·수요 강점 / 경쟁여건 상대적 약점</x:v>
      </x:c>
    </x:row>
    <x:row r="818">
      <x:c r="A818" t="str">
        <x:v>3130120</x:v>
      </x:c>
      <x:c r="B818" t="str">
        <x:v>돈암시장(돈암제일시장)</x:v>
      </x:c>
      <x:c r="C818" t="str">
        <x:v>전통시장</x:v>
      </x:c>
      <x:c r="D818" t="str">
        <x:v>성북구</x:v>
      </x:c>
      <x:c r="E818" t="str">
        <x:v>삼선동</x:v>
      </x:c>
      <x:c r="F818" t="str">
        <x:v>CS200006</x:v>
      </x:c>
      <x:c r="G818" t="str">
        <x:v>일반의원</x:v>
      </x:c>
      <x:c r="H818" t="n">
        <x:v>4405754913</x:v>
      </x:c>
      <x:c r="I818" t="n">
        <x:v>90319</x:v>
      </x:c>
      <x:c r="J818" t="n">
        <x:v>48779.93459847873</x:v>
      </x:c>
      <x:c r="K818" s="14" t="n">
        <x:v>0.05485081345792131</x:v>
      </x:c>
      <x:c r="L818" s="14" t="n">
        <x:v>0.09973642051122278</x:v>
      </x:c>
      <x:c r="M818" s="14" t="n">
        <x:v>0.06942273842247415</x:v>
      </x:c>
      <x:c r="N818" t="n">
        <x:v>29</x:v>
      </x:c>
      <x:c r="O818" t="n">
        <x:v>0</x:v>
      </x:c>
      <x:c r="P818" s="14" t="n">
        <x:v>0</x:v>
      </x:c>
      <x:c r="Q818" s="14" t="n">
        <x:v>0</x:v>
      </x:c>
      <x:c r="R818" s="14" t="n">
        <x:v>0.07407407407407418</x:v>
      </x:c>
      <x:c r="S818" t="n">
        <x:v>319</x:v>
      </x:c>
      <x:c r="T818" t="n">
        <x:v>156.8955341333858</x:v>
      </x:c>
      <x:c r="U818" s="14" t="n">
        <x:v>0.8435479420414143</x:v>
      </x:c>
      <x:c r="V818" s="14" t="n">
        <x:v>0.19108887980033673</x:v>
      </x:c>
      <x:c r="W818" s="14" t="n">
        <x:v>0.26852805736177815</x:v>
      </x:c>
      <x:c r="X818" s="14" t="n">
        <x:v>0.6885647635660935</x:v>
      </x:c>
      <x:c r="Y818" s="16" t="n">
        <x:v>82.59187620889749</x:v>
      </x:c>
      <x:c r="Z818" s="16" t="n">
        <x:v>65.89147286821705</x:v>
      </x:c>
      <x:c r="AA818" s="16" t="n">
        <x:v>90.1639344262295</x:v>
      </x:c>
      <x:c r="AB818" s="16" t="n">
        <x:v>45.736434108527135</x:v>
      </x:c>
      <x:c r="AC818" s="16" t="n">
        <x:v>62.5</x:v>
      </x:c>
      <x:c r="AD818" s="16" t="n">
        <x:v>71.09756097560975</x:v>
      </x:c>
      <x:c r="AE818" s="16" t="n">
        <x:v>72.27538457575153</x:v>
      </x:c>
      <x:c r="AF818" t="str">
        <x:v>검토</x:v>
      </x:c>
      <x:c r="AG818" t="str">
        <x:v>서울 업종추세·수요 강점 / 경쟁여건 상대적 약점</x:v>
      </x:c>
    </x:row>
    <x:row r="819">
      <x:c r="A819" t="str">
        <x:v>3130117</x:v>
      </x:c>
      <x:c r="B819" t="str">
        <x:v>정릉시장</x:v>
      </x:c>
      <x:c r="C819" t="str">
        <x:v>전통시장</x:v>
      </x:c>
      <x:c r="D819" t="str">
        <x:v>성북구</x:v>
      </x:c>
      <x:c r="E819" t="str">
        <x:v>정릉3동</x:v>
      </x:c>
      <x:c r="F819" t="str">
        <x:v>CS100010</x:v>
      </x:c>
      <x:c r="G819" t="str">
        <x:v>커피-음료</x:v>
      </x:c>
      <x:c r="H819" t="n">
        <x:v>254112004</x:v>
      </x:c>
      <x:c r="I819" t="n">
        <x:v>44259</x:v>
      </x:c>
      <x:c r="J819" t="n">
        <x:v>5741.476400280169</x:v>
      </x:c>
      <x:c r="K819" s="14" t="n">
        <x:v>0.27890911317560696</x:v>
      </x:c>
      <x:c r="L819" s="14" t="n">
        <x:v>-0.00844757257331652</x:v>
      </x:c>
      <x:c r="M819" s="14" t="n">
        <x:v>0.016227780215539944</x:v>
      </x:c>
      <x:c r="N819" t="n">
        <x:v>28</x:v>
      </x:c>
      <x:c r="O819" t="n">
        <x:v>0</x:v>
      </x:c>
      <x:c r="P819" s="14" t="n">
        <x:v>0</x:v>
      </x:c>
      <x:c r="Q819" s="14" t="n">
        <x:v>0.10714285714285714</x:v>
      </x:c>
      <x:c r="R819" s="14" t="n">
        <x:v>0.33333333333333326</x:v>
      </x:c>
      <x:c r="S819" t="n">
        <x:v>336</x:v>
      </x:c>
      <x:c r="T819" t="n">
        <x:v>63.01811770884129</x:v>
      </x:c>
      <x:c r="U819" s="14" t="n">
        <x:v>0.6400720329607097</x:v>
      </x:c>
      <x:c r="V819" s="14" t="n">
        <x:v>0.24824571058044154</x:v>
      </x:c>
      <x:c r="W819" s="14" t="n">
        <x:v>0.3832306835847078</x:v>
      </x:c>
      <x:c r="X819" s="14" t="n">
        <x:v>0.6052693834959485</x:v>
      </x:c>
      <x:c r="Y819" s="16" t="n">
        <x:v>64.7940074906367</x:v>
      </x:c>
      <x:c r="Z819" s="16" t="n">
        <x:v>95.9203036053131</x:v>
      </x:c>
      <x:c r="AA819" s="16" t="n">
        <x:v>37.704918032786885</x:v>
      </x:c>
      <x:c r="AB819" s="16" t="n">
        <x:v>88.06179775280899</x:v>
      </x:c>
      <x:c r="AC819" s="16" t="n">
        <x:v>93.25842696629213</x:v>
      </x:c>
      <x:c r="AD819" s="16" t="n">
        <x:v>44.329268292682926</x:v>
      </x:c>
      <x:c r="AE819" s="16" t="n">
        <x:v>72.2692768218882</x:v>
      </x:c>
      <x:c r="AF819" t="str">
        <x:v>검토</x:v>
      </x:c>
      <x:c r="AG819" t="str">
        <x:v>상권 모멘텀·안정성 강점 / 서울 업종추세 상대적 약점</x:v>
      </x:c>
    </x:row>
    <x:row r="820">
      <x:c r="A820" t="str">
        <x:v>3110425</x:v>
      </x:c>
      <x:c r="B820" t="str">
        <x:v>계상초등학교</x:v>
      </x:c>
      <x:c r="C820" t="str">
        <x:v>골목상권</x:v>
      </x:c>
      <x:c r="D820" t="str">
        <x:v>노원구</x:v>
      </x:c>
      <x:c r="E820" t="str">
        <x:v>상계5동</x:v>
      </x:c>
      <x:c r="F820" t="str">
        <x:v>CS300010</x:v>
      </x:c>
      <x:c r="G820" t="str">
        <x:v>반찬가게</x:v>
      </x:c>
      <x:c r="H820" t="n">
        <x:v>1356558043</x:v>
      </x:c>
      <x:c r="I820" t="n">
        <x:v>1628</x:v>
      </x:c>
      <x:c r="J820" t="n">
        <x:v>833266.6111793612</x:v>
      </x:c>
      <x:c r="K820" s="14" t="n">
        <x:v>0.29589848340300207</x:v>
      </x:c>
      <x:c r="L820" s="14" t="n">
        <x:v>0.02346021551670452</x:v>
      </x:c>
      <x:c r="M820" s="14" t="n">
        <x:v>0.024589273784872745</x:v>
      </x:c>
      <x:c r="N820" t="n">
        <x:v>27</x:v>
      </x:c>
      <x:c r="O820" t="n">
        <x:v>0</x:v>
      </x:c>
      <x:c r="P820" s="14" t="n">
        <x:v>0</x:v>
      </x:c>
      <x:c r="Q820" s="14" t="n">
        <x:v>0</x:v>
      </x:c>
      <x:c r="R820" s="14" t="n">
        <x:v>0.03846153846153855</x:v>
      </x:c>
      <x:c r="S820" t="n">
        <x:v>307</x:v>
      </x:c>
      <x:c r="T820" t="n">
        <x:v>29.4408162873884</x:v>
      </x:c>
      <x:c r="U820" s="14" t="n">
        <x:v>0.9965111209030663</x:v>
      </x:c>
      <x:c r="V820" s="14" t="n">
        <x:v>0</x:v>
      </x:c>
      <x:c r="W820" s="14" t="n">
        <x:v>0.9406890538778074</x:v>
      </x:c>
      <x:c r="X820" s="14" t="n">
        <x:v>0.9422154382523535</x:v>
      </x:c>
      <x:c r="Y820" s="16" t="n">
        <x:v>81.70426065162907</x:v>
      </x:c>
      <x:c r="Z820" s="16" t="n">
        <x:v>90</x:v>
      </x:c>
      <x:c r="AA820" s="16" t="n">
        <x:v>63.9344262295082</x:v>
      </x:c>
      <x:c r="AB820" s="16" t="n">
        <x:v>50.87719298245614</x:v>
      </x:c>
      <x:c r="AC820" s="16" t="n">
        <x:v>73.93483709273183</x:v>
      </x:c>
      <x:c r="AD820" s="16" t="n">
        <x:v>21.097560975609756</x:v>
      </x:c>
      <x:c r="AE820" s="16" t="n">
        <x:v>72.2665958679185</x:v>
      </x:c>
      <x:c r="AF820" t="str">
        <x:v>검토</x:v>
      </x:c>
      <x:c r="AG820" t="str">
        <x:v>상권 모멘텀·수요 강점 / 직장수요 상대적 약점</x:v>
      </x:c>
    </x:row>
    <x:row r="821">
      <x:c r="A821" t="str">
        <x:v>3110651</x:v>
      </x:c>
      <x:c r="B821" t="str">
        <x:v>화원중학교</x:v>
      </x:c>
      <x:c r="C821" t="str">
        <x:v>골목상권</x:v>
      </x:c>
      <x:c r="D821" t="str">
        <x:v>강서구</x:v>
      </x:c>
      <x:c r="E821" t="str">
        <x:v>화곡1동</x:v>
      </x:c>
      <x:c r="F821" t="str">
        <x:v>CS200001</x:v>
      </x:c>
      <x:c r="G821" t="str">
        <x:v>일반교습학원</x:v>
      </x:c>
      <x:c r="H821" t="n">
        <x:v>1103179753</x:v>
      </x:c>
      <x:c r="I821" t="n">
        <x:v>2528</x:v>
      </x:c>
      <x:c r="J821" t="n">
        <x:v>436384.39596518985</x:v>
      </x:c>
      <x:c r="K821" s="14" t="n">
        <x:v>0.0610191448541928</x:v>
      </x:c>
      <x:c r="L821" s="14" t="n">
        <x:v>0.026465986538897424</x:v>
      </x:c>
      <x:c r="M821" s="14" t="n">
        <x:v>0.05930632525283164</x:v>
      </x:c>
      <x:c r="N821" t="n">
        <x:v>50</x:v>
      </x:c>
      <x:c r="O821" t="n">
        <x:v>0</x:v>
      </x:c>
      <x:c r="P821" s="14" t="n">
        <x:v>0</x:v>
      </x:c>
      <x:c r="Q821" s="14" t="n">
        <x:v>0.18</x:v>
      </x:c>
      <x:c r="R821" s="14" t="n">
        <x:v>0.08695652173913038</x:v>
      </x:c>
      <x:c r="S821" t="n">
        <x:v>502</x:v>
      </x:c>
      <x:c r="T821" t="n">
        <x:v>35.13585396923163</x:v>
      </x:c>
      <x:c r="U821" s="14" t="n">
        <x:v>0.8857248470549115</x:v>
      </x:c>
      <x:c r="V821" s="14" t="n">
        <x:v>0.4994024949259561</x:v>
      </x:c>
      <x:c r="W821" s="14" t="n">
        <x:v>0.04502821581425452</x:v>
      </x:c>
      <x:c r="X821" s="14" t="n">
        <x:v>0.4268105680144766</x:v>
      </x:c>
      <x:c r="Y821" s="16" t="n">
        <x:v>84.93788819875776</x:v>
      </x:c>
      <x:c r="Z821" s="16" t="n">
        <x:v>69.64285714285714</x:v>
      </x:c>
      <x:c r="AA821" s="16" t="n">
        <x:v>70.49180327868852</x:v>
      </x:c>
      <x:c r="AB821" s="16" t="n">
        <x:v>55.66770186335404</x:v>
      </x:c>
      <x:c r="AC821" s="16" t="n">
        <x:v>83.92857142857143</x:v>
      </x:c>
      <x:c r="AD821" s="16" t="n">
        <x:v>25.79268292682927</x:v>
      </x:c>
      <x:c r="AE821" s="16" t="n">
        <x:v>72.26324935864164</x:v>
      </x:c>
      <x:c r="AF821" t="str">
        <x:v>검토</x:v>
      </x:c>
      <x:c r="AG821" t="str">
        <x:v>수요·안정성 강점 / 직장수요 상대적 약점</x:v>
      </x:c>
    </x:row>
    <x:row r="822">
      <x:c r="A822" t="str">
        <x:v>3120052</x:v>
      </x:c>
      <x:c r="B822" t="str">
        <x:v>성수역</x:v>
      </x:c>
      <x:c r="C822" t="str">
        <x:v>발달상권</x:v>
      </x:c>
      <x:c r="D822" t="str">
        <x:v>성동구</x:v>
      </x:c>
      <x:c r="E822" t="str">
        <x:v>성수2가3동</x:v>
      </x:c>
      <x:c r="F822" t="str">
        <x:v>CS300020</x:v>
      </x:c>
      <x:c r="G822" t="str">
        <x:v>서적</x:v>
      </x:c>
      <x:c r="H822" t="n">
        <x:v>363971221</x:v>
      </x:c>
      <x:c r="I822" t="n">
        <x:v>248</x:v>
      </x:c>
      <x:c r="J822" t="n">
        <x:v>1467625.8911290322</x:v>
      </x:c>
      <x:c r="K822" s="14" t="n">
        <x:v>0.3144853436168522</x:v>
      </x:c>
      <x:c r="L822" s="14" t="n">
        <x:v>0.20039418624921757</x:v>
      </x:c>
      <x:c r="M822" s="14" t="n">
        <x:v>-0.01061516125540185</x:v>
      </x:c>
      <x:c r="N822" t="n">
        <x:v>29</x:v>
      </x:c>
      <x:c r="O822" t="n">
        <x:v>0</x:v>
      </x:c>
      <x:c r="P822" s="14" t="n">
        <x:v>0</x:v>
      </x:c>
      <x:c r="Q822" s="14" t="n">
        <x:v>0</x:v>
      </x:c>
      <x:c r="R822" s="14" t="n">
        <x:v>-0.033333333333333326</x:v>
      </x:c>
      <x:c r="S822" t="n">
        <x:v>11354</x:v>
      </x:c>
      <x:c r="T822" t="n">
        <x:v>379.8099277779079</x:v>
      </x:c>
      <x:c r="U822" s="14" t="n">
        <x:v>0.4373088689888479</x:v>
      </x:c>
      <x:c r="V822" s="14" t="n">
        <x:v>0.18756371125287402</x:v>
      </x:c>
      <x:c r="W822" s="14" t="n">
        <x:v>0.8002038738112209</x:v>
      </x:c>
      <x:c r="X822" s="14" t="n">
        <x:v>0.28746177434726355</x:v>
      </x:c>
      <x:c r="Y822" s="16" t="n">
        <x:v>73.8255033557047</x:v>
      </x:c>
      <x:c r="Z822" s="16" t="n">
        <x:v>93.57142857142857</x:v>
      </x:c>
      <x:c r="AA822" s="16" t="n">
        <x:v>96.72131147540983</x:v>
      </x:c>
      <x:c r="AB822" s="16" t="n">
        <x:v>19.463087248322154</x:v>
      </x:c>
      <x:c r="AC822" s="16" t="n">
        <x:v>59.395973154362416</x:v>
      </x:c>
      <x:c r="AD822" s="16" t="n">
        <x:v>86.82926829268293</x:v>
      </x:c>
      <x:c r="AE822" s="16" t="n">
        <x:v>72.26193242741255</x:v>
      </x:c>
      <x:c r="AF822" t="str">
        <x:v>검토</x:v>
      </x:c>
      <x:c r="AG822" t="str">
        <x:v>서울 업종추세·상권 모멘텀 강점 / 경쟁여건 상대적 약점</x:v>
      </x:c>
    </x:row>
    <x:row r="823">
      <x:c r="A823" t="str">
        <x:v>3110891</x:v>
      </x:c>
      <x:c r="B823" t="str">
        <x:v>구암초등학교</x:v>
      </x:c>
      <x:c r="C823" t="str">
        <x:v>골목상권</x:v>
      </x:c>
      <x:c r="D823" t="str">
        <x:v>관악구</x:v>
      </x:c>
      <x:c r="E823" t="str">
        <x:v>성현동</x:v>
      </x:c>
      <x:c r="F823" t="str">
        <x:v>CS200001</x:v>
      </x:c>
      <x:c r="G823" t="str">
        <x:v>일반교습학원</x:v>
      </x:c>
      <x:c r="H823" t="n">
        <x:v>1113253724</x:v>
      </x:c>
      <x:c r="I823" t="n">
        <x:v>3373</x:v>
      </x:c>
      <x:c r="J823" t="n">
        <x:v>330048.5395790098</x:v>
      </x:c>
      <x:c r="K823" s="14" t="n">
        <x:v>0.2235572997400188</x:v>
      </x:c>
      <x:c r="L823" s="14" t="n">
        <x:v>0.026465986538897424</x:v>
      </x:c>
      <x:c r="M823" s="14" t="n">
        <x:v>0.05930632525283164</x:v>
      </x:c>
      <x:c r="N823" t="n">
        <x:v>98</x:v>
      </x:c>
      <x:c r="O823" t="n">
        <x:v>1</x:v>
      </x:c>
      <x:c r="P823" s="14" t="n">
        <x:v>0.009708737864077669</x:v>
      </x:c>
      <x:c r="Q823" s="14" t="n">
        <x:v>0.12244897959183673</x:v>
      </x:c>
      <x:c r="R823" s="14" t="n">
        <x:v>0.2250000000000001</x:v>
      </x:c>
      <x:c r="S823" t="n">
        <x:v>1287</x:v>
      </x:c>
      <x:c r="T823" t="n">
        <x:v>317.70717618307043</x:v>
      </x:c>
      <x:c r="U823" s="14" t="n">
        <x:v>0.9064969891805186</x:v>
      </x:c>
      <x:c r="V823" s="14" t="n">
        <x:v>0.45860325817333625</x:v>
      </x:c>
      <x:c r="W823" s="14" t="n">
        <x:v>0.03020497508796117</x:v>
      </x:c>
      <x:c r="X823" s="14" t="n">
        <x:v>0.5111861588526786</x:v>
      </x:c>
      <x:c r="Y823" s="16" t="n">
        <x:v>85.09316770186335</x:v>
      </x:c>
      <x:c r="Z823" s="16" t="n">
        <x:v>90.9090909090909</x:v>
      </x:c>
      <x:c r="AA823" s="16" t="n">
        <x:v>70.49180327868852</x:v>
      </x:c>
      <x:c r="AB823" s="16" t="n">
        <x:v>21.040372670807457</x:v>
      </x:c>
      <x:c r="AC823" s="16" t="n">
        <x:v>63.43167701863354</x:v>
      </x:c>
      <x:c r="AD823" s="16" t="n">
        <x:v>84.45121951219512</x:v>
      </x:c>
      <x:c r="AE823" s="16" t="n">
        <x:v>72.25998194736786</x:v>
      </x:c>
      <x:c r="AF823" t="str">
        <x:v>검토</x:v>
      </x:c>
      <x:c r="AG823" t="str">
        <x:v>상권 모멘텀·수요 강점 / 경쟁여건 상대적 약점</x:v>
      </x:c>
    </x:row>
    <x:row r="824">
      <x:c r="A824" t="str">
        <x:v>3120157</x:v>
      </x:c>
      <x:c r="B824" t="str">
        <x:v>신림역(신림)</x:v>
      </x:c>
      <x:c r="C824" t="str">
        <x:v>발달상권</x:v>
      </x:c>
      <x:c r="D824" t="str">
        <x:v>관악구</x:v>
      </x:c>
      <x:c r="E824" t="str">
        <x:v>신림동</x:v>
      </x:c>
      <x:c r="F824" t="str">
        <x:v>CS300028</x:v>
      </x:c>
      <x:c r="G824" t="str">
        <x:v>화초</x:v>
      </x:c>
      <x:c r="H824" t="n">
        <x:v>82582453</x:v>
      </x:c>
      <x:c r="I824" t="n">
        <x:v>4010</x:v>
      </x:c>
      <x:c r="J824" t="n">
        <x:v>20594.127930174564</x:v>
      </x:c>
      <x:c r="K824" s="14" t="n">
        <x:v>0.010846195922349366</x:v>
      </x:c>
      <x:c r="L824" s="14" t="n">
        <x:v>0.028008199294863756</x:v>
      </x:c>
      <x:c r="M824" s="14" t="n">
        <x:v>-0.0030123365554672876</x:v>
      </x:c>
      <x:c r="N824" t="n">
        <x:v>5</x:v>
      </x:c>
      <x:c r="O824" t="n">
        <x:v>0</x:v>
      </x:c>
      <x:c r="P824" s="14" t="n">
        <x:v>0</x:v>
      </x:c>
      <x:c r="Q824" s="14" t="n">
        <x:v>0</x:v>
      </x:c>
      <x:c r="R824" s="14" t="n">
        <x:v>0.6666666666666667</x:v>
      </x:c>
      <x:c r="S824" t="n">
        <x:v>1622</x:v>
      </x:c>
      <x:c r="T824" t="n">
        <x:v>68.17560893596452</x:v>
      </x:c>
      <x:c r="U824" s="14" t="n">
        <x:v>0.6673234446063258</x:v>
      </x:c>
      <x:c r="V824" s="14" t="n">
        <x:v>0.5123062401646025</x:v>
      </x:c>
      <x:c r="W824" s="14" t="n">
        <x:v>0.7729054015869449</x:v>
      </x:c>
      <x:c r="X824" s="14" t="n">
        <x:v>0.39373145043293883</x:v>
      </x:c>
      <x:c r="Y824" s="16" t="n">
        <x:v>68.45637583892618</x:v>
      </x:c>
      <x:c r="Z824" s="16" t="n">
        <x:v>69.86301369863014</x:v>
      </x:c>
      <x:c r="AA824" s="16" t="n">
        <x:v>73.77049180327869</x:v>
      </x:c>
      <x:c r="AB824" s="16" t="n">
        <x:v>94.96644295302013</x:v>
      </x:c>
      <x:c r="AC824" s="16" t="n">
        <x:v>66.7785234899329</x:v>
      </x:c>
      <x:c r="AD824" s="16" t="n">
        <x:v>46.76829268292683</x:v>
      </x:c>
      <x:c r="AE824" s="16" t="n">
        <x:v>72.25914147993464</x:v>
      </x:c>
      <x:c r="AF824" t="str">
        <x:v>검토</x:v>
      </x:c>
      <x:c r="AG824" t="str">
        <x:v>경쟁여건·서울 업종추세 강점 / 직장수요 상대적 약점</x:v>
      </x:c>
    </x:row>
    <x:row r="825">
      <x:c r="A825" t="str">
        <x:v>3120007</x:v>
      </x:c>
      <x:c r="B825" t="str">
        <x:v>북촌(안국역)</x:v>
      </x:c>
      <x:c r="C825" t="str">
        <x:v>발달상권</x:v>
      </x:c>
      <x:c r="D825" t="str">
        <x:v>종로구</x:v>
      </x:c>
      <x:c r="E825" t="str">
        <x:v>가회동</x:v>
      </x:c>
      <x:c r="F825" t="str">
        <x:v>CS100003</x:v>
      </x:c>
      <x:c r="G825" t="str">
        <x:v>일식음식점</x:v>
      </x:c>
      <x:c r="H825" t="n">
        <x:v>1011849087</x:v>
      </x:c>
      <x:c r="I825" t="n">
        <x:v>26810</x:v>
      </x:c>
      <x:c r="J825" t="n">
        <x:v>37741.48030585602</x:v>
      </x:c>
      <x:c r="K825" s="14" t="n">
        <x:v>0.02158133434032572</x:v>
      </x:c>
      <x:c r="L825" s="14" t="n">
        <x:v>0.048235937606500245</x:v>
      </x:c>
      <x:c r="M825" s="14" t="n">
        <x:v>-0.004288267098710441</x:v>
      </x:c>
      <x:c r="N825" t="n">
        <x:v>10</x:v>
      </x:c>
      <x:c r="O825" t="n">
        <x:v>0</x:v>
      </x:c>
      <x:c r="P825" s="14" t="n">
        <x:v>0</x:v>
      </x:c>
      <x:c r="Q825" s="14" t="n">
        <x:v>0.1</x:v>
      </x:c>
      <x:c r="R825" s="14" t="n">
        <x:v>1.5</x:v>
      </x:c>
      <x:c r="S825" t="n">
        <x:v>12202</x:v>
      </x:c>
      <x:c r="T825" t="n">
        <x:v>617.275831541672</x:v>
      </x:c>
      <x:c r="U825" s="14" t="n">
        <x:v>0.6223357762440714</x:v>
      </x:c>
      <x:c r="V825" s="14" t="n">
        <x:v>0.49269960649774247</x:v>
      </x:c>
      <x:c r="W825" s="14" t="n">
        <x:v>0.531327237339297</x:v>
      </x:c>
      <x:c r="X825" s="14" t="n">
        <x:v>0.49047866561943143</x:v>
      </x:c>
      <x:c r="Y825" s="16" t="n">
        <x:v>77.67857142857143</x:v>
      </x:c>
      <x:c r="Z825" s="16" t="n">
        <x:v>39.19753086419753</x:v>
      </x:c>
      <x:c r="AA825" s="16" t="n">
        <x:v>78.68852459016394</x:v>
      </x:c>
      <x:c r="AB825" s="16" t="n">
        <x:v>84.375</x:v>
      </x:c>
      <x:c r="AC825" s="16" t="n">
        <x:v>81.10119047619048</x:v>
      </x:c>
      <x:c r="AD825" s="16" t="n">
        <x:v>92.92682926829268</x:v>
      </x:c>
      <x:c r="AE825" s="16" t="n">
        <x:v>72.24299537239777</x:v>
      </x:c>
      <x:c r="AF825" t="str">
        <x:v>검토</x:v>
      </x:c>
      <x:c r="AG825" t="str">
        <x:v>직장수요·경쟁여건 강점 / 상권 모멘텀 상대적 약점</x:v>
      </x:c>
    </x:row>
    <x:row r="826">
      <x:c r="A826" t="str">
        <x:v>3130320</x:v>
      </x:c>
      <x:c r="B826" t="str">
        <x:v>암사종합시장</x:v>
      </x:c>
      <x:c r="C826" t="str">
        <x:v>전통시장</x:v>
      </x:c>
      <x:c r="D826" t="str">
        <x:v>강동구</x:v>
      </x:c>
      <x:c r="E826" t="str">
        <x:v>암사1동</x:v>
      </x:c>
      <x:c r="F826" t="str">
        <x:v>CS300010</x:v>
      </x:c>
      <x:c r="G826" t="str">
        <x:v>반찬가게</x:v>
      </x:c>
      <x:c r="H826" t="n">
        <x:v>1165431602</x:v>
      </x:c>
      <x:c r="I826" t="n">
        <x:v>103125</x:v>
      </x:c>
      <x:c r="J826" t="n">
        <x:v>11301.154928484848</x:v>
      </x:c>
      <x:c r="K826" s="14" t="n">
        <x:v>0.23666182316529305</x:v>
      </x:c>
      <x:c r="L826" s="14" t="n">
        <x:v>0.02346021551670452</x:v>
      </x:c>
      <x:c r="M826" s="14" t="n">
        <x:v>0.024589273784872745</x:v>
      </x:c>
      <x:c r="N826" t="n">
        <x:v>38</x:v>
      </x:c>
      <x:c r="O826" t="n">
        <x:v>0</x:v>
      </x:c>
      <x:c r="P826" s="14" t="n">
        <x:v>0</x:v>
      </x:c>
      <x:c r="Q826" s="14" t="n">
        <x:v>0</x:v>
      </x:c>
      <x:c r="R826" s="14" t="n">
        <x:v>0.46153846153846145</x:v>
      </x:c>
      <x:c r="S826" t="n">
        <x:v>989</x:v>
      </x:c>
      <x:c r="T826" t="n">
        <x:v>265.85306846590146</x:v>
      </x:c>
      <x:c r="U826" s="14" t="n">
        <x:v>0.616460966707165</x:v>
      </x:c>
      <x:c r="V826" s="14" t="n">
        <x:v>0.2922550919466143</x:v>
      </x:c>
      <x:c r="W826" s="14" t="n">
        <x:v>0.1259628954183791</x:v>
      </x:c>
      <x:c r="X826" s="14" t="n">
        <x:v>0.6404783504403375</x:v>
      </x:c>
      <x:c r="Y826" s="16" t="n">
        <x:v>80.20050125313283</x:v>
      </x:c>
      <x:c r="Z826" s="16" t="n">
        <x:v>88.05555555555556</x:v>
      </x:c>
      <x:c r="AA826" s="16" t="n">
        <x:v>63.9344262295082</x:v>
      </x:c>
      <x:c r="AB826" s="16" t="n">
        <x:v>36.59147869674185</x:v>
      </x:c>
      <x:c r="AC826" s="16" t="n">
        <x:v>73.93483709273183</x:v>
      </x:c>
      <x:c r="AD826" s="16" t="n">
        <x:v>81.76829268292683</x:v>
      </x:c>
      <x:c r="AE826" s="16" t="n">
        <x:v>72.24207063206462</x:v>
      </x:c>
      <x:c r="AF826" t="str">
        <x:v>검토</x:v>
      </x:c>
      <x:c r="AG826" t="str">
        <x:v>상권 모멘텀·직장수요 강점 / 경쟁여건 상대적 약점</x:v>
      </x:c>
    </x:row>
    <x:row r="827">
      <x:c r="A827" t="str">
        <x:v>3130310</x:v>
      </x:c>
      <x:c r="B827" t="str">
        <x:v>강남개포시장</x:v>
      </x:c>
      <x:c r="C827" t="str">
        <x:v>전통시장</x:v>
      </x:c>
      <x:c r="D827" t="str">
        <x:v>강남구</x:v>
      </x:c>
      <x:c r="E827" t="str">
        <x:v>개포2동</x:v>
      </x:c>
      <x:c r="F827" t="str">
        <x:v>CS200003</x:v>
      </x:c>
      <x:c r="G827" t="str">
        <x:v>예술학원</x:v>
      </x:c>
      <x:c r="H827" t="n">
        <x:v>255719977</x:v>
      </x:c>
      <x:c r="I827" t="n">
        <x:v>654</x:v>
      </x:c>
      <x:c r="J827" t="n">
        <x:v>391009.13914373086</x:v>
      </x:c>
      <x:c r="K827" s="14" t="n">
        <x:v>0.18637131781877492</x:v>
      </x:c>
      <x:c r="L827" s="14" t="n">
        <x:v>0.09364146198394163</x:v>
      </x:c>
      <x:c r="M827" s="14" t="n">
        <x:v>0.053788091189524545</x:v>
      </x:c>
      <x:c r="N827" t="n">
        <x:v>58</x:v>
      </x:c>
      <x:c r="O827" t="n">
        <x:v>0</x:v>
      </x:c>
      <x:c r="P827" s="14" t="n">
        <x:v>0</x:v>
      </x:c>
      <x:c r="Q827" s="14" t="n">
        <x:v>0.034482758620689655</x:v>
      </x:c>
      <x:c r="R827" s="14" t="n">
        <x:v>1.0714285714285716</x:v>
      </x:c>
      <x:c r="S827" t="n">
        <x:v>5643</x:v>
      </x:c>
      <x:c r="T827" t="n">
        <x:v>2224.806812805551</x:v>
      </x:c>
      <x:c r="U827" s="14" t="n">
        <x:v>0.9740976748171692</x:v>
      </x:c>
      <x:c r="V827" s="14" t="n">
        <x:v>0.13732279899274352</x:v>
      </x:c>
      <x:c r="W827" s="14" t="n">
        <x:v>0.19506660600082878</x:v>
      </x:c>
      <x:c r="X827" s="14" t="n">
        <x:v>0.5104449661357509</x:v>
      </x:c>
      <x:c r="Y827" s="16" t="n">
        <x:v>83.26693227091633</x:v>
      </x:c>
      <x:c r="Z827" s="16" t="n">
        <x:v>80.98159509202453</x:v>
      </x:c>
      <x:c r="AA827" s="16" t="n">
        <x:v>88.52459016393442</x:v>
      </x:c>
      <x:c r="AB827" s="16" t="n">
        <x:v>8.964143426294825</x:v>
      </x:c>
      <x:c r="AC827" s="16" t="n">
        <x:v>73.20717131474103</x:v>
      </x:c>
      <x:c r="AD827" s="16" t="n">
        <x:v>99.14634146341463</x:v>
      </x:c>
      <x:c r="AE827" s="16" t="n">
        <x:v>72.24108955640484</x:v>
      </x:c>
      <x:c r="AF827" t="str">
        <x:v>검토</x:v>
      </x:c>
      <x:c r="AG827" t="str">
        <x:v>직장수요·서울 업종추세 강점 / 경쟁여건 상대적 약점</x:v>
      </x:c>
    </x:row>
    <x:row r="828">
      <x:c r="A828" t="str">
        <x:v>3120032</x:v>
      </x:c>
      <x:c r="B828" t="str">
        <x:v>충무로역</x:v>
      </x:c>
      <x:c r="C828" t="str">
        <x:v>발달상권</x:v>
      </x:c>
      <x:c r="D828" t="str">
        <x:v>중구</x:v>
      </x:c>
      <x:c r="E828" t="str">
        <x:v>필동</x:v>
      </x:c>
      <x:c r="F828" t="str">
        <x:v>CS300001</x:v>
      </x:c>
      <x:c r="G828" t="str">
        <x:v>슈퍼마켓</x:v>
      </x:c>
      <x:c r="H828" t="n">
        <x:v>1665201370</x:v>
      </x:c>
      <x:c r="I828" t="n">
        <x:v>174132</x:v>
      </x:c>
      <x:c r="J828" t="n">
        <x:v>9562.86822640296</x:v>
      </x:c>
      <x:c r="K828" s="14" t="n">
        <x:v>0.03553637441262247</x:v>
      </x:c>
      <x:c r="L828" s="14" t="n">
        <x:v>-0.02979620222776047</x:v>
      </x:c>
      <x:c r="M828" s="14" t="n">
        <x:v>-0.03099912402160654</x:v>
      </x:c>
      <x:c r="N828" t="n">
        <x:v>25</x:v>
      </x:c>
      <x:c r="O828" t="n">
        <x:v>0</x:v>
      </x:c>
      <x:c r="P828" s="14" t="n">
        <x:v>0</x:v>
      </x:c>
      <x:c r="Q828" s="14" t="n">
        <x:v>0.24</x:v>
      </x:c>
      <x:c r="R828" s="14" t="n">
        <x:v>-0.16666666666666663</x:v>
      </x:c>
      <x:c r="S828" t="n">
        <x:v>12883</x:v>
      </x:c>
      <x:c r="T828" t="n">
        <x:v>544.6988787227925</x:v>
      </x:c>
      <x:c r="U828" s="14" t="n">
        <x:v>0.7824200595030738</x:v>
      </x:c>
      <x:c r="V828" s="14" t="n">
        <x:v>0.47768950610459804</x:v>
      </x:c>
      <x:c r="W828" s="14" t="n">
        <x:v>0.34528570139237874</x:v>
      </x:c>
      <x:c r="X828" s="14" t="n">
        <x:v>0.3130978591496114</x:v>
      </x:c>
      <x:c r="Y828" s="16" t="n">
        <x:v>84.21645997745209</x:v>
      </x:c>
      <x:c r="Z828" s="16" t="n">
        <x:v>70.3962703962704</x:v>
      </x:c>
      <x:c r="AA828" s="16" t="n">
        <x:v>31.147540983606557</x:v>
      </x:c>
      <x:c r="AB828" s="16" t="n">
        <x:v>77.22660653889515</x:v>
      </x:c>
      <x:c r="AC828" s="16" t="n">
        <x:v>78.80496054114994</x:v>
      </x:c>
      <x:c r="AD828" s="16" t="n">
        <x:v>90.91463414634147</x:v>
      </x:c>
      <x:c r="AE828" s="16" t="n">
        <x:v>72.23736496116963</x:v>
      </x:c>
      <x:c r="AF828" t="str">
        <x:v>검토</x:v>
      </x:c>
      <x:c r="AG828" t="str">
        <x:v>직장수요·수요 강점 / 서울 업종추세 상대적 약점</x:v>
      </x:c>
    </x:row>
    <x:row r="829">
      <x:c r="A829" t="str">
        <x:v>3120156</x:v>
      </x:c>
      <x:c r="B829" t="str">
        <x:v>총신대입구역(이수, 총신대)</x:v>
      </x:c>
      <x:c r="C829" t="str">
        <x:v>발달상권</x:v>
      </x:c>
      <x:c r="D829" t="str">
        <x:v>동작구</x:v>
      </x:c>
      <x:c r="E829" t="str">
        <x:v>사당2동</x:v>
      </x:c>
      <x:c r="F829" t="str">
        <x:v>CS300016</x:v>
      </x:c>
      <x:c r="G829" t="str">
        <x:v>안경</x:v>
      </x:c>
      <x:c r="H829" t="n">
        <x:v>501525064</x:v>
      </x:c>
      <x:c r="I829" t="n">
        <x:v>7013</x:v>
      </x:c>
      <x:c r="J829" t="n">
        <x:v>71513.6266932839</x:v>
      </x:c>
      <x:c r="K829" s="14" t="n">
        <x:v>0.09251424723643864</x:v>
      </x:c>
      <x:c r="L829" s="14" t="n">
        <x:v>0.02313988190963734</x:v>
      </x:c>
      <x:c r="M829" s="14" t="n">
        <x:v>0.009707725123368816</x:v>
      </x:c>
      <x:c r="N829" t="n">
        <x:v>8</x:v>
      </x:c>
      <x:c r="O829" t="n">
        <x:v>0</x:v>
      </x:c>
      <x:c r="P829" s="14" t="n">
        <x:v>0</x:v>
      </x:c>
      <x:c r="Q829" s="14" t="n">
        <x:v>0.125</x:v>
      </x:c>
      <x:c r="R829" s="14" t="n">
        <x:v>-0.11111111111111116</x:v>
      </x:c>
      <x:c r="S829" t="n">
        <x:v>7436</x:v>
      </x:c>
      <x:c r="T829" t="n">
        <x:v>301.0952969044197</x:v>
      </x:c>
      <x:c r="U829" s="14" t="n">
        <x:v>0.6965448729796683</x:v>
      </x:c>
      <x:c r="V829" s="14" t="n">
        <x:v>0.4042913416586494</x:v>
      </x:c>
      <x:c r="W829" s="14" t="n">
        <x:v>0.5340342112991585</x:v>
      </x:c>
      <x:c r="X829" s="14" t="n">
        <x:v>0.6112542443142981</x:v>
      </x:c>
      <x:c r="Y829" s="16" t="n">
        <x:v>75.3623188405797</x:v>
      </x:c>
      <x:c r="Z829" s="16" t="n">
        <x:v>89.7560975609756</x:v>
      </x:c>
      <x:c r="AA829" s="16" t="n">
        <x:v>62.295081967213115</x:v>
      </x:c>
      <x:c r="AB829" s="16" t="n">
        <x:v>57.52427184466019</x:v>
      </x:c>
      <x:c r="AC829" s="16" t="n">
        <x:v>57.28155339805825</x:v>
      </x:c>
      <x:c r="AD829" s="16" t="n">
        <x:v>83.90243902439025</x:v>
      </x:c>
      <x:c r="AE829" s="16" t="n">
        <x:v>72.22421146920436</x:v>
      </x:c>
      <x:c r="AF829" t="str">
        <x:v>검토</x:v>
      </x:c>
      <x:c r="AG829" t="str">
        <x:v>상권 모멘텀·직장수요 강점 / 안정성 상대적 약점</x:v>
      </x:c>
    </x:row>
    <x:row r="830">
      <x:c r="A830" t="str">
        <x:v>3110716</x:v>
      </x:c>
      <x:c r="B830" t="str">
        <x:v>구로나눔길</x:v>
      </x:c>
      <x:c r="C830" t="str">
        <x:v>골목상권</x:v>
      </x:c>
      <x:c r="D830" t="str">
        <x:v>구로구</x:v>
      </x:c>
      <x:c r="E830" t="str">
        <x:v>구로2동</x:v>
      </x:c>
      <x:c r="F830" t="str">
        <x:v>CS100006</x:v>
      </x:c>
      <x:c r="G830" t="str">
        <x:v>패스트푸드점</x:v>
      </x:c>
      <x:c r="H830" t="n">
        <x:v>551413156</x:v>
      </x:c>
      <x:c r="I830" t="n">
        <x:v>52005</x:v>
      </x:c>
      <x:c r="J830" t="n">
        <x:v>10603.079626958946</x:v>
      </x:c>
      <x:c r="K830" s="14" t="n">
        <x:v>0.05828693405692409</x:v>
      </x:c>
      <x:c r="L830" s="14" t="n">
        <x:v>0.0037102725933797487</x:v>
      </x:c>
      <x:c r="M830" s="14" t="n">
        <x:v>0.011474434125836375</x:v>
      </x:c>
      <x:c r="N830" t="n">
        <x:v>11</x:v>
      </x:c>
      <x:c r="O830" t="n">
        <x:v>0</x:v>
      </x:c>
      <x:c r="P830" s="14" t="n">
        <x:v>0</x:v>
      </x:c>
      <x:c r="Q830" s="14" t="n">
        <x:v>0.7272727272727273</x:v>
      </x:c>
      <x:c r="R830" s="14" t="n">
        <x:v>-0.15384615384615385</x:v>
      </x:c>
      <x:c r="S830" t="n">
        <x:v>231</x:v>
      </x:c>
      <x:c r="T830" t="n">
        <x:v>45.48318500433173</x:v>
      </x:c>
      <x:c r="U830" s="14" t="n">
        <x:v>0.7374339940485569</x:v>
      </x:c>
      <x:c r="V830" s="14" t="n">
        <x:v>0.442592635566352</x:v>
      </x:c>
      <x:c r="W830" s="14" t="n">
        <x:v>0.3935676917363938</x:v>
      </x:c>
      <x:c r="X830" s="14" t="n">
        <x:v>0.37440507132187467</x:v>
      </x:c>
      <x:c r="Y830" s="16" t="n">
        <x:v>82.04488778054863</x:v>
      </x:c>
      <x:c r="Z830" s="16" t="n">
        <x:v>77.2845953002611</x:v>
      </x:c>
      <x:c r="AA830" s="16" t="n">
        <x:v>44.26229508196721</x:v>
      </x:c>
      <x:c r="AB830" s="16" t="n">
        <x:v>79.55112219451371</x:v>
      </x:c>
      <x:c r="AC830" s="16" t="n">
        <x:v>78.30423940149626</x:v>
      </x:c>
      <x:c r="AD830" s="16" t="n">
        <x:v>32.80487804878049</x:v>
      </x:c>
      <x:c r="AE830" s="16" t="n">
        <x:v>72.21531021730503</x:v>
      </x:c>
      <x:c r="AF830" t="str">
        <x:v>검토</x:v>
      </x:c>
      <x:c r="AG830" t="str">
        <x:v>수요·경쟁여건 강점 / 직장수요 상대적 약점</x:v>
      </x:c>
    </x:row>
    <x:row r="831">
      <x:c r="A831" t="str">
        <x:v>3120131</x:v>
      </x:c>
      <x:c r="B831" t="str">
        <x:v>가산디지털단지</x:v>
      </x:c>
      <x:c r="C831" t="str">
        <x:v>발달상권</x:v>
      </x:c>
      <x:c r="D831" t="str">
        <x:v>금천구</x:v>
      </x:c>
      <x:c r="E831" t="str">
        <x:v>가산동</x:v>
      </x:c>
      <x:c r="F831" t="str">
        <x:v>CS200024</x:v>
      </x:c>
      <x:c r="G831" t="str">
        <x:v>스포츠클럽</x:v>
      </x:c>
      <x:c r="H831" t="n">
        <x:v>700137205</x:v>
      </x:c>
      <x:c r="I831" t="n">
        <x:v>1951</x:v>
      </x:c>
      <x:c r="J831" t="n">
        <x:v>358860.68939005636</x:v>
      </x:c>
      <x:c r="K831" s="14" t="n">
        <x:v>0.14777922167331425</x:v>
      </x:c>
      <x:c r="L831" s="14" t="n">
        <x:v>0.03927856170757105</x:v>
      </x:c>
      <x:c r="M831" s="14" t="n">
        <x:v>-0.042593628048716026</x:v>
      </x:c>
      <x:c r="N831" t="n">
        <x:v>39</x:v>
      </x:c>
      <x:c r="O831" t="n">
        <x:v>0</x:v>
      </x:c>
      <x:c r="P831" s="14" t="n">
        <x:v>0</x:v>
      </x:c>
      <x:c r="Q831" s="14" t="n">
        <x:v>0.05128205128205128</x:v>
      </x:c>
      <x:c r="R831" s="14" t="n">
        <x:v>1.1666666666666665</x:v>
      </x:c>
      <x:c r="S831" t="n">
        <x:v>104860</x:v>
      </x:c>
      <x:c r="T831" t="n">
        <x:v>611.9209626404921</x:v>
      </x:c>
      <x:c r="U831" s="14" t="n">
        <x:v>0.9547920982145207</x:v>
      </x:c>
      <x:c r="V831" s="14" t="n">
        <x:v>0.4716303785055959</x:v>
      </x:c>
      <x:c r="W831" s="14" t="n">
        <x:v>0.5472316229788131</x:v>
      </x:c>
      <x:c r="X831" s="14" t="n">
        <x:v>0.3853060586888823</x:v>
      </x:c>
      <x:c r="Y831" s="16" t="n">
        <x:v>90.57971014492753</x:v>
      </x:c>
      <x:c r="Z831" s="16" t="n">
        <x:v>75.89285714285714</x:v>
      </x:c>
      <x:c r="AA831" s="16" t="n">
        <x:v>75.40983606557377</x:v>
      </x:c>
      <x:c r="AB831" s="16" t="n">
        <x:v>16.66666666666667</x:v>
      </x:c>
      <x:c r="AC831" s="16" t="n">
        <x:v>68.84057971014492</x:v>
      </x:c>
      <x:c r="AD831" s="16" t="n">
        <x:v>92.7439024390244</x:v>
      </x:c>
      <x:c r="AE831" s="16" t="n">
        <x:v>72.21419848209784</x:v>
      </x:c>
      <x:c r="AF831" t="str">
        <x:v>검토</x:v>
      </x:c>
      <x:c r="AG831" t="str">
        <x:v>직장수요·수요 강점 / 경쟁여건 상대적 약점</x:v>
      </x:c>
    </x:row>
    <x:row r="832">
      <x:c r="A832" t="str">
        <x:v>3120179</x:v>
      </x:c>
      <x:c r="B832" t="str">
        <x:v>양재역</x:v>
      </x:c>
      <x:c r="C832" t="str">
        <x:v>발달상권</x:v>
      </x:c>
      <x:c r="D832" t="str">
        <x:v>서초구</x:v>
      </x:c>
      <x:c r="E832" t="str">
        <x:v>도곡1동</x:v>
      </x:c>
      <x:c r="F832" t="str">
        <x:v>CS200016</x:v>
      </x:c>
      <x:c r="G832" t="str">
        <x:v>당구장</x:v>
      </x:c>
      <x:c r="H832" t="n">
        <x:v>54861040</x:v>
      </x:c>
      <x:c r="I832" t="n">
        <x:v>3214</x:v>
      </x:c>
      <x:c r="J832" t="n">
        <x:v>17069.39639079029</x:v>
      </x:c>
      <x:c r="K832" s="14" t="n">
        <x:v>0.021702001378991254</x:v>
      </x:c>
      <x:c r="L832" s="14" t="n">
        <x:v>0.052763611334009974</x:v>
      </x:c>
      <x:c r="M832" s="14" t="n">
        <x:v>0.07602781601598463</x:v>
      </x:c>
      <x:c r="N832" t="n">
        <x:v>3</x:v>
      </x:c>
      <x:c r="O832" t="n">
        <x:v>0</x:v>
      </x:c>
      <x:c r="P832" s="14" t="n">
        <x:v>0</x:v>
      </x:c>
      <x:c r="Q832" s="14" t="n">
        <x:v>0</x:v>
      </x:c>
      <x:c r="R832" s="14" t="n">
        <x:v>-0.4</x:v>
      </x:c>
      <x:c r="S832" t="n">
        <x:v>27837</x:v>
      </x:c>
      <x:c r="T832" t="n">
        <x:v>798.9839411030267</x:v>
      </x:c>
      <x:c r="U832" s="14" t="n">
        <x:v>0.7844508416172934</x:v>
      </x:c>
      <x:c r="V832" s="14" t="n">
        <x:v>0.7833802822549482</x:v>
      </x:c>
      <x:c r="W832" s="14" t="n">
        <x:v>0.05542926273362663</x:v>
      </x:c>
      <x:c r="X832" s="14" t="n">
        <x:v>0.03435410630203146</x:v>
      </x:c>
      <x:c r="Y832" s="16" t="n">
        <x:v>60.766961651917406</x:v>
      </x:c>
      <x:c r="Z832" s="16" t="n">
        <x:v>61.72839506172839</x:v>
      </x:c>
      <x:c r="AA832" s="16" t="n">
        <x:v>80.32786885245902</x:v>
      </x:c>
      <x:c r="AB832" s="16" t="n">
        <x:v>99.11504424778761</x:v>
      </x:c>
      <x:c r="AC832" s="16" t="n">
        <x:v>69.32153392330383</x:v>
      </x:c>
      <x:c r="AD832" s="16" t="n">
        <x:v>95</x:v>
      </x:c>
      <x:c r="AE832" s="16" t="n">
        <x:v>72.21270594788415</x:v>
      </x:c>
      <x:c r="AF832" t="str">
        <x:v>검토</x:v>
      </x:c>
      <x:c r="AG832" t="str">
        <x:v>경쟁여건·직장수요 강점 / 수요 상대적 약점</x:v>
      </x:c>
    </x:row>
    <x:row r="833">
      <x:c r="A833" t="str">
        <x:v>3120046</x:v>
      </x:c>
      <x:c r="B833" t="str">
        <x:v>이태원(이태원역)</x:v>
      </x:c>
      <x:c r="C833" t="str">
        <x:v>발달상권</x:v>
      </x:c>
      <x:c r="D833" t="str">
        <x:v>용산구</x:v>
      </x:c>
      <x:c r="E833" t="str">
        <x:v>이태원1동</x:v>
      </x:c>
      <x:c r="F833" t="str">
        <x:v>CS300007</x:v>
      </x:c>
      <x:c r="G833" t="str">
        <x:v>육류판매</x:v>
      </x:c>
      <x:c r="H833" t="n">
        <x:v>2111749825</x:v>
      </x:c>
      <x:c r="I833" t="n">
        <x:v>68797</x:v>
      </x:c>
      <x:c r="J833" t="n">
        <x:v>30695.376615259385</x:v>
      </x:c>
      <x:c r="K833" s="14" t="n">
        <x:v>-0.12487761513172024</x:v>
      </x:c>
      <x:c r="L833" s="14" t="n">
        <x:v>0.23518223683931017</x:v>
      </x:c>
      <x:c r="M833" s="14" t="n">
        <x:v>0.00863079289162072</x:v>
      </x:c>
      <x:c r="N833" t="n">
        <x:v>1</x:v>
      </x:c>
      <x:c r="O833" t="n">
        <x:v>0</x:v>
      </x:c>
      <x:c r="P833" s="14" t="n">
        <x:v>0</x:v>
      </x:c>
      <x:c r="Q833" s="14" t="n">
        <x:v>0</x:v>
      </x:c>
      <x:c r="R833" s="14" t="n">
        <x:v>0</x:v>
      </x:c>
      <x:c r="S833" t="n">
        <x:v>22140</x:v>
      </x:c>
      <x:c r="T833" t="n">
        <x:v>781.1480123769975</x:v>
      </x:c>
      <x:c r="U833" s="14" t="n">
        <x:v>0.5891564385473549</x:v>
      </x:c>
      <x:c r="V833" s="14" t="n">
        <x:v>0.5046388082451955</x:v>
      </x:c>
      <x:c r="W833" s="14" t="n">
        <x:v>0.5841890722069789</x:v>
      </x:c>
      <x:c r="X833" s="14" t="n">
        <x:v>0.1635277209032088</x:v>
      </x:c>
      <x:c r="Y833" s="16" t="n">
        <x:v>85.89108910891089</x:v>
      </x:c>
      <x:c r="Z833" s="16" t="n">
        <x:v>3.6363636363636362</x:v>
      </x:c>
      <x:c r="AA833" s="16" t="n">
        <x:v>100</x:v>
      </x:c>
      <x:c r="AB833" s="16" t="n">
        <x:v>100</x:v>
      </x:c>
      <x:c r="AC833" s="16" t="n">
        <x:v>66.83168316831683</x:v>
      </x:c>
      <x:c r="AD833" s="16" t="n">
        <x:v>94.6951219512195</x:v>
      </x:c>
      <x:c r="AE833" s="16" t="n">
        <x:v>72.2070783297842</x:v>
      </x:c>
      <x:c r="AF833" t="str">
        <x:v>검토</x:v>
      </x:c>
      <x:c r="AG833" t="str">
        <x:v>서울 업종추세·경쟁여건 강점 / 상권 모멘텀 상대적 약점</x:v>
      </x:c>
    </x:row>
    <x:row r="834">
      <x:c r="A834" t="str">
        <x:v>3120114</x:v>
      </x:c>
      <x:c r="B834" t="str">
        <x:v>목동신시가지</x:v>
      </x:c>
      <x:c r="C834" t="str">
        <x:v>발달상권</x:v>
      </x:c>
      <x:c r="D834" t="str">
        <x:v>양천구</x:v>
      </x:c>
      <x:c r="E834" t="str">
        <x:v>목1동</x:v>
      </x:c>
      <x:c r="F834" t="str">
        <x:v>CS200028</x:v>
      </x:c>
      <x:c r="G834" t="str">
        <x:v>미용실</x:v>
      </x:c>
      <x:c r="H834" t="n">
        <x:v>452646927</x:v>
      </x:c>
      <x:c r="I834" t="n">
        <x:v>9109</x:v>
      </x:c>
      <x:c r="J834" t="n">
        <x:v>49692.27434405533</x:v>
      </x:c>
      <x:c r="K834" s="14" t="n">
        <x:v>0.07374900070332124</x:v>
      </x:c>
      <x:c r="L834" s="14" t="n">
        <x:v>0.02168887159425803</x:v>
      </x:c>
      <x:c r="M834" s="14" t="n">
        <x:v>-0.013481964371473865</x:v>
      </x:c>
      <x:c r="N834" t="n">
        <x:v>80</x:v>
      </x:c>
      <x:c r="O834" t="n">
        <x:v>0</x:v>
      </x:c>
      <x:c r="P834" s="14" t="n">
        <x:v>0</x:v>
      </x:c>
      <x:c r="Q834" s="14" t="n">
        <x:v>0.2625</x:v>
      </x:c>
      <x:c r="R834" s="14" t="n">
        <x:v>0.1428571428571428</x:v>
      </x:c>
      <x:c r="S834" t="n">
        <x:v>27985</x:v>
      </x:c>
      <x:c r="T834" t="n">
        <x:v>664.0501721523673</x:v>
      </x:c>
      <x:c r="U834" s="14" t="n">
        <x:v>0.6573728843629154</x:v>
      </x:c>
      <x:c r="V834" s="14" t="n">
        <x:v>0.310892171372236</x:v>
      </x:c>
      <x:c r="W834" s="14" t="n">
        <x:v>0.1814074770024894</x:v>
      </x:c>
      <x:c r="X834" s="14" t="n">
        <x:v>0.5686225679380345</x:v>
      </x:c>
      <x:c r="Y834" s="16" t="n">
        <x:v>92.12175470008953</x:v>
      </x:c>
      <x:c r="Z834" s="16" t="n">
        <x:v>77.5179856115108</x:v>
      </x:c>
      <x:c r="AA834" s="16" t="n">
        <x:v>57.377049180327866</x:v>
      </x:c>
      <x:c r="AB834" s="16" t="n">
        <x:v>24.037600716204125</x:v>
      </x:c>
      <x:c r="AC834" s="16" t="n">
        <x:v>75.60429722470904</x:v>
      </x:c>
      <x:c r="AD834" s="16" t="n">
        <x:v>93.65853658536585</x:v>
      </x:c>
      <x:c r="AE834" s="16" t="n">
        <x:v>72.20176530355249</x:v>
      </x:c>
      <x:c r="AF834" t="str">
        <x:v>검토</x:v>
      </x:c>
      <x:c r="AG834" t="str">
        <x:v>직장수요·수요 강점 / 경쟁여건 상대적 약점</x:v>
      </x:c>
    </x:row>
    <x:row r="835">
      <x:c r="A835" t="str">
        <x:v>3130024</x:v>
      </x:c>
      <x:c r="B835" t="str">
        <x:v>남대문시장(자유상가)</x:v>
      </x:c>
      <x:c r="C835" t="str">
        <x:v>전통시장</x:v>
      </x:c>
      <x:c r="D835" t="str">
        <x:v>중구</x:v>
      </x:c>
      <x:c r="E835" t="str">
        <x:v>회현동</x:v>
      </x:c>
      <x:c r="F835" t="str">
        <x:v>CS300018</x:v>
      </x:c>
      <x:c r="G835" t="str">
        <x:v>의약품</x:v>
      </x:c>
      <x:c r="H835" t="n">
        <x:v>3765072484</x:v>
      </x:c>
      <x:c r="I835" t="n">
        <x:v>154510</x:v>
      </x:c>
      <x:c r="J835" t="n">
        <x:v>24367.823985502557</x:v>
      </x:c>
      <x:c r="K835" s="14" t="n">
        <x:v>0.049695084600984485</x:v>
      </x:c>
      <x:c r="L835" s="14" t="n">
        <x:v>0.027829225601598617</x:v>
      </x:c>
      <x:c r="M835" s="14" t="n">
        <x:v>0.02632929521123617</x:v>
      </x:c>
      <x:c r="N835" t="n">
        <x:v>37</x:v>
      </x:c>
      <x:c r="O835" t="n">
        <x:v>0</x:v>
      </x:c>
      <x:c r="P835" s="14" t="n">
        <x:v>0</x:v>
      </x:c>
      <x:c r="Q835" s="14" t="n">
        <x:v>0.05405405405405406</x:v>
      </x:c>
      <x:c r="R835" s="14" t="n">
        <x:v>0.08823529411764697</x:v>
      </x:c>
      <x:c r="S835" t="n">
        <x:v>26964</x:v>
      </x:c>
      <x:c r="T835" t="n">
        <x:v>3453.9119741763593</x:v>
      </x:c>
      <x:c r="U835" s="14" t="n">
        <x:v>0.7638575127628273</x:v>
      </x:c>
      <x:c r="V835" s="14" t="n">
        <x:v>0.12142897724887466</x:v>
      </x:c>
      <x:c r="W835" s="14" t="n">
        <x:v>0.2177986661571002</x:v>
      </x:c>
      <x:c r="X835" s="14" t="n">
        <x:v>0.6391557639929888</x:v>
      </x:c>
      <x:c r="Y835" s="16" t="n">
        <x:v>81.95876288659794</x:v>
      </x:c>
      <x:c r="Z835" s="16" t="n">
        <x:v>84.61538461538461</x:v>
      </x:c>
      <x:c r="AA835" s="16" t="n">
        <x:v>72.1311475409836</x:v>
      </x:c>
      <x:c r="AB835" s="16" t="n">
        <x:v>27.663230240549822</x:v>
      </x:c>
      <x:c r="AC835" s="16" t="n">
        <x:v>66.32302405498282</x:v>
      </x:c>
      <x:c r="AD835" s="16" t="n">
        <x:v>99.7560975609756</x:v>
      </x:c>
      <x:c r="AE835" s="16" t="n">
        <x:v>72.19790788416329</x:v>
      </x:c>
      <x:c r="AF835" t="str">
        <x:v>검토</x:v>
      </x:c>
      <x:c r="AG835" t="str">
        <x:v>직장수요·상권 모멘텀 강점 / 경쟁여건 상대적 약점</x:v>
      </x:c>
    </x:row>
    <x:row r="836">
      <x:c r="A836" t="str">
        <x:v>3110507</x:v>
      </x:c>
      <x:c r="B836" t="str">
        <x:v>명지대학교</x:v>
      </x:c>
      <x:c r="C836" t="str">
        <x:v>골목상권</x:v>
      </x:c>
      <x:c r="D836" t="str">
        <x:v>서대문구</x:v>
      </x:c>
      <x:c r="E836" t="str">
        <x:v>홍은2동</x:v>
      </x:c>
      <x:c r="F836" t="str">
        <x:v>CS300009</x:v>
      </x:c>
      <x:c r="G836" t="str">
        <x:v>청과상</x:v>
      </x:c>
      <x:c r="H836" t="n">
        <x:v>421385269</x:v>
      </x:c>
      <x:c r="I836" t="n">
        <x:v>40934</x:v>
      </x:c>
      <x:c r="J836" t="n">
        <x:v>10294.260736795817</x:v>
      </x:c>
      <x:c r="K836" s="14" t="n">
        <x:v>0.15555112284231276</x:v>
      </x:c>
      <x:c r="L836" s="14" t="n">
        <x:v>0.19728256051488424</x:v>
      </x:c>
      <x:c r="M836" s="14" t="n">
        <x:v>0.09797365727115581</x:v>
      </x:c>
      <x:c r="N836" t="n">
        <x:v>4</x:v>
      </x:c>
      <x:c r="O836" t="n">
        <x:v>0</x:v>
      </x:c>
      <x:c r="P836" s="14" t="n">
        <x:v>0</x:v>
      </x:c>
      <x:c r="Q836" s="14" t="n">
        <x:v>0</x:v>
      </x:c>
      <x:c r="R836" s="14" t="n">
        <x:v>0.33333333333333326</x:v>
      </x:c>
      <x:c r="S836" t="n">
        <x:v>912</x:v>
      </x:c>
      <x:c r="T836" t="n">
        <x:v>51.52571483454708</x:v>
      </x:c>
      <x:c r="U836" s="14" t="n">
        <x:v>0.8562183055335995</x:v>
      </x:c>
      <x:c r="V836" s="14" t="n">
        <x:v>0.12515725840430364</x:v>
      </x:c>
      <x:c r="W836" s="14" t="n">
        <x:v>0.03905165702410921</x:v>
      </x:c>
      <x:c r="X836" s="14" t="n">
        <x:v>0.6932544763447818</x:v>
      </x:c>
      <x:c r="Y836" s="16" t="n">
        <x:v>50.54945054945055</x:v>
      </x:c>
      <x:c r="Z836" s="16" t="n">
        <x:v>83.58778625954199</x:v>
      </x:c>
      <x:c r="AA836" s="16" t="n">
        <x:v>95.08196721311475</x:v>
      </x:c>
      <x:c r="AB836" s="16" t="n">
        <x:v>97.98534798534799</x:v>
      </x:c>
      <x:c r="AC836" s="16" t="n">
        <x:v>69.5970695970696</x:v>
      </x:c>
      <x:c r="AD836" s="16" t="n">
        <x:v>37.01219512195122</x:v>
      </x:c>
      <x:c r="AE836" s="16" t="n">
        <x:v>72.18027893979001</x:v>
      </x:c>
      <x:c r="AF836" t="str">
        <x:v>검토</x:v>
      </x:c>
      <x:c r="AG836" t="str">
        <x:v>경쟁여건·서울 업종추세 강점 / 직장수요 상대적 약점</x:v>
      </x:c>
    </x:row>
    <x:row r="837">
      <x:c r="A837" t="str">
        <x:v>3110600</x:v>
      </x:c>
      <x:c r="B837" t="str">
        <x:v>신월7동주민센터</x:v>
      </x:c>
      <x:c r="C837" t="str">
        <x:v>골목상권</x:v>
      </x:c>
      <x:c r="D837" t="str">
        <x:v>양천구</x:v>
      </x:c>
      <x:c r="E837" t="str">
        <x:v>신월7동</x:v>
      </x:c>
      <x:c r="F837" t="str">
        <x:v>CS300011</x:v>
      </x:c>
      <x:c r="G837" t="str">
        <x:v>일반의류</x:v>
      </x:c>
      <x:c r="H837" t="n">
        <x:v>174404070</x:v>
      </x:c>
      <x:c r="I837" t="n">
        <x:v>2796</x:v>
      </x:c>
      <x:c r="J837" t="n">
        <x:v>62376.276824034336</x:v>
      </x:c>
      <x:c r="K837" s="14" t="n">
        <x:v>0.26180917490458033</x:v>
      </x:c>
      <x:c r="L837" s="14" t="n">
        <x:v>0.06726691045630595</x:v>
      </x:c>
      <x:c r="M837" s="14" t="n">
        <x:v>0.00788849516466894</x:v>
      </x:c>
      <x:c r="N837" t="n">
        <x:v>22</x:v>
      </x:c>
      <x:c r="O837" t="n">
        <x:v>0</x:v>
      </x:c>
      <x:c r="P837" s="14" t="n">
        <x:v>0</x:v>
      </x:c>
      <x:c r="Q837" s="14" t="n">
        <x:v>0</x:v>
      </x:c>
      <x:c r="R837" s="14" t="n">
        <x:v>-0.24137931034482762</x:v>
      </x:c>
      <x:c r="S837" t="n">
        <x:v>899</x:v>
      </x:c>
      <x:c r="T837" t="n">
        <x:v>56.78839217469853</x:v>
      </x:c>
      <x:c r="U837" s="14" t="n">
        <x:v>0.7577545294671162</x:v>
      </x:c>
      <x:c r="V837" s="14" t="n">
        <x:v>0.12722502404903738</x:v>
      </x:c>
      <x:c r="W837" s="14" t="n">
        <x:v>0.0006046074498146746</x:v>
      </x:c>
      <x:c r="X837" s="14" t="n">
        <x:v>0.8885137772300842</x:v>
      </x:c>
      <x:c r="Y837" s="16" t="n">
        <x:v>54.41696113074205</x:v>
      </x:c>
      <x:c r="Z837" s="16" t="n">
        <x:v>81.94945848375451</x:v>
      </x:c>
      <x:c r="AA837" s="16" t="n">
        <x:v>81.9672131147541</x:v>
      </x:c>
      <x:c r="AB837" s="16" t="n">
        <x:v>91.93168433451119</x:v>
      </x:c>
      <x:c r="AC837" s="16" t="n">
        <x:v>86.33686690223793</x:v>
      </x:c>
      <x:c r="AD837" s="16" t="n">
        <x:v>40.48780487804878</x:v>
      </x:c>
      <x:c r="AE837" s="16" t="n">
        <x:v>72.17873964402665</x:v>
      </x:c>
      <x:c r="AF837" t="str">
        <x:v>검토</x:v>
      </x:c>
      <x:c r="AG837" t="str">
        <x:v>경쟁여건·안정성 강점 / 직장수요 상대적 약점</x:v>
      </x:c>
    </x:row>
    <x:row r="838">
      <x:c r="A838" t="str">
        <x:v>3130117</x:v>
      </x:c>
      <x:c r="B838" t="str">
        <x:v>정릉시장</x:v>
      </x:c>
      <x:c r="C838" t="str">
        <x:v>전통시장</x:v>
      </x:c>
      <x:c r="D838" t="str">
        <x:v>성북구</x:v>
      </x:c>
      <x:c r="E838" t="str">
        <x:v>정릉3동</x:v>
      </x:c>
      <x:c r="F838" t="str">
        <x:v>CS100006</x:v>
      </x:c>
      <x:c r="G838" t="str">
        <x:v>패스트푸드점</x:v>
      </x:c>
      <x:c r="H838" t="n">
        <x:v>229269000</x:v>
      </x:c>
      <x:c r="I838" t="n">
        <x:v>9554</x:v>
      </x:c>
      <x:c r="J838" t="n">
        <x:v>23997.173958551393</x:v>
      </x:c>
      <x:c r="K838" s="14" t="n">
        <x:v>0.16704889563279313</x:v>
      </x:c>
      <x:c r="L838" s="14" t="n">
        <x:v>0.0037102725933797487</x:v>
      </x:c>
      <x:c r="M838" s="14" t="n">
        <x:v>0.011474434125836375</x:v>
      </x:c>
      <x:c r="N838" t="n">
        <x:v>5</x:v>
      </x:c>
      <x:c r="O838" t="n">
        <x:v>0</x:v>
      </x:c>
      <x:c r="P838" s="14" t="n">
        <x:v>0</x:v>
      </x:c>
      <x:c r="Q838" s="14" t="n">
        <x:v>0.4</x:v>
      </x:c>
      <x:c r="R838" s="14" t="n">
        <x:v>-0.16666666666666663</x:v>
      </x:c>
      <x:c r="S838" t="n">
        <x:v>336</x:v>
      </x:c>
      <x:c r="T838" t="n">
        <x:v>63.01811770884129</x:v>
      </x:c>
      <x:c r="U838" s="14" t="n">
        <x:v>0.7758935442645974</x:v>
      </x:c>
      <x:c r="V838" s="14" t="n">
        <x:v>0.522906917202064</x:v>
      </x:c>
      <x:c r="W838" s="14" t="n">
        <x:v>0.2475598968896798</x:v>
      </x:c>
      <x:c r="X838" s="14" t="n">
        <x:v>0.4487512441716935</x:v>
      </x:c>
      <x:c r="Y838" s="16" t="n">
        <x:v>63.84039900249377</x:v>
      </x:c>
      <x:c r="Z838" s="16" t="n">
        <x:v>93.73368146214099</x:v>
      </x:c>
      <x:c r="AA838" s="16" t="n">
        <x:v>44.26229508196721</x:v>
      </x:c>
      <x:c r="AB838" s="16" t="n">
        <x:v>96.00997506234414</x:v>
      </x:c>
      <x:c r="AC838" s="16" t="n">
        <x:v>78.30423940149626</x:v>
      </x:c>
      <x:c r="AD838" s="16" t="n">
        <x:v>44.329268292682926</x:v>
      </x:c>
      <x:c r="AE838" s="16" t="n">
        <x:v>72.17860381973149</x:v>
      </x:c>
      <x:c r="AF838" t="str">
        <x:v>검토</x:v>
      </x:c>
      <x:c r="AG838" t="str">
        <x:v>경쟁여건·상권 모멘텀 강점 / 서울 업종추세 상대적 약점</x:v>
      </x:c>
    </x:row>
    <x:row r="839">
      <x:c r="A839" t="str">
        <x:v>3110706</x:v>
      </x:c>
      <x:c r="B839" t="str">
        <x:v>그라운드 고척</x:v>
      </x:c>
      <x:c r="C839" t="str">
        <x:v>골목상권</x:v>
      </x:c>
      <x:c r="D839" t="str">
        <x:v>구로구</x:v>
      </x:c>
      <x:c r="E839" t="str">
        <x:v>고척1동</x:v>
      </x:c>
      <x:c r="F839" t="str">
        <x:v>CS200019</x:v>
      </x:c>
      <x:c r="G839" t="str">
        <x:v>PC방</x:v>
      </x:c>
      <x:c r="H839" t="n">
        <x:v>606028996</x:v>
      </x:c>
      <x:c r="I839" t="n">
        <x:v>86375</x:v>
      </x:c>
      <x:c r="J839" t="n">
        <x:v>7016.254657018813</x:v>
      </x:c>
      <x:c r="K839" s="14" t="n">
        <x:v>0.24065269904273334</x:v>
      </x:c>
      <x:c r="L839" s="14" t="n">
        <x:v>0.007617357603377117</x:v>
      </x:c>
      <x:c r="M839" s="14" t="n">
        <x:v>-0.035308538695497105</x:v>
      </x:c>
      <x:c r="N839" t="n">
        <x:v>5</x:v>
      </x:c>
      <x:c r="O839" t="n">
        <x:v>0</x:v>
      </x:c>
      <x:c r="P839" s="14" t="n">
        <x:v>0</x:v>
      </x:c>
      <x:c r="Q839" s="14" t="n">
        <x:v>0.2</x:v>
      </x:c>
      <x:c r="R839" s="14" t="n">
        <x:v>0</x:v>
      </x:c>
      <x:c r="S839" t="n">
        <x:v>650</x:v>
      </x:c>
      <x:c r="T839" t="n">
        <x:v>147.1487107509112</x:v>
      </x:c>
      <x:c r="U839" s="14" t="n">
        <x:v>0.6392539508126109</x:v>
      </x:c>
      <x:c r="V839" s="14" t="n">
        <x:v>0.4689080536997936</x:v>
      </x:c>
      <x:c r="W839" s="14" t="n">
        <x:v>0.6745765544195182</x:v>
      </x:c>
      <x:c r="X839" s="14" t="n">
        <x:v>0.33337331601869424</x:v>
      </x:c>
      <x:c r="Y839" s="16" t="n">
        <x:v>79.8076923076923</x:v>
      </x:c>
      <x:c r="Z839" s="16" t="n">
        <x:v>90.52631578947368</x:v>
      </x:c>
      <x:c r="AA839" s="16" t="n">
        <x:v>50.81967213114754</x:v>
      </x:c>
      <x:c r="AB839" s="16" t="n">
        <x:v>61.05769230769231</x:v>
      </x:c>
      <x:c r="AC839" s="16" t="n">
        <x:v>58.65384615384615</x:v>
      </x:c>
      <x:c r="AD839" s="16" t="n">
        <x:v>69.8170731707317</x:v>
      </x:c>
      <x:c r="AE839" s="16" t="n">
        <x:v>72.17579840533422</x:v>
      </x:c>
      <x:c r="AF839" t="str">
        <x:v>검토</x:v>
      </x:c>
      <x:c r="AG839" t="str">
        <x:v>상권 모멘텀·수요 강점 / 서울 업종추세 상대적 약점</x:v>
      </x:c>
    </x:row>
    <x:row r="840">
      <x:c r="A840" t="str">
        <x:v>3110625</x:v>
      </x:c>
      <x:c r="B840" t="str">
        <x:v>신정2동주민센터</x:v>
      </x:c>
      <x:c r="C840" t="str">
        <x:v>골목상권</x:v>
      </x:c>
      <x:c r="D840" t="str">
        <x:v>양천구</x:v>
      </x:c>
      <x:c r="E840" t="str">
        <x:v>신정2동</x:v>
      </x:c>
      <x:c r="F840" t="str">
        <x:v>CS200003</x:v>
      </x:c>
      <x:c r="G840" t="str">
        <x:v>예술학원</x:v>
      </x:c>
      <x:c r="H840" t="n">
        <x:v>446121402</x:v>
      </x:c>
      <x:c r="I840" t="n">
        <x:v>2088</x:v>
      </x:c>
      <x:c r="J840" t="n">
        <x:v>213659.6752873563</x:v>
      </x:c>
      <x:c r="K840" s="14" t="n">
        <x:v>0.11404406154947022</x:v>
      </x:c>
      <x:c r="L840" s="14" t="n">
        <x:v>0.09364146198394163</x:v>
      </x:c>
      <x:c r="M840" s="14" t="n">
        <x:v>0.053788091189524545</x:v>
      </x:c>
      <x:c r="N840" t="n">
        <x:v>56</x:v>
      </x:c>
      <x:c r="O840" t="n">
        <x:v>0</x:v>
      </x:c>
      <x:c r="P840" s="14" t="n">
        <x:v>0</x:v>
      </x:c>
      <x:c r="Q840" s="14" t="n">
        <x:v>0.03571428571428571</x:v>
      </x:c>
      <x:c r="R840" s="14" t="n">
        <x:v>0.24444444444444446</x:v>
      </x:c>
      <x:c r="S840" t="n">
        <x:v>6826</x:v>
      </x:c>
      <x:c r="T840" t="n">
        <x:v>676.6857664016495</x:v>
      </x:c>
      <x:c r="U840" s="14" t="n">
        <x:v>0.8407418413878293</x:v>
      </x:c>
      <x:c r="V840" s="14" t="n">
        <x:v>0.3545320226533315</x:v>
      </x:c>
      <x:c r="W840" s="14" t="n">
        <x:v>0.15943067443332387</x:v>
      </x:c>
      <x:c r="X840" s="14" t="n">
        <x:v>0.45570000920960074</x:v>
      </x:c>
      <x:c r="Y840" s="16" t="n">
        <x:v>89.8406374501992</x:v>
      </x:c>
      <x:c r="Z840" s="16" t="n">
        <x:v>69.32515337423312</x:v>
      </x:c>
      <x:c r="AA840" s="16" t="n">
        <x:v>88.52459016393442</x:v>
      </x:c>
      <x:c r="AB840" s="16" t="n">
        <x:v>10.458167330677284</x:v>
      </x:c>
      <x:c r="AC840" s="16" t="n">
        <x:v>73.20717131474103</x:v>
      </x:c>
      <x:c r="AD840" s="16" t="n">
        <x:v>93.78048780487805</x:v>
      </x:c>
      <x:c r="AE840" s="16" t="n">
        <x:v>72.16640892832609</x:v>
      </x:c>
      <x:c r="AF840" t="str">
        <x:v>검토</x:v>
      </x:c>
      <x:c r="AG840" t="str">
        <x:v>직장수요·수요 강점 / 경쟁여건 상대적 약점</x:v>
      </x:c>
    </x:row>
    <x:row r="841">
      <x:c r="A841" t="str">
        <x:v>3120018</x:v>
      </x:c>
      <x:c r="B841" t="str">
        <x:v>중림동</x:v>
      </x:c>
      <x:c r="C841" t="str">
        <x:v>발달상권</x:v>
      </x:c>
      <x:c r="D841" t="str">
        <x:v>중구</x:v>
      </x:c>
      <x:c r="E841" t="str">
        <x:v>중림동</x:v>
      </x:c>
      <x:c r="F841" t="str">
        <x:v>CS100001</x:v>
      </x:c>
      <x:c r="G841" t="str">
        <x:v>한식음식점</x:v>
      </x:c>
      <x:c r="H841" t="n">
        <x:v>6811439732</x:v>
      </x:c>
      <x:c r="I841" t="n">
        <x:v>162653</x:v>
      </x:c>
      <x:c r="J841" t="n">
        <x:v>41877.12327470136</x:v>
      </x:c>
      <x:c r="K841" s="14" t="n">
        <x:v>0.03230423856893583</x:v>
      </x:c>
      <x:c r="L841" s="14" t="n">
        <x:v>-0.0018259958518723751</x:v>
      </x:c>
      <x:c r="M841" s="14" t="n">
        <x:v>0.06341040875687098</x:v>
      </x:c>
      <x:c r="N841" t="n">
        <x:v>95</x:v>
      </x:c>
      <x:c r="O841" t="n">
        <x:v>2</x:v>
      </x:c>
      <x:c r="P841" s="14" t="n">
        <x:v>0.02</x:v>
      </x:c>
      <x:c r="Q841" s="14" t="n">
        <x:v>0.10526315789473684</x:v>
      </x:c>
      <x:c r="R841" s="14" t="n">
        <x:v>-0.08653846153846156</x:v>
      </x:c>
      <x:c r="S841" t="n">
        <x:v>4265</x:v>
      </x:c>
      <x:c r="T841" t="n">
        <x:v>294.7823863204385</x:v>
      </x:c>
      <x:c r="U841" s="14" t="n">
        <x:v>0.8429282731558638</x:v>
      </x:c>
      <x:c r="V841" s="14" t="n">
        <x:v>0.5237406559204069</x:v>
      </x:c>
      <x:c r="W841" s="14" t="n">
        <x:v>0.25022774421576577</x:v>
      </x:c>
      <x:c r="X841" s="14" t="n">
        <x:v>0.2695831413399049</x:v>
      </x:c>
      <x:c r="Y841" s="16" t="n">
        <x:v>89.7508896797153</x:v>
      </x:c>
      <x:c r="Z841" s="16" t="n">
        <x:v>59.0421729807005</x:v>
      </x:c>
      <x:c r="AA841" s="16" t="n">
        <x:v>40.98360655737705</x:v>
      </x:c>
      <x:c r="AB841" s="16" t="n">
        <x:v>72.56227758007117</x:v>
      </x:c>
      <x:c r="AC841" s="16" t="n">
        <x:v>77.33096085409252</x:v>
      </x:c>
      <x:c r="AD841" s="16" t="n">
        <x:v>83.47560975609755</x:v>
      </x:c>
      <x:c r="AE841" s="16" t="n">
        <x:v>72.16000517787182</x:v>
      </x:c>
      <x:c r="AF841" t="str">
        <x:v>검토</x:v>
      </x:c>
      <x:c r="AG841" t="str">
        <x:v>수요·직장수요 강점 / 서울 업종추세 상대적 약점</x:v>
      </x:c>
    </x:row>
    <x:row r="842">
      <x:c r="A842" t="str">
        <x:v>3120224</x:v>
      </x:c>
      <x:c r="B842" t="str">
        <x:v>수서역</x:v>
      </x:c>
      <x:c r="C842" t="str">
        <x:v>발달상권</x:v>
      </x:c>
      <x:c r="D842" t="str">
        <x:v>강남구</x:v>
      </x:c>
      <x:c r="E842" t="str">
        <x:v>수서동</x:v>
      </x:c>
      <x:c r="F842" t="str">
        <x:v>CS100006</x:v>
      </x:c>
      <x:c r="G842" t="str">
        <x:v>패스트푸드점</x:v>
      </x:c>
      <x:c r="H842" t="n">
        <x:v>1151814590</x:v>
      </x:c>
      <x:c r="I842" t="n">
        <x:v>112221</x:v>
      </x:c>
      <x:c r="J842" t="n">
        <x:v>10263.806150364015</x:v>
      </x:c>
      <x:c r="K842" s="14" t="n">
        <x:v>0.00904737797566213</x:v>
      </x:c>
      <x:c r="L842" s="14" t="n">
        <x:v>0.0037102725933797487</x:v>
      </x:c>
      <x:c r="M842" s="14" t="n">
        <x:v>0.011474434125836375</x:v>
      </x:c>
      <x:c r="N842" t="n">
        <x:v>14</x:v>
      </x:c>
      <x:c r="O842" t="n">
        <x:v>0</x:v>
      </x:c>
      <x:c r="P842" s="14" t="n">
        <x:v>0</x:v>
      </x:c>
      <x:c r="Q842" s="14" t="n">
        <x:v>0.5714285714285714</x:v>
      </x:c>
      <x:c r="R842" s="14" t="n">
        <x:v>0.16666666666666674</x:v>
      </x:c>
      <x:c r="S842" t="n">
        <x:v>19403</x:v>
      </x:c>
      <x:c r="T842" t="n">
        <x:v>3224.0001329279035</x:v>
      </x:c>
      <x:c r="U842" s="14" t="n">
        <x:v>0.7588454813721365</x:v>
      </x:c>
      <x:c r="V842" s="14" t="n">
        <x:v>0.3783996841019352</x:v>
      </x:c>
      <x:c r="W842" s="14" t="n">
        <x:v>0.39688054481060187</x:v>
      </x:c>
      <x:c r="X842" s="14" t="n">
        <x:v>0.39153611259603854</x:v>
      </x:c>
      <x:c r="Y842" s="16" t="n">
        <x:v>92.01995012468828</x:v>
      </x:c>
      <x:c r="Z842" s="16" t="n">
        <x:v>50.130548302872064</x:v>
      </x:c>
      <x:c r="AA842" s="16" t="n">
        <x:v>44.26229508196721</x:v>
      </x:c>
      <x:c r="AB842" s="16" t="n">
        <x:v>69.82543640897755</x:v>
      </x:c>
      <x:c r="AC842" s="16" t="n">
        <x:v>78.30423940149626</x:v>
      </x:c>
      <x:c r="AD842" s="16" t="n">
        <x:v>99.63414634146342</x:v>
      </x:c>
      <x:c r="AE842" s="16" t="n">
        <x:v>72.15838318507983</x:v>
      </x:c>
      <x:c r="AF842" t="str">
        <x:v>검토</x:v>
      </x:c>
      <x:c r="AG842" t="str">
        <x:v>직장수요·수요 강점 / 서울 업종추세 상대적 약점</x:v>
      </x:c>
    </x:row>
    <x:row r="843">
      <x:c r="A843" t="str">
        <x:v>3130118</x:v>
      </x:c>
      <x:c r="B843" t="str">
        <x:v>정릉골 골목형상점가</x:v>
      </x:c>
      <x:c r="C843" t="str">
        <x:v>전통시장</x:v>
      </x:c>
      <x:c r="D843" t="str">
        <x:v>성북구</x:v>
      </x:c>
      <x:c r="E843" t="str">
        <x:v>정릉4동</x:v>
      </x:c>
      <x:c r="F843" t="str">
        <x:v>CS300011</x:v>
      </x:c>
      <x:c r="G843" t="str">
        <x:v>일반의류</x:v>
      </x:c>
      <x:c r="H843" t="n">
        <x:v>396555497</x:v>
      </x:c>
      <x:c r="I843" t="n">
        <x:v>360</x:v>
      </x:c>
      <x:c r="J843" t="n">
        <x:v>1101543.0472222222</x:v>
      </x:c>
      <x:c r="K843" s="14"/>
      <x:c r="L843" s="14" t="n">
        <x:v>0.06726691045630595</x:v>
      </x:c>
      <x:c r="M843" s="14" t="n">
        <x:v>0.00788849516466894</x:v>
      </x:c>
      <x:c r="N843" t="n">
        <x:v>21</x:v>
      </x:c>
      <x:c r="O843" t="n">
        <x:v>0</x:v>
      </x:c>
      <x:c r="P843" s="14" t="n">
        <x:v>0</x:v>
      </x:c>
      <x:c r="Q843" s="14" t="n">
        <x:v>0</x:v>
      </x:c>
      <x:c r="R843" s="14" t="n">
        <x:v>-0.045454545454545414</x:v>
      </x:c>
      <x:c r="S843" t="n">
        <x:v>179</x:v>
      </x:c>
      <x:c r="T843" t="n">
        <x:v>67.08391110444852</x:v>
      </x:c>
      <x:c r="U843" s="14" t="n">
        <x:v>1</x:v>
      </x:c>
      <x:c r="V843" s="14" t="n">
        <x:v>0</x:v>
      </x:c>
      <x:c r="W843" s="14" t="n">
        <x:v>0.9841113714280451</x:v>
      </x:c>
      <x:c r="X843" s="14" t="n">
        <x:v>0.77301959579191</x:v>
      </x:c>
      <x:c r="Y843" s="16" t="n">
        <x:v>71.14252061248527</x:v>
      </x:c>
      <x:c r="Z843" s="16" t="n">
        <x:v>50</x:v>
      </x:c>
      <x:c r="AA843" s="16" t="n">
        <x:v>81.9672131147541</x:v>
      </x:c>
      <x:c r="AB843" s="16" t="n">
        <x:v>93.4040047114252</x:v>
      </x:c>
      <x:c r="AC843" s="16" t="n">
        <x:v>86.33686690223793</x:v>
      </x:c>
      <x:c r="AD843" s="16" t="n">
        <x:v>46.34146341463415</x:v>
      </x:c>
      <x:c r="AE843" s="16" t="n">
        <x:v>72.15632474925224</x:v>
      </x:c>
      <x:c r="AF843" t="str">
        <x:v>검토</x:v>
      </x:c>
      <x:c r="AG843" t="str">
        <x:v>경쟁여건·안정성 강점 / 직장수요 상대적 약점</x:v>
      </x:c>
    </x:row>
    <x:row r="844">
      <x:c r="A844" t="str">
        <x:v>3120067</x:v>
      </x:c>
      <x:c r="B844" t="str">
        <x:v>장안동사거리</x:v>
      </x:c>
      <x:c r="C844" t="str">
        <x:v>발달상권</x:v>
      </x:c>
      <x:c r="D844" t="str">
        <x:v>동대문구</x:v>
      </x:c>
      <x:c r="E844" t="str">
        <x:v>장안2동</x:v>
      </x:c>
      <x:c r="F844" t="str">
        <x:v>CS200003</x:v>
      </x:c>
      <x:c r="G844" t="str">
        <x:v>예술학원</x:v>
      </x:c>
      <x:c r="H844" t="n">
        <x:v>1323538843</x:v>
      </x:c>
      <x:c r="I844" t="n">
        <x:v>4600</x:v>
      </x:c>
      <x:c r="J844" t="n">
        <x:v>287725.8354347826</x:v>
      </x:c>
      <x:c r="K844" s="14" t="n">
        <x:v>0.06429261925989316</x:v>
      </x:c>
      <x:c r="L844" s="14" t="n">
        <x:v>0.09364146198394163</x:v>
      </x:c>
      <x:c r="M844" s="14" t="n">
        <x:v>0.053788091189524545</x:v>
      </x:c>
      <x:c r="N844" t="n">
        <x:v>50</x:v>
      </x:c>
      <x:c r="O844" t="n">
        <x:v>0</x:v>
      </x:c>
      <x:c r="P844" s="14" t="n">
        <x:v>0</x:v>
      </x:c>
      <x:c r="Q844" s="14" t="n">
        <x:v>0.08</x:v>
      </x:c>
      <x:c r="R844" s="14" t="n">
        <x:v>0.2195121951219512</x:v>
      </x:c>
      <x:c r="S844" t="n">
        <x:v>3227</x:v>
      </x:c>
      <x:c r="T844" t="n">
        <x:v>146.95702861722862</x:v>
      </x:c>
      <x:c r="U844" s="14" t="n">
        <x:v>0.8420449002266267</x:v>
      </x:c>
      <x:c r="V844" s="14" t="n">
        <x:v>0.636991808331839</x:v>
      </x:c>
      <x:c r="W844" s="14" t="n">
        <x:v>0.12813816828797067</x:v>
      </x:c>
      <x:c r="X844" s="14" t="n">
        <x:v>0.5206972864037055</x:v>
      </x:c>
      <x:c r="Y844" s="16" t="n">
        <x:v>97.01195219123505</x:v>
      </x:c>
      <x:c r="Z844" s="16" t="n">
        <x:v>59.50920245398773</x:v>
      </x:c>
      <x:c r="AA844" s="16" t="n">
        <x:v>88.52459016393442</x:v>
      </x:c>
      <x:c r="AB844" s="16" t="n">
        <x:v>14.741035856573703</x:v>
      </x:c>
      <x:c r="AC844" s="16" t="n">
        <x:v>73.20717131474103</x:v>
      </x:c>
      <x:c r="AD844" s="16" t="n">
        <x:v>69.7560975609756</x:v>
      </x:c>
      <x:c r="AE844" s="16" t="n">
        <x:v>72.15438967032891</x:v>
      </x:c>
      <x:c r="AF844" t="str">
        <x:v>검토</x:v>
      </x:c>
      <x:c r="AG844" t="str">
        <x:v>수요·서울 업종추세 강점 / 경쟁여건 상대적 약점</x:v>
      </x:c>
    </x:row>
    <x:row r="845">
      <x:c r="A845" t="str">
        <x:v>3120114</x:v>
      </x:c>
      <x:c r="B845" t="str">
        <x:v>목동신시가지</x:v>
      </x:c>
      <x:c r="C845" t="str">
        <x:v>발달상권</x:v>
      </x:c>
      <x:c r="D845" t="str">
        <x:v>양천구</x:v>
      </x:c>
      <x:c r="E845" t="str">
        <x:v>목1동</x:v>
      </x:c>
      <x:c r="F845" t="str">
        <x:v>CS300020</x:v>
      </x:c>
      <x:c r="G845" t="str">
        <x:v>서적</x:v>
      </x:c>
      <x:c r="H845" t="n">
        <x:v>922893467</x:v>
      </x:c>
      <x:c r="I845" t="n">
        <x:v>18351</x:v>
      </x:c>
      <x:c r="J845" t="n">
        <x:v>50291.18124352896</x:v>
      </x:c>
      <x:c r="K845" s="14" t="n">
        <x:v>-0.09947303443879052</x:v>
      </x:c>
      <x:c r="L845" s="14" t="n">
        <x:v>0.20039418624921757</x:v>
      </x:c>
      <x:c r="M845" s="14" t="n">
        <x:v>-0.01061516125540185</x:v>
      </x:c>
      <x:c r="N845" t="n">
        <x:v>13</x:v>
      </x:c>
      <x:c r="O845" t="n">
        <x:v>0</x:v>
      </x:c>
      <x:c r="P845" s="14" t="n">
        <x:v>0</x:v>
      </x:c>
      <x:c r="Q845" s="14" t="n">
        <x:v>0.07692307692307693</x:v>
      </x:c>
      <x:c r="R845" s="14" t="n">
        <x:v>0.4444444444444444</x:v>
      </x:c>
      <x:c r="S845" t="n">
        <x:v>27985</x:v>
      </x:c>
      <x:c r="T845" t="n">
        <x:v>664.0501721523673</x:v>
      </x:c>
      <x:c r="U845" s="14" t="n">
        <x:v>0.7114089594048454</x:v>
      </x:c>
      <x:c r="V845" s="14" t="n">
        <x:v>0.39052616134728796</x:v>
      </x:c>
      <x:c r="W845" s="14" t="n">
        <x:v>0.011641284052994602</x:v>
      </x:c>
      <x:c r="X845" s="14" t="n">
        <x:v>0.6634210999350373</x:v>
      </x:c>
      <x:c r="Y845" s="16" t="n">
        <x:v>89.93288590604027</x:v>
      </x:c>
      <x:c r="Z845" s="16" t="n">
        <x:v>32.142857142857146</x:v>
      </x:c>
      <x:c r="AA845" s="16" t="n">
        <x:v>96.72131147540983</x:v>
      </x:c>
      <x:c r="AB845" s="16" t="n">
        <x:v>60.738255033557046</x:v>
      </x:c>
      <x:c r="AC845" s="16" t="n">
        <x:v>59.395973154362416</x:v>
      </x:c>
      <x:c r="AD845" s="16" t="n">
        <x:v>93.65853658536585</x:v>
      </x:c>
      <x:c r="AE845" s="16" t="n">
        <x:v>72.1465406167351</x:v>
      </x:c>
      <x:c r="AF845" t="str">
        <x:v>검토</x:v>
      </x:c>
      <x:c r="AG845" t="str">
        <x:v>서울 업종추세·직장수요 강점 / 상권 모멘텀 상대적 약점</x:v>
      </x:c>
    </x:row>
    <x:row r="846">
      <x:c r="A846" t="str">
        <x:v>3111021</x:v>
      </x:c>
      <x:c r="B846" t="str">
        <x:v>방이역 4번</x:v>
      </x:c>
      <x:c r="C846" t="str">
        <x:v>골목상권</x:v>
      </x:c>
      <x:c r="D846" t="str">
        <x:v>송파구</x:v>
      </x:c>
      <x:c r="E846" t="str">
        <x:v>방이1동</x:v>
      </x:c>
      <x:c r="F846" t="str">
        <x:v>CS100009</x:v>
      </x:c>
      <x:c r="G846" t="str">
        <x:v>호프-간이주점</x:v>
      </x:c>
      <x:c r="H846" t="n">
        <x:v>1044811968</x:v>
      </x:c>
      <x:c r="I846" t="n">
        <x:v>28440</x:v>
      </x:c>
      <x:c r="J846" t="n">
        <x:v>36737.41097046414</x:v>
      </x:c>
      <x:c r="K846" s="14" t="n">
        <x:v>0.2504847672056192</x:v>
      </x:c>
      <x:c r="L846" s="14" t="n">
        <x:v>-0.09956754672050205</x:v>
      </x:c>
      <x:c r="M846" s="14" t="n">
        <x:v>0.017869323230272016</x:v>
      </x:c>
      <x:c r="N846" t="n">
        <x:v>27</x:v>
      </x:c>
      <x:c r="O846" t="n">
        <x:v>0</x:v>
      </x:c>
      <x:c r="P846" s="14" t="n">
        <x:v>0</x:v>
      </x:c>
      <x:c r="Q846" s="14" t="n">
        <x:v>0.1111111111111111</x:v>
      </x:c>
      <x:c r="R846" s="14" t="n">
        <x:v>-0.0357142857142857</x:v>
      </x:c>
      <x:c r="S846" t="n">
        <x:v>4665</x:v>
      </x:c>
      <x:c r="T846" t="n">
        <x:v>143.8580477244833</x:v>
      </x:c>
      <x:c r="U846" s="14" t="n">
        <x:v>0.6427607326182543</x:v>
      </x:c>
      <x:c r="V846" s="14" t="n">
        <x:v>0.6699133800504092</x:v>
      </x:c>
      <x:c r="W846" s="14" t="n">
        <x:v>0.3562808853659685</x:v>
      </x:c>
      <x:c r="X846" s="14" t="n">
        <x:v>0.3163850789657111</x:v>
      </x:c>
      <x:c r="Y846" s="16" t="n">
        <x:v>82.17934165720771</x:v>
      </x:c>
      <x:c r="Z846" s="16" t="n">
        <x:v>93.75722543352602</x:v>
      </x:c>
      <x:c r="AA846" s="16" t="n">
        <x:v>13.114754098360656</x:v>
      </x:c>
      <x:c r="AB846" s="16" t="n">
        <x:v>70.14755959137344</x:v>
      </x:c>
      <x:c r="AC846" s="16" t="n">
        <x:v>86.83314415437003</x:v>
      </x:c>
      <x:c r="AD846" s="16" t="n">
        <x:v>69.02439024390245</x:v>
      </x:c>
      <x:c r="AE846" s="16" t="n">
        <x:v>72.13809564782014</x:v>
      </x:c>
      <x:c r="AF846" t="str">
        <x:v>검토</x:v>
      </x:c>
      <x:c r="AG846" t="str">
        <x:v>상권 모멘텀·안정성 강점 / 서울 업종추세 상대적 약점</x:v>
      </x:c>
    </x:row>
    <x:row r="847">
      <x:c r="A847" t="str">
        <x:v>3120056</x:v>
      </x:c>
      <x:c r="B847" t="str">
        <x:v>구의역</x:v>
      </x:c>
      <x:c r="C847" t="str">
        <x:v>발달상권</x:v>
      </x:c>
      <x:c r="D847" t="str">
        <x:v>광진구</x:v>
      </x:c>
      <x:c r="E847" t="str">
        <x:v>구의1동</x:v>
      </x:c>
      <x:c r="F847" t="str">
        <x:v>CS200003</x:v>
      </x:c>
      <x:c r="G847" t="str">
        <x:v>예술학원</x:v>
      </x:c>
      <x:c r="H847" t="n">
        <x:v>74497952</x:v>
      </x:c>
      <x:c r="I847" t="n">
        <x:v>281</x:v>
      </x:c>
      <x:c r="J847" t="n">
        <x:v>265117.26690391457</x:v>
      </x:c>
      <x:c r="K847" s="14" t="n">
        <x:v>0.28108124613677643</x:v>
      </x:c>
      <x:c r="L847" s="14" t="n">
        <x:v>0.09364146198394163</x:v>
      </x:c>
      <x:c r="M847" s="14" t="n">
        <x:v>0.053788091189524545</x:v>
      </x:c>
      <x:c r="N847" t="n">
        <x:v>21</x:v>
      </x:c>
      <x:c r="O847" t="n">
        <x:v>0</x:v>
      </x:c>
      <x:c r="P847" s="14" t="n">
        <x:v>0</x:v>
      </x:c>
      <x:c r="Q847" s="14" t="n">
        <x:v>0</x:v>
      </x:c>
      <x:c r="R847" s="14" t="n">
        <x:v>0.16666666666666674</x:v>
      </x:c>
      <x:c r="S847" t="n">
        <x:v>7498</x:v>
      </x:c>
      <x:c r="T847" t="n">
        <x:v>472.3625688258344</x:v>
      </x:c>
      <x:c r="U847" s="14" t="n">
        <x:v>0.7743383871814356</x:v>
      </x:c>
      <x:c r="V847" s="14" t="n">
        <x:v>0.7530718428340151</x:v>
      </x:c>
      <x:c r="W847" s="14" t="n">
        <x:v>0.27644312960442186</x:v>
      </x:c>
      <x:c r="X847" s="14" t="n">
        <x:v>0.6983280963213593</x:v>
      </x:c>
      <x:c r="Y847" s="16" t="n">
        <x:v>52.58964143426295</x:v>
      </x:c>
      <x:c r="Z847" s="16" t="n">
        <x:v>88.5480572597137</x:v>
      </x:c>
      <x:c r="AA847" s="16" t="n">
        <x:v>88.52459016393442</x:v>
      </x:c>
      <x:c r="AB847" s="16" t="n">
        <x:v>72.90836653386454</x:v>
      </x:c>
      <x:c r="AC847" s="16" t="n">
        <x:v>73.20717131474103</x:v>
      </x:c>
      <x:c r="AD847" s="16" t="n">
        <x:v>89.39024390243902</x:v>
      </x:c>
      <x:c r="AE847" s="16" t="n">
        <x:v>72.12115878520066</x:v>
      </x:c>
      <x:c r="AF847" t="str">
        <x:v>검토</x:v>
      </x:c>
      <x:c r="AG847" t="str">
        <x:v>직장수요·상권 모멘텀 강점 / 수요 상대적 약점</x:v>
      </x:c>
    </x:row>
    <x:row r="848">
      <x:c r="A848" t="str">
        <x:v>3001491</x:v>
      </x:c>
      <x:c r="B848" t="str">
        <x:v>이태원 관광특구</x:v>
      </x:c>
      <x:c r="C848" t="str">
        <x:v>관광특구</x:v>
      </x:c>
      <x:c r="D848" t="str">
        <x:v>용산구</x:v>
      </x:c>
      <x:c r="E848" t="str">
        <x:v>이태원1동</x:v>
      </x:c>
      <x:c r="F848" t="str">
        <x:v>CS300011</x:v>
      </x:c>
      <x:c r="G848" t="str">
        <x:v>일반의류</x:v>
      </x:c>
      <x:c r="H848" t="n">
        <x:v>19821674944</x:v>
      </x:c>
      <x:c r="I848" t="n">
        <x:v>99755</x:v>
      </x:c>
      <x:c r="J848" t="n">
        <x:v>198703.5731943261</x:v>
      </x:c>
      <x:c r="K848" s="14" t="n">
        <x:v>0.10580564451120011</x:v>
      </x:c>
      <x:c r="L848" s="14" t="n">
        <x:v>0.06726691045630595</x:v>
      </x:c>
      <x:c r="M848" s="14" t="n">
        <x:v>0.00788849516466894</x:v>
      </x:c>
      <x:c r="N848" t="n">
        <x:v>252</x:v>
      </x:c>
      <x:c r="O848" t="n">
        <x:v>3</x:v>
      </x:c>
      <x:c r="P848" s="14" t="n">
        <x:v>0.011673151750972763</x:v>
      </x:c>
      <x:c r="Q848" s="14" t="n">
        <x:v>0</x:v>
      </x:c>
      <x:c r="R848" s="14" t="n">
        <x:v>-0.07352941176470584</x:v>
      </x:c>
      <x:c r="S848" t="n">
        <x:v>35826</x:v>
      </x:c>
      <x:c r="T848" t="n">
        <x:v>961.6040154067075</x:v>
      </x:c>
      <x:c r="U848" s="14" t="n">
        <x:v>0.5648601609416041</x:v>
      </x:c>
      <x:c r="V848" s="14" t="n">
        <x:v>0.3232257206871085</x:v>
      </x:c>
      <x:c r="W848" s="14" t="n">
        <x:v>0.46102092935219513</x:v>
      </x:c>
      <x:c r="X848" s="14" t="n">
        <x:v>0.5055276504790613</x:v>
      </x:c>
      <x:c r="Y848" s="16" t="n">
        <x:v>98.11542991755006</x:v>
      </x:c>
      <x:c r="Z848" s="16" t="n">
        <x:v>60.16847172081829</x:v>
      </x:c>
      <x:c r="AA848" s="16" t="n">
        <x:v>81.9672131147541</x:v>
      </x:c>
      <x:c r="AB848" s="16" t="n">
        <x:v>15.901060070671377</x:v>
      </x:c>
      <x:c r="AC848" s="16" t="n">
        <x:v>62.19081272084806</x:v>
      </x:c>
      <x:c r="AD848" s="16" t="n">
        <x:v>96.76829268292683</x:v>
      </x:c>
      <x:c r="AE848" s="16" t="n">
        <x:v>72.11183169935114</x:v>
      </x:c>
      <x:c r="AF848" t="str">
        <x:v>검토</x:v>
      </x:c>
      <x:c r="AG848" t="str">
        <x:v>수요·직장수요 강점 / 경쟁여건 상대적 약점</x:v>
      </x:c>
    </x:row>
    <x:row r="849">
      <x:c r="A849" t="str">
        <x:v>3120037</x:v>
      </x:c>
      <x:c r="B849" t="str">
        <x:v>동대문역사문화공원역</x:v>
      </x:c>
      <x:c r="C849" t="str">
        <x:v>발달상권</x:v>
      </x:c>
      <x:c r="D849" t="str">
        <x:v>중구</x:v>
      </x:c>
      <x:c r="E849" t="str">
        <x:v>광희동</x:v>
      </x:c>
      <x:c r="F849" t="str">
        <x:v>CS200024</x:v>
      </x:c>
      <x:c r="G849" t="str">
        <x:v>스포츠클럽</x:v>
      </x:c>
      <x:c r="H849" t="n">
        <x:v>225502135</x:v>
      </x:c>
      <x:c r="I849" t="n">
        <x:v>731</x:v>
      </x:c>
      <x:c r="J849" t="n">
        <x:v>308484.4528043776</x:v>
      </x:c>
      <x:c r="K849" s="14"/>
      <x:c r="L849" s="14" t="n">
        <x:v>0.03927856170757105</x:v>
      </x:c>
      <x:c r="M849" s="14" t="n">
        <x:v>-0.042593628048716026</x:v>
      </x:c>
      <x:c r="N849" t="n">
        <x:v>2</x:v>
      </x:c>
      <x:c r="O849" t="n">
        <x:v>0</x:v>
      </x:c>
      <x:c r="P849" s="14" t="n">
        <x:v>0</x:v>
      </x:c>
      <x:c r="Q849" s="14" t="n">
        <x:v>0</x:v>
      </x:c>
      <x:c r="R849" s="14" t="n">
        <x:v>-0.5</x:v>
      </x:c>
      <x:c r="S849" t="n">
        <x:v>23881</x:v>
      </x:c>
      <x:c r="T849" t="n">
        <x:v>644.3214133467156</x:v>
      </x:c>
      <x:c r="U849" s="14" t="n">
        <x:v>0.9704716409891196</x:v>
      </x:c>
      <x:c r="V849" s="14" t="n">
        <x:v>0.6565845729132453</x:v>
      </x:c>
      <x:c r="W849" s="14" t="n">
        <x:v>0.5815775491438252</x:v>
      </x:c>
      <x:c r="X849" s="14" t="n">
        <x:v>0.3052408173430376</x:v>
      </x:c>
      <x:c r="Y849" s="16" t="n">
        <x:v>69.56521739130434</x:v>
      </x:c>
      <x:c r="Z849" s="16" t="n">
        <x:v>50</x:v>
      </x:c>
      <x:c r="AA849" s="16" t="n">
        <x:v>75.40983606557377</x:v>
      </x:c>
      <x:c r="AB849" s="16" t="n">
        <x:v>99.27536231884058</x:v>
      </x:c>
      <x:c r="AC849" s="16" t="n">
        <x:v>68.84057971014492</x:v>
      </x:c>
      <x:c r="AD849" s="16" t="n">
        <x:v>93.41463414634147</x:v>
      </x:c>
      <x:c r="AE849" s="16" t="n">
        <x:v>72.10539552295023</x:v>
      </x:c>
      <x:c r="AF849" t="str">
        <x:v>검토</x:v>
      </x:c>
      <x:c r="AG849" t="str">
        <x:v>경쟁여건·직장수요 강점 / 상권 모멘텀 상대적 약점</x:v>
      </x:c>
    </x:row>
    <x:row r="850">
      <x:c r="A850" t="str">
        <x:v>3120166</x:v>
      </x:c>
      <x:c r="B850" t="str">
        <x:v>방배역</x:v>
      </x:c>
      <x:c r="C850" t="str">
        <x:v>발달상권</x:v>
      </x:c>
      <x:c r="D850" t="str">
        <x:v>서초구</x:v>
      </x:c>
      <x:c r="E850" t="str">
        <x:v>방배1동</x:v>
      </x:c>
      <x:c r="F850" t="str">
        <x:v>CS200030</x:v>
      </x:c>
      <x:c r="G850" t="str">
        <x:v>피부관리실</x:v>
      </x:c>
      <x:c r="H850" t="n">
        <x:v>443245252</x:v>
      </x:c>
      <x:c r="I850" t="n">
        <x:v>4035</x:v>
      </x:c>
      <x:c r="J850" t="n">
        <x:v>109850.12441140025</x:v>
      </x:c>
      <x:c r="K850" s="14" t="n">
        <x:v>-0.06472537422091962</x:v>
      </x:c>
      <x:c r="L850" s="14" t="n">
        <x:v>0.11857168683779085</x:v>
      </x:c>
      <x:c r="M850" s="14" t="n">
        <x:v>0.0314283578178467</x:v>
      </x:c>
      <x:c r="N850" t="n">
        <x:v>28</x:v>
      </x:c>
      <x:c r="O850" t="n">
        <x:v>0</x:v>
      </x:c>
      <x:c r="P850" s="14" t="n">
        <x:v>0</x:v>
      </x:c>
      <x:c r="Q850" s="14" t="n">
        <x:v>0</x:v>
      </x:c>
      <x:c r="R850" s="14" t="n">
        <x:v>0.5555555555555556</x:v>
      </x:c>
      <x:c r="S850" t="n">
        <x:v>10702</x:v>
      </x:c>
      <x:c r="T850" t="n">
        <x:v>552.7407200813979</x:v>
      </x:c>
      <x:c r="U850" s="14" t="n">
        <x:v>0.7543046778084833</x:v>
      </x:c>
      <x:c r="V850" s="14" t="n">
        <x:v>0.48004250026348844</x:v>
      </x:c>
      <x:c r="W850" s="14" t="n">
        <x:v>0.594003626236249</x:v>
      </x:c>
      <x:c r="X850" s="14" t="n">
        <x:v>0.7651806228484992</x:v>
      </x:c>
      <x:c r="Y850" s="16" t="n">
        <x:v>92.05955334987593</x:v>
      </x:c>
      <x:c r="Z850" s="16" t="n">
        <x:v>26.79045092838196</x:v>
      </x:c>
      <x:c r="AA850" s="16" t="n">
        <x:v>91.80327868852459</x:v>
      </x:c>
      <x:c r="AB850" s="16" t="n">
        <x:v>55.21091811414392</x:v>
      </x:c>
      <x:c r="AC850" s="16" t="n">
        <x:v>79.15632754342431</x:v>
      </x:c>
      <x:c r="AD850" s="16" t="n">
        <x:v>91.09756097560975</x:v>
      </x:c>
      <x:c r="AE850" s="16" t="n">
        <x:v>72.10157418165616</x:v>
      </x:c>
      <x:c r="AF850" t="str">
        <x:v>검토</x:v>
      </x:c>
      <x:c r="AG850" t="str">
        <x:v>수요·서울 업종추세 강점 / 상권 모멘텀 상대적 약점</x:v>
      </x:c>
    </x:row>
    <x:row r="851">
      <x:c r="A851" t="str">
        <x:v>3130067</x:v>
      </x:c>
      <x:c r="B851" t="str">
        <x:v>왕십리도선동상점가</x:v>
      </x:c>
      <x:c r="C851" t="str">
        <x:v>전통시장</x:v>
      </x:c>
      <x:c r="D851" t="str">
        <x:v>성동구</x:v>
      </x:c>
      <x:c r="E851" t="str">
        <x:v>왕십리도선동</x:v>
      </x:c>
      <x:c r="F851" t="str">
        <x:v>CS300007</x:v>
      </x:c>
      <x:c r="G851" t="str">
        <x:v>육류판매</x:v>
      </x:c>
      <x:c r="H851" t="n">
        <x:v>6793867289</x:v>
      </x:c>
      <x:c r="I851" t="n">
        <x:v>14426</x:v>
      </x:c>
      <x:c r="J851" t="n">
        <x:v>470946.0203105504</x:v>
      </x:c>
      <x:c r="K851" s="14" t="n">
        <x:v>0.04427782554447646</x:v>
      </x:c>
      <x:c r="L851" s="14" t="n">
        <x:v>0.23518223683931017</x:v>
      </x:c>
      <x:c r="M851" s="14" t="n">
        <x:v>0.00863079289162072</x:v>
      </x:c>
      <x:c r="N851" t="n">
        <x:v>49</x:v>
      </x:c>
      <x:c r="O851" t="n">
        <x:v>0</x:v>
      </x:c>
      <x:c r="P851" s="14" t="n">
        <x:v>0</x:v>
      </x:c>
      <x:c r="Q851" s="14" t="n">
        <x:v>0</x:v>
      </x:c>
      <x:c r="R851" s="14" t="n">
        <x:v>-0.15517241379310343</x:v>
      </x:c>
      <x:c r="S851" t="n">
        <x:v>1834</x:v>
      </x:c>
      <x:c r="T851" t="n">
        <x:v>211.54622527250706</x:v>
      </x:c>
      <x:c r="U851" s="14" t="n">
        <x:v>0.9085314424663322</x:v>
      </x:c>
      <x:c r="V851" s="14" t="n">
        <x:v>0.2722129369518805</x:v>
      </x:c>
      <x:c r="W851" s="14" t="n">
        <x:v>0.0019602621649031744</x:v>
      </x:c>
      <x:c r="X851" s="14" t="n">
        <x:v>0.16432379917216838</x:v>
      </x:c>
      <x:c r="Y851" s="16" t="n">
        <x:v>96.03960396039604</x:v>
      </x:c>
      <x:c r="Z851" s="16" t="n">
        <x:v>61.55844155844156</x:v>
      </x:c>
      <x:c r="AA851" s="16" t="n">
        <x:v>100</x:v>
      </x:c>
      <x:c r="AB851" s="16" t="n">
        <x:v>4.084158415841586</x:v>
      </x:c>
      <x:c r="AC851" s="16" t="n">
        <x:v>66.83168316831683</x:v>
      </x:c>
      <x:c r="AD851" s="16" t="n">
        <x:v>77.5609756097561</x:v>
      </x:c>
      <x:c r="AE851" s="16" t="n">
        <x:v>72.09939055752264</x:v>
      </x:c>
      <x:c r="AF851" t="str">
        <x:v>검토</x:v>
      </x:c>
      <x:c r="AG851" t="str">
        <x:v>서울 업종추세·수요 강점 / 경쟁여건 상대적 약점</x:v>
      </x:c>
    </x:row>
    <x:row r="852">
      <x:c r="A852" t="str">
        <x:v>3120064</x:v>
      </x:c>
      <x:c r="B852" t="str">
        <x:v>경희대학교(경희대)</x:v>
      </x:c>
      <x:c r="C852" t="str">
        <x:v>발달상권</x:v>
      </x:c>
      <x:c r="D852" t="str">
        <x:v>동대문구</x:v>
      </x:c>
      <x:c r="E852" t="str">
        <x:v>회기동</x:v>
      </x:c>
      <x:c r="F852" t="str">
        <x:v>CS300018</x:v>
      </x:c>
      <x:c r="G852" t="str">
        <x:v>의약품</x:v>
      </x:c>
      <x:c r="H852" t="n">
        <x:v>4401043603</x:v>
      </x:c>
      <x:c r="I852" t="n">
        <x:v>94515</x:v>
      </x:c>
      <x:c r="J852" t="n">
        <x:v>46564.49878855208</x:v>
      </x:c>
      <x:c r="K852" s="14" t="n">
        <x:v>0.035286918243898624</x:v>
      </x:c>
      <x:c r="L852" s="14" t="n">
        <x:v>0.027829225601598617</x:v>
      </x:c>
      <x:c r="M852" s="14" t="n">
        <x:v>0.02632929521123617</x:v>
      </x:c>
      <x:c r="N852" t="n">
        <x:v>20</x:v>
      </x:c>
      <x:c r="O852" t="n">
        <x:v>0</x:v>
      </x:c>
      <x:c r="P852" s="14" t="n">
        <x:v>0</x:v>
      </x:c>
      <x:c r="Q852" s="14" t="n">
        <x:v>0.05</x:v>
      </x:c>
      <x:c r="R852" s="14" t="n">
        <x:v>-0.04761904761904767</x:v>
      </x:c>
      <x:c r="S852" t="n">
        <x:v>33</x:v>
      </x:c>
      <x:c r="T852" t="n">
        <x:v>6.794737167212304</x:v>
      </x:c>
      <x:c r="U852" s="14" t="n">
        <x:v>0.9722636626647391</x:v>
      </x:c>
      <x:c r="V852" s="14" t="n">
        <x:v>0.027138789972129252</x:v>
      </x:c>
      <x:c r="W852" s="14" t="n">
        <x:v>0.09573751046519681</x:v>
      </x:c>
      <x:c r="X852" s="14" t="n">
        <x:v>0.4262416949746362</x:v>
      </x:c>
      <x:c r="Y852" s="16" t="n">
        <x:v>86.5979381443299</x:v>
      </x:c>
      <x:c r="Z852" s="16" t="n">
        <x:v>75.52447552447552</x:v>
      </x:c>
      <x:c r="AA852" s="16" t="n">
        <x:v>72.1311475409836</x:v>
      </x:c>
      <x:c r="AB852" s="16" t="n">
        <x:v>60.738831615120276</x:v>
      </x:c>
      <x:c r="AC852" s="16" t="n">
        <x:v>66.32302405498282</x:v>
      </x:c>
      <x:c r="AD852" s="16" t="n">
        <x:v>2.4390243902439024</x:v>
      </x:c>
      <x:c r="AE852" s="16" t="n">
        <x:v>72.09892395383663</x:v>
      </x:c>
      <x:c r="AF852" t="str">
        <x:v>검토</x:v>
      </x:c>
      <x:c r="AG852" t="str">
        <x:v>수요·상권 모멘텀 강점 / 직장수요 상대적 약점</x:v>
      </x:c>
    </x:row>
    <x:row r="853">
      <x:c r="A853" t="str">
        <x:v>3120037</x:v>
      </x:c>
      <x:c r="B853" t="str">
        <x:v>동대문역사문화공원역</x:v>
      </x:c>
      <x:c r="C853" t="str">
        <x:v>발달상권</x:v>
      </x:c>
      <x:c r="D853" t="str">
        <x:v>중구</x:v>
      </x:c>
      <x:c r="E853" t="str">
        <x:v>광희동</x:v>
      </x:c>
      <x:c r="F853" t="str">
        <x:v>CS200028</x:v>
      </x:c>
      <x:c r="G853" t="str">
        <x:v>미용실</x:v>
      </x:c>
      <x:c r="H853" t="n">
        <x:v>192996798</x:v>
      </x:c>
      <x:c r="I853" t="n">
        <x:v>3429</x:v>
      </x:c>
      <x:c r="J853" t="n">
        <x:v>56283.69728783902</x:v>
      </x:c>
      <x:c r="K853" s="14" t="n">
        <x:v>0.023391152106801982</x:v>
      </x:c>
      <x:c r="L853" s="14" t="n">
        <x:v>0.02168887159425803</x:v>
      </x:c>
      <x:c r="M853" s="14" t="n">
        <x:v>-0.013481964371473865</x:v>
      </x:c>
      <x:c r="N853" t="n">
        <x:v>28</x:v>
      </x:c>
      <x:c r="O853" t="n">
        <x:v>0</x:v>
      </x:c>
      <x:c r="P853" s="14" t="n">
        <x:v>0</x:v>
      </x:c>
      <x:c r="Q853" s="14" t="n">
        <x:v>0.17857142857142858</x:v>
      </x:c>
      <x:c r="R853" s="14" t="n">
        <x:v>-0.03448275862068961</x:v>
      </x:c>
      <x:c r="S853" t="n">
        <x:v>23881</x:v>
      </x:c>
      <x:c r="T853" t="n">
        <x:v>644.3214133467156</x:v>
      </x:c>
      <x:c r="U853" s="14" t="n">
        <x:v>0.7711670843368086</x:v>
      </x:c>
      <x:c r="V853" s="14" t="n">
        <x:v>0.40921896538407854</x:v>
      </x:c>
      <x:c r="W853" s="14" t="n">
        <x:v>0.5615483475534138</x:v>
      </x:c>
      <x:c r="X853" s="14" t="n">
        <x:v>0.5567620453475088</x:v>
      </x:c>
      <x:c r="Y853" s="16" t="n">
        <x:v>77.4395702775291</x:v>
      </x:c>
      <x:c r="Z853" s="16" t="n">
        <x:v>53.507194244604314</x:v>
      </x:c>
      <x:c r="AA853" s="16" t="n">
        <x:v>57.377049180327866</x:v>
      </x:c>
      <x:c r="AB853" s="16" t="n">
        <x:v>89.6598030438675</x:v>
      </x:c>
      <x:c r="AC853" s="16" t="n">
        <x:v>75.60429722470904</x:v>
      </x:c>
      <x:c r="AD853" s="16" t="n">
        <x:v>93.41463414634147</x:v>
      </x:c>
      <x:c r="AE853" s="16" t="n">
        <x:v>72.09197770947333</x:v>
      </x:c>
      <x:c r="AF853" t="str">
        <x:v>검토</x:v>
      </x:c>
      <x:c r="AG853" t="str">
        <x:v>직장수요·경쟁여건 강점 / 상권 모멘텀 상대적 약점</x:v>
      </x:c>
    </x:row>
    <x:row r="854">
      <x:c r="A854" t="str">
        <x:v>3110542</x:v>
      </x:c>
      <x:c r="B854" t="str">
        <x:v>마포구청역 7번</x:v>
      </x:c>
      <x:c r="C854" t="str">
        <x:v>골목상권</x:v>
      </x:c>
      <x:c r="D854" t="str">
        <x:v>마포구</x:v>
      </x:c>
      <x:c r="E854" t="str">
        <x:v>망원2동</x:v>
      </x:c>
      <x:c r="F854" t="str">
        <x:v>CS100006</x:v>
      </x:c>
      <x:c r="G854" t="str">
        <x:v>패스트푸드점</x:v>
      </x:c>
      <x:c r="H854" t="n">
        <x:v>540873647</x:v>
      </x:c>
      <x:c r="I854" t="n">
        <x:v>48211</x:v>
      </x:c>
      <x:c r="J854" t="n">
        <x:v>11218.884632137893</x:v>
      </x:c>
      <x:c r="K854" s="14" t="n">
        <x:v>0.044876280765835164</x:v>
      </x:c>
      <x:c r="L854" s="14" t="n">
        <x:v>0.0037102725933797487</x:v>
      </x:c>
      <x:c r="M854" s="14" t="n">
        <x:v>0.011474434125836375</x:v>
      </x:c>
      <x:c r="N854" t="n">
        <x:v>12</x:v>
      </x:c>
      <x:c r="O854" t="n">
        <x:v>0</x:v>
      </x:c>
      <x:c r="P854" s="14" t="n">
        <x:v>0</x:v>
      </x:c>
      <x:c r="Q854" s="14" t="n">
        <x:v>0.4166666666666667</x:v>
      </x:c>
      <x:c r="R854" s="14" t="n">
        <x:v>0.33333333333333326</x:v>
      </x:c>
      <x:c r="S854" t="n">
        <x:v>1552</x:v>
      </x:c>
      <x:c r="T854" t="n">
        <x:v>125.50947790645014</x:v>
      </x:c>
      <x:c r="U854" s="14" t="n">
        <x:v>0.6735834256683613</x:v>
      </x:c>
      <x:c r="V854" s="14" t="n">
        <x:v>0.5404282120626225</x:v>
      </x:c>
      <x:c r="W854" s="14" t="n">
        <x:v>0.3801074763770105</x:v>
      </x:c>
      <x:c r="X854" s="14" t="n">
        <x:v>0.37222050125137635</x:v>
      </x:c>
      <x:c r="Y854" s="16" t="n">
        <x:v>81.79551122194513</x:v>
      </x:c>
      <x:c r="Z854" s="16" t="n">
        <x:v>71.54046997389034</x:v>
      </x:c>
      <x:c r="AA854" s="16" t="n">
        <x:v>44.26229508196721</x:v>
      </x:c>
      <x:c r="AB854" s="16" t="n">
        <x:v>76.18453865336659</x:v>
      </x:c>
      <x:c r="AC854" s="16" t="n">
        <x:v>78.30423940149626</x:v>
      </x:c>
      <x:c r="AD854" s="16" t="n">
        <x:v>65.0609756097561</x:v>
      </x:c>
      <x:c r="AE854" s="16" t="n">
        <x:v>72.08702070339636</x:v>
      </x:c>
      <x:c r="AF854" t="str">
        <x:v>검토</x:v>
      </x:c>
      <x:c r="AG854" t="str">
        <x:v>수요·안정성 강점 / 서울 업종추세 상대적 약점</x:v>
      </x:c>
    </x:row>
    <x:row r="855">
      <x:c r="A855" t="str">
        <x:v>3110503</x:v>
      </x:c>
      <x:c r="B855" t="str">
        <x:v>명지대학교교회</x:v>
      </x:c>
      <x:c r="C855" t="str">
        <x:v>골목상권</x:v>
      </x:c>
      <x:c r="D855" t="str">
        <x:v>서대문구</x:v>
      </x:c>
      <x:c r="E855" t="str">
        <x:v>남가좌2동</x:v>
      </x:c>
      <x:c r="F855" t="str">
        <x:v>CS300010</x:v>
      </x:c>
      <x:c r="G855" t="str">
        <x:v>반찬가게</x:v>
      </x:c>
      <x:c r="H855" t="n">
        <x:v>1136723223</x:v>
      </x:c>
      <x:c r="I855" t="n">
        <x:v>270543</x:v>
      </x:c>
      <x:c r="J855" t="n">
        <x:v>4201.63605415775</x:v>
      </x:c>
      <x:c r="K855" s="14" t="n">
        <x:v>0.09214109900863399</x:v>
      </x:c>
      <x:c r="L855" s="14" t="n">
        <x:v>0.02346021551670452</x:v>
      </x:c>
      <x:c r="M855" s="14" t="n">
        <x:v>0.024589273784872745</x:v>
      </x:c>
      <x:c r="N855" t="n">
        <x:v>19</x:v>
      </x:c>
      <x:c r="O855" t="n">
        <x:v>0</x:v>
      </x:c>
      <x:c r="P855" s="14" t="n">
        <x:v>0</x:v>
      </x:c>
      <x:c r="Q855" s="14" t="n">
        <x:v>0</x:v>
      </x:c>
      <x:c r="R855" s="14" t="n">
        <x:v>0.46153846153846145</x:v>
      </x:c>
      <x:c r="S855" t="n">
        <x:v>1008</x:v>
      </x:c>
      <x:c r="T855" t="n">
        <x:v>65.13900197743398</x:v>
      </x:c>
      <x:c r="U855" s="14" t="n">
        <x:v>0.6757032076576129</x:v>
      </x:c>
      <x:c r="V855" s="14" t="n">
        <x:v>0.5792571126172902</x:v>
      </x:c>
      <x:c r="W855" s="14" t="n">
        <x:v>0.5544347166029527</x:v>
      </x:c>
      <x:c r="X855" s="14" t="n">
        <x:v>0.4726391448061407</x:v>
      </x:c>
      <x:c r="Y855" s="16" t="n">
        <x:v>79.4486215538847</x:v>
      </x:c>
      <x:c r="Z855" s="16" t="n">
        <x:v>71.94444444444444</x:v>
      </x:c>
      <x:c r="AA855" s="16" t="n">
        <x:v>63.9344262295082</x:v>
      </x:c>
      <x:c r="AB855" s="16" t="n">
        <x:v>70.92731829573935</x:v>
      </x:c>
      <x:c r="AC855" s="16" t="n">
        <x:v>73.93483709273183</x:v>
      </x:c>
      <x:c r="AD855" s="16" t="n">
        <x:v>45.36585365853659</x:v>
      </x:c>
      <x:c r="AE855" s="16" t="n">
        <x:v>72.08694450373568</x:v>
      </x:c>
      <x:c r="AF855" t="str">
        <x:v>검토</x:v>
      </x:c>
      <x:c r="AG855" t="str">
        <x:v>수요·안정성 강점 / 직장수요 상대적 약점</x:v>
      </x:c>
    </x:row>
    <x:row r="856">
      <x:c r="A856" t="str">
        <x:v>3130137</x:v>
      </x:c>
      <x:c r="B856" t="str">
        <x:v>수유전통시장(수유시장, 수유골목시장)</x:v>
      </x:c>
      <x:c r="C856" t="str">
        <x:v>전통시장</x:v>
      </x:c>
      <x:c r="D856" t="str">
        <x:v>강북구</x:v>
      </x:c>
      <x:c r="E856" t="str">
        <x:v>수유1동</x:v>
      </x:c>
      <x:c r="F856" t="str">
        <x:v>CS300009</x:v>
      </x:c>
      <x:c r="G856" t="str">
        <x:v>청과상</x:v>
      </x:c>
      <x:c r="H856" t="n">
        <x:v>16751958959</x:v>
      </x:c>
      <x:c r="I856" t="n">
        <x:v>666679</x:v>
      </x:c>
      <x:c r="J856" t="n">
        <x:v>25127.473580238766</x:v>
      </x:c>
      <x:c r="K856" s="14" t="n">
        <x:v>0.14559592122364684</x:v>
      </x:c>
      <x:c r="L856" s="14" t="n">
        <x:v>0.19728256051488424</x:v>
      </x:c>
      <x:c r="M856" s="14" t="n">
        <x:v>0.09797365727115581</x:v>
      </x:c>
      <x:c r="N856" t="n">
        <x:v>34</x:v>
      </x:c>
      <x:c r="O856" t="n">
        <x:v>1</x:v>
      </x:c>
      <x:c r="P856" s="14" t="n">
        <x:v>0.02564102564102564</x:v>
      </x:c>
      <x:c r="Q856" s="14" t="n">
        <x:v>0</x:v>
      </x:c>
      <x:c r="R856" s="14" t="n">
        <x:v>-0.2272727272727273</x:v>
      </x:c>
      <x:c r="S856" t="n">
        <x:v>156</x:v>
      </x:c>
      <x:c r="T856" t="n">
        <x:v>42.1359695324528</x:v>
      </x:c>
      <x:c r="U856" s="14" t="n">
        <x:v>0.6773573483418657</x:v>
      </x:c>
      <x:c r="V856" s="14" t="n">
        <x:v>0.10700241932224758</x:v>
      </x:c>
      <x:c r="W856" s="14" t="n">
        <x:v>0.056421293552191304</x:v>
      </x:c>
      <x:c r="X856" s="14" t="n">
        <x:v>0.5558326372926974</x:v>
      </x:c>
      <x:c r="Y856" s="16" t="n">
        <x:v>95.6043956043956</x:v>
      </x:c>
      <x:c r="Z856" s="16" t="n">
        <x:v>82.82442748091603</x:v>
      </x:c>
      <x:c r="AA856" s="16" t="n">
        <x:v>95.08196721311475</x:v>
      </x:c>
      <x:c r="AB856" s="16" t="n">
        <x:v>20.6959706959707</x:v>
      </x:c>
      <x:c r="AC856" s="16" t="n">
        <x:v>31.68498168498168</x:v>
      </x:c>
      <x:c r="AD856" s="16" t="n">
        <x:v>30.426829268292682</x:v>
      </x:c>
      <x:c r="AE856" s="16" t="n">
        <x:v>72.08295427599727</x:v>
      </x:c>
      <x:c r="AF856" t="str">
        <x:v>검토</x:v>
      </x:c>
      <x:c r="AG856" t="str">
        <x:v>수요·서울 업종추세 강점 / 경쟁여건 상대적 약점</x:v>
      </x:c>
    </x:row>
    <x:row r="857">
      <x:c r="A857" t="str">
        <x:v>3120179</x:v>
      </x:c>
      <x:c r="B857" t="str">
        <x:v>양재역</x:v>
      </x:c>
      <x:c r="C857" t="str">
        <x:v>발달상권</x:v>
      </x:c>
      <x:c r="D857" t="str">
        <x:v>서초구</x:v>
      </x:c>
      <x:c r="E857" t="str">
        <x:v>도곡1동</x:v>
      </x:c>
      <x:c r="F857" t="str">
        <x:v>CS200006</x:v>
      </x:c>
      <x:c r="G857" t="str">
        <x:v>일반의원</x:v>
      </x:c>
      <x:c r="H857" t="n">
        <x:v>14074820151</x:v>
      </x:c>
      <x:c r="I857" t="n">
        <x:v>226606</x:v>
      </x:c>
      <x:c r="J857" t="n">
        <x:v>62111.418722363924</x:v>
      </x:c>
      <x:c r="K857" s="14" t="n">
        <x:v>0.043217739941475486</x:v>
      </x:c>
      <x:c r="L857" s="14" t="n">
        <x:v>0.09973642051122278</x:v>
      </x:c>
      <x:c r="M857" s="14" t="n">
        <x:v>0.06942273842247415</x:v>
      </x:c>
      <x:c r="N857" t="n">
        <x:v>60</x:v>
      </x:c>
      <x:c r="O857" t="n">
        <x:v>0</x:v>
      </x:c>
      <x:c r="P857" s="14" t="n">
        <x:v>0</x:v>
      </x:c>
      <x:c r="Q857" s="14" t="n">
        <x:v>0</x:v>
      </x:c>
      <x:c r="R857" s="14" t="n">
        <x:v>0.27659574468085113</x:v>
      </x:c>
      <x:c r="S857" t="n">
        <x:v>27837</x:v>
      </x:c>
      <x:c r="T857" t="n">
        <x:v>798.9839411030267</x:v>
      </x:c>
      <x:c r="U857" s="14" t="n">
        <x:v>0.8695517085616506</x:v>
      </x:c>
      <x:c r="V857" s="14" t="n">
        <x:v>0.19507671881725064</x:v>
      </x:c>
      <x:c r="W857" s="14" t="n">
        <x:v>0.3233141818637509</x:v>
      </x:c>
      <x:c r="X857" s="14" t="n">
        <x:v>0.5879310519937314</x:v>
      </x:c>
      <x:c r="Y857" s="16" t="n">
        <x:v>95.55125725338492</x:v>
      </x:c>
      <x:c r="Z857" s="16" t="n">
        <x:v>58.333333333333336</x:v>
      </x:c>
      <x:c r="AA857" s="16" t="n">
        <x:v>90.1639344262295</x:v>
      </x:c>
      <x:c r="AB857" s="16" t="n">
        <x:v>16.279069767441854</x:v>
      </x:c>
      <x:c r="AC857" s="16" t="n">
        <x:v>62.5</x:v>
      </x:c>
      <x:c r="AD857" s="16" t="n">
        <x:v>95</x:v>
      </x:c>
      <x:c r="AE857" s="16" t="n">
        <x:v>72.0760573344021</x:v>
      </x:c>
      <x:c r="AF857" t="str">
        <x:v>검토</x:v>
      </x:c>
      <x:c r="AG857" t="str">
        <x:v>수요·직장수요 강점 / 경쟁여건 상대적 약점</x:v>
      </x:c>
    </x:row>
    <x:row r="858">
      <x:c r="A858" t="str">
        <x:v>3120069</x:v>
      </x:c>
      <x:c r="B858" t="str">
        <x:v>상봉역</x:v>
      </x:c>
      <x:c r="C858" t="str">
        <x:v>발달상권</x:v>
      </x:c>
      <x:c r="D858" t="str">
        <x:v>중랑구</x:v>
      </x:c>
      <x:c r="E858" t="str">
        <x:v>상봉2동</x:v>
      </x:c>
      <x:c r="F858" t="str">
        <x:v>CS100008</x:v>
      </x:c>
      <x:c r="G858" t="str">
        <x:v>분식전문점</x:v>
      </x:c>
      <x:c r="H858" t="n">
        <x:v>1377483401</x:v>
      </x:c>
      <x:c r="I858" t="n">
        <x:v>103340</x:v>
      </x:c>
      <x:c r="J858" t="n">
        <x:v>13329.62455002903</x:v>
      </x:c>
      <x:c r="K858" s="14" t="n">
        <x:v>0.96705697539308</x:v>
      </x:c>
      <x:c r="L858" s="14" t="n">
        <x:v>-0.021494731595524064</x:v>
      </x:c>
      <x:c r="M858" s="14" t="n">
        <x:v>0.009923521656473921</x:v>
      </x:c>
      <x:c r="N858" t="n">
        <x:v>41</x:v>
      </x:c>
      <x:c r="O858" t="n">
        <x:v>1</x:v>
      </x:c>
      <x:c r="P858" s="14" t="n">
        <x:v>0.021739130434782608</x:v>
      </x:c>
      <x:c r="Q858" s="14" t="n">
        <x:v>0.2682926829268293</x:v>
      </x:c>
      <x:c r="R858" s="14" t="n">
        <x:v>0.3666666666666667</x:v>
      </x:c>
      <x:c r="S858" t="n">
        <x:v>2554</x:v>
      </x:c>
      <x:c r="T858" t="n">
        <x:v>124.08418679674291</x:v>
      </x:c>
      <x:c r="U858" s="14" t="n">
        <x:v>0.6914798518141998</x:v>
      </x:c>
      <x:c r="V858" s="14" t="n">
        <x:v>0.32294465666668315</x:v>
      </x:c>
      <x:c r="W858" s="14" t="n">
        <x:v>0.3552514612116186</x:v>
      </x:c>
      <x:c r="X858" s="14" t="n">
        <x:v>0.5910975735960974</x:v>
      </x:c>
      <x:c r="Y858" s="16" t="n">
        <x:v>94.51530612244898</x:v>
      </x:c>
      <x:c r="Z858" s="16" t="n">
        <x:v>98.82506527415144</x:v>
      </x:c>
      <x:c r="AA858" s="16" t="n">
        <x:v>34.42622950819672</x:v>
      </x:c>
      <x:c r="AB858" s="16" t="n">
        <x:v>33.673469387755105</x:v>
      </x:c>
      <x:c r="AC858" s="16" t="n">
        <x:v>57.71683673469388</x:v>
      </x:c>
      <x:c r="AD858" s="16" t="n">
        <x:v>64.8170731707317</x:v>
      </x:c>
      <x:c r="AE858" s="16" t="n">
        <x:v>72.07286236408618</x:v>
      </x:c>
      <x:c r="AF858" t="str">
        <x:v>검토</x:v>
      </x:c>
      <x:c r="AG858" t="str">
        <x:v>상권 모멘텀·수요 강점 / 경쟁여건 상대적 약점</x:v>
      </x:c>
    </x:row>
    <x:row r="859">
      <x:c r="A859" t="str">
        <x:v>3110744</x:v>
      </x:c>
      <x:c r="B859" t="str">
        <x:v>독산동성당</x:v>
      </x:c>
      <x:c r="C859" t="str">
        <x:v>골목상권</x:v>
      </x:c>
      <x:c r="D859" t="str">
        <x:v>금천구</x:v>
      </x:c>
      <x:c r="E859" t="str">
        <x:v>독산4동</x:v>
      </x:c>
      <x:c r="F859" t="str">
        <x:v>CS300035</x:v>
      </x:c>
      <x:c r="G859" t="str">
        <x:v>인테리어</x:v>
      </x:c>
      <x:c r="H859" t="n">
        <x:v>257728853</x:v>
      </x:c>
      <x:c r="I859" t="n">
        <x:v>7060</x:v>
      </x:c>
      <x:c r="J859" t="n">
        <x:v>36505.50325779037</x:v>
      </x:c>
      <x:c r="K859" s="14" t="n">
        <x:v>0.0820094212543534</x:v>
      </x:c>
      <x:c r="L859" s="14" t="n">
        <x:v>0.20213561276420866</x:v>
      </x:c>
      <x:c r="M859" s="14" t="n">
        <x:v>0.044160820891303576</x:v>
      </x:c>
      <x:c r="N859" t="n">
        <x:v>10</x:v>
      </x:c>
      <x:c r="O859" t="n">
        <x:v>0</x:v>
      </x:c>
      <x:c r="P859" s="14" t="n">
        <x:v>0</x:v>
      </x:c>
      <x:c r="Q859" s="14" t="n">
        <x:v>0</x:v>
      </x:c>
      <x:c r="R859" s="14" t="n">
        <x:v>0</x:v>
      </x:c>
      <x:c r="S859" t="n">
        <x:v>429</x:v>
      </x:c>
      <x:c r="T859" t="n">
        <x:v>20.709430756159726</x:v>
      </x:c>
      <x:c r="U859" s="14" t="n">
        <x:v>0.8440930437850511</x:v>
      </x:c>
      <x:c r="V859" s="14" t="n">
        <x:v>0.08723422208378043</x:v>
      </x:c>
      <x:c r="W859" s="14" t="n">
        <x:v>0.014407234412361273</x:v>
      </x:c>
      <x:c r="X859" s="14" t="n">
        <x:v>0.11877899444964356</x:v>
      </x:c>
      <x:c r="Y859" s="16" t="n">
        <x:v>82.06521739130434</x:v>
      </x:c>
      <x:c r="Z859" s="16" t="n">
        <x:v>52.86624203821656</x:v>
      </x:c>
      <x:c r="AA859" s="16" t="n">
        <x:v>98.36065573770492</x:v>
      </x:c>
      <x:c r="AB859" s="16" t="n">
        <x:v>75.81521739130434</x:v>
      </x:c>
      <x:c r="AC859" s="16" t="n">
        <x:v>60.32608695652174</x:v>
      </x:c>
      <x:c r="AD859" s="16" t="n">
        <x:v>12.317073170731707</x:v>
      </x:c>
      <x:c r="AE859" s="16" t="n">
        <x:v>72.07091781813997</x:v>
      </x:c>
      <x:c r="AF859" t="str">
        <x:v>검토</x:v>
      </x:c>
      <x:c r="AG859" t="str">
        <x:v>서울 업종추세·수요 강점 / 직장수요 상대적 약점</x:v>
      </x:c>
    </x:row>
    <x:row r="860">
      <x:c r="A860" t="str">
        <x:v>3110559</x:v>
      </x:c>
      <x:c r="B860" t="str">
        <x:v>성산중학교</x:v>
      </x:c>
      <x:c r="C860" t="str">
        <x:v>골목상권</x:v>
      </x:c>
      <x:c r="D860" t="str">
        <x:v>마포구</x:v>
      </x:c>
      <x:c r="E860" t="str">
        <x:v>합정동</x:v>
      </x:c>
      <x:c r="F860" t="str">
        <x:v>CS200028</x:v>
      </x:c>
      <x:c r="G860" t="str">
        <x:v>미용실</x:v>
      </x:c>
      <x:c r="H860" t="n">
        <x:v>327925418</x:v>
      </x:c>
      <x:c r="I860" t="n">
        <x:v>2639</x:v>
      </x:c>
      <x:c r="J860" t="n">
        <x:v>124261.24213717318</x:v>
      </x:c>
      <x:c r="K860" s="14" t="n">
        <x:v>0.595067770066777</x:v>
      </x:c>
      <x:c r="L860" s="14" t="n">
        <x:v>0.02168887159425803</x:v>
      </x:c>
      <x:c r="M860" s="14" t="n">
        <x:v>-0.013481964371473865</x:v>
      </x:c>
      <x:c r="N860" t="n">
        <x:v>92</x:v>
      </x:c>
      <x:c r="O860" t="n">
        <x:v>0</x:v>
      </x:c>
      <x:c r="P860" s="14" t="n">
        <x:v>0</x:v>
      </x:c>
      <x:c r="Q860" s="14" t="n">
        <x:v>0.043478260869565216</x:v>
      </x:c>
      <x:c r="R860" s="14" t="n">
        <x:v>0.33333333333333326</x:v>
      </x:c>
      <x:c r="S860" t="n">
        <x:v>816</x:v>
      </x:c>
      <x:c r="T860" t="n">
        <x:v>80.95157786133073</x:v>
      </x:c>
      <x:c r="U860" s="14" t="n">
        <x:v>0.559681128469279</x:v>
      </x:c>
      <x:c r="V860" s="14" t="n">
        <x:v>0.3749962438105362</x:v>
      </x:c>
      <x:c r="W860" s="14" t="n">
        <x:v>0.7598076920039178</x:v>
      </x:c>
      <x:c r="X860" s="14" t="n">
        <x:v>0.855913977976541</x:v>
      </x:c>
      <x:c r="Y860" s="16" t="n">
        <x:v>87.91405550581916</x:v>
      </x:c>
      <x:c r="Z860" s="16" t="n">
        <x:v>99.55035971223022</x:v>
      </x:c>
      <x:c r="AA860" s="16" t="n">
        <x:v>57.377049180327866</x:v>
      </x:c>
      <x:c r="AB860" s="16" t="n">
        <x:v>17.188898836168306</x:v>
      </x:c>
      <x:c r="AC860" s="16" t="n">
        <x:v>75.60429722470904</x:v>
      </x:c>
      <x:c r="AD860" s="16" t="n">
        <x:v>52.80487804878049</x:v>
      </x:c>
      <x:c r="AE860" s="16" t="n">
        <x:v>72.0655571968671</x:v>
      </x:c>
      <x:c r="AF860" t="str">
        <x:v>검토</x:v>
      </x:c>
      <x:c r="AG860" t="str">
        <x:v>상권 모멘텀·수요 강점 / 경쟁여건 상대적 약점</x:v>
      </x:c>
    </x:row>
    <x:row r="861">
      <x:c r="A861" t="str">
        <x:v>3130205</x:v>
      </x:c>
      <x:c r="B861" t="str">
        <x:v>신곡종합시장(신월6동 골목시장)</x:v>
      </x:c>
      <x:c r="C861" t="str">
        <x:v>전통시장</x:v>
      </x:c>
      <x:c r="D861" t="str">
        <x:v>양천구</x:v>
      </x:c>
      <x:c r="E861" t="str">
        <x:v>신월6동</x:v>
      </x:c>
      <x:c r="F861" t="str">
        <x:v>CS200006</x:v>
      </x:c>
      <x:c r="G861" t="str">
        <x:v>일반의원</x:v>
      </x:c>
      <x:c r="H861" t="n">
        <x:v>5699396450</x:v>
      </x:c>
      <x:c r="I861" t="n">
        <x:v>210031</x:v>
      </x:c>
      <x:c r="J861" t="n">
        <x:v>27135.97730811166</x:v>
      </x:c>
      <x:c r="K861" s="14" t="n">
        <x:v>0.005901164352922983</x:v>
      </x:c>
      <x:c r="L861" s="14" t="n">
        <x:v>0.09973642051122278</x:v>
      </x:c>
      <x:c r="M861" s="14" t="n">
        <x:v>0.06942273842247415</x:v>
      </x:c>
      <x:c r="N861" t="n">
        <x:v>15</x:v>
      </x:c>
      <x:c r="O861" t="n">
        <x:v>0</x:v>
      </x:c>
      <x:c r="P861" s="14" t="n">
        <x:v>0</x:v>
      </x:c>
      <x:c r="Q861" s="14" t="n">
        <x:v>0</x:v>
      </x:c>
      <x:c r="R861" s="14" t="n">
        <x:v>0.15384615384615374</x:v>
      </x:c>
      <x:c r="S861" t="n">
        <x:v>245</x:v>
      </x:c>
      <x:c r="T861" t="n">
        <x:v>117.96995377503852</x:v>
      </x:c>
      <x:c r="U861" s="14" t="n">
        <x:v>0.8177425483359734</x:v>
      </x:c>
      <x:c r="V861" s="14" t="n">
        <x:v>0.15815693010792398</x:v>
      </x:c>
      <x:c r="W861" s="14" t="n">
        <x:v>0.1975820194083884</x:v>
      </x:c>
      <x:c r="X861" s="14" t="n">
        <x:v>0.5886983094499418</x:v>
      </x:c>
      <x:c r="Y861" s="16" t="n">
        <x:v>85.1063829787234</x:v>
      </x:c>
      <x:c r="Z861" s="16" t="n">
        <x:v>36.627906976744185</x:v>
      </x:c>
      <x:c r="AA861" s="16" t="n">
        <x:v>90.1639344262295</x:v>
      </x:c>
      <x:c r="AB861" s="16" t="n">
        <x:v>80.03875968992247</x:v>
      </x:c>
      <x:c r="AC861" s="16" t="n">
        <x:v>62.5</x:v>
      </x:c>
      <x:c r="AD861" s="16" t="n">
        <x:v>63.41463414634146</x:v>
      </x:c>
      <x:c r="AE861" s="16" t="n">
        <x:v>72.06395126264191</x:v>
      </x:c>
      <x:c r="AF861" t="str">
        <x:v>검토</x:v>
      </x:c>
      <x:c r="AG861" t="str">
        <x:v>서울 업종추세·수요 강점 / 상권 모멘텀 상대적 약점</x:v>
      </x:c>
    </x:row>
    <x:row r="862">
      <x:c r="A862" t="str">
        <x:v>3120203</x:v>
      </x:c>
      <x:c r="B862" t="str">
        <x:v>강남구청역</x:v>
      </x:c>
      <x:c r="C862" t="str">
        <x:v>발달상권</x:v>
      </x:c>
      <x:c r="D862" t="str">
        <x:v>강남구</x:v>
      </x:c>
      <x:c r="E862" t="str">
        <x:v>논현2동</x:v>
      </x:c>
      <x:c r="F862" t="str">
        <x:v>CS200028</x:v>
      </x:c>
      <x:c r="G862" t="str">
        <x:v>미용실</x:v>
      </x:c>
      <x:c r="H862" t="n">
        <x:v>2010787842</x:v>
      </x:c>
      <x:c r="I862" t="n">
        <x:v>11124</x:v>
      </x:c>
      <x:c r="J862" t="n">
        <x:v>180761.22276159655</x:v>
      </x:c>
      <x:c r="K862" s="14" t="n">
        <x:v>0.07524068332239464</x:v>
      </x:c>
      <x:c r="L862" s="14" t="n">
        <x:v>0.02168887159425803</x:v>
      </x:c>
      <x:c r="M862" s="14" t="n">
        <x:v>-0.013481964371473865</x:v>
      </x:c>
      <x:c r="N862" t="n">
        <x:v>124</x:v>
      </x:c>
      <x:c r="O862" t="n">
        <x:v>0</x:v>
      </x:c>
      <x:c r="P862" s="14" t="n">
        <x:v>0</x:v>
      </x:c>
      <x:c r="Q862" s="14" t="n">
        <x:v>0.07258064516129033</x:v>
      </x:c>
      <x:c r="R862" s="14" t="n">
        <x:v>0.24</x:v>
      </x:c>
      <x:c r="S862" t="n">
        <x:v>15763</x:v>
      </x:c>
      <x:c r="T862" t="n">
        <x:v>909.8307667443954</x:v>
      </x:c>
      <x:c r="U862" s="14" t="n">
        <x:v>0.7224643881649251</x:v>
      </x:c>
      <x:c r="V862" s="14" t="n">
        <x:v>0.21888475094529639</x:v>
      </x:c>
      <x:c r="W862" s="14" t="n">
        <x:v>0.6270527017638492</x:v>
      </x:c>
      <x:c r="X862" s="14" t="n">
        <x:v>0.6030179607580898</x:v>
      </x:c>
      <x:c r="Y862" s="16" t="n">
        <x:v>98.65711727842435</x:v>
      </x:c>
      <x:c r="Z862" s="16" t="n">
        <x:v>78.23741007194245</x:v>
      </x:c>
      <x:c r="AA862" s="16" t="n">
        <x:v>57.377049180327866</x:v>
      </x:c>
      <x:c r="AB862" s="16" t="n">
        <x:v>5.95344673231871</x:v>
      </x:c>
      <x:c r="AC862" s="16" t="n">
        <x:v>75.60429722470904</x:v>
      </x:c>
      <x:c r="AD862" s="16" t="n">
        <x:v>96.52439024390245</x:v>
      </x:c>
      <x:c r="AE862" s="16" t="n">
        <x:v>72.06369668340001</x:v>
      </x:c>
      <x:c r="AF862" t="str">
        <x:v>검토</x:v>
      </x:c>
      <x:c r="AG862" t="str">
        <x:v>수요·직장수요 강점 / 경쟁여건 상대적 약점</x:v>
      </x:c>
    </x:row>
    <x:row r="863">
      <x:c r="A863" t="str">
        <x:v>3110997</x:v>
      </x:c>
      <x:c r="B863" t="str">
        <x:v>대청초등학교</x:v>
      </x:c>
      <x:c r="C863" t="str">
        <x:v>골목상권</x:v>
      </x:c>
      <x:c r="D863" t="str">
        <x:v>강남구</x:v>
      </x:c>
      <x:c r="E863" t="str">
        <x:v>일원1동</x:v>
      </x:c>
      <x:c r="F863" t="str">
        <x:v>CS200028</x:v>
      </x:c>
      <x:c r="G863" t="str">
        <x:v>미용실</x:v>
      </x:c>
      <x:c r="H863" t="n">
        <x:v>446851965</x:v>
      </x:c>
      <x:c r="I863" t="n">
        <x:v>11287</x:v>
      </x:c>
      <x:c r="J863" t="n">
        <x:v>39589.967661911935</x:v>
      </x:c>
      <x:c r="K863" s="14" t="n">
        <x:v>0.0024135319005982314</x:v>
      </x:c>
      <x:c r="L863" s="14" t="n">
        <x:v>0.02168887159425803</x:v>
      </x:c>
      <x:c r="M863" s="14" t="n">
        <x:v>-0.013481964371473865</x:v>
      </x:c>
      <x:c r="N863" t="n">
        <x:v>28</x:v>
      </x:c>
      <x:c r="O863" t="n">
        <x:v>0</x:v>
      </x:c>
      <x:c r="P863" s="14" t="n">
        <x:v>0</x:v>
      </x:c>
      <x:c r="Q863" s="14" t="n">
        <x:v>0.10714285714285714</x:v>
      </x:c>
      <x:c r="R863" s="14" t="n">
        <x:v>-0.125</x:v>
      </x:c>
      <x:c r="S863" t="n">
        <x:v>1822</x:v>
      </x:c>
      <x:c r="T863" t="n">
        <x:v>76.88931652065293</x:v>
      </x:c>
      <x:c r="U863" s="14" t="n">
        <x:v>0.6076679734417191</x:v>
      </x:c>
      <x:c r="V863" s="14" t="n">
        <x:v>0.36054477907465393</x:v>
      </x:c>
      <x:c r="W863" s="14" t="n">
        <x:v>0.2204627655604021</x:v>
      </x:c>
      <x:c r="X863" s="14" t="n">
        <x:v>0.4974806097137785</x:v>
      </x:c>
      <x:c r="Y863" s="16" t="n">
        <x:v>92.03222918531782</x:v>
      </x:c>
      <x:c r="Z863" s="16" t="n">
        <x:v>38.489208633093526</x:v>
      </x:c>
      <x:c r="AA863" s="16" t="n">
        <x:v>57.377049180327866</x:v>
      </x:c>
      <x:c r="AB863" s="16" t="n">
        <x:v>89.6598030438675</x:v>
      </x:c>
      <x:c r="AC863" s="16" t="n">
        <x:v>75.60429722470904</x:v>
      </x:c>
      <x:c r="AD863" s="16" t="n">
        <x:v>50.670731707317074</x:v>
      </x:c>
      <x:c r="AE863" s="16" t="n">
        <x:v>72.05861608294599</x:v>
      </x:c>
      <x:c r="AF863" t="str">
        <x:v>검토</x:v>
      </x:c>
      <x:c r="AG863" t="str">
        <x:v>수요·경쟁여건 강점 / 상권 모멘텀 상대적 약점</x:v>
      </x:c>
    </x:row>
    <x:row r="864">
      <x:c r="A864" t="str">
        <x:v>3110069</x:v>
      </x:c>
      <x:c r="B864" t="str">
        <x:v>숙대입구</x:v>
      </x:c>
      <x:c r="C864" t="str">
        <x:v>골목상권</x:v>
      </x:c>
      <x:c r="D864" t="str">
        <x:v>용산구</x:v>
      </x:c>
      <x:c r="E864" t="str">
        <x:v>청파동</x:v>
      </x:c>
      <x:c r="F864" t="str">
        <x:v>CS100010</x:v>
      </x:c>
      <x:c r="G864" t="str">
        <x:v>커피-음료</x:v>
      </x:c>
      <x:c r="H864" t="n">
        <x:v>2153838249</x:v>
      </x:c>
      <x:c r="I864" t="n">
        <x:v>326463</x:v>
      </x:c>
      <x:c r="J864" t="n">
        <x:v>6597.495731522408</x:v>
      </x:c>
      <x:c r="K864" s="14" t="n">
        <x:v>0.22136171465570786</x:v>
      </x:c>
      <x:c r="L864" s="14" t="n">
        <x:v>-0.00844757257331652</x:v>
      </x:c>
      <x:c r="M864" s="14" t="n">
        <x:v>0.016227780215539944</x:v>
      </x:c>
      <x:c r="N864" t="n">
        <x:v>97</x:v>
      </x:c>
      <x:c r="O864" t="n">
        <x:v>1</x:v>
      </x:c>
      <x:c r="P864" s="14" t="n">
        <x:v>0.00980392156862745</x:v>
      </x:c>
      <x:c r="Q864" s="14" t="n">
        <x:v>0.1958762886597938</x:v>
      </x:c>
      <x:c r="R864" s="14" t="n">
        <x:v>0.2763157894736843</x:v>
      </x:c>
      <x:c r="S864" t="n">
        <x:v>1042</x:v>
      </x:c>
      <x:c r="T864" t="n">
        <x:v>60.04310195802745</x:v>
      </x:c>
      <x:c r="U864" s="14" t="n">
        <x:v>0.7444498642107641</x:v>
      </x:c>
      <x:c r="V864" s="14" t="n">
        <x:v>0.2560844767503244</x:v>
      </x:c>
      <x:c r="W864" s="14" t="n">
        <x:v>0.5453166246561536</x:v>
      </x:c>
      <x:c r="X864" s="14" t="n">
        <x:v>0.6982610935144554</x:v>
      </x:c>
      <x:c r="Y864" s="16" t="n">
        <x:v>93.07116104868913</x:v>
      </x:c>
      <x:c r="Z864" s="16" t="n">
        <x:v>93.54838709677419</x:v>
      </x:c>
      <x:c r="AA864" s="16" t="n">
        <x:v>37.704918032786885</x:v>
      </x:c>
      <x:c r="AB864" s="16" t="n">
        <x:v>29.400749063670418</x:v>
      </x:c>
      <x:c r="AC864" s="16" t="n">
        <x:v>85.58052434456928</x:v>
      </x:c>
      <x:c r="AD864" s="16" t="n">
        <x:v>42.86585365853659</x:v>
      </x:c>
      <x:c r="AE864" s="16" t="n">
        <x:v>72.05177896824839</x:v>
      </x:c>
      <x:c r="AF864" t="str">
        <x:v>검토</x:v>
      </x:c>
      <x:c r="AG864" t="str">
        <x:v>상권 모멘텀·수요 강점 / 경쟁여건 상대적 약점</x:v>
      </x:c>
    </x:row>
    <x:row r="865">
      <x:c r="A865" t="str">
        <x:v>3110295</x:v>
      </x:c>
      <x:c r="B865" t="str">
        <x:v>정릉우체국</x:v>
      </x:c>
      <x:c r="C865" t="str">
        <x:v>골목상권</x:v>
      </x:c>
      <x:c r="D865" t="str">
        <x:v>성북구</x:v>
      </x:c>
      <x:c r="E865" t="str">
        <x:v>정릉2동</x:v>
      </x:c>
      <x:c r="F865" t="str">
        <x:v>CS200025</x:v>
      </x:c>
      <x:c r="G865" t="str">
        <x:v>자동차수리</x:v>
      </x:c>
      <x:c r="H865" t="n">
        <x:v>968167967</x:v>
      </x:c>
      <x:c r="I865" t="n">
        <x:v>1420</x:v>
      </x:c>
      <x:c r="J865" t="n">
        <x:v>681808.4274647888</x:v>
      </x:c>
      <x:c r="K865" s="14" t="n">
        <x:v>0.08161677241685905</x:v>
      </x:c>
      <x:c r="L865" s="14" t="n">
        <x:v>0.02213950283587751</x:v>
      </x:c>
      <x:c r="M865" s="14" t="n">
        <x:v>0.024356161917000962</x:v>
      </x:c>
      <x:c r="N865" t="n">
        <x:v>5</x:v>
      </x:c>
      <x:c r="O865" t="n">
        <x:v>0</x:v>
      </x:c>
      <x:c r="P865" s="14" t="n">
        <x:v>0</x:v>
      </x:c>
      <x:c r="Q865" s="14" t="n">
        <x:v>0</x:v>
      </x:c>
      <x:c r="R865" s="14" t="n">
        <x:v>-0.2857142857142857</x:v>
      </x:c>
      <x:c r="S865" t="n">
        <x:v>355</x:v>
      </x:c>
      <x:c r="T865" t="n">
        <x:v>23.187307724965873</x:v>
      </x:c>
      <x:c r="U865" s="14" t="n">
        <x:v>0.8223555737617169</x:v>
      </x:c>
      <x:c r="V865" s="14" t="n">
        <x:v>0.24054002914558317</x:v>
      </x:c>
      <x:c r="W865" s="14" t="n">
        <x:v>0.1844220074263209</x:v>
      </x:c>
      <x:c r="X865" s="14" t="n">
        <x:v>0.15348340583963982</x:v>
      </x:c>
      <x:c r="Y865" s="16" t="n">
        <x:v>87.1313672922252</x:v>
      </x:c>
      <x:c r="Z865" s="16" t="n">
        <x:v>58.743169398907106</x:v>
      </x:c>
      <x:c r="AA865" s="16" t="n">
        <x:v>59.01639344262295</x:v>
      </x:c>
      <x:c r="AB865" s="16" t="n">
        <x:v>96.63978494623656</x:v>
      </x:c>
      <x:c r="AC865" s="16" t="n">
        <x:v>56.98924731182796</x:v>
      </x:c>
      <x:c r="AD865" s="16" t="n">
        <x:v>14.939024390243903</x:v>
      </x:c>
      <x:c r="AE865" s="16" t="n">
        <x:v>72.03891514108417</x:v>
      </x:c>
      <x:c r="AF865" t="str">
        <x:v>검토</x:v>
      </x:c>
      <x:c r="AG865" t="str">
        <x:v>경쟁여건·수요 강점 / 직장수요 상대적 약점</x:v>
      </x:c>
    </x:row>
    <x:row r="866">
      <x:c r="A866" t="str">
        <x:v>3120242</x:v>
      </x:c>
      <x:c r="B866" t="str">
        <x:v>강동구청역</x:v>
      </x:c>
      <x:c r="C866" t="str">
        <x:v>발달상권</x:v>
      </x:c>
      <x:c r="D866" t="str">
        <x:v>강동구</x:v>
      </x:c>
      <x:c r="E866" t="str">
        <x:v>성내1동</x:v>
      </x:c>
      <x:c r="F866" t="str">
        <x:v>CS300011</x:v>
      </x:c>
      <x:c r="G866" t="str">
        <x:v>일반의류</x:v>
      </x:c>
      <x:c r="H866" t="n">
        <x:v>2371339810</x:v>
      </x:c>
      <x:c r="I866" t="n">
        <x:v>19205</x:v>
      </x:c>
      <x:c r="J866" t="n">
        <x:v>123475.12678989847</x:v>
      </x:c>
      <x:c r="K866" s="14" t="n">
        <x:v>-0.06520760654068447</x:v>
      </x:c>
      <x:c r="L866" s="14" t="n">
        <x:v>0.06726691045630595</x:v>
      </x:c>
      <x:c r="M866" s="14" t="n">
        <x:v>0.00788849516466894</x:v>
      </x:c>
      <x:c r="N866" t="n">
        <x:v>39</x:v>
      </x:c>
      <x:c r="O866" t="n">
        <x:v>0</x:v>
      </x:c>
      <x:c r="P866" s="14" t="n">
        <x:v>0</x:v>
      </x:c>
      <x:c r="Q866" s="14" t="n">
        <x:v>0</x:v>
      </x:c>
      <x:c r="R866" s="14" t="n">
        <x:v>-0.11363636363636365</x:v>
      </x:c>
      <x:c r="S866" t="n">
        <x:v>8831</x:v>
      </x:c>
      <x:c r="T866" t="n">
        <x:v>429.29366584026053</x:v>
      </x:c>
      <x:c r="U866" s="14" t="n">
        <x:v>0.7031038141260741</x:v>
      </x:c>
      <x:c r="V866" s="14" t="n">
        <x:v>0.3578309158483701</x:v>
      </x:c>
      <x:c r="W866" s="14" t="n">
        <x:v>0.15245487317990078</x:v>
      </x:c>
      <x:c r="X866" s="14" t="n">
        <x:v>0.4154219672970446</x:v>
      </x:c>
      <x:c r="Y866" s="16" t="n">
        <x:v>89.75265017667844</x:v>
      </x:c>
      <x:c r="Z866" s="16" t="n">
        <x:v>21.780986762936223</x:v>
      </x:c>
      <x:c r="AA866" s="16" t="n">
        <x:v>81.9672131147541</x:v>
      </x:c>
      <x:c r="AB866" s="16" t="n">
        <x:v>72.85041224970553</x:v>
      </x:c>
      <x:c r="AC866" s="16" t="n">
        <x:v>86.33686690223793</x:v>
      </x:c>
      <x:c r="AD866" s="16" t="n">
        <x:v>88.23170731707317</x:v>
      </x:c>
      <x:c r="AE866" s="16" t="n">
        <x:v>72.03754077517108</x:v>
      </x:c>
      <x:c r="AF866" t="str">
        <x:v>검토</x:v>
      </x:c>
      <x:c r="AG866" t="str">
        <x:v>수요·직장수요 강점 / 상권 모멘텀 상대적 약점</x:v>
      </x:c>
    </x:row>
    <x:row r="867">
      <x:c r="A867" t="str">
        <x:v>3110880</x:v>
      </x:c>
      <x:c r="B867" t="str">
        <x:v>신림역 1번</x:v>
      </x:c>
      <x:c r="C867" t="str">
        <x:v>골목상권</x:v>
      </x:c>
      <x:c r="D867" t="str">
        <x:v>관악구</x:v>
      </x:c>
      <x:c r="E867" t="str">
        <x:v>서원동</x:v>
      </x:c>
      <x:c r="F867" t="str">
        <x:v>CS300018</x:v>
      </x:c>
      <x:c r="G867" t="str">
        <x:v>의약품</x:v>
      </x:c>
      <x:c r="H867" t="n">
        <x:v>1786809695</x:v>
      </x:c>
      <x:c r="I867" t="n">
        <x:v>68280</x:v>
      </x:c>
      <x:c r="J867" t="n">
        <x:v>26168.85903632103</x:v>
      </x:c>
      <x:c r="K867" s="14" t="n">
        <x:v>0.06298535571929853</x:v>
      </x:c>
      <x:c r="L867" s="14" t="n">
        <x:v>0.027829225601598617</x:v>
      </x:c>
      <x:c r="M867" s="14" t="n">
        <x:v>0.02632929521123617</x:v>
      </x:c>
      <x:c r="N867" t="n">
        <x:v>17</x:v>
      </x:c>
      <x:c r="O867" t="n">
        <x:v>0</x:v>
      </x:c>
      <x:c r="P867" s="14" t="n">
        <x:v>0</x:v>
      </x:c>
      <x:c r="Q867" s="14" t="n">
        <x:v>0</x:v>
      </x:c>
      <x:c r="R867" s="14" t="n">
        <x:v>0.5454545454545454</x:v>
      </x:c>
      <x:c r="S867" t="n">
        <x:v>438</x:v>
      </x:c>
      <x:c r="T867" t="n">
        <x:v>114.39615545340577</x:v>
      </x:c>
      <x:c r="U867" s="14" t="n">
        <x:v>0.8784357625729136</x:v>
      </x:c>
      <x:c r="V867" s="14" t="n">
        <x:v>0.0644070850533414</x:v>
      </x:c>
      <x:c r="W867" s="14" t="n">
        <x:v>0.13895001952068545</x:v>
      </x:c>
      <x:c r="X867" s="14" t="n">
        <x:v>0.46712219792382537</x:v>
      </x:c>
      <x:c r="Y867" s="16" t="n">
        <x:v>64.7766323024055</x:v>
      </x:c>
      <x:c r="Z867" s="16" t="n">
        <x:v>89.33566433566433</x:v>
      </x:c>
      <x:c r="AA867" s="16" t="n">
        <x:v>72.1311475409836</x:v>
      </x:c>
      <x:c r="AB867" s="16" t="n">
        <x:v>72.76632302405498</x:v>
      </x:c>
      <x:c r="AC867" s="16" t="n">
        <x:v>66.32302405498282</x:v>
      </x:c>
      <x:c r="AD867" s="16" t="n">
        <x:v>62.6219512195122</x:v>
      </x:c>
      <x:c r="AE867" s="16" t="n">
        <x:v>72.03697472420447</x:v>
      </x:c>
      <x:c r="AF867" t="str">
        <x:v>검토</x:v>
      </x:c>
      <x:c r="AG867" t="str">
        <x:v>상권 모멘텀·경쟁여건 강점 / 직장수요 상대적 약점</x:v>
      </x:c>
    </x:row>
    <x:row r="868">
      <x:c r="A868" t="str">
        <x:v>3120079</x:v>
      </x:c>
      <x:c r="B868" t="str">
        <x:v>창동역</x:v>
      </x:c>
      <x:c r="C868" t="str">
        <x:v>발달상권</x:v>
      </x:c>
      <x:c r="D868" t="str">
        <x:v>도봉구</x:v>
      </x:c>
      <x:c r="E868" t="str">
        <x:v>창5동</x:v>
      </x:c>
      <x:c r="F868" t="str">
        <x:v>CS200030</x:v>
      </x:c>
      <x:c r="G868" t="str">
        <x:v>피부관리실</x:v>
      </x:c>
      <x:c r="H868" t="n">
        <x:v>56971707</x:v>
      </x:c>
      <x:c r="I868" t="n">
        <x:v>246</x:v>
      </x:c>
      <x:c r="J868" t="n">
        <x:v>231592.30487804877</x:v>
      </x:c>
      <x:c r="K868" s="14" t="n">
        <x:v>0.18041816524208</x:v>
      </x:c>
      <x:c r="L868" s="14" t="n">
        <x:v>0.11857168683779085</x:v>
      </x:c>
      <x:c r="M868" s="14" t="n">
        <x:v>0.0314283578178467</x:v>
      </x:c>
      <x:c r="N868" t="n">
        <x:v>26</x:v>
      </x:c>
      <x:c r="O868" t="n">
        <x:v>0</x:v>
      </x:c>
      <x:c r="P868" s="14" t="n">
        <x:v>0</x:v>
      </x:c>
      <x:c r="Q868" s="14" t="n">
        <x:v>0.07692307692307693</x:v>
      </x:c>
      <x:c r="R868" s="14" t="n">
        <x:v>0.368421052631579</x:v>
      </x:c>
      <x:c r="S868" t="n">
        <x:v>3247</x:v>
      </x:c>
      <x:c r="T868" t="n">
        <x:v>337.8877592432646</x:v>
      </x:c>
      <x:c r="U868" s="14" t="n">
        <x:v>0.9595657542786984</x:v>
      </x:c>
      <x:c r="V868" s="14" t="n">
        <x:v>0.8945388102905184</x:v>
      </x:c>
      <x:c r="W868" s="14" t="n">
        <x:v>0.09799894182563286</x:v>
      </x:c>
      <x:c r="X868" s="14" t="n">
        <x:v>0.6030643245427068</x:v>
      </x:c>
      <x:c r="Y868" s="16" t="n">
        <x:v>66.00496277915633</x:v>
      </x:c>
      <x:c r="Z868" s="16" t="n">
        <x:v>70.29177718832891</x:v>
      </x:c>
      <x:c r="AA868" s="16" t="n">
        <x:v>91.80327868852459</x:v>
      </x:c>
      <x:c r="AB868" s="16" t="n">
        <x:v>59.42928039702233</x:v>
      </x:c>
      <x:c r="AC868" s="16" t="n">
        <x:v>79.15632754342431</x:v>
      </x:c>
      <x:c r="AD868" s="16" t="n">
        <x:v>85.48780487804878</x:v>
      </x:c>
      <x:c r="AE868" s="16" t="n">
        <x:v>72.0349992714474</x:v>
      </x:c>
      <x:c r="AF868" t="str">
        <x:v>검토</x:v>
      </x:c>
      <x:c r="AG868" t="str">
        <x:v>서울 업종추세·직장수요 강점 / 경쟁여건 상대적 약점</x:v>
      </x:c>
    </x:row>
    <x:row r="869">
      <x:c r="A869" t="str">
        <x:v>3130024</x:v>
      </x:c>
      <x:c r="B869" t="str">
        <x:v>남대문시장(자유상가)</x:v>
      </x:c>
      <x:c r="C869" t="str">
        <x:v>전통시장</x:v>
      </x:c>
      <x:c r="D869" t="str">
        <x:v>중구</x:v>
      </x:c>
      <x:c r="E869" t="str">
        <x:v>회현동</x:v>
      </x:c>
      <x:c r="F869" t="str">
        <x:v>CS300029</x:v>
      </x:c>
      <x:c r="G869" t="str">
        <x:v>애완동물</x:v>
      </x:c>
      <x:c r="H869" t="n">
        <x:v>435375796</x:v>
      </x:c>
      <x:c r="I869" t="n">
        <x:v>12739</x:v>
      </x:c>
      <x:c r="J869" t="n">
        <x:v>34176.60695502002</x:v>
      </x:c>
      <x:c r="K869" s="14" t="n">
        <x:v>0.1115757035975764</x:v>
      </x:c>
      <x:c r="L869" s="14" t="n">
        <x:v>0.041190648357217086</x:v>
      </x:c>
      <x:c r="M869" s="14" t="n">
        <x:v>-0.09713695399403299</x:v>
      </x:c>
      <x:c r="N869" t="n">
        <x:v>21</x:v>
      </x:c>
      <x:c r="O869" t="n">
        <x:v>0</x:v>
      </x:c>
      <x:c r="P869" s="14" t="n">
        <x:v>0</x:v>
      </x:c>
      <x:c r="Q869" s="14" t="n">
        <x:v>0</x:v>
      </x:c>
      <x:c r="R869" s="14" t="n">
        <x:v>0.050000000000000044</x:v>
      </x:c>
      <x:c r="S869" t="n">
        <x:v>26964</x:v>
      </x:c>
      <x:c r="T869" t="n">
        <x:v>3453.9119741763593</x:v>
      </x:c>
      <x:c r="U869" s="14" t="n">
        <x:v>0.9166105871443528</x:v>
      </x:c>
      <x:c r="V869" s="14" t="n">
        <x:v>0.019896420700428647</x:v>
      </x:c>
      <x:c r="W869" s="14" t="n">
        <x:v>0.0246423000510575</x:v>
      </x:c>
      <x:c r="X869" s="14" t="n">
        <x:v>0.6599958165795693</x:v>
      </x:c>
      <x:c r="Y869" s="16" t="n">
        <x:v>95.07042253521126</x:v>
      </x:c>
      <x:c r="Z869" s="16" t="n">
        <x:v>70</x:v>
      </x:c>
      <x:c r="AA869" s="16" t="n">
        <x:v>77.04918032786885</x:v>
      </x:c>
      <x:c r="AB869" s="16" t="n">
        <x:v>11.971830985915489</x:v>
      </x:c>
      <x:c r="AC869" s="16" t="n">
        <x:v>64.08450704225352</x:v>
      </x:c>
      <x:c r="AD869" s="16" t="n">
        <x:v>99.7560975609756</x:v>
      </x:c>
      <x:c r="AE869" s="16" t="n">
        <x:v>72.02405516666572</x:v>
      </x:c>
      <x:c r="AF869" t="str">
        <x:v>검토</x:v>
      </x:c>
      <x:c r="AG869" t="str">
        <x:v>직장수요·수요 강점 / 경쟁여건 상대적 약점</x:v>
      </x:c>
    </x:row>
    <x:row r="870">
      <x:c r="A870" t="str">
        <x:v>3120065</x:v>
      </x:c>
      <x:c r="B870" t="str">
        <x:v>회기역</x:v>
      </x:c>
      <x:c r="C870" t="str">
        <x:v>발달상권</x:v>
      </x:c>
      <x:c r="D870" t="str">
        <x:v>동대문구</x:v>
      </x:c>
      <x:c r="E870" t="str">
        <x:v>휘경1동</x:v>
      </x:c>
      <x:c r="F870" t="str">
        <x:v>CS100005</x:v>
      </x:c>
      <x:c r="G870" t="str">
        <x:v>제과점</x:v>
      </x:c>
      <x:c r="H870" t="n">
        <x:v>505817038</x:v>
      </x:c>
      <x:c r="I870" t="n">
        <x:v>50564</x:v>
      </x:c>
      <x:c r="J870" t="n">
        <x:v>10003.501265722649</x:v>
      </x:c>
      <x:c r="K870" s="14" t="n">
        <x:v>0.1010202137804348</x:v>
      </x:c>
      <x:c r="L870" s="14" t="n">
        <x:v>0.015772977300780644</x:v>
      </x:c>
      <x:c r="M870" s="14" t="n">
        <x:v>-0.01180050626373963</x:v>
      </x:c>
      <x:c r="N870" t="n">
        <x:v>11</x:v>
      </x:c>
      <x:c r="O870" t="n">
        <x:v>0</x:v>
      </x:c>
      <x:c r="P870" s="14" t="n">
        <x:v>0</x:v>
      </x:c>
      <x:c r="Q870" s="14" t="n">
        <x:v>0.36363636363636365</x:v>
      </x:c>
      <x:c r="R870" s="14" t="n">
        <x:v>0.375</x:v>
      </x:c>
      <x:c r="S870" t="n">
        <x:v>814</x:v>
      </x:c>
      <x:c r="T870" t="n">
        <x:v>63.992201441789895</x:v>
      </x:c>
      <x:c r="U870" s="14" t="n">
        <x:v>0.6873130892834812</x:v>
      </x:c>
      <x:c r="V870" s="14" t="n">
        <x:v>0.5538316544410273</x:v>
      </x:c>
      <x:c r="W870" s="14" t="n">
        <x:v>0.5702667038274025</x:v>
      </x:c>
      <x:c r="X870" s="14" t="n">
        <x:v>0.5411929006630259</x:v>
      </x:c>
      <x:c r="Y870" s="16" t="n">
        <x:v>71.56177156177156</x:v>
      </x:c>
      <x:c r="Z870" s="16" t="n">
        <x:v>85.8560794044665</x:v>
      </x:c>
      <x:c r="AA870" s="16" t="n">
        <x:v>52.459016393442624</x:v>
      </x:c>
      <x:c r="AB870" s="16" t="n">
        <x:v>82.28438228438229</x:v>
      </x:c>
      <x:c r="AC870" s="16" t="n">
        <x:v>73.54312354312354</x:v>
      </x:c>
      <x:c r="AD870" s="16" t="n">
        <x:v>44.75609756097561</x:v>
      </x:c>
      <x:c r="AE870" s="16" t="n">
        <x:v>72.02146296154822</x:v>
      </x:c>
      <x:c r="AF870" t="str">
        <x:v>검토</x:v>
      </x:c>
      <x:c r="AG870" t="str">
        <x:v>상권 모멘텀·경쟁여건 강점 / 직장수요 상대적 약점</x:v>
      </x:c>
    </x:row>
    <x:row r="871">
      <x:c r="A871" t="str">
        <x:v>3120156</x:v>
      </x:c>
      <x:c r="B871" t="str">
        <x:v>총신대입구역(이수, 총신대)</x:v>
      </x:c>
      <x:c r="C871" t="str">
        <x:v>발달상권</x:v>
      </x:c>
      <x:c r="D871" t="str">
        <x:v>동작구</x:v>
      </x:c>
      <x:c r="E871" t="str">
        <x:v>사당2동</x:v>
      </x:c>
      <x:c r="F871" t="str">
        <x:v>CS300017</x:v>
      </x:c>
      <x:c r="G871" t="str">
        <x:v>시계및귀금속</x:v>
      </x:c>
      <x:c r="H871" t="n">
        <x:v>309689573</x:v>
      </x:c>
      <x:c r="I871" t="n">
        <x:v>549</x:v>
      </x:c>
      <x:c r="J871" t="n">
        <x:v>564097.5828779599</x:v>
      </x:c>
      <x:c r="K871" s="14" t="n">
        <x:v>0.028384711287197995</x:v>
      </x:c>
      <x:c r="L871" s="14" t="n">
        <x:v>0.09182238369060247</x:v>
      </x:c>
      <x:c r="M871" s="14" t="n">
        <x:v>0.00817160170707898</x:v>
      </x:c>
      <x:c r="N871" t="n">
        <x:v>7</x:v>
      </x:c>
      <x:c r="O871" t="n">
        <x:v>0</x:v>
      </x:c>
      <x:c r="P871" s="14" t="n">
        <x:v>0</x:v>
      </x:c>
      <x:c r="Q871" s="14" t="n">
        <x:v>0</x:v>
      </x:c>
      <x:c r="R871" s="14" t="n">
        <x:v>0</x:v>
      </x:c>
      <x:c r="S871" t="n">
        <x:v>7436</x:v>
      </x:c>
      <x:c r="T871" t="n">
        <x:v>301.0952969044197</x:v>
      </x:c>
      <x:c r="U871" s="14" t="n">
        <x:v>0.6118885475036643</x:v>
      </x:c>
      <x:c r="V871" s="14" t="n">
        <x:v>0.4562151047946325</x:v>
      </x:c>
      <x:c r="W871" s="14" t="n">
        <x:v>0.07549413360455633</x:v>
      </x:c>
      <x:c r="X871" s="14" t="n">
        <x:v>0.8610132702142994</x:v>
      </x:c>
      <x:c r="Y871" s="16" t="n">
        <x:v>75.41899441340782</x:v>
      </x:c>
      <x:c r="Z871" s="16" t="n">
        <x:v>56.72514619883041</x:v>
      </x:c>
      <x:c r="AA871" s="16" t="n">
        <x:v>86.88524590163935</x:v>
      </x:c>
      <x:c r="AB871" s="16" t="n">
        <x:v>72.47191011235955</x:v>
      </x:c>
      <x:c r="AC871" s="16" t="n">
        <x:v>61.79775280898876</x:v>
      </x:c>
      <x:c r="AD871" s="16" t="n">
        <x:v>83.90243902439025</x:v>
      </x:c>
      <x:c r="AE871" s="16" t="n">
        <x:v>72.02014791867705</x:v>
      </x:c>
      <x:c r="AF871" t="str">
        <x:v>검토</x:v>
      </x:c>
      <x:c r="AG871" t="str">
        <x:v>서울 업종추세·직장수요 강점 / 상권 모멘텀 상대적 약점</x:v>
      </x:c>
    </x:row>
    <x:row r="872">
      <x:c r="A872" t="str">
        <x:v>3120151</x:v>
      </x:c>
      <x:c r="B872" t="str">
        <x:v>보라매공원</x:v>
      </x:c>
      <x:c r="C872" t="str">
        <x:v>발달상권</x:v>
      </x:c>
      <x:c r="D872" t="str">
        <x:v>동작구</x:v>
      </x:c>
      <x:c r="E872" t="str">
        <x:v>신대방2동</x:v>
      </x:c>
      <x:c r="F872" t="str">
        <x:v>CS200030</x:v>
      </x:c>
      <x:c r="G872" t="str">
        <x:v>피부관리실</x:v>
      </x:c>
      <x:c r="H872" t="n">
        <x:v>134657783</x:v>
      </x:c>
      <x:c r="I872" t="n">
        <x:v>616</x:v>
      </x:c>
      <x:c r="J872" t="n">
        <x:v>218600.2970779221</x:v>
      </x:c>
      <x:c r="K872" s="14" t="n">
        <x:v>0.3145779908489754</x:v>
      </x:c>
      <x:c r="L872" s="14" t="n">
        <x:v>0.11857168683779085</x:v>
      </x:c>
      <x:c r="M872" s="14" t="n">
        <x:v>0.0314283578178467</x:v>
      </x:c>
      <x:c r="N872" t="n">
        <x:v>28</x:v>
      </x:c>
      <x:c r="O872" t="n">
        <x:v>2</x:v>
      </x:c>
      <x:c r="P872" s="14" t="n">
        <x:v>0.06060606060606061</x:v>
      </x:c>
      <x:c r="Q872" s="14" t="n">
        <x:v>0.03571428571428571</x:v>
      </x:c>
      <x:c r="R872" s="14" t="n">
        <x:v>1.1538461538461537</x:v>
      </x:c>
      <x:c r="S872" t="n">
        <x:v>10160</x:v>
      </x:c>
      <x:c r="T872" t="n">
        <x:v>848.8666460576995</x:v>
      </x:c>
      <x:c r="U872" s="14" t="n">
        <x:v>0.46648058211384635</x:v>
      </x:c>
      <x:c r="V872" s="14" t="n">
        <x:v>0.46916816534845224</x:v>
      </x:c>
      <x:c r="W872" s="14" t="n">
        <x:v>0.5484144425576946</x:v>
      </x:c>
      <x:c r="X872" s="14" t="n">
        <x:v>0.5236333573084297</x:v>
      </x:c>
      <x:c r="Y872" s="16" t="n">
        <x:v>79.65260545905707</x:v>
      </x:c>
      <x:c r="Z872" s="16" t="n">
        <x:v>82.75862068965517</x:v>
      </x:c>
      <x:c r="AA872" s="16" t="n">
        <x:v>91.80327868852459</x:v>
      </x:c>
      <x:c r="AB872" s="16" t="n">
        <x:v>55.21091811414392</x:v>
      </x:c>
      <x:c r="AC872" s="16" t="n">
        <x:v>7.444168734491313</x:v>
      </x:c>
      <x:c r="AD872" s="16" t="n">
        <x:v>95.85365853658537</x:v>
      </x:c>
      <x:c r="AE872" s="16" t="n">
        <x:v>72.01936536927968</x:v>
      </x:c>
      <x:c r="AF872" t="str">
        <x:v>검토</x:v>
      </x:c>
      <x:c r="AG872" t="str">
        <x:v>직장수요·서울 업종추세 강점 / 안정성 상대적 약점</x:v>
      </x:c>
    </x:row>
    <x:row r="873">
      <x:c r="A873" t="str">
        <x:v>3001495</x:v>
      </x:c>
      <x:c r="B873" t="str">
        <x:v>잠실 관광특구</x:v>
      </x:c>
      <x:c r="C873" t="str">
        <x:v>관광특구</x:v>
      </x:c>
      <x:c r="D873" t="str">
        <x:v>송파구</x:v>
      </x:c>
      <x:c r="E873" t="str">
        <x:v>방이2동</x:v>
      </x:c>
      <x:c r="F873" t="str">
        <x:v>CS300018</x:v>
      </x:c>
      <x:c r="G873" t="str">
        <x:v>의약품</x:v>
      </x:c>
      <x:c r="H873" t="n">
        <x:v>9774262366</x:v>
      </x:c>
      <x:c r="I873" t="n">
        <x:v>231196</x:v>
      </x:c>
      <x:c r="J873" t="n">
        <x:v>42276.95274139691</x:v>
      </x:c>
      <x:c r="K873" s="14" t="n">
        <x:v>0.022220617367080475</x:v>
      </x:c>
      <x:c r="L873" s="14" t="n">
        <x:v>0.027829225601598617</x:v>
      </x:c>
      <x:c r="M873" s="14" t="n">
        <x:v>0.02632929521123617</x:v>
      </x:c>
      <x:c r="N873" t="n">
        <x:v>43</x:v>
      </x:c>
      <x:c r="O873" t="n">
        <x:v>0</x:v>
      </x:c>
      <x:c r="P873" s="14" t="n">
        <x:v>0</x:v>
      </x:c>
      <x:c r="Q873" s="14" t="n">
        <x:v>0.046511627906976744</x:v>
      </x:c>
      <x:c r="R873" s="14" t="n">
        <x:v>0.10256410256410264</x:v>
      </x:c>
      <x:c r="S873" t="n">
        <x:v>137602</x:v>
      </x:c>
      <x:c r="T873" t="n">
        <x:v>558.7367535430136</x:v>
      </x:c>
      <x:c r="U873" s="14" t="n">
        <x:v>0.8931042321275868</x:v>
      </x:c>
      <x:c r="V873" s="14" t="n">
        <x:v>0.1312843448385085</x:v>
      </x:c>
      <x:c r="W873" s="14" t="n">
        <x:v>0.36459816429691283</x:v>
      </x:c>
      <x:c r="X873" s="14" t="n">
        <x:v>0.37188594544424364</x:v>
      </x:c>
      <x:c r="Y873" s="16" t="n">
        <x:v>96.04810996563575</x:v>
      </x:c>
      <x:c r="Z873" s="16" t="n">
        <x:v>65.38461538461539</x:v>
      </x:c>
      <x:c r="AA873" s="16" t="n">
        <x:v>72.1311475409836</x:v>
      </x:c>
      <x:c r="AB873" s="16" t="n">
        <x:v>21.993127147766316</x:v>
      </x:c>
      <x:c r="AC873" s="16" t="n">
        <x:v>66.32302405498282</x:v>
      </x:c>
      <x:c r="AD873" s="16" t="n">
        <x:v>91.34146341463415</x:v>
      </x:c>
      <x:c r="AE873" s="16" t="n">
        <x:v>72.01177834443806</x:v>
      </x:c>
      <x:c r="AF873" t="str">
        <x:v>검토</x:v>
      </x:c>
      <x:c r="AG873" t="str">
        <x:v>수요·직장수요 강점 / 경쟁여건 상대적 약점</x:v>
      </x:c>
    </x:row>
    <x:row r="874">
      <x:c r="A874" t="str">
        <x:v>3130311</x:v>
      </x:c>
      <x:c r="B874" t="str">
        <x:v>새마을시장</x:v>
      </x:c>
      <x:c r="C874" t="str">
        <x:v>전통시장</x:v>
      </x:c>
      <x:c r="D874" t="str">
        <x:v>송파구</x:v>
      </x:c>
      <x:c r="E874" t="str">
        <x:v>잠실본동</x:v>
      </x:c>
      <x:c r="F874" t="str">
        <x:v>CS300016</x:v>
      </x:c>
      <x:c r="G874" t="str">
        <x:v>안경</x:v>
      </x:c>
      <x:c r="H874" t="n">
        <x:v>1878547885</x:v>
      </x:c>
      <x:c r="I874" t="n">
        <x:v>22370</x:v>
      </x:c>
      <x:c r="J874" t="n">
        <x:v>83976.21300849352</x:v>
      </x:c>
      <x:c r="K874" s="14" t="n">
        <x:v>0.04739328658103026</x:v>
      </x:c>
      <x:c r="L874" s="14" t="n">
        <x:v>0.02313988190963734</x:v>
      </x:c>
      <x:c r="M874" s="14" t="n">
        <x:v>0.009707725123368816</x:v>
      </x:c>
      <x:c r="N874" t="n">
        <x:v>12</x:v>
      </x:c>
      <x:c r="O874" t="n">
        <x:v>0</x:v>
      </x:c>
      <x:c r="P874" s="14" t="n">
        <x:v>0</x:v>
      </x:c>
      <x:c r="Q874" s="14" t="n">
        <x:v>0.25</x:v>
      </x:c>
      <x:c r="R874" s="14" t="n">
        <x:v>-0.07692307692307687</x:v>
      </x:c>
      <x:c r="S874" t="n">
        <x:v>1020</x:v>
      </x:c>
      <x:c r="T874" t="n">
        <x:v>128.50393700787401</x:v>
      </x:c>
      <x:c r="U874" s="14" t="n">
        <x:v>0.6566796054815499</x:v>
      </x:c>
      <x:c r="V874" s="14" t="n">
        <x:v>0.40786601455197935</x:v>
      </x:c>
      <x:c r="W874" s="14" t="n">
        <x:v>0.3311821455112921</x:v>
      </x:c>
      <x:c r="X874" s="14" t="n">
        <x:v>0.583446938857244</x:v>
      </x:c>
      <x:c r="Y874" s="16" t="n">
        <x:v>95.65217391304348</x:v>
      </x:c>
      <x:c r="Z874" s="16" t="n">
        <x:v>76.09756097560975</x:v>
      </x:c>
      <x:c r="AA874" s="16" t="n">
        <x:v>62.295081967213115</x:v>
      </x:c>
      <x:c r="AB874" s="16" t="n">
        <x:v>33.009708737864074</x:v>
      </x:c>
      <x:c r="AC874" s="16" t="n">
        <x:v>57.28155339805825</x:v>
      </x:c>
      <x:c r="AD874" s="16" t="n">
        <x:v>65.79268292682927</x:v>
      </x:c>
      <x:c r="AE874" s="16" t="n">
        <x:v>72.01128115659604</x:v>
      </x:c>
      <x:c r="AF874" t="str">
        <x:v>검토</x:v>
      </x:c>
      <x:c r="AG874" t="str">
        <x:v>수요·상권 모멘텀 강점 / 경쟁여건 상대적 약점</x:v>
      </x:c>
    </x:row>
    <x:row r="875">
      <x:c r="A875" t="str">
        <x:v>3110510</x:v>
      </x:c>
      <x:c r="B875" t="str">
        <x:v>홍연시장</x:v>
      </x:c>
      <x:c r="C875" t="str">
        <x:v>골목상권</x:v>
      </x:c>
      <x:c r="D875" t="str">
        <x:v>서대문구</x:v>
      </x:c>
      <x:c r="E875" t="str">
        <x:v>연희동</x:v>
      </x:c>
      <x:c r="F875" t="str">
        <x:v>CS300007</x:v>
      </x:c>
      <x:c r="G875" t="str">
        <x:v>육류판매</x:v>
      </x:c>
      <x:c r="H875" t="n">
        <x:v>1073553510</x:v>
      </x:c>
      <x:c r="I875" t="n">
        <x:v>23115</x:v>
      </x:c>
      <x:c r="J875" t="n">
        <x:v>46444.019467878</x:v>
      </x:c>
      <x:c r="K875" s="14" t="n">
        <x:v>0.07730514946826994</x:v>
      </x:c>
      <x:c r="L875" s="14" t="n">
        <x:v>0.23518223683931017</x:v>
      </x:c>
      <x:c r="M875" s="14" t="n">
        <x:v>0.00863079289162072</x:v>
      </x:c>
      <x:c r="N875" t="n">
        <x:v>16</x:v>
      </x:c>
      <x:c r="O875" t="n">
        <x:v>0</x:v>
      </x:c>
      <x:c r="P875" s="14" t="n">
        <x:v>0</x:v>
      </x:c>
      <x:c r="Q875" s="14" t="n">
        <x:v>0</x:v>
      </x:c>
      <x:c r="R875" s="14" t="n">
        <x:v>0.4545454545454546</x:v>
      </x:c>
      <x:c r="S875" t="n">
        <x:v>407</x:v>
      </x:c>
      <x:c r="T875" t="n">
        <x:v>95.73542210617929</x:v>
      </x:c>
      <x:c r="U875" s="14" t="n">
        <x:v>0.7767854943718642</x:v>
      </x:c>
      <x:c r="V875" s="14" t="n">
        <x:v>0.36795328255225956</x:v>
      </x:c>
      <x:c r="W875" s="14" t="n">
        <x:v>0.04929064318368257</x:v>
      </x:c>
      <x:c r="X875" s="14" t="n">
        <x:v>0.5904956828840325</x:v>
      </x:c>
      <x:c r="Y875" s="16" t="n">
        <x:v>72.52475247524752</x:v>
      </x:c>
      <x:c r="Z875" s="16" t="n">
        <x:v>76.62337662337663</x:v>
      </x:c>
      <x:c r="AA875" s="16" t="n">
        <x:v>100</x:v>
      </x:c>
      <x:c r="AB875" s="16" t="n">
        <x:v>44.67821782178218</x:v>
      </x:c>
      <x:c r="AC875" s="16" t="n">
        <x:v>66.83168316831683</x:v>
      </x:c>
      <x:c r="AD875" s="16" t="n">
        <x:v>58.109756097560975</x:v>
      </x:c>
      <x:c r="AE875" s="16" t="n">
        <x:v>71.99872748598902</x:v>
      </x:c>
      <x:c r="AF875" t="str">
        <x:v>검토</x:v>
      </x:c>
      <x:c r="AG875" t="str">
        <x:v>서울 업종추세·상권 모멘텀 강점 / 경쟁여건 상대적 약점</x:v>
      </x:c>
    </x:row>
    <x:row r="876">
      <x:c r="A876" t="str">
        <x:v>3120061</x:v>
      </x:c>
      <x:c r="B876" t="str">
        <x:v>올림픽대교북단</x:v>
      </x:c>
      <x:c r="C876" t="str">
        <x:v>발달상권</x:v>
      </x:c>
      <x:c r="D876" t="str">
        <x:v>광진구</x:v>
      </x:c>
      <x:c r="E876" t="str">
        <x:v>구의3동</x:v>
      </x:c>
      <x:c r="F876" t="str">
        <x:v>CS300018</x:v>
      </x:c>
      <x:c r="G876" t="str">
        <x:v>의약품</x:v>
      </x:c>
      <x:c r="H876" t="n">
        <x:v>3638382478</x:v>
      </x:c>
      <x:c r="I876" t="n">
        <x:v>268312</x:v>
      </x:c>
      <x:c r="J876" t="n">
        <x:v>13560.267442380513</x:v>
      </x:c>
      <x:c r="K876" s="14" t="n">
        <x:v>0.036644749102193064</x:v>
      </x:c>
      <x:c r="L876" s="14" t="n">
        <x:v>0.027829225601598617</x:v>
      </x:c>
      <x:c r="M876" s="14" t="n">
        <x:v>0.02632929521123617</x:v>
      </x:c>
      <x:c r="N876" t="n">
        <x:v>25</x:v>
      </x:c>
      <x:c r="O876" t="n">
        <x:v>0</x:v>
      </x:c>
      <x:c r="P876" s="14" t="n">
        <x:v>0</x:v>
      </x:c>
      <x:c r="Q876" s="14" t="n">
        <x:v>0.12</x:v>
      </x:c>
      <x:c r="R876" s="14" t="n">
        <x:v>0</x:v>
      </x:c>
      <x:c r="S876" t="n">
        <x:v>1505</x:v>
      </x:c>
      <x:c r="T876" t="n">
        <x:v>318.93701788590323</x:v>
      </x:c>
      <x:c r="U876" s="14" t="n">
        <x:v>0.8081068485180848</x:v>
      </x:c>
      <x:c r="V876" s="14" t="n">
        <x:v>0.19061115624688868</x:v>
      </x:c>
      <x:c r="W876" s="14" t="n">
        <x:v>0.20423028763277812</x:v>
      </x:c>
      <x:c r="X876" s="14" t="n">
        <x:v>0.5702826012785124</x:v>
      </x:c>
      <x:c r="Y876" s="16" t="n">
        <x:v>81.09965635738831</x:v>
      </x:c>
      <x:c r="Z876" s="16" t="n">
        <x:v>76.22377622377623</x:v>
      </x:c>
      <x:c r="AA876" s="16" t="n">
        <x:v>72.1311475409836</x:v>
      </x:c>
      <x:c r="AB876" s="16" t="n">
        <x:v>44.58762886597938</x:v>
      </x:c>
      <x:c r="AC876" s="16" t="n">
        <x:v>66.32302405498282</x:v>
      </x:c>
      <x:c r="AD876" s="16" t="n">
        <x:v>84.57317073170732</x:v>
      </x:c>
      <x:c r="AE876" s="16" t="n">
        <x:v>71.99841237296926</x:v>
      </x:c>
      <x:c r="AF876" t="str">
        <x:v>검토</x:v>
      </x:c>
      <x:c r="AG876" t="str">
        <x:v>직장수요·수요 강점 / 경쟁여건 상대적 약점</x:v>
      </x:c>
    </x:row>
    <x:row r="877">
      <x:c r="A877" t="str">
        <x:v>3120218</x:v>
      </x:c>
      <x:c r="B877" t="str">
        <x:v>코엑스</x:v>
      </x:c>
      <x:c r="C877" t="str">
        <x:v>발달상권</x:v>
      </x:c>
      <x:c r="D877" t="str">
        <x:v>강남구</x:v>
      </x:c>
      <x:c r="E877" t="str">
        <x:v>삼성1동</x:v>
      </x:c>
      <x:c r="F877" t="str">
        <x:v>CS100005</x:v>
      </x:c>
      <x:c r="G877" t="str">
        <x:v>제과점</x:v>
      </x:c>
      <x:c r="H877" t="n">
        <x:v>886036482</x:v>
      </x:c>
      <x:c r="I877" t="n">
        <x:v>81722</x:v>
      </x:c>
      <x:c r="J877" t="n">
        <x:v>10842.080247668926</x:v>
      </x:c>
      <x:c r="K877" s="14" t="n">
        <x:v>0.19241831174601942</x:v>
      </x:c>
      <x:c r="L877" s="14" t="n">
        <x:v>0.015772977300780644</x:v>
      </x:c>
      <x:c r="M877" s="14" t="n">
        <x:v>-0.01180050626373963</x:v>
      </x:c>
      <x:c r="N877" t="n">
        <x:v>38</x:v>
      </x:c>
      <x:c r="O877" t="n">
        <x:v>0</x:v>
      </x:c>
      <x:c r="P877" s="14" t="n">
        <x:v>0</x:v>
      </x:c>
      <x:c r="Q877" s="14" t="n">
        <x:v>0.2631578947368421</x:v>
      </x:c>
      <x:c r="R877" s="14" t="n">
        <x:v>0.05555555555555558</x:v>
      </x:c>
      <x:c r="S877" t="n">
        <x:v>52540</x:v>
      </x:c>
      <x:c r="T877" t="n">
        <x:v>3613.5794657349584</x:v>
      </x:c>
      <x:c r="U877" s="14" t="n">
        <x:v>0.693872149160558</x:v>
      </x:c>
      <x:c r="V877" s="14" t="n">
        <x:v>0.26097092128538335</x:v>
      </x:c>
      <x:c r="W877" s="14" t="n">
        <x:v>0.3317162554487232</x:v>
      </x:c>
      <x:c r="X877" s="14" t="n">
        <x:v>0.4362590060936114</x:v>
      </x:c>
      <x:c r="Y877" s="16" t="n">
        <x:v>86.24708624708624</x:v>
      </x:c>
      <x:c r="Z877" s="16" t="n">
        <x:v>93.54838709677419</x:v>
      </x:c>
      <x:c r="AA877" s="16" t="n">
        <x:v>52.459016393442624</x:v>
      </x:c>
      <x:c r="AB877" s="16" t="n">
        <x:v>19.230769230769226</x:v>
      </x:c>
      <x:c r="AC877" s="16" t="n">
        <x:v>73.54312354312354</x:v>
      </x:c>
      <x:c r="AD877" s="16" t="n">
        <x:v>99.8170731707317</x:v>
      </x:c>
      <x:c r="AE877" s="16" t="n">
        <x:v>71.99479146231573</x:v>
      </x:c>
      <x:c r="AF877" t="str">
        <x:v>검토</x:v>
      </x:c>
      <x:c r="AG877" t="str">
        <x:v>직장수요·상권 모멘텀 강점 / 경쟁여건 상대적 약점</x:v>
      </x:c>
    </x:row>
    <x:row r="878">
      <x:c r="A878" t="str">
        <x:v>3120165</x:v>
      </x:c>
      <x:c r="B878" t="str">
        <x:v>서래마을카페거리(서래마을)</x:v>
      </x:c>
      <x:c r="C878" t="str">
        <x:v>발달상권</x:v>
      </x:c>
      <x:c r="D878" t="str">
        <x:v>서초구</x:v>
      </x:c>
      <x:c r="E878" t="str">
        <x:v>반포4동</x:v>
      </x:c>
      <x:c r="F878" t="str">
        <x:v>CS200028</x:v>
      </x:c>
      <x:c r="G878" t="str">
        <x:v>미용실</x:v>
      </x:c>
      <x:c r="H878" t="n">
        <x:v>1325108286</x:v>
      </x:c>
      <x:c r="I878" t="n">
        <x:v>13265</x:v>
      </x:c>
      <x:c r="J878" t="n">
        <x:v>99895.08375424048</x:v>
      </x:c>
      <x:c r="K878" s="14" t="n">
        <x:v>-0.006170348899545042</x:v>
      </x:c>
      <x:c r="L878" s="14" t="n">
        <x:v>0.02168887159425803</x:v>
      </x:c>
      <x:c r="M878" s="14" t="n">
        <x:v>-0.013481964371473865</x:v>
      </x:c>
      <x:c r="N878" t="n">
        <x:v>48</x:v>
      </x:c>
      <x:c r="O878" t="n">
        <x:v>0</x:v>
      </x:c>
      <x:c r="P878" s="14" t="n">
        <x:v>0</x:v>
      </x:c>
      <x:c r="Q878" s="14" t="n">
        <x:v>0.1875</x:v>
      </x:c>
      <x:c r="R878" s="14" t="n">
        <x:v>0.23076923076923084</x:v>
      </x:c>
      <x:c r="S878" t="n">
        <x:v>11545</x:v>
      </x:c>
      <x:c r="T878" t="n">
        <x:v>1062.9384793857146</x:v>
      </x:c>
      <x:c r="U878" s="14" t="n">
        <x:v>0.6036675730212738</x:v>
      </x:c>
      <x:c r="V878" s="14" t="n">
        <x:v>0.23232443133330463</x:v>
      </x:c>
      <x:c r="W878" s="14" t="n">
        <x:v>0.16351884467802658</x:v>
      </x:c>
      <x:c r="X878" s="14" t="n">
        <x:v>0.6257010983629152</x:v>
      </x:c>
      <x:c r="Y878" s="16" t="n">
        <x:v>98.2990152193375</x:v>
      </x:c>
      <x:c r="Z878" s="16" t="n">
        <x:v>34.35251798561151</x:v>
      </x:c>
      <x:c r="AA878" s="16" t="n">
        <x:v>57.377049180327866</x:v>
      </x:c>
      <x:c r="AB878" s="16" t="n">
        <x:v>64.54789615040286</x:v>
      </x:c>
      <x:c r="AC878" s="16" t="n">
        <x:v>75.60429722470904</x:v>
      </x:c>
      <x:c r="AD878" s="16" t="n">
        <x:v>97.3170731707317</x:v>
      </x:c>
      <x:c r="AE878" s="16" t="n">
        <x:v>71.9901841045075</x:v>
      </x:c>
      <x:c r="AF878" t="str">
        <x:v>검토</x:v>
      </x:c>
      <x:c r="AG878" t="str">
        <x:v>수요·직장수요 강점 / 상권 모멘텀 상대적 약점</x:v>
      </x:c>
    </x:row>
    <x:row r="879">
      <x:c r="A879" t="str">
        <x:v>3130261</x:v>
      </x:c>
      <x:c r="B879" t="str">
        <x:v>성대전통시장(성대시장)</x:v>
      </x:c>
      <x:c r="C879" t="str">
        <x:v>전통시장</x:v>
      </x:c>
      <x:c r="D879" t="str">
        <x:v>동작구</x:v>
      </x:c>
      <x:c r="E879" t="str">
        <x:v>상도3동</x:v>
      </x:c>
      <x:c r="F879" t="str">
        <x:v>CS300009</x:v>
      </x:c>
      <x:c r="G879" t="str">
        <x:v>청과상</x:v>
      </x:c>
      <x:c r="H879" t="n">
        <x:v>864233600</x:v>
      </x:c>
      <x:c r="I879" t="n">
        <x:v>77933</x:v>
      </x:c>
      <x:c r="J879" t="n">
        <x:v>11089.443496336597</x:v>
      </x:c>
      <x:c r="K879" s="14" t="n">
        <x:v>0.560661034055447</x:v>
      </x:c>
      <x:c r="L879" s="14" t="n">
        <x:v>0.19728256051488424</x:v>
      </x:c>
      <x:c r="M879" s="14" t="n">
        <x:v>0.09797365727115581</x:v>
      </x:c>
      <x:c r="N879" t="n">
        <x:v>11</x:v>
      </x:c>
      <x:c r="O879" t="n">
        <x:v>2</x:v>
      </x:c>
      <x:c r="P879" s="14" t="n">
        <x:v>0.125</x:v>
      </x:c>
      <x:c r="Q879" s="14" t="n">
        <x:v>0</x:v>
      </x:c>
      <x:c r="R879" s="14" t="n">
        <x:v>0.375</x:v>
      </x:c>
      <x:c r="S879" t="n">
        <x:v>389</x:v>
      </x:c>
      <x:c r="T879" t="n">
        <x:v>73.26904241693664</x:v>
      </x:c>
      <x:c r="U879" s="14" t="n">
        <x:v>0.7212378528212743</x:v>
      </x:c>
      <x:c r="V879" s="14" t="n">
        <x:v>0.217909886863922</x:v>
      </x:c>
      <x:c r="W879" s="14" t="n">
        <x:v>0.0958871062175782</x:v>
      </x:c>
      <x:c r="X879" s="14" t="n">
        <x:v>0.607739043008742</x:v>
      </x:c>
      <x:c r="Y879" s="16" t="n">
        <x:v>67.76556776556777</x:v>
      </x:c>
      <x:c r="Z879" s="16" t="n">
        <x:v>95.80152671755725</x:v>
      </x:c>
      <x:c r="AA879" s="16" t="n">
        <x:v>95.08196721311475</x:v>
      </x:c>
      <x:c r="AB879" s="16" t="n">
        <x:v>82.05128205128204</x:v>
      </x:c>
      <x:c r="AC879" s="16" t="n">
        <x:v>0.9157509157509196</x:v>
      </x:c>
      <x:c r="AD879" s="16" t="n">
        <x:v>48.96341463414634</x:v>
      </x:c>
      <x:c r="AE879" s="16" t="n">
        <x:v>71.9879872744021</x:v>
      </x:c>
      <x:c r="AF879" t="str">
        <x:v>검토</x:v>
      </x:c>
      <x:c r="AG879" t="str">
        <x:v>상권 모멘텀·서울 업종추세 강점 / 안정성 상대적 약점</x:v>
      </x:c>
    </x:row>
    <x:row r="880">
      <x:c r="A880" t="str">
        <x:v>3130125</x:v>
      </x:c>
      <x:c r="B880" t="str">
        <x:v>장위전통시장</x:v>
      </x:c>
      <x:c r="C880" t="str">
        <x:v>전통시장</x:v>
      </x:c>
      <x:c r="D880" t="str">
        <x:v>성북구</x:v>
      </x:c>
      <x:c r="E880" t="str">
        <x:v>장위2동</x:v>
      </x:c>
      <x:c r="F880" t="str">
        <x:v>CS300017</x:v>
      </x:c>
      <x:c r="G880" t="str">
        <x:v>시계및귀금속</x:v>
      </x:c>
      <x:c r="H880" t="n">
        <x:v>176337156</x:v>
      </x:c>
      <x:c r="I880" t="n">
        <x:v>383</x:v>
      </x:c>
      <x:c r="J880" t="n">
        <x:v>460410.3289817232</x:v>
      </x:c>
      <x:c r="K880" s="14" t="n">
        <x:v>0.17256356322659294</x:v>
      </x:c>
      <x:c r="L880" s="14" t="n">
        <x:v>0.09182238369060247</x:v>
      </x:c>
      <x:c r="M880" s="14" t="n">
        <x:v>0.00817160170707898</x:v>
      </x:c>
      <x:c r="N880" t="n">
        <x:v>5</x:v>
      </x:c>
      <x:c r="O880" t="n">
        <x:v>0</x:v>
      </x:c>
      <x:c r="P880" s="14" t="n">
        <x:v>0</x:v>
      </x:c>
      <x:c r="Q880" s="14" t="n">
        <x:v>0</x:v>
      </x:c>
      <x:c r="R880" s="14" t="n">
        <x:v>-0.2857142857142857</x:v>
      </x:c>
      <x:c r="S880" t="n">
        <x:v>106</x:v>
      </x:c>
      <x:c r="T880" t="n">
        <x:v>17.99996603779993</x:v>
      </x:c>
      <x:c r="U880" s="14" t="n">
        <x:v>0.9529564489516889</x:v>
      </x:c>
      <x:c r="V880" s="14" t="n">
        <x:v>0.3298704896885147</x:v>
      </x:c>
      <x:c r="W880" s="14" t="n">
        <x:v>0.5773261478709569</x:v>
      </x:c>
      <x:c r="X880" s="14" t="n">
        <x:v>0.8704132440471026</x:v>
      </x:c>
      <x:c r="Y880" s="16" t="n">
        <x:v>70.39106145251397</x:v>
      </x:c>
      <x:c r="Z880" s="16" t="n">
        <x:v>73.6842105263158</x:v>
      </x:c>
      <x:c r="AA880" s="16" t="n">
        <x:v>86.88524590163935</x:v>
      </x:c>
      <x:c r="AB880" s="16" t="n">
        <x:v>85.95505617977528</x:v>
      </x:c>
      <x:c r="AC880" s="16" t="n">
        <x:v>61.79775280898876</x:v>
      </x:c>
      <x:c r="AD880" s="16" t="n">
        <x:v>10.121951219512194</x:v>
      </x:c>
      <x:c r="AE880" s="16" t="n">
        <x:v>71.98563176772973</x:v>
      </x:c>
      <x:c r="AF880" t="str">
        <x:v>검토</x:v>
      </x:c>
      <x:c r="AG880" t="str">
        <x:v>서울 업종추세·경쟁여건 강점 / 직장수요 상대적 약점</x:v>
      </x:c>
    </x:row>
    <x:row r="881">
      <x:c r="A881" t="str">
        <x:v>3120224</x:v>
      </x:c>
      <x:c r="B881" t="str">
        <x:v>수서역</x:v>
      </x:c>
      <x:c r="C881" t="str">
        <x:v>발달상권</x:v>
      </x:c>
      <x:c r="D881" t="str">
        <x:v>강남구</x:v>
      </x:c>
      <x:c r="E881" t="str">
        <x:v>수서동</x:v>
      </x:c>
      <x:c r="F881" t="str">
        <x:v>CS300019</x:v>
      </x:c>
      <x:c r="G881" t="str">
        <x:v>의료기기</x:v>
      </x:c>
      <x:c r="H881" t="n">
        <x:v>818242104</x:v>
      </x:c>
      <x:c r="I881" t="n">
        <x:v>1342</x:v>
      </x:c>
      <x:c r="J881" t="n">
        <x:v>609718.4083457526</x:v>
      </x:c>
      <x:c r="K881" s="14" t="n">
        <x:v>0.15331781125523603</x:v>
      </x:c>
      <x:c r="L881" s="14" t="n">
        <x:v>0.026268479822085578</x:v>
      </x:c>
      <x:c r="M881" s="14" t="n">
        <x:v>-0.00009912701459890982</x:v>
      </x:c>
      <x:c r="N881" t="n">
        <x:v>11</x:v>
      </x:c>
      <x:c r="O881" t="n">
        <x:v>0</x:v>
      </x:c>
      <x:c r="P881" s="14" t="n">
        <x:v>0</x:v>
      </x:c>
      <x:c r="Q881" s="14" t="n">
        <x:v>0</x:v>
      </x:c>
      <x:c r="R881" s="14" t="n">
        <x:v>-0.15384615384615385</x:v>
      </x:c>
      <x:c r="S881" t="n">
        <x:v>19403</x:v>
      </x:c>
      <x:c r="T881" t="n">
        <x:v>3224.0001329279035</x:v>
      </x:c>
      <x:c r="U881" s="14" t="n">
        <x:v>0.9917758729756102</x:v>
      </x:c>
      <x:c r="V881" s="14" t="n">
        <x:v>0.22671176182837935</x:v>
      </x:c>
      <x:c r="W881" s="14" t="n">
        <x:v>0.14438506454563965</x:v>
      </x:c>
      <x:c r="X881" s="14" t="n">
        <x:v>0.3337044630986137</x:v>
      </x:c>
      <x:c r="Y881" s="16" t="n">
        <x:v>74.19354838709677</x:v>
      </x:c>
      <x:c r="Z881" s="16" t="n">
        <x:v>72.72727272727273</x:v>
      </x:c>
      <x:c r="AA881" s="16" t="n">
        <x:v>68.85245901639344</x:v>
      </x:c>
      <x:c r="AB881" s="16" t="n">
        <x:v>67.09677419354838</x:v>
      </x:c>
      <x:c r="AC881" s="16" t="n">
        <x:v>60.96774193548387</x:v>
      </x:c>
      <x:c r="AD881" s="16" t="n">
        <x:v>99.63414634146342</x:v>
      </x:c>
      <x:c r="AE881" s="16" t="n">
        <x:v>71.98406297305125</x:v>
      </x:c>
      <x:c r="AF881" t="str">
        <x:v>검토</x:v>
      </x:c>
      <x:c r="AG881" t="str">
        <x:v>직장수요·수요 강점 / 안정성 상대적 약점</x:v>
      </x:c>
    </x:row>
    <x:row r="882">
      <x:c r="A882" t="str">
        <x:v>3130117</x:v>
      </x:c>
      <x:c r="B882" t="str">
        <x:v>정릉시장</x:v>
      </x:c>
      <x:c r="C882" t="str">
        <x:v>전통시장</x:v>
      </x:c>
      <x:c r="D882" t="str">
        <x:v>성북구</x:v>
      </x:c>
      <x:c r="E882" t="str">
        <x:v>정릉3동</x:v>
      </x:c>
      <x:c r="F882" t="str">
        <x:v>CS300009</x:v>
      </x:c>
      <x:c r="G882" t="str">
        <x:v>청과상</x:v>
      </x:c>
      <x:c r="H882" t="n">
        <x:v>549656793</x:v>
      </x:c>
      <x:c r="I882" t="n">
        <x:v>21217</x:v>
      </x:c>
      <x:c r="J882" t="n">
        <x:v>25906.433190366217</x:v>
      </x:c>
      <x:c r="K882" s="14" t="n">
        <x:v>0.09520564990515812</x:v>
      </x:c>
      <x:c r="L882" s="14" t="n">
        <x:v>0.19728256051488424</x:v>
      </x:c>
      <x:c r="M882" s="14" t="n">
        <x:v>0.09797365727115581</x:v>
      </x:c>
      <x:c r="N882" t="n">
        <x:v>8</x:v>
      </x:c>
      <x:c r="O882" t="n">
        <x:v>0</x:v>
      </x:c>
      <x:c r="P882" s="14" t="n">
        <x:v>0</x:v>
      </x:c>
      <x:c r="Q882" s="14" t="n">
        <x:v>0</x:v>
      </x:c>
      <x:c r="R882" s="14" t="n">
        <x:v>0.33333333333333326</x:v>
      </x:c>
      <x:c r="S882" t="n">
        <x:v>336</x:v>
      </x:c>
      <x:c r="T882" t="n">
        <x:v>63.01811770884129</x:v>
      </x:c>
      <x:c r="U882" s="14" t="n">
        <x:v>0.737861420371821</x:v>
      </x:c>
      <x:c r="V882" s="14" t="n">
        <x:v>0.08814854581447881</x:v>
      </x:c>
      <x:c r="W882" s="14" t="n">
        <x:v>0.04793032549676867</x:v>
      </x:c>
      <x:c r="X882" s="14" t="n">
        <x:v>0.7737989931473475</x:v>
      </x:c>
      <x:c r="Y882" s="16" t="n">
        <x:v>57.142857142857146</x:v>
      </x:c>
      <x:c r="Z882" s="16" t="n">
        <x:v>74.04580152671755</x:v>
      </x:c>
      <x:c r="AA882" s="16" t="n">
        <x:v>95.08196721311475</x:v>
      </x:c>
      <x:c r="AB882" s="16" t="n">
        <x:v>91.57509157509158</x:v>
      </x:c>
      <x:c r="AC882" s="16" t="n">
        <x:v>69.5970695970696</x:v>
      </x:c>
      <x:c r="AD882" s="16" t="n">
        <x:v>44.329268292682926</x:v>
      </x:c>
      <x:c r="AE882" s="16" t="n">
        <x:v>71.98388949791557</x:v>
      </x:c>
      <x:c r="AF882" t="str">
        <x:v>검토</x:v>
      </x:c>
      <x:c r="AG882" t="str">
        <x:v>서울 업종추세·경쟁여건 강점 / 직장수요 상대적 약점</x:v>
      </x:c>
    </x:row>
    <x:row r="883">
      <x:c r="A883" t="str">
        <x:v>3120080</x:v>
      </x:c>
      <x:c r="B883" t="str">
        <x:v>마들역</x:v>
      </x:c>
      <x:c r="C883" t="str">
        <x:v>발달상권</x:v>
      </x:c>
      <x:c r="D883" t="str">
        <x:v>노원구</x:v>
      </x:c>
      <x:c r="E883" t="str">
        <x:v>상계9동</x:v>
      </x:c>
      <x:c r="F883" t="str">
        <x:v>CS300009</x:v>
      </x:c>
      <x:c r="G883" t="str">
        <x:v>청과상</x:v>
      </x:c>
      <x:c r="H883" t="n">
        <x:v>260614468</x:v>
      </x:c>
      <x:c r="I883" t="n">
        <x:v>22789</x:v>
      </x:c>
      <x:c r="J883" t="n">
        <x:v>11435.976479880645</x:v>
      </x:c>
      <x:c r="K883" s="14" t="n">
        <x:v>0.968055170229809</x:v>
      </x:c>
      <x:c r="L883" s="14" t="n">
        <x:v>0.19728256051488424</x:v>
      </x:c>
      <x:c r="M883" s="14" t="n">
        <x:v>0.09797365727115581</x:v>
      </x:c>
      <x:c r="N883" t="n">
        <x:v>11</x:v>
      </x:c>
      <x:c r="O883" t="n">
        <x:v>0</x:v>
      </x:c>
      <x:c r="P883" s="14" t="n">
        <x:v>0</x:v>
      </x:c>
      <x:c r="Q883" s="14" t="n">
        <x:v>0</x:v>
      </x:c>
      <x:c r="R883" s="14" t="n">
        <x:v>-0.08333333333333337</x:v>
      </x:c>
      <x:c r="S883" t="n">
        <x:v>1635</x:v>
      </x:c>
      <x:c r="T883" t="n">
        <x:v>419.4889162561576</x:v>
      </x:c>
      <x:c r="U883" s="14" t="n">
        <x:v>0.8982670946725797</x:v>
      </x:c>
      <x:c r="V883" s="14" t="n">
        <x:v>0.029076701144619493</x:v>
      </x:c>
      <x:c r="W883" s="14" t="n">
        <x:v>0.05849364433596987</x:v>
      </x:c>
      <x:c r="X883" s="14" t="n">
        <x:v>0.6204683348585237</x:v>
      </x:c>
      <x:c r="Y883" s="16" t="n">
        <x:v>41.02564102564103</x:v>
      </x:c>
      <x:c r="Z883" s="16" t="n">
        <x:v>98.47328244274809</x:v>
      </x:c>
      <x:c r="AA883" s="16" t="n">
        <x:v>95.08196721311475</x:v>
      </x:c>
      <x:c r="AB883" s="16" t="n">
        <x:v>82.05128205128204</x:v>
      </x:c>
      <x:c r="AC883" s="16" t="n">
        <x:v>69.5970695970696</x:v>
      </x:c>
      <x:c r="AD883" s="16" t="n">
        <x:v>87.98780487804878</x:v>
      </x:c>
      <x:c r="AE883" s="16" t="n">
        <x:v>71.9827154407929</x:v>
      </x:c>
      <x:c r="AF883" t="str">
        <x:v>검토</x:v>
      </x:c>
      <x:c r="AG883" t="str">
        <x:v>상권 모멘텀·서울 업종추세 강점 / 수요 상대적 약점</x:v>
      </x:c>
    </x:row>
    <x:row r="884">
      <x:c r="A884" t="str">
        <x:v>3110702</x:v>
      </x:c>
      <x:c r="B884" t="str">
        <x:v>개봉초등학교</x:v>
      </x:c>
      <x:c r="C884" t="str">
        <x:v>골목상권</x:v>
      </x:c>
      <x:c r="D884" t="str">
        <x:v>구로구</x:v>
      </x:c>
      <x:c r="E884" t="str">
        <x:v>개봉3동</x:v>
      </x:c>
      <x:c r="F884" t="str">
        <x:v>CS200001</x:v>
      </x:c>
      <x:c r="G884" t="str">
        <x:v>일반교습학원</x:v>
      </x:c>
      <x:c r="H884" t="n">
        <x:v>552409567</x:v>
      </x:c>
      <x:c r="I884" t="n">
        <x:v>1471</x:v>
      </x:c>
      <x:c r="J884" t="n">
        <x:v>375533.35622025834</x:v>
      </x:c>
      <x:c r="K884" s="14" t="n">
        <x:v>0.17520898801491747</x:v>
      </x:c>
      <x:c r="L884" s="14" t="n">
        <x:v>0.026465986538897424</x:v>
      </x:c>
      <x:c r="M884" s="14" t="n">
        <x:v>0.05930632525283164</x:v>
      </x:c>
      <x:c r="N884" t="n">
        <x:v>41</x:v>
      </x:c>
      <x:c r="O884" t="n">
        <x:v>1</x:v>
      </x:c>
      <x:c r="P884" s="14" t="n">
        <x:v>0.021739130434782608</x:v>
      </x:c>
      <x:c r="Q884" s="14" t="n">
        <x:v>0.14634146341463414</x:v>
      </x:c>
      <x:c r="R884" s="14" t="n">
        <x:v>0.13888888888888884</x:v>
      </x:c>
      <x:c r="S884" t="n">
        <x:v>1970</x:v>
      </x:c>
      <x:c r="T884" t="n">
        <x:v>214.2538636388354</x:v>
      </x:c>
      <x:c r="U884" s="14" t="n">
        <x:v>0.9241957625255972</x:v>
      </x:c>
      <x:c r="V884" s="14" t="n">
        <x:v>0.5868861445696142</x:v>
      </x:c>
      <x:c r="W884" s="14" t="n">
        <x:v>0.08692475812968677</x:v>
      </x:c>
      <x:c r="X884" s="14" t="n">
        <x:v>0.5645681422458059</x:v>
      </x:c>
      <x:c r="Y884" s="16" t="n">
        <x:v>74.84472049689441</x:v>
      </x:c>
      <x:c r="Z884" s="16" t="n">
        <x:v>87.5</x:v>
      </x:c>
      <x:c r="AA884" s="16" t="n">
        <x:v>70.49180327868852</x:v>
      </x:c>
      <x:c r="AB884" s="16" t="n">
        <x:v>67.54658385093168</x:v>
      </x:c>
      <x:c r="AC884" s="16" t="n">
        <x:v>36.87888198757764</x:v>
      </x:c>
      <x:c r="AD884" s="16" t="n">
        <x:v>77.6219512195122</x:v>
      </x:c>
      <x:c r="AE884" s="16" t="n">
        <x:v>71.97039600308945</x:v>
      </x:c>
      <x:c r="AF884" t="str">
        <x:v>검토</x:v>
      </x:c>
      <x:c r="AG884" t="str">
        <x:v>상권 모멘텀·직장수요 강점 / 안정성 상대적 약점</x:v>
      </x:c>
    </x:row>
    <x:row r="885">
      <x:c r="A885" t="str">
        <x:v>3120249</x:v>
      </x:c>
      <x:c r="B885" t="str">
        <x:v>고덕역</x:v>
      </x:c>
      <x:c r="C885" t="str">
        <x:v>발달상권</x:v>
      </x:c>
      <x:c r="D885" t="str">
        <x:v>강동구</x:v>
      </x:c>
      <x:c r="E885" t="str">
        <x:v>명일2동</x:v>
      </x:c>
      <x:c r="F885" t="str">
        <x:v>CS300020</x:v>
      </x:c>
      <x:c r="G885" t="str">
        <x:v>서적</x:v>
      </x:c>
      <x:c r="H885" t="n">
        <x:v>489145340</x:v>
      </x:c>
      <x:c r="I885" t="n">
        <x:v>16280</x:v>
      </x:c>
      <x:c r="J885" t="n">
        <x:v>30045.782555282556</x:v>
      </x:c>
      <x:c r="K885" s="14" t="n">
        <x:v>-0.034579465073385496</x:v>
      </x:c>
      <x:c r="L885" s="14" t="n">
        <x:v>0.20039418624921757</x:v>
      </x:c>
      <x:c r="M885" s="14" t="n">
        <x:v>-0.01061516125540185</x:v>
      </x:c>
      <x:c r="N885" t="n">
        <x:v>13</x:v>
      </x:c>
      <x:c r="O885" t="n">
        <x:v>0</x:v>
      </x:c>
      <x:c r="P885" s="14" t="n">
        <x:v>0</x:v>
      </x:c>
      <x:c r="Q885" s="14" t="n">
        <x:v>0</x:v>
      </x:c>
      <x:c r="R885" s="14" t="n">
        <x:v>0</x:v>
      </x:c>
      <x:c r="S885" t="n">
        <x:v>2311</x:v>
      </x:c>
      <x:c r="T885" t="n">
        <x:v>250.08927895072884</x:v>
      </x:c>
      <x:c r="U885" s="14" t="n">
        <x:v>0.7769717564926613</x:v>
      </x:c>
      <x:c r="V885" s="14" t="n">
        <x:v>0.4342065305170852</x:v>
      </x:c>
      <x:c r="W885" s="14" t="n">
        <x:v>0.05102370800465972</x:v>
      </x:c>
      <x:c r="X885" s="14" t="n">
        <x:v>0.46597489613209847</x:v>
      </x:c>
      <x:c r="Y885" s="16" t="n">
        <x:v>81.87919463087249</x:v>
      </x:c>
      <x:c r="Z885" s="16" t="n">
        <x:v>48.57142857142857</x:v>
      </x:c>
      <x:c r="AA885" s="16" t="n">
        <x:v>96.72131147540983</x:v>
      </x:c>
      <x:c r="AB885" s="16" t="n">
        <x:v>60.738255033557046</x:v>
      </x:c>
      <x:c r="AC885" s="16" t="n">
        <x:v>59.395973154362416</x:v>
      </x:c>
      <x:c r="AD885" s="16" t="n">
        <x:v>80.67073170731707</x:v>
      </x:c>
      <x:c r="AE885" s="16" t="n">
        <x:v>71.9640727122382</x:v>
      </x:c>
      <x:c r="AF885" t="str">
        <x:v>검토</x:v>
      </x:c>
      <x:c r="AG885" t="str">
        <x:v>서울 업종추세·수요 강점 / 상권 모멘텀 상대적 약점</x:v>
      </x:c>
    </x:row>
    <x:row r="886">
      <x:c r="A886" t="str">
        <x:v>3120153</x:v>
      </x:c>
      <x:c r="B886" t="str">
        <x:v>노량진역(노량진)</x:v>
      </x:c>
      <x:c r="C886" t="str">
        <x:v>발달상권</x:v>
      </x:c>
      <x:c r="D886" t="str">
        <x:v>동작구</x:v>
      </x:c>
      <x:c r="E886" t="str">
        <x:v>노량진1동</x:v>
      </x:c>
      <x:c r="F886" t="str">
        <x:v>CS200037</x:v>
      </x:c>
      <x:c r="G886" t="str">
        <x:v>노래방</x:v>
      </x:c>
      <x:c r="H886" t="n">
        <x:v>725483408</x:v>
      </x:c>
      <x:c r="I886" t="n">
        <x:v>117958</x:v>
      </x:c>
      <x:c r="J886" t="n">
        <x:v>6150.353583478865</x:v>
      </x:c>
      <x:c r="K886" s="14" t="n">
        <x:v>0.07618891101288594</x:v>
      </x:c>
      <x:c r="L886" s="14" t="n">
        <x:v>-0.038104861974415316</x:v>
      </x:c>
      <x:c r="M886" s="14" t="n">
        <x:v>0.05972019768270753</x:v>
      </x:c>
      <x:c r="N886" t="n">
        <x:v>11</x:v>
      </x:c>
      <x:c r="O886" t="n">
        <x:v>0</x:v>
      </x:c>
      <x:c r="P886" s="14" t="n">
        <x:v>0</x:v>
      </x:c>
      <x:c r="Q886" s="14" t="n">
        <x:v>0</x:v>
      </x:c>
      <x:c r="R886" s="14" t="n">
        <x:v>-0.15384615384615385</x:v>
      </x:c>
      <x:c r="S886" t="n">
        <x:v>5349</x:v>
      </x:c>
      <x:c r="T886" t="n">
        <x:v>120.5202038636763</x:v>
      </x:c>
      <x:c r="U886" s="14" t="n">
        <x:v>0.6175201432036058</x:v>
      </x:c>
      <x:c r="V886" s="14" t="n">
        <x:v>0.6924766017529652</x:v>
      </x:c>
      <x:c r="W886" s="14" t="n">
        <x:v>0.639195898743421</x:v>
      </x:c>
      <x:c r="X886" s="14" t="n">
        <x:v>0.3071381323720087</x:v>
      </x:c>
      <x:c r="Y886" s="16" t="n">
        <x:v>94.22310756972112</x:v>
      </x:c>
      <x:c r="Z886" s="16" t="n">
        <x:v>65.8</x:v>
      </x:c>
      <x:c r="AA886" s="16" t="n">
        <x:v>27.868852459016395</x:v>
      </x:c>
      <x:c r="AB886" s="16" t="n">
        <x:v>74.9003984063745</x:v>
      </x:c>
      <x:c r="AC886" s="16" t="n">
        <x:v>72.11155378486056</x:v>
      </x:c>
      <x:c r="AD886" s="16" t="n">
        <x:v>63.96341463414634</x:v>
      </x:c>
      <x:c r="AE886" s="16" t="n">
        <x:v>71.9628013894044</x:v>
      </x:c>
      <x:c r="AF886" t="str">
        <x:v>검토</x:v>
      </x:c>
      <x:c r="AG886" t="str">
        <x:v>수요·경쟁여건 강점 / 서울 업종추세 상대적 약점</x:v>
      </x:c>
    </x:row>
    <x:row r="887">
      <x:c r="A887" t="str">
        <x:v>3120111</x:v>
      </x:c>
      <x:c r="B887" t="str">
        <x:v>목동사거리</x:v>
      </x:c>
      <x:c r="C887" t="str">
        <x:v>발달상권</x:v>
      </x:c>
      <x:c r="D887" t="str">
        <x:v>강서구</x:v>
      </x:c>
      <x:c r="E887" t="str">
        <x:v>화곡4동</x:v>
      </x:c>
      <x:c r="F887" t="str">
        <x:v>CS200006</x:v>
      </x:c>
      <x:c r="G887" t="str">
        <x:v>일반의원</x:v>
      </x:c>
      <x:c r="H887" t="n">
        <x:v>3480029362</x:v>
      </x:c>
      <x:c r="I887" t="n">
        <x:v>107449</x:v>
      </x:c>
      <x:c r="J887" t="n">
        <x:v>32387.73150052583</x:v>
      </x:c>
      <x:c r="K887" s="14" t="n">
        <x:v>0.19332285494600066</x:v>
      </x:c>
      <x:c r="L887" s="14" t="n">
        <x:v>0.09973642051122278</x:v>
      </x:c>
      <x:c r="M887" s="14" t="n">
        <x:v>0.06942273842247415</x:v>
      </x:c>
      <x:c r="N887" t="n">
        <x:v>22</x:v>
      </x:c>
      <x:c r="O887" t="n">
        <x:v>1</x:v>
      </x:c>
      <x:c r="P887" s="14" t="n">
        <x:v>0.037037037037037035</x:v>
      </x:c>
      <x:c r="Q887" s="14" t="n">
        <x:v>0</x:v>
      </x:c>
      <x:c r="R887" s="14" t="n">
        <x:v>0.10000000000000009</x:v>
      </x:c>
      <x:c r="S887" t="n">
        <x:v>1559</x:v>
      </x:c>
      <x:c r="T887" t="n">
        <x:v>123.62321483795765</x:v>
      </x:c>
      <x:c r="U887" s="14" t="n">
        <x:v>0.8572705373053114</x:v>
      </x:c>
      <x:c r="V887" s="14" t="n">
        <x:v>0.17249493080570164</x:v>
      </x:c>
      <x:c r="W887" s="14" t="n">
        <x:v>0.16422610229689205</x:v>
      </x:c>
      <x:c r="X887" s="14" t="n">
        <x:v>0.5592678361430445</x:v>
      </x:c>
      <x:c r="Y887" s="16" t="n">
        <x:v>76.59574468085107</x:v>
      </x:c>
      <x:c r="Z887" s="16" t="n">
        <x:v>93.4108527131783</x:v>
      </x:c>
      <x:c r="AA887" s="16" t="n">
        <x:v>90.1639344262295</x:v>
      </x:c>
      <x:c r="AB887" s="16" t="n">
        <x:v>59.689922480620154</x:v>
      </x:c>
      <x:c r="AC887" s="16" t="n">
        <x:v>7.558139534883722</x:v>
      </x:c>
      <x:c r="AD887" s="16" t="n">
        <x:v>64.6951219512195</x:v>
      </x:c>
      <x:c r="AE887" s="16" t="n">
        <x:v>71.95932976801033</x:v>
      </x:c>
      <x:c r="AF887" t="str">
        <x:v>검토</x:v>
      </x:c>
      <x:c r="AG887" t="str">
        <x:v>상권 모멘텀·서울 업종추세 강점 / 안정성 상대적 약점</x:v>
      </x:c>
    </x:row>
    <x:row r="888">
      <x:c r="A888" t="str">
        <x:v>3110281</x:v>
      </x:c>
      <x:c r="B888" t="str">
        <x:v>길상사</x:v>
      </x:c>
      <x:c r="C888" t="str">
        <x:v>골목상권</x:v>
      </x:c>
      <x:c r="D888" t="str">
        <x:v>성북구</x:v>
      </x:c>
      <x:c r="E888" t="str">
        <x:v>성북동</x:v>
      </x:c>
      <x:c r="F888" t="str">
        <x:v>CS300011</x:v>
      </x:c>
      <x:c r="G888" t="str">
        <x:v>일반의류</x:v>
      </x:c>
      <x:c r="H888" t="n">
        <x:v>694504972</x:v>
      </x:c>
      <x:c r="I888" t="n">
        <x:v>3884</x:v>
      </x:c>
      <x:c r="J888" t="n">
        <x:v>178811.78475798146</x:v>
      </x:c>
      <x:c r="K888" s="14" t="n">
        <x:v>1.534699212608023</x:v>
      </x:c>
      <x:c r="L888" s="14" t="n">
        <x:v>0.06726691045630595</x:v>
      </x:c>
      <x:c r="M888" s="14" t="n">
        <x:v>0.00788849516466894</x:v>
      </x:c>
      <x:c r="N888" t="n">
        <x:v>70</x:v>
      </x:c>
      <x:c r="O888" t="n">
        <x:v>2</x:v>
      </x:c>
      <x:c r="P888" s="14" t="n">
        <x:v>0.02666666666666667</x:v>
      </x:c>
      <x:c r="Q888" s="14" t="n">
        <x:v>0</x:v>
      </x:c>
      <x:c r="R888" s="14" t="n">
        <x:v>0.07692307692307687</x:v>
      </x:c>
      <x:c r="S888" t="n">
        <x:v>1428</x:v>
      </x:c>
      <x:c r="T888" t="n">
        <x:v>58.385088088706084</x:v>
      </x:c>
      <x:c r="U888" s="14" t="n">
        <x:v>0.8862259232321233</x:v>
      </x:c>
      <x:c r="V888" s="14" t="n">
        <x:v>0</x:v>
      </x:c>
      <x:c r="W888" s="14" t="n">
        <x:v>0.8422227911710328</x:v>
      </x:c>
      <x:c r="X888" s="14" t="n">
        <x:v>0.6214416979004723</x:v>
      </x:c>
      <x:c r="Y888" s="16" t="n">
        <x:v>79.97644287396938</x:v>
      </x:c>
      <x:c r="Z888" s="16" t="n">
        <x:v>98.43561973525873</x:v>
      </x:c>
      <x:c r="AA888" s="16" t="n">
        <x:v>81.9672131147541</x:v>
      </x:c>
      <x:c r="AB888" s="16" t="n">
        <x:v>47.52650176678445</x:v>
      </x:c>
      <x:c r="AC888" s="16" t="n">
        <x:v>27.679623085983508</x:v>
      </x:c>
      <x:c r="AD888" s="16" t="n">
        <x:v>41.707317073170735</x:v>
      </x:c>
      <x:c r="AE888" s="16" t="n">
        <x:v>71.9562643474287</x:v>
      </x:c>
      <x:c r="AF888" t="str">
        <x:v>검토</x:v>
      </x:c>
      <x:c r="AG888" t="str">
        <x:v>상권 모멘텀·서울 업종추세 강점 / 안정성 상대적 약점</x:v>
      </x:c>
    </x:row>
    <x:row r="889">
      <x:c r="A889" t="str">
        <x:v>3130070</x:v>
      </x:c>
      <x:c r="B889" t="str">
        <x:v>뚝섬역상점가</x:v>
      </x:c>
      <x:c r="C889" t="str">
        <x:v>전통시장</x:v>
      </x:c>
      <x:c r="D889" t="str">
        <x:v>성동구</x:v>
      </x:c>
      <x:c r="E889" t="str">
        <x:v>성수1가2동</x:v>
      </x:c>
      <x:c r="F889" t="str">
        <x:v>CS300003</x:v>
      </x:c>
      <x:c r="G889" t="str">
        <x:v>컴퓨터및주변장치판매</x:v>
      </x:c>
      <x:c r="H889" t="n">
        <x:v>30901430273</x:v>
      </x:c>
      <x:c r="I889" t="n">
        <x:v>393831</x:v>
      </x:c>
      <x:c r="J889" t="n">
        <x:v>78463.68181529641</x:v>
      </x:c>
      <x:c r="K889" s="14" t="n">
        <x:v>0.3562340572835694</x:v>
      </x:c>
      <x:c r="L889" s="14" t="n">
        <x:v>-0.0032738070361170157</x:v>
      </x:c>
      <x:c r="M889" s="14" t="n">
        <x:v>-0.118230834961212</x:v>
      </x:c>
      <x:c r="N889" t="n">
        <x:v>44</x:v>
      </x:c>
      <x:c r="O889" t="n">
        <x:v>0</x:v>
      </x:c>
      <x:c r="P889" s="14" t="n">
        <x:v>0</x:v>
      </x:c>
      <x:c r="Q889" s="14" t="n">
        <x:v>0</x:v>
      </x:c>
      <x:c r="R889" s="14" t="n">
        <x:v>0.07317073170731714</x:v>
      </x:c>
      <x:c r="S889" t="n">
        <x:v>1725</x:v>
      </x:c>
      <x:c r="T889" t="n">
        <x:v>307.12530712530713</x:v>
      </x:c>
      <x:c r="U889" s="14" t="n">
        <x:v>0.6942774026464882</x:v>
      </x:c>
      <x:c r="V889" s="14" t="n">
        <x:v>0.158670509995264</x:v>
      </x:c>
      <x:c r="W889" s="14" t="n">
        <x:v>0.29252299910202284</x:v>
      </x:c>
      <x:c r="X889" s="14" t="n">
        <x:v>0.3664701343256171</x:v>
      </x:c>
      <x:c r="Y889" s="16" t="n">
        <x:v>96.5909090909091</x:v>
      </x:c>
      <x:c r="Z889" s="16" t="n">
        <x:v>81.25</x:v>
      </x:c>
      <x:c r="AA889" s="16" t="n">
        <x:v>39.34426229508197</x:v>
      </x:c>
      <x:c r="AB889" s="16" t="n">
        <x:v>36.93181818181818</x:v>
      </x:c>
      <x:c r="AC889" s="16" t="n">
        <x:v>62.5</x:v>
      </x:c>
      <x:c r="AD889" s="16" t="n">
        <x:v>84.08536585365853</x:v>
      </x:c>
      <x:c r="AE889" s="16" t="n">
        <x:v>71.95249854603613</x:v>
      </x:c>
      <x:c r="AF889" t="str">
        <x:v>검토</x:v>
      </x:c>
      <x:c r="AG889" t="str">
        <x:v>수요·직장수요 강점 / 경쟁여건 상대적 약점</x:v>
      </x:c>
    </x:row>
    <x:row r="890">
      <x:c r="A890" t="str">
        <x:v>3120189</x:v>
      </x:c>
      <x:c r="B890" t="str">
        <x:v>강남역</x:v>
      </x:c>
      <x:c r="C890" t="str">
        <x:v>발달상권</x:v>
      </x:c>
      <x:c r="D890" t="str">
        <x:v>서초구</x:v>
      </x:c>
      <x:c r="E890" t="str">
        <x:v>서초2동</x:v>
      </x:c>
      <x:c r="F890" t="str">
        <x:v>CS100001</x:v>
      </x:c>
      <x:c r="G890" t="str">
        <x:v>한식음식점</x:v>
      </x:c>
      <x:c r="H890" t="n">
        <x:v>63458142575</x:v>
      </x:c>
      <x:c r="I890" t="n">
        <x:v>1381646</x:v>
      </x:c>
      <x:c r="J890" t="n">
        <x:v>45929.37885319394</x:v>
      </x:c>
      <x:c r="K890" s="14" t="n">
        <x:v>0.04649657380180483</x:v>
      </x:c>
      <x:c r="L890" s="14" t="n">
        <x:v>-0.0018259958518723751</x:v>
      </x:c>
      <x:c r="M890" s="14" t="n">
        <x:v>0.06341040875687098</x:v>
      </x:c>
      <x:c r="N890" t="n">
        <x:v>265</x:v>
      </x:c>
      <x:c r="O890" t="n">
        <x:v>4</x:v>
      </x:c>
      <x:c r="P890" s="14" t="n">
        <x:v>0.014814814814814815</x:v>
      </x:c>
      <x:c r="Q890" s="14" t="n">
        <x:v>0.10943396226415095</x:v>
      </x:c>
      <x:c r="R890" s="14" t="n">
        <x:v>0.07287449392712553</x:v>
      </x:c>
      <x:c r="S890" t="n">
        <x:v>87191</x:v>
      </x:c>
      <x:c r="T890" t="n">
        <x:v>1411.89253611466</x:v>
      </x:c>
      <x:c r="U890" s="14" t="n">
        <x:v>0.7492834689701757</x:v>
      </x:c>
      <x:c r="V890" s="14" t="n">
        <x:v>0.6473467455882276</x:v>
      </x:c>
      <x:c r="W890" s="14" t="n">
        <x:v>0.49959615703422594</x:v>
      </x:c>
      <x:c r="X890" s="14" t="n">
        <x:v>0.32931398441581317</x:v>
      </x:c>
      <x:c r="Y890" s="16" t="n">
        <x:v>99.9288256227758</x:v>
      </x:c>
      <x:c r="Z890" s="16" t="n">
        <x:v>70.19299499642602</x:v>
      </x:c>
      <x:c r="AA890" s="16" t="n">
        <x:v>40.98360655737705</x:v>
      </x:c>
      <x:c r="AB890" s="16" t="n">
        <x:v>21.779359430604984</x:v>
      </x:c>
      <x:c r="AC890" s="16" t="n">
        <x:v>86.26334519572954</x:v>
      </x:c>
      <x:c r="AD890" s="16" t="n">
        <x:v>97.92682926829268</x:v>
      </x:c>
      <x:c r="AE890" s="16" t="n">
        <x:v>71.95080884844162</x:v>
      </x:c>
      <x:c r="AF890" t="str">
        <x:v>검토</x:v>
      </x:c>
      <x:c r="AG890" t="str">
        <x:v>수요·직장수요 강점 / 경쟁여건 상대적 약점</x:v>
      </x:c>
    </x:row>
    <x:row r="891">
      <x:c r="A891" t="str">
        <x:v>3110132</x:v>
      </x:c>
      <x:c r="B891" t="str">
        <x:v>성수2가3동주민센터</x:v>
      </x:c>
      <x:c r="C891" t="str">
        <x:v>골목상권</x:v>
      </x:c>
      <x:c r="D891" t="str">
        <x:v>성동구</x:v>
      </x:c>
      <x:c r="E891" t="str">
        <x:v>성수2가3동</x:v>
      </x:c>
      <x:c r="F891" t="str">
        <x:v>CS300011</x:v>
      </x:c>
      <x:c r="G891" t="str">
        <x:v>일반의류</x:v>
      </x:c>
      <x:c r="H891" t="n">
        <x:v>620510298</x:v>
      </x:c>
      <x:c r="I891" t="n">
        <x:v>9325</x:v>
      </x:c>
      <x:c r="J891" t="n">
        <x:v>66542.65930294906</x:v>
      </x:c>
      <x:c r="K891" s="14" t="n">
        <x:v>3.498960033005674</x:v>
      </x:c>
      <x:c r="L891" s="14" t="n">
        <x:v>0.06726691045630595</x:v>
      </x:c>
      <x:c r="M891" s="14" t="n">
        <x:v>0.00788849516466894</x:v>
      </x:c>
      <x:c r="N891" t="n">
        <x:v>322</x:v>
      </x:c>
      <x:c r="O891" t="n">
        <x:v>1</x:v>
      </x:c>
      <x:c r="P891" s="14" t="n">
        <x:v>0.0030581039755351682</x:v>
      </x:c>
      <x:c r="Q891" s="14" t="n">
        <x:v>0</x:v>
      </x:c>
      <x:c r="R891" s="14" t="n">
        <x:v>0.431111111111111</x:v>
      </x:c>
      <x:c r="S891" t="n">
        <x:v>1105</x:v>
      </x:c>
      <x:c r="T891" t="n">
        <x:v>144.538914323087</x:v>
      </x:c>
      <x:c r="U891" s="14" t="n">
        <x:v>0.4919847099781735</x:v>
      </x:c>
      <x:c r="V891" s="14" t="n">
        <x:v>0.4035473944704782</x:v>
      </x:c>
      <x:c r="W891" s="14" t="n">
        <x:v>0.5387114961305606</x:v>
      </x:c>
      <x:c r="X891" s="14" t="n">
        <x:v>0.355552635808149</x:v>
      </x:c>
      <x:c r="Y891" s="16" t="n">
        <x:v>77.85630153121319</x:v>
      </x:c>
      <x:c r="Z891" s="16" t="n">
        <x:v>99.63898916967509</x:v>
      </x:c>
      <x:c r="AA891" s="16" t="n">
        <x:v>81.9672131147541</x:v>
      </x:c>
      <x:c r="AB891" s="16" t="n">
        <x:v>12.367491166077741</x:v>
      </x:c>
      <x:c r="AC891" s="16" t="n">
        <x:v>71.61366313309776</x:v>
      </x:c>
      <x:c r="AD891" s="16" t="n">
        <x:v>69.08536585365853</x:v>
      </x:c>
      <x:c r="AE891" s="16" t="n">
        <x:v>71.9433436179771</x:v>
      </x:c>
      <x:c r="AF891" t="str">
        <x:v>검토</x:v>
      </x:c>
      <x:c r="AG891" t="str">
        <x:v>상권 모멘텀·서울 업종추세 강점 / 경쟁여건 상대적 약점</x:v>
      </x:c>
    </x:row>
    <x:row r="892">
      <x:c r="A892" t="str">
        <x:v>3110204</x:v>
      </x:c>
      <x:c r="B892" t="str">
        <x:v>간데메공원</x:v>
      </x:c>
      <x:c r="C892" t="str">
        <x:v>골목상권</x:v>
      </x:c>
      <x:c r="D892" t="str">
        <x:v>동대문구</x:v>
      </x:c>
      <x:c r="E892" t="str">
        <x:v>답십리1동</x:v>
      </x:c>
      <x:c r="F892" t="str">
        <x:v>CS300011</x:v>
      </x:c>
      <x:c r="G892" t="str">
        <x:v>일반의류</x:v>
      </x:c>
      <x:c r="H892" t="n">
        <x:v>6151245107</x:v>
      </x:c>
      <x:c r="I892" t="n">
        <x:v>53125</x:v>
      </x:c>
      <x:c r="J892" t="n">
        <x:v>115788.14319058823</x:v>
      </x:c>
      <x:c r="K892" s="14" t="n">
        <x:v>0.0003503072898156656</x:v>
      </x:c>
      <x:c r="L892" s="14" t="n">
        <x:v>0.06726691045630595</x:v>
      </x:c>
      <x:c r="M892" s="14" t="n">
        <x:v>0.00788849516466894</x:v>
      </x:c>
      <x:c r="N892" t="n">
        <x:v>53</x:v>
      </x:c>
      <x:c r="O892" t="n">
        <x:v>0</x:v>
      </x:c>
      <x:c r="P892" s="14" t="n">
        <x:v>0</x:v>
      </x:c>
      <x:c r="Q892" s="14" t="n">
        <x:v>0.018867924528301886</x:v>
      </x:c>
      <x:c r="R892" s="14" t="n">
        <x:v>-0.01851851851851849</x:v>
      </x:c>
      <x:c r="S892" t="n">
        <x:v>744</x:v>
      </x:c>
      <x:c r="T892" t="n">
        <x:v>60.70793282960981</x:v>
      </x:c>
      <x:c r="U892" s="14" t="n">
        <x:v>0.5559031166078358</x:v>
      </x:c>
      <x:c r="V892" s="14" t="n">
        <x:v>0.2840474197673684</x:v>
      </x:c>
      <x:c r="W892" s="14" t="n">
        <x:v>0.12498493128246596</x:v>
      </x:c>
      <x:c r="X892" s="14" t="n">
        <x:v>0.5750923166716855</x:v>
      </x:c>
      <x:c r="Y892" s="16" t="n">
        <x:v>95.0530035335689</x:v>
      </x:c>
      <x:c r="Z892" s="16" t="n">
        <x:v>34.17569193742479</x:v>
      </x:c>
      <x:c r="AA892" s="16" t="n">
        <x:v>81.9672131147541</x:v>
      </x:c>
      <x:c r="AB892" s="16" t="n">
        <x:v>58.303886925795055</x:v>
      </x:c>
      <x:c r="AC892" s="16" t="n">
        <x:v>86.33686690223793</x:v>
      </x:c>
      <x:c r="AD892" s="16" t="n">
        <x:v>43.23170731707317</x:v>
      </x:c>
      <x:c r="AE892" s="16" t="n">
        <x:v>71.9396266863939</x:v>
      </x:c>
      <x:c r="AF892" t="str">
        <x:v>검토</x:v>
      </x:c>
      <x:c r="AG892" t="str">
        <x:v>수요·안정성 강점 / 상권 모멘텀 상대적 약점</x:v>
      </x:c>
    </x:row>
    <x:row r="893">
      <x:c r="A893" t="str">
        <x:v>3120149</x:v>
      </x:c>
      <x:c r="B893" t="str">
        <x:v>여의도역(여의도)</x:v>
      </x:c>
      <x:c r="C893" t="str">
        <x:v>발달상권</x:v>
      </x:c>
      <x:c r="D893" t="str">
        <x:v>영등포구</x:v>
      </x:c>
      <x:c r="E893" t="str">
        <x:v>여의동</x:v>
      </x:c>
      <x:c r="F893" t="str">
        <x:v>CS100003</x:v>
      </x:c>
      <x:c r="G893" t="str">
        <x:v>일식음식점</x:v>
      </x:c>
      <x:c r="H893" t="n">
        <x:v>16430958207</x:v>
      </x:c>
      <x:c r="I893" t="n">
        <x:v>224289</x:v>
      </x:c>
      <x:c r="J893" t="n">
        <x:v>73257.97612455359</x:v>
      </x:c>
      <x:c r="K893" s="14" t="n">
        <x:v>0.08407270117546473</x:v>
      </x:c>
      <x:c r="L893" s="14" t="n">
        <x:v>0.048235937606500245</x:v>
      </x:c>
      <x:c r="M893" s="14" t="n">
        <x:v>-0.004288267098710441</x:v>
      </x:c>
      <x:c r="N893" t="n">
        <x:v>165</x:v>
      </x:c>
      <x:c r="O893" t="n">
        <x:v>4</x:v>
      </x:c>
      <x:c r="P893" s="14" t="n">
        <x:v>0.023529411764705882</x:v>
      </x:c>
      <x:c r="Q893" s="14" t="n">
        <x:v>0.16363636363636364</x:v>
      </x:c>
      <x:c r="R893" s="14" t="n">
        <x:v>0.24060150375939848</x:v>
      </x:c>
      <x:c r="S893" t="n">
        <x:v>166492</x:v>
      </x:c>
      <x:c r="T893" t="n">
        <x:v>2781.087031326734</x:v>
      </x:c>
      <x:c r="U893" s="14" t="n">
        <x:v>0.8770578348169977</x:v>
      </x:c>
      <x:c r="V893" s="14" t="n">
        <x:v>0.5701851628475754</x:v>
      </x:c>
      <x:c r="W893" s="14" t="n">
        <x:v>0.2673961254510542</x:v>
      </x:c>
      <x:c r="X893" s="14" t="n">
        <x:v>0.1937162318776994</x:v>
      </x:c>
      <x:c r="Y893" s="16" t="n">
        <x:v>100</x:v>
      </x:c>
      <x:c r="Z893" s="16" t="n">
        <x:v>69.75308641975309</x:v>
      </x:c>
      <x:c r="AA893" s="16" t="n">
        <x:v>78.68852459016394</x:v>
      </x:c>
      <x:c r="AB893" s="16" t="n">
        <x:v>4.613095238095241</x:v>
      </x:c>
      <x:c r="AC893" s="16" t="n">
        <x:v>55.208333333333336</x:v>
      </x:c>
      <x:c r="AD893" s="16" t="n">
        <x:v>99.39024390243902</x:v>
      </x:c>
      <x:c r="AE893" s="16" t="n">
        <x:v>71.93620578664478</x:v>
      </x:c>
      <x:c r="AF893" t="str">
        <x:v>검토</x:v>
      </x:c>
      <x:c r="AG893" t="str">
        <x:v>수요·직장수요 강점 / 경쟁여건 상대적 약점</x:v>
      </x:c>
    </x:row>
    <x:row r="894">
      <x:c r="A894" t="str">
        <x:v>3130217</x:v>
      </x:c>
      <x:c r="B894" t="str">
        <x:v>화곡본동시장</x:v>
      </x:c>
      <x:c r="C894" t="str">
        <x:v>전통시장</x:v>
      </x:c>
      <x:c r="D894" t="str">
        <x:v>강서구</x:v>
      </x:c>
      <x:c r="E894" t="str">
        <x:v>화곡본동</x:v>
      </x:c>
      <x:c r="F894" t="str">
        <x:v>CS300009</x:v>
      </x:c>
      <x:c r="G894" t="str">
        <x:v>청과상</x:v>
      </x:c>
      <x:c r="H894" t="n">
        <x:v>1435009357</x:v>
      </x:c>
      <x:c r="I894" t="n">
        <x:v>109022</x:v>
      </x:c>
      <x:c r="J894" t="n">
        <x:v>13162.566793858121</x:v>
      </x:c>
      <x:c r="K894" s="14" t="n">
        <x:v>0.04056543372366228</x:v>
      </x:c>
      <x:c r="L894" s="14" t="n">
        <x:v>0.19728256051488424</x:v>
      </x:c>
      <x:c r="M894" s="14" t="n">
        <x:v>0.09797365727115581</x:v>
      </x:c>
      <x:c r="N894" t="n">
        <x:v>17</x:v>
      </x:c>
      <x:c r="O894" t="n">
        <x:v>0</x:v>
      </x:c>
      <x:c r="P894" s="14" t="n">
        <x:v>0</x:v>
      </x:c>
      <x:c r="Q894" s="14" t="n">
        <x:v>0</x:v>
      </x:c>
      <x:c r="R894" s="14" t="n">
        <x:v>0.3076923076923077</x:v>
      </x:c>
      <x:c r="S894" t="n">
        <x:v>217</x:v>
      </x:c>
      <x:c r="T894" t="n">
        <x:v>102.04561486009875</x:v>
      </x:c>
      <x:c r="U894" s="14" t="n">
        <x:v>0.7569353472863801</x:v>
      </x:c>
      <x:c r="V894" s="14" t="n">
        <x:v>0.28171141047131165</x:v>
      </x:c>
      <x:c r="W894" s="14" t="n">
        <x:v>0.1428232255073721</x:v>
      </x:c>
      <x:c r="X894" s="14" t="n">
        <x:v>0.6035810873113352</x:v>
      </x:c>
      <x:c r="Y894" s="16" t="n">
        <x:v>79.12087912087912</x:v>
      </x:c>
      <x:c r="Z894" s="16" t="n">
        <x:v>59.9236641221374</x:v>
      </x:c>
      <x:c r="AA894" s="16" t="n">
        <x:v>95.08196721311475</x:v>
      </x:c>
      <x:c r="AB894" s="16" t="n">
        <x:v>53.663003663003664</x:v>
      </x:c>
      <x:c r="AC894" s="16" t="n">
        <x:v>69.5970695970696</x:v>
      </x:c>
      <x:c r="AD894" s="16" t="n">
        <x:v>59.69512195121951</x:v>
      </x:c>
      <x:c r="AE894" s="16" t="n">
        <x:v>71.93324920542086</x:v>
      </x:c>
      <x:c r="AF894" t="str">
        <x:v>검토</x:v>
      </x:c>
      <x:c r="AG894" t="str">
        <x:v>서울 업종추세·수요 강점 / 경쟁여건 상대적 약점</x:v>
      </x:c>
    </x:row>
    <x:row r="895">
      <x:c r="A895" t="str">
        <x:v>3120006</x:v>
      </x:c>
      <x:c r="B895" t="str">
        <x:v>종각역</x:v>
      </x:c>
      <x:c r="C895" t="str">
        <x:v>발달상권</x:v>
      </x:c>
      <x:c r="D895" t="str">
        <x:v>종로구</x:v>
      </x:c>
      <x:c r="E895" t="str">
        <x:v>종로1·2·3·4가동</x:v>
      </x:c>
      <x:c r="F895" t="str">
        <x:v>CS200017</x:v>
      </x:c>
      <x:c r="G895" t="str">
        <x:v>골프연습장</x:v>
      </x:c>
      <x:c r="H895" t="n">
        <x:v>801212094</x:v>
      </x:c>
      <x:c r="I895" t="n">
        <x:v>3512</x:v>
      </x:c>
      <x:c r="J895" t="n">
        <x:v>228135.56207289294</x:v>
      </x:c>
      <x:c r="K895" s="14" t="n">
        <x:v>0.1355237633802875</x:v>
      </x:c>
      <x:c r="L895" s="14" t="n">
        <x:v>-0.1389153607413347</x:v>
      </x:c>
      <x:c r="M895" s="14" t="n">
        <x:v>-0.09628766957422386</x:v>
      </x:c>
      <x:c r="N895" t="n">
        <x:v>12</x:v>
      </x:c>
      <x:c r="O895" t="n">
        <x:v>0</x:v>
      </x:c>
      <x:c r="P895" s="14" t="n">
        <x:v>0</x:v>
      </x:c>
      <x:c r="Q895" s="14" t="n">
        <x:v>0</x:v>
      </x:c>
      <x:c r="R895" s="14" t="n">
        <x:v>0.7142857142857142</x:v>
      </x:c>
      <x:c r="S895" t="n">
        <x:v>51748</x:v>
      </x:c>
      <x:c r="T895" t="n">
        <x:v>1914.2812752010534</x:v>
      </x:c>
      <x:c r="U895" s="14" t="n">
        <x:v>0.9228641710942521</x:v>
      </x:c>
      <x:c r="V895" s="14" t="n">
        <x:v>0.5461902313721191</x:v>
      </x:c>
      <x:c r="W895" s="14" t="n">
        <x:v>0.23963428090739727</x:v>
      </x:c>
      <x:c r="X895" s="14" t="n">
        <x:v>0.19288486801099136</x:v>
      </x:c>
      <x:c r="Y895" s="16" t="n">
        <x:v>97.84172661870504</x:v>
      </x:c>
      <x:c r="Z895" s="16" t="n">
        <x:v>92.5925925925926</x:v>
      </x:c>
      <x:c r="AA895" s="16" t="n">
        <x:v>6.557377049180328</x:v>
      </x:c>
      <x:c r="AB895" s="16" t="n">
        <x:v>48.55072463768116</x:v>
      </x:c>
      <x:c r="AC895" s="16" t="n">
        <x:v>59.78260869565217</x:v>
      </x:c>
      <x:c r="AD895" s="16" t="n">
        <x:v>98.47560975609755</x:v>
      </x:c>
      <x:c r="AE895" s="16" t="n">
        <x:v>71.9313794454646</x:v>
      </x:c>
      <x:c r="AF895" t="str">
        <x:v>검토</x:v>
      </x:c>
      <x:c r="AG895" t="str">
        <x:v>직장수요·수요 강점 / 서울 업종추세 상대적 약점</x:v>
      </x:c>
    </x:row>
    <x:row r="896">
      <x:c r="A896" t="str">
        <x:v>3111089</x:v>
      </x:c>
      <x:c r="B896" t="str">
        <x:v>상일여고(상일초등학교)</x:v>
      </x:c>
      <x:c r="C896" t="str">
        <x:v>골목상권</x:v>
      </x:c>
      <x:c r="D896" t="str">
        <x:v>강동구</x:v>
      </x:c>
      <x:c r="E896" t="str">
        <x:v>상일동</x:v>
      </x:c>
      <x:c r="F896" t="str">
        <x:v>CS300018</x:v>
      </x:c>
      <x:c r="G896" t="str">
        <x:v>의약품</x:v>
      </x:c>
      <x:c r="H896" t="n">
        <x:v>1501614830</x:v>
      </x:c>
      <x:c r="I896" t="n">
        <x:v>89578</x:v>
      </x:c>
      <x:c r="J896" t="n">
        <x:v>16763.210051575163</x:v>
      </x:c>
      <x:c r="K896" s="14" t="n">
        <x:v>0.10490818183257988</x:v>
      </x:c>
      <x:c r="L896" s="14" t="n">
        <x:v>0.027829225601598617</x:v>
      </x:c>
      <x:c r="M896" s="14" t="n">
        <x:v>0.02632929521123617</x:v>
      </x:c>
      <x:c r="N896" t="n">
        <x:v>15</x:v>
      </x:c>
      <x:c r="O896" t="n">
        <x:v>0</x:v>
      </x:c>
      <x:c r="P896" s="14" t="n">
        <x:v>0</x:v>
      </x:c>
      <x:c r="Q896" s="14" t="n">
        <x:v>0.06666666666666667</x:v>
      </x:c>
      <x:c r="R896" s="14" t="n">
        <x:v>-0.0625</x:v>
      </x:c>
      <x:c r="S896" t="n">
        <x:v>1291</x:v>
      </x:c>
      <x:c r="T896" t="n">
        <x:v>101.69918782445664</x:v>
      </x:c>
      <x:c r="U896" s="14" t="n">
        <x:v>0.750249051549391</x:v>
      </x:c>
      <x:c r="V896" s="14" t="n">
        <x:v>0.3238715723125883</x:v>
      </x:c>
      <x:c r="W896" s="14" t="n">
        <x:v>0.14780015591614795</x:v>
      </x:c>
      <x:c r="X896" s="14" t="n">
        <x:v>0.4963228433219456</x:v>
      </x:c>
      <x:c r="Y896" s="16" t="n">
        <x:v>59.965635738831615</x:v>
      </x:c>
      <x:c r="Z896" s="16" t="n">
        <x:v>94.4055944055944</x:v>
      </x:c>
      <x:c r="AA896" s="16" t="n">
        <x:v>72.1311475409836</x:v>
      </x:c>
      <x:c r="AB896" s="16" t="n">
        <x:v>77.57731958762886</x:v>
      </x:c>
      <x:c r="AC896" s="16" t="n">
        <x:v>66.32302405498282</x:v>
      </x:c>
      <x:c r="AD896" s="16" t="n">
        <x:v>59.451219512195124</x:v>
      </x:c>
      <x:c r="AE896" s="16" t="n">
        <x:v>71.93022484010984</x:v>
      </x:c>
      <x:c r="AF896" t="str">
        <x:v>검토</x:v>
      </x:c>
      <x:c r="AG896" t="str">
        <x:v>상권 모멘텀·경쟁여건 강점 / 직장수요 상대적 약점</x:v>
      </x:c>
    </x:row>
    <x:row r="897">
      <x:c r="A897" t="str">
        <x:v>3120041</x:v>
      </x:c>
      <x:c r="B897" t="str">
        <x:v>신용산역(용산역)</x:v>
      </x:c>
      <x:c r="C897" t="str">
        <x:v>발달상권</x:v>
      </x:c>
      <x:c r="D897" t="str">
        <x:v>용산구</x:v>
      </x:c>
      <x:c r="E897" t="str">
        <x:v>한강로동</x:v>
      </x:c>
      <x:c r="F897" t="str">
        <x:v>CS200037</x:v>
      </x:c>
      <x:c r="G897" t="str">
        <x:v>노래방</x:v>
      </x:c>
      <x:c r="H897" t="n">
        <x:v>280533180</x:v>
      </x:c>
      <x:c r="I897" t="n">
        <x:v>4153</x:v>
      </x:c>
      <x:c r="J897" t="n">
        <x:v>67549.52564411268</x:v>
      </x:c>
      <x:c r="K897" s="14" t="n">
        <x:v>0.16136370476247452</x:v>
      </x:c>
      <x:c r="L897" s="14" t="n">
        <x:v>-0.038104861974415316</x:v>
      </x:c>
      <x:c r="M897" s="14" t="n">
        <x:v>0.05972019768270753</x:v>
      </x:c>
      <x:c r="N897" t="n">
        <x:v>12</x:v>
      </x:c>
      <x:c r="O897" t="n">
        <x:v>0</x:v>
      </x:c>
      <x:c r="P897" s="14" t="n">
        <x:v>0</x:v>
      </x:c>
      <x:c r="Q897" s="14" t="n">
        <x:v>0</x:v>
      </x:c>
      <x:c r="R897" s="14" t="n">
        <x:v>-0.19999999999999996</x:v>
      </x:c>
      <x:c r="S897" t="n">
        <x:v>36527</x:v>
      </x:c>
      <x:c r="T897" t="n">
        <x:v>354.14180215100885</x:v>
      </x:c>
      <x:c r="U897" s="14" t="n">
        <x:v>0.674489755543355</x:v>
      </x:c>
      <x:c r="V897" s="14" t="n">
        <x:v>0.6336830495415907</x:v>
      </x:c>
      <x:c r="W897" s="14" t="n">
        <x:v>0.37415143192687583</x:v>
      </x:c>
      <x:c r="X897" s="14" t="n">
        <x:v>0.16380899756670494</x:v>
      </x:c>
      <x:c r="Y897" s="16" t="n">
        <x:v>80.2788844621514</x:v>
      </x:c>
      <x:c r="Z897" s="16" t="n">
        <x:v>87.4</x:v>
      </x:c>
      <x:c r="AA897" s="16" t="n">
        <x:v>27.868852459016395</x:v>
      </x:c>
      <x:c r="AB897" s="16" t="n">
        <x:v>71.01593625498008</x:v>
      </x:c>
      <x:c r="AC897" s="16" t="n">
        <x:v>72.11155378486056</x:v>
      </x:c>
      <x:c r="AD897" s="16" t="n">
        <x:v>85.97560975609755</x:v>
      </x:c>
      <x:c r="AE897" s="16" t="n">
        <x:v>71.9202637351434</x:v>
      </x:c>
      <x:c r="AF897" t="str">
        <x:v>검토</x:v>
      </x:c>
      <x:c r="AG897" t="str">
        <x:v>상권 모멘텀·직장수요 강점 / 서울 업종추세 상대적 약점</x:v>
      </x:c>
    </x:row>
    <x:row r="898">
      <x:c r="A898" t="str">
        <x:v>3110957</x:v>
      </x:c>
      <x:c r="B898" t="str">
        <x:v>언북중학교</x:v>
      </x:c>
      <x:c r="C898" t="str">
        <x:v>골목상권</x:v>
      </x:c>
      <x:c r="D898" t="str">
        <x:v>강남구</x:v>
      </x:c>
      <x:c r="E898" t="str">
        <x:v>논현2동</x:v>
      </x:c>
      <x:c r="F898" t="str">
        <x:v>CS300029</x:v>
      </x:c>
      <x:c r="G898" t="str">
        <x:v>애완동물</x:v>
      </x:c>
      <x:c r="H898" t="n">
        <x:v>2717413309</x:v>
      </x:c>
      <x:c r="I898" t="n">
        <x:v>16229</x:v>
      </x:c>
      <x:c r="J898" t="n">
        <x:v>167441.8207529731</x:v>
      </x:c>
      <x:c r="K898" s="14" t="n">
        <x:v>0.4553728852777381</x:v>
      </x:c>
      <x:c r="L898" s="14" t="n">
        <x:v>0.041190648357217086</x:v>
      </x:c>
      <x:c r="M898" s="14" t="n">
        <x:v>-0.09713695399403299</x:v>
      </x:c>
      <x:c r="N898" t="n">
        <x:v>29</x:v>
      </x:c>
      <x:c r="O898" t="n">
        <x:v>1</x:v>
      </x:c>
      <x:c r="P898" s="14" t="n">
        <x:v>0.029411764705882353</x:v>
      </x:c>
      <x:c r="Q898" s="14" t="n">
        <x:v>0</x:v>
      </x:c>
      <x:c r="R898" s="14" t="n">
        <x:v>0.9333333333333333</x:v>
      </x:c>
      <x:c r="S898" t="n">
        <x:v>2925</x:v>
      </x:c>
      <x:c r="T898" t="n">
        <x:v>308.4954912197437</x:v>
      </x:c>
      <x:c r="U898" s="14" t="n">
        <x:v>0.6538484981711702</x:v>
      </x:c>
      <x:c r="V898" s="14" t="n">
        <x:v>0.4771162166262872</x:v>
      </x:c>
      <x:c r="W898" s="14" t="n">
        <x:v>0.788393971908673</x:v>
      </x:c>
      <x:c r="X898" s="14" t="n">
        <x:v>0.8371985643351392</x:v>
      </x:c>
      <x:c r="Y898" s="16" t="n">
        <x:v>100</x:v>
      </x:c>
      <x:c r="Z898" s="16" t="n">
        <x:v>92.3076923076923</x:v>
      </x:c>
      <x:c r="AA898" s="16" t="n">
        <x:v>77.04918032786885</x:v>
      </x:c>
      <x:c r="AB898" s="16" t="n">
        <x:v>0</x:v>
      </x:c>
      <x:c r="AC898" s="16" t="n">
        <x:v>26.760563380281695</x:v>
      </x:c>
      <x:c r="AD898" s="16" t="n">
        <x:v>84.14634146341463</x:v>
      </x:c>
      <x:c r="AE898" s="16" t="n">
        <x:v>71.9022889219177</x:v>
      </x:c>
      <x:c r="AF898" t="str">
        <x:v>검토</x:v>
      </x:c>
      <x:c r="AG898" t="str">
        <x:v>수요·상권 모멘텀 강점 / 경쟁여건 상대적 약점</x:v>
      </x:c>
    </x:row>
    <x:row r="899">
      <x:c r="A899" t="str">
        <x:v>3120052</x:v>
      </x:c>
      <x:c r="B899" t="str">
        <x:v>성수역</x:v>
      </x:c>
      <x:c r="C899" t="str">
        <x:v>발달상권</x:v>
      </x:c>
      <x:c r="D899" t="str">
        <x:v>성동구</x:v>
      </x:c>
      <x:c r="E899" t="str">
        <x:v>성수2가3동</x:v>
      </x:c>
      <x:c r="F899" t="str">
        <x:v>CS300018</x:v>
      </x:c>
      <x:c r="G899" t="str">
        <x:v>의약품</x:v>
      </x:c>
      <x:c r="H899" t="n">
        <x:v>4351236908</x:v>
      </x:c>
      <x:c r="I899" t="n">
        <x:v>329730</x:v>
      </x:c>
      <x:c r="J899" t="n">
        <x:v>13196.363412489007</x:v>
      </x:c>
      <x:c r="K899" s="14" t="n">
        <x:v>0.02610088071506511</x:v>
      </x:c>
      <x:c r="L899" s="14" t="n">
        <x:v>0.027829225601598617</x:v>
      </x:c>
      <x:c r="M899" s="14" t="n">
        <x:v>0.02632929521123617</x:v>
      </x:c>
      <x:c r="N899" t="n">
        <x:v>26</x:v>
      </x:c>
      <x:c r="O899" t="n">
        <x:v>0</x:v>
      </x:c>
      <x:c r="P899" s="14" t="n">
        <x:v>0</x:v>
      </x:c>
      <x:c r="Q899" s="14" t="n">
        <x:v>0.038461538461538464</x:v>
      </x:c>
      <x:c r="R899" s="14" t="n">
        <x:v>0.23809523809523814</x:v>
      </x:c>
      <x:c r="S899" t="n">
        <x:v>11354</x:v>
      </x:c>
      <x:c r="T899" t="n">
        <x:v>379.8099277779079</x:v>
      </x:c>
      <x:c r="U899" s="14" t="n">
        <x:v>0.9020260371904347</x:v>
      </x:c>
      <x:c r="V899" s="14" t="n">
        <x:v>0.22676798824395336</x:v>
      </x:c>
      <x:c r="W899" s="14" t="n">
        <x:v>0.37055521454958207</x:v>
      </x:c>
      <x:c r="X899" s="14" t="n">
        <x:v>0.5446236077477213</x:v>
      </x:c>
      <x:c r="Y899" s="16" t="n">
        <x:v>86.25429553264605</x:v>
      </x:c>
      <x:c r="Z899" s="16" t="n">
        <x:v>68.7062937062937</x:v>
      </x:c>
      <x:c r="AA899" s="16" t="n">
        <x:v>72.1311475409836</x:v>
      </x:c>
      <x:c r="AB899" s="16" t="n">
        <x:v>41.15120274914089</x:v>
      </x:c>
      <x:c r="AC899" s="16" t="n">
        <x:v>66.32302405498282</x:v>
      </x:c>
      <x:c r="AD899" s="16" t="n">
        <x:v>86.82926829268293</x:v>
      </x:c>
      <x:c r="AE899" s="16" t="n">
        <x:v>71.89638054133597</x:v>
      </x:c>
      <x:c r="AF899" t="str">
        <x:v>검토</x:v>
      </x:c>
      <x:c r="AG899" t="str">
        <x:v>직장수요·수요 강점 / 경쟁여건 상대적 약점</x:v>
      </x:c>
    </x:row>
    <x:row r="900">
      <x:c r="A900" t="str">
        <x:v>3120159</x:v>
      </x:c>
      <x:c r="B900" t="str">
        <x:v>서울대입구역</x:v>
      </x:c>
      <x:c r="C900" t="str">
        <x:v>발달상권</x:v>
      </x:c>
      <x:c r="D900" t="str">
        <x:v>관악구</x:v>
      </x:c>
      <x:c r="E900" t="str">
        <x:v>청룡동</x:v>
      </x:c>
      <x:c r="F900" t="str">
        <x:v>CS100006</x:v>
      </x:c>
      <x:c r="G900" t="str">
        <x:v>패스트푸드점</x:v>
      </x:c>
      <x:c r="H900" t="n">
        <x:v>1841242752</x:v>
      </x:c>
      <x:c r="I900" t="n">
        <x:v>144362</x:v>
      </x:c>
      <x:c r="J900" t="n">
        <x:v>12754.344993834942</x:v>
      </x:c>
      <x:c r="K900" s="14" t="n">
        <x:v>0.1500548334491687</x:v>
      </x:c>
      <x:c r="L900" s="14" t="n">
        <x:v>0.0037102725933797487</x:v>
      </x:c>
      <x:c r="M900" s="14" t="n">
        <x:v>0.011474434125836375</x:v>
      </x:c>
      <x:c r="N900" t="n">
        <x:v>27</x:v>
      </x:c>
      <x:c r="O900" t="n">
        <x:v>1</x:v>
      </x:c>
      <x:c r="P900" s="14" t="n">
        <x:v>0.03125</x:v>
      </x:c>
      <x:c r="Q900" s="14" t="n">
        <x:v>0.5555555555555556</x:v>
      </x:c>
      <x:c r="R900" s="14" t="n">
        <x:v>-0.15625</x:v>
      </x:c>
      <x:c r="S900" t="n">
        <x:v>6550</x:v>
      </x:c>
      <x:c r="T900" t="n">
        <x:v>278.2285126880697</x:v>
      </x:c>
      <x:c r="U900" s="14" t="n">
        <x:v>0.7477248507859978</x:v>
      </x:c>
      <x:c r="V900" s="14" t="n">
        <x:v>0.4191390701534178</x:v>
      </x:c>
      <x:c r="W900" s="14" t="n">
        <x:v>0.510176031367753</x:v>
      </x:c>
      <x:c r="X900" s="14" t="n">
        <x:v>0.4067069245413654</x:v>
      </x:c>
      <x:c r="Y900" s="16" t="n">
        <x:v>96.00997506234414</x:v>
      </x:c>
      <x:c r="Z900" s="16" t="n">
        <x:v>92.42819843342036</x:v>
      </x:c>
      <x:c r="AA900" s="16" t="n">
        <x:v>44.26229508196721</x:v>
      </x:c>
      <x:c r="AB900" s="16" t="n">
        <x:v>32.044887780548635</x:v>
      </x:c>
      <x:c r="AC900" s="16" t="n">
        <x:v>42.14463840399002</x:v>
      </x:c>
      <x:c r="AD900" s="16" t="n">
        <x:v>82.8048780487805</x:v>
      </x:c>
      <x:c r="AE900" s="16" t="n">
        <x:v>71.88991613071993</x:v>
      </x:c>
      <x:c r="AF900" t="str">
        <x:v>검토</x:v>
      </x:c>
      <x:c r="AG900" t="str">
        <x:v>수요·상권 모멘텀 강점 / 경쟁여건 상대적 약점</x:v>
      </x:c>
    </x:row>
    <x:row r="901">
      <x:c r="A901" t="str">
        <x:v>3120215</x:v>
      </x:c>
      <x:c r="B901" t="str">
        <x:v>포스코사거리</x:v>
      </x:c>
      <x:c r="C901" t="str">
        <x:v>발달상권</x:v>
      </x:c>
      <x:c r="D901" t="str">
        <x:v>강남구</x:v>
      </x:c>
      <x:c r="E901" t="str">
        <x:v>삼성2동</x:v>
      </x:c>
      <x:c r="F901" t="str">
        <x:v>CS300004</x:v>
      </x:c>
      <x:c r="G901" t="str">
        <x:v>핸드폰</x:v>
      </x:c>
      <x:c r="H901" t="n">
        <x:v>301080179</x:v>
      </x:c>
      <x:c r="I901" t="n">
        <x:v>4564</x:v>
      </x:c>
      <x:c r="J901" t="n">
        <x:v>65968.4879491674</x:v>
      </x:c>
      <x:c r="K901" s="14" t="n">
        <x:v>1.9787148598143949</x:v>
      </x:c>
      <x:c r="L901" s="14" t="n">
        <x:v>0.021417847123978317</x:v>
      </x:c>
      <x:c r="M901" s="14" t="n">
        <x:v>-0.06496332404204874</x:v>
      </x:c>
      <x:c r="N901" t="n">
        <x:v>20</x:v>
      </x:c>
      <x:c r="O901" t="n">
        <x:v>0</x:v>
      </x:c>
      <x:c r="P901" s="14" t="n">
        <x:v>0</x:v>
      </x:c>
      <x:c r="Q901" s="14" t="n">
        <x:v>0</x:v>
      </x:c>
      <x:c r="R901" s="14" t="n">
        <x:v>-0.09090909090909094</x:v>
      </x:c>
      <x:c r="S901" t="n">
        <x:v>94741</x:v>
      </x:c>
      <x:c r="T901" t="n">
        <x:v>2973.4233866664995</x:v>
      </x:c>
      <x:c r="U901" s="14" t="n">
        <x:v>0.0762472776396217</x:v>
      </x:c>
      <x:c r="V901" s="14" t="n">
        <x:v>0.030319136352047936</x:v>
      </x:c>
      <x:c r="W901" s="14" t="n">
        <x:v>0.7668957875835459</x:v>
      </x:c>
      <x:c r="X901" s="14" t="n">
        <x:v>0.21036129714802648</x:v>
      </x:c>
      <x:c r="Y901" s="16" t="n">
        <x:v>75.28735632183908</x:v>
      </x:c>
      <x:c r="Z901" s="16" t="n">
        <x:v>96.34146341463415</x:v>
      </x:c>
      <x:c r="AA901" s="16" t="n">
        <x:v>55.73770491803279</x:v>
      </x:c>
      <x:c r="AB901" s="16" t="n">
        <x:v>45.97701149425287</x:v>
      </x:c>
      <x:c r="AC901" s="16" t="n">
        <x:v>60.3448275862069</x:v>
      </x:c>
      <x:c r="AD901" s="16" t="n">
        <x:v>99.45121951219512</x:v>
      </x:c>
      <x:c r="AE901" s="16" t="n">
        <x:v>71.8831185916438</x:v>
      </x:c>
      <x:c r="AF901" t="str">
        <x:v>검토</x:v>
      </x:c>
      <x:c r="AG901" t="str">
        <x:v>직장수요·상권 모멘텀 강점 / 경쟁여건 상대적 약점</x:v>
      </x:c>
    </x:row>
    <x:row r="902">
      <x:c r="A902" t="str">
        <x:v>3120001</x:v>
      </x:c>
      <x:c r="B902" t="str">
        <x:v>서대문역</x:v>
      </x:c>
      <x:c r="C902" t="str">
        <x:v>발달상권</x:v>
      </x:c>
      <x:c r="D902" t="str">
        <x:v>종로구</x:v>
      </x:c>
      <x:c r="E902" t="str">
        <x:v>교남동</x:v>
      </x:c>
      <x:c r="F902" t="str">
        <x:v>CS100010</x:v>
      </x:c>
      <x:c r="G902" t="str">
        <x:v>커피-음료</x:v>
      </x:c>
      <x:c r="H902" t="n">
        <x:v>655097530</x:v>
      </x:c>
      <x:c r="I902" t="n">
        <x:v>90673</x:v>
      </x:c>
      <x:c r="J902" t="n">
        <x:v>7224.83572838662</x:v>
      </x:c>
      <x:c r="K902" s="14" t="n">
        <x:v>0.02770278974733764</x:v>
      </x:c>
      <x:c r="L902" s="14" t="n">
        <x:v>-0.00844757257331652</x:v>
      </x:c>
      <x:c r="M902" s="14" t="n">
        <x:v>0.016227780215539944</x:v>
      </x:c>
      <x:c r="N902" t="n">
        <x:v>28</x:v>
      </x:c>
      <x:c r="O902" t="n">
        <x:v>0</x:v>
      </x:c>
      <x:c r="P902" s="14" t="n">
        <x:v>0</x:v>
      </x:c>
      <x:c r="Q902" s="14" t="n">
        <x:v>0.5</x:v>
      </x:c>
      <x:c r="R902" s="14" t="n">
        <x:v>0.5555555555555556</x:v>
      </x:c>
      <x:c r="S902" t="n">
        <x:v>4645</x:v>
      </x:c>
      <x:c r="T902" t="n">
        <x:v>313.23335041674534</x:v>
      </x:c>
      <x:c r="U902" s="14" t="n">
        <x:v>0.8430455935316991</x:v>
      </x:c>
      <x:c r="V902" s="14" t="n">
        <x:v>0.18234536314005031</x:v>
      </x:c>
      <x:c r="W902" s="14" t="n">
        <x:v>0.36813993940719025</x:v>
      </x:c>
      <x:c r="X902" s="14" t="n">
        <x:v>0.45722258180396436</x:v>
      </x:c>
      <x:c r="Y902" s="16" t="n">
        <x:v>80.99250936329588</x:v>
      </x:c>
      <x:c r="Z902" s="16" t="n">
        <x:v>55.597722960151806</x:v>
      </x:c>
      <x:c r="AA902" s="16" t="n">
        <x:v>37.704918032786885</x:v>
      </x:c>
      <x:c r="AB902" s="16" t="n">
        <x:v>88.06179775280899</x:v>
      </x:c>
      <x:c r="AC902" s="16" t="n">
        <x:v>93.25842696629213</x:v>
      </x:c>
      <x:c r="AD902" s="16" t="n">
        <x:v>84.39024390243902</x:v>
      </x:c>
      <x:c r="AE902" s="16" t="n">
        <x:v>71.87728512877446</x:v>
      </x:c>
      <x:c r="AF902" t="str">
        <x:v>검토</x:v>
      </x:c>
      <x:c r="AG902" t="str">
        <x:v>안정성·경쟁여건 강점 / 서울 업종추세 상대적 약점</x:v>
      </x:c>
    </x:row>
    <x:row r="903">
      <x:c r="A903" t="str">
        <x:v>3120202</x:v>
      </x:c>
      <x:c r="B903" t="str">
        <x:v>압구정로데오역(압구정로데오)</x:v>
      </x:c>
      <x:c r="C903" t="str">
        <x:v>발달상권</x:v>
      </x:c>
      <x:c r="D903" t="str">
        <x:v>강남구</x:v>
      </x:c>
      <x:c r="E903" t="str">
        <x:v>압구정동</x:v>
      </x:c>
      <x:c r="F903" t="str">
        <x:v>CS200024</x:v>
      </x:c>
      <x:c r="G903" t="str">
        <x:v>스포츠클럽</x:v>
      </x:c>
      <x:c r="H903" t="n">
        <x:v>793348732</x:v>
      </x:c>
      <x:c r="I903" t="n">
        <x:v>1094</x:v>
      </x:c>
      <x:c r="J903" t="n">
        <x:v>725181.6563071298</x:v>
      </x:c>
      <x:c r="K903" s="14" t="n">
        <x:v>0.16358633210178541</x:v>
      </x:c>
      <x:c r="L903" s="14" t="n">
        <x:v>0.03927856170757105</x:v>
      </x:c>
      <x:c r="M903" s="14" t="n">
        <x:v>-0.042593628048716026</x:v>
      </x:c>
      <x:c r="N903" t="n">
        <x:v>68</x:v>
      </x:c>
      <x:c r="O903" t="n">
        <x:v>0</x:v>
      </x:c>
      <x:c r="P903" s="14" t="n">
        <x:v>0</x:v>
      </x:c>
      <x:c r="Q903" s="14" t="n">
        <x:v>0</x:v>
      </x:c>
      <x:c r="R903" s="14" t="n">
        <x:v>0.5111111111111111</x:v>
      </x:c>
      <x:c r="S903" t="n">
        <x:v>15957</x:v>
      </x:c>
      <x:c r="T903" t="n">
        <x:v>600.5600258936704</x:v>
      </x:c>
      <x:c r="U903" s="14" t="n">
        <x:v>0.848936452324222</x:v>
      </x:c>
      <x:c r="V903" s="14" t="n">
        <x:v>0.35990404028275425</x:v>
      </x:c>
      <x:c r="W903" s="14" t="n">
        <x:v>0.26551938700268823</x:v>
      </x:c>
      <x:c r="X903" s="14" t="n">
        <x:v>0.5198522621449151</x:v>
      </x:c>
      <x:c r="Y903" s="16" t="n">
        <x:v>93.84057971014492</x:v>
      </x:c>
      <x:c r="Z903" s="16" t="n">
        <x:v>77.67857142857143</x:v>
      </x:c>
      <x:c r="AA903" s="16" t="n">
        <x:v>75.40983606557377</x:v>
      </x:c>
      <x:c r="AB903" s="16" t="n">
        <x:v>4.528985507246375</x:v>
      </x:c>
      <x:c r="AC903" s="16" t="n">
        <x:v>68.84057971014492</x:v>
      </x:c>
      <x:c r="AD903" s="16" t="n">
        <x:v>92.4390243902439</x:v>
      </x:c>
      <x:c r="AE903" s="16" t="n">
        <x:v>71.87674961071471</x:v>
      </x:c>
      <x:c r="AF903" t="str">
        <x:v>검토</x:v>
      </x:c>
      <x:c r="AG903" t="str">
        <x:v>수요·직장수요 강점 / 경쟁여건 상대적 약점</x:v>
      </x:c>
    </x:row>
    <x:row r="904">
      <x:c r="A904" t="str">
        <x:v>3110355</x:v>
      </x:c>
      <x:c r="B904" t="str">
        <x:v>삼양사거리역 2번</x:v>
      </x:c>
      <x:c r="C904" t="str">
        <x:v>골목상권</x:v>
      </x:c>
      <x:c r="D904" t="str">
        <x:v>강북구</x:v>
      </x:c>
      <x:c r="E904" t="str">
        <x:v>삼양동</x:v>
      </x:c>
      <x:c r="F904" t="str">
        <x:v>CS300018</x:v>
      </x:c>
      <x:c r="G904" t="str">
        <x:v>의약품</x:v>
      </x:c>
      <x:c r="H904" t="n">
        <x:v>3077291768</x:v>
      </x:c>
      <x:c r="I904" t="n">
        <x:v>141203</x:v>
      </x:c>
      <x:c r="J904" t="n">
        <x:v>21793.388015835357</x:v>
      </x:c>
      <x:c r="K904" s="14" t="n">
        <x:v>0.09707740007322951</x:v>
      </x:c>
      <x:c r="L904" s="14" t="n">
        <x:v>0.027829225601598617</x:v>
      </x:c>
      <x:c r="M904" s="14" t="n">
        <x:v>0.02632929521123617</x:v>
      </x:c>
      <x:c r="N904" t="n">
        <x:v>21</x:v>
      </x:c>
      <x:c r="O904" t="n">
        <x:v>0</x:v>
      </x:c>
      <x:c r="P904" s="14" t="n">
        <x:v>0</x:v>
      </x:c>
      <x:c r="Q904" s="14" t="n">
        <x:v>0.09523809523809523</x:v>
      </x:c>
      <x:c r="R904" s="14" t="n">
        <x:v>0.16666666666666674</x:v>
      </x:c>
      <x:c r="S904" t="n">
        <x:v>35</x:v>
      </x:c>
      <x:c r="T904" t="n">
        <x:v>3.4485476687817758</x:v>
      </x:c>
      <x:c r="U904" s="14" t="n">
        <x:v>0.8187498072818423</x:v>
      </x:c>
      <x:c r="V904" s="14" t="n">
        <x:v>0.1539579177790853</x:v>
      </x:c>
      <x:c r="W904" s="14" t="n">
        <x:v>0.12973790270770322</x:v>
      </x:c>
      <x:c r="X904" s="14" t="n">
        <x:v>0.4849189636541477</x:v>
      </x:c>
      <x:c r="Y904" s="16" t="n">
        <x:v>77.4914089347079</x:v>
      </x:c>
      <x:c r="Z904" s="16" t="n">
        <x:v>93.53146853146853</x:v>
      </x:c>
      <x:c r="AA904" s="16" t="n">
        <x:v>72.1311475409836</x:v>
      </x:c>
      <x:c r="AB904" s="16" t="n">
        <x:v>56.95876288659794</x:v>
      </x:c>
      <x:c r="AC904" s="16" t="n">
        <x:v>66.32302405498282</x:v>
      </x:c>
      <x:c r="AD904" s="16" t="n">
        <x:v>1.0365853658536586</x:v>
      </x:c>
      <x:c r="AE904" s="16" t="n">
        <x:v>71.87590507136966</x:v>
      </x:c>
      <x:c r="AF904" t="str">
        <x:v>검토</x:v>
      </x:c>
      <x:c r="AG904" t="str">
        <x:v>상권 모멘텀·수요 강점 / 직장수요 상대적 약점</x:v>
      </x:c>
    </x:row>
    <x:row r="905">
      <x:c r="A905" t="str">
        <x:v>3110640</x:v>
      </x:c>
      <x:c r="B905" t="str">
        <x:v>방화역 1번</x:v>
      </x:c>
      <x:c r="C905" t="str">
        <x:v>골목상권</x:v>
      </x:c>
      <x:c r="D905" t="str">
        <x:v>강서구</x:v>
      </x:c>
      <x:c r="E905" t="str">
        <x:v>방화3동</x:v>
      </x:c>
      <x:c r="F905" t="str">
        <x:v>CS200028</x:v>
      </x:c>
      <x:c r="G905" t="str">
        <x:v>미용실</x:v>
      </x:c>
      <x:c r="H905" t="n">
        <x:v>240670397</x:v>
      </x:c>
      <x:c r="I905" t="n">
        <x:v>8101</x:v>
      </x:c>
      <x:c r="J905" t="n">
        <x:v>29708.72694729046</x:v>
      </x:c>
      <x:c r="K905" s="14" t="n">
        <x:v>0.017455567199756272</x:v>
      </x:c>
      <x:c r="L905" s="14" t="n">
        <x:v>0.02168887159425803</x:v>
      </x:c>
      <x:c r="M905" s="14" t="n">
        <x:v>-0.013481964371473865</x:v>
      </x:c>
      <x:c r="N905" t="n">
        <x:v>30</x:v>
      </x:c>
      <x:c r="O905" t="n">
        <x:v>0</x:v>
      </x:c>
      <x:c r="P905" s="14" t="n">
        <x:v>0</x:v>
      </x:c>
      <x:c r="Q905" s="14" t="n">
        <x:v>0.1</x:v>
      </x:c>
      <x:c r="R905" s="14" t="n">
        <x:v>0.11111111111111116</x:v>
      </x:c>
      <x:c r="S905" t="n">
        <x:v>1776</x:v>
      </x:c>
      <x:c r="T905" t="n">
        <x:v>222.88876896625294</x:v>
      </x:c>
      <x:c r="U905" s="14" t="n">
        <x:v>0.5977385037512528</x:v>
      </x:c>
      <x:c r="V905" s="14" t="n">
        <x:v>0.28681674132111895</x:v>
      </x:c>
      <x:c r="W905" s="14" t="n">
        <x:v>0.26558665626001354</x:v>
      </x:c>
      <x:c r="X905" s="14" t="n">
        <x:v>0.4963742965031133</x:v>
      </x:c>
      <x:c r="Y905" s="16" t="n">
        <x:v>82.09489704565802</x:v>
      </x:c>
      <x:c r="Z905" s="16" t="n">
        <x:v>49.910071942446045</x:v>
      </x:c>
      <x:c r="AA905" s="16" t="n">
        <x:v>57.377049180327866</x:v>
      </x:c>
      <x:c r="AB905" s="16" t="n">
        <x:v>87.10832587287376</x:v>
      </x:c>
      <x:c r="AC905" s="16" t="n">
        <x:v>75.60429722470904</x:v>
      </x:c>
      <x:c r="AD905" s="16" t="n">
        <x:v>78.47560975609755</x:v>
      </x:c>
      <x:c r="AE905" s="16" t="n">
        <x:v>71.87224482272553</x:v>
      </x:c>
      <x:c r="AF905" t="str">
        <x:v>검토</x:v>
      </x:c>
      <x:c r="AG905" t="str">
        <x:v>경쟁여건·수요 강점 / 상권 모멘텀 상대적 약점</x:v>
      </x:c>
    </x:row>
    <x:row r="906">
      <x:c r="A906" t="str">
        <x:v>3110431</x:v>
      </x:c>
      <x:c r="B906" t="str">
        <x:v>상계역</x:v>
      </x:c>
      <x:c r="C906" t="str">
        <x:v>골목상권</x:v>
      </x:c>
      <x:c r="D906" t="str">
        <x:v>노원구</x:v>
      </x:c>
      <x:c r="E906" t="str">
        <x:v>중계4동</x:v>
      </x:c>
      <x:c r="F906" t="str">
        <x:v>CS300028</x:v>
      </x:c>
      <x:c r="G906" t="str">
        <x:v>화초</x:v>
      </x:c>
      <x:c r="H906" t="n">
        <x:v>179352125</x:v>
      </x:c>
      <x:c r="I906" t="n">
        <x:v>5633</x:v>
      </x:c>
      <x:c r="J906" t="n">
        <x:v>31839.539321853365</x:v>
      </x:c>
      <x:c r="K906" s="14" t="n">
        <x:v>-0.08467494979220203</x:v>
      </x:c>
      <x:c r="L906" s="14" t="n">
        <x:v>0.028008199294863756</x:v>
      </x:c>
      <x:c r="M906" s="14" t="n">
        <x:v>-0.0030123365554672876</x:v>
      </x:c>
      <x:c r="N906" t="n">
        <x:v>7</x:v>
      </x:c>
      <x:c r="O906" t="n">
        <x:v>0</x:v>
      </x:c>
      <x:c r="P906" s="14" t="n">
        <x:v>0</x:v>
      </x:c>
      <x:c r="Q906" s="14" t="n">
        <x:v>0</x:v>
      </x:c>
      <x:c r="R906" s="14" t="n">
        <x:v>0.3999999999999999</x:v>
      </x:c>
      <x:c r="S906" t="n">
        <x:v>627</x:v>
      </x:c>
      <x:c r="T906" t="n">
        <x:v>112.55318003123486</x:v>
      </x:c>
      <x:c r="U906" s="14" t="n">
        <x:v>0.7008849044860773</x:v>
      </x:c>
      <x:c r="V906" s="14" t="n">
        <x:v>0.3622296362532644</x:v>
      </x:c>
      <x:c r="W906" s="14" t="n">
        <x:v>0.2622350529719121</x:v>
      </x:c>
      <x:c r="X906" s="14" t="n">
        <x:v>0.5104245405511644</x:v>
      </x:c>
      <x:c r="Y906" s="16" t="n">
        <x:v>83.22147651006712</x:v>
      </x:c>
      <x:c r="Z906" s="16" t="n">
        <x:v>41.78082191780822</x:v>
      </x:c>
      <x:c r="AA906" s="16" t="n">
        <x:v>73.77049180327869</x:v>
      </x:c>
      <x:c r="AB906" s="16" t="n">
        <x:v>90.26845637583892</x:v>
      </x:c>
      <x:c r="AC906" s="16" t="n">
        <x:v>66.7785234899329</x:v>
      </x:c>
      <x:c r="AD906" s="16" t="n">
        <x:v>62.01219512195122</x:v>
      </x:c>
      <x:c r="AE906" s="16" t="n">
        <x:v>71.86798549404361</x:v>
      </x:c>
      <x:c r="AF906" t="str">
        <x:v>검토</x:v>
      </x:c>
      <x:c r="AG906" t="str">
        <x:v>경쟁여건·수요 강점 / 상권 모멘텀 상대적 약점</x:v>
      </x:c>
    </x:row>
    <x:row r="907">
      <x:c r="A907" t="str">
        <x:v>3130072</x:v>
      </x:c>
      <x:c r="B907" t="str">
        <x:v>성동용답상가시장</x:v>
      </x:c>
      <x:c r="C907" t="str">
        <x:v>전통시장</x:v>
      </x:c>
      <x:c r="D907" t="str">
        <x:v>성동구</x:v>
      </x:c>
      <x:c r="E907" t="str">
        <x:v>용답동</x:v>
      </x:c>
      <x:c r="F907" t="str">
        <x:v>CS100005</x:v>
      </x:c>
      <x:c r="G907" t="str">
        <x:v>제과점</x:v>
      </x:c>
      <x:c r="H907" t="n">
        <x:v>490422114</x:v>
      </x:c>
      <x:c r="I907" t="n">
        <x:v>40969</x:v>
      </x:c>
      <x:c r="J907" t="n">
        <x:v>11970.565891283653</x:v>
      </x:c>
      <x:c r="K907" s="14" t="n">
        <x:v>0.06895692510553575</x:v>
      </x:c>
      <x:c r="L907" s="14" t="n">
        <x:v>0.015772977300780644</x:v>
      </x:c>
      <x:c r="M907" s="14" t="n">
        <x:v>-0.01180050626373963</x:v>
      </x:c>
      <x:c r="N907" t="n">
        <x:v>4</x:v>
      </x:c>
      <x:c r="O907" t="n">
        <x:v>0</x:v>
      </x:c>
      <x:c r="P907" s="14" t="n">
        <x:v>0</x:v>
      </x:c>
      <x:c r="Q907" s="14" t="n">
        <x:v>0.25</x:v>
      </x:c>
      <x:c r="R907" s="14" t="n">
        <x:v>1</x:v>
      </x:c>
      <x:c r="S907" t="n">
        <x:v>453</x:v>
      </x:c>
      <x:c r="T907" t="n">
        <x:v>38.368695210265535</x:v>
      </x:c>
      <x:c r="U907" s="14" t="n">
        <x:v>0.7345009752149961</x:v>
      </x:c>
      <x:c r="V907" s="14" t="n">
        <x:v>0.4107328589999104</x:v>
      </x:c>
      <x:c r="W907" s="14" t="n">
        <x:v>0.2854773530868961</x:v>
      </x:c>
      <x:c r="X907" s="14" t="n">
        <x:v>0.5175108865502749</x:v>
      </x:c>
      <x:c r="Y907" s="16" t="n">
        <x:v>70.86247086247086</x:v>
      </x:c>
      <x:c r="Z907" s="16" t="n">
        <x:v>77.66749379652606</x:v>
      </x:c>
      <x:c r="AA907" s="16" t="n">
        <x:v>52.459016393442624</x:v>
      </x:c>
      <x:c r="AB907" s="16" t="n">
        <x:v>99.53379953379954</x:v>
      </x:c>
      <x:c r="AC907" s="16" t="n">
        <x:v>73.54312354312354</x:v>
      </x:c>
      <x:c r="AD907" s="16" t="n">
        <x:v>27.5</x:v>
      </x:c>
      <x:c r="AE907" s="16" t="n">
        <x:v>71.8635983045687</x:v>
      </x:c>
      <x:c r="AF907" t="str">
        <x:v>검토</x:v>
      </x:c>
      <x:c r="AG907" t="str">
        <x:v>경쟁여건·상권 모멘텀 강점 / 직장수요 상대적 약점</x:v>
      </x:c>
    </x:row>
    <x:row r="908">
      <x:c r="A908" t="str">
        <x:v>3110957</x:v>
      </x:c>
      <x:c r="B908" t="str">
        <x:v>언북중학교</x:v>
      </x:c>
      <x:c r="C908" t="str">
        <x:v>골목상권</x:v>
      </x:c>
      <x:c r="D908" t="str">
        <x:v>강남구</x:v>
      </x:c>
      <x:c r="E908" t="str">
        <x:v>논현2동</x:v>
      </x:c>
      <x:c r="F908" t="str">
        <x:v>CS200031</x:v>
      </x:c>
      <x:c r="G908" t="str">
        <x:v>세탁소</x:v>
      </x:c>
      <x:c r="H908" t="n">
        <x:v>489865828</x:v>
      </x:c>
      <x:c r="I908" t="n">
        <x:v>1341</x:v>
      </x:c>
      <x:c r="J908" t="n">
        <x:v>365298.9023117077</x:v>
      </x:c>
      <x:c r="K908" s="14" t="n">
        <x:v>0.5042880279014101</x:v>
      </x:c>
      <x:c r="L908" s="14" t="n">
        <x:v>0.00038108013748794356</x:v>
      </x:c>
      <x:c r="M908" s="14" t="n">
        <x:v>0.043856378214214065</x:v>
      </x:c>
      <x:c r="N908" t="n">
        <x:v>36</x:v>
      </x:c>
      <x:c r="O908" t="n">
        <x:v>0</x:v>
      </x:c>
      <x:c r="P908" s="14" t="n">
        <x:v>0</x:v>
      </x:c>
      <x:c r="Q908" s="14" t="n">
        <x:v>0.08333333333333333</x:v>
      </x:c>
      <x:c r="R908" s="14" t="n">
        <x:v>0</x:v>
      </x:c>
      <x:c r="S908" t="n">
        <x:v>2925</x:v>
      </x:c>
      <x:c r="T908" t="n">
        <x:v>308.4954912197437</x:v>
      </x:c>
      <x:c r="U908" s="14" t="n">
        <x:v>0.9563509439160145</x:v>
      </x:c>
      <x:c r="V908" s="14" t="n">
        <x:v>0.06520555461157826</x:v>
      </x:c>
      <x:c r="W908" s="14" t="n">
        <x:v>0.11245063413568011</x:v>
      </x:c>
      <x:c r="X908" s="14" t="n">
        <x:v>0.07864790683052095</x:v>
      </x:c>
      <x:c r="Y908" s="16" t="n">
        <x:v>99.3006993006993</x:v>
      </x:c>
      <x:c r="Z908" s="16" t="n">
        <x:v>97.10144927536231</x:v>
      </x:c>
      <x:c r="AA908" s="16" t="n">
        <x:v>42.622950819672134</x:v>
      </x:c>
      <x:c r="AB908" s="16" t="n">
        <x:v>5.5944055944056</x:v>
      </x:c>
      <x:c r="AC908" s="16" t="n">
        <x:v>62.47086247086247</x:v>
      </x:c>
      <x:c r="AD908" s="16" t="n">
        <x:v>84.14634146341463</x:v>
      </x:c>
      <x:c r="AE908" s="16" t="n">
        <x:v>71.86254139268586</x:v>
      </x:c>
      <x:c r="AF908" t="str">
        <x:v>검토</x:v>
      </x:c>
      <x:c r="AG908" t="str">
        <x:v>수요·상권 모멘텀 강점 / 경쟁여건 상대적 약점</x:v>
      </x:c>
    </x:row>
    <x:row r="909">
      <x:c r="A909" t="str">
        <x:v>3130054</x:v>
      </x:c>
      <x:c r="B909" t="str">
        <x:v>황학동주방가구거리상점가</x:v>
      </x:c>
      <x:c r="C909" t="str">
        <x:v>전통시장</x:v>
      </x:c>
      <x:c r="D909" t="str">
        <x:v>중구</x:v>
      </x:c>
      <x:c r="E909" t="str">
        <x:v>황학동</x:v>
      </x:c>
      <x:c r="F909" t="str">
        <x:v>CS300033</x:v>
      </x:c>
      <x:c r="G909" t="str">
        <x:v>철물점</x:v>
      </x:c>
      <x:c r="H909" t="n">
        <x:v>469433452</x:v>
      </x:c>
      <x:c r="I909" t="n">
        <x:v>4936</x:v>
      </x:c>
      <x:c r="J909" t="n">
        <x:v>95104.02188006483</x:v>
      </x:c>
      <x:c r="K909" s="14" t="n">
        <x:v>0.8696213025823294</x:v>
      </x:c>
      <x:c r="L909" s="14" t="n">
        <x:v>0.018800721364975237</x:v>
      </x:c>
      <x:c r="M909" s="14" t="n">
        <x:v>-0.020555839555512545</x:v>
      </x:c>
      <x:c r="N909" t="n">
        <x:v>10</x:v>
      </x:c>
      <x:c r="O909" t="n">
        <x:v>0</x:v>
      </x:c>
      <x:c r="P909" s="14" t="n">
        <x:v>0</x:v>
      </x:c>
      <x:c r="Q909" s="14" t="n">
        <x:v>0</x:v>
      </x:c>
      <x:c r="R909" s="14" t="n">
        <x:v>-0.23076923076923073</x:v>
      </x:c>
      <x:c r="S909" t="n">
        <x:v>220</x:v>
      </x:c>
      <x:c r="T909" t="n">
        <x:v>30.184951429669066</x:v>
      </x:c>
      <x:c r="U909" s="14" t="n">
        <x:v>0.7284320781638715</x:v>
      </x:c>
      <x:c r="V909" s="14" t="n">
        <x:v>0.06682924462741525</x:v>
      </x:c>
      <x:c r="W909" s="14" t="n">
        <x:v>0.4384061215134707</x:v>
      </x:c>
      <x:c r="X909" s="14" t="n">
        <x:v>0.04049579321415722</x:v>
      </x:c>
      <x:c r="Y909" s="16" t="n">
        <x:v>93.6046511627907</x:v>
      </x:c>
      <x:c r="Z909" s="16" t="n">
        <x:v>98.15950920245399</x:v>
      </x:c>
      <x:c r="AA909" s="16" t="n">
        <x:v>54.09836065573771</x:v>
      </x:c>
      <x:c r="AB909" s="16" t="n">
        <x:v>31.976744186046517</x:v>
      </x:c>
      <x:c r="AC909" s="16" t="n">
        <x:v>54.651162790697676</x:v>
      </x:c>
      <x:c r="AD909" s="16" t="n">
        <x:v>21.829268292682926</x:v>
      </x:c>
      <x:c r="AE909" s="16" t="n">
        <x:v>71.86137516743909</x:v>
      </x:c>
      <x:c r="AF909" t="str">
        <x:v>검토</x:v>
      </x:c>
      <x:c r="AG909" t="str">
        <x:v>상권 모멘텀·수요 강점 / 직장수요 상대적 약점</x:v>
      </x:c>
    </x:row>
    <x:row r="910">
      <x:c r="A910" t="str">
        <x:v>3120231</x:v>
      </x:c>
      <x:c r="B910" t="str">
        <x:v>가락시장</x:v>
      </x:c>
      <x:c r="C910" t="str">
        <x:v>발달상권</x:v>
      </x:c>
      <x:c r="D910" t="str">
        <x:v>송파구</x:v>
      </x:c>
      <x:c r="E910" t="str">
        <x:v>가락1동</x:v>
      </x:c>
      <x:c r="F910" t="str">
        <x:v>CS300007</x:v>
      </x:c>
      <x:c r="G910" t="str">
        <x:v>육류판매</x:v>
      </x:c>
      <x:c r="H910" t="n">
        <x:v>85924313197</x:v>
      </x:c>
      <x:c r="I910" t="n">
        <x:v>738644</x:v>
      </x:c>
      <x:c r="J910" t="n">
        <x:v>116327.09830039911</x:v>
      </x:c>
      <x:c r="K910" s="14" t="n">
        <x:v>0.04319300887007893</x:v>
      </x:c>
      <x:c r="L910" s="14" t="n">
        <x:v>0.23518223683931017</x:v>
      </x:c>
      <x:c r="M910" s="14" t="n">
        <x:v>0.00863079289162072</x:v>
      </x:c>
      <x:c r="N910" t="n">
        <x:v>124</x:v>
      </x:c>
      <x:c r="O910" t="n">
        <x:v>0</x:v>
      </x:c>
      <x:c r="P910" s="14" t="n">
        <x:v>0</x:v>
      </x:c>
      <x:c r="Q910" s="14" t="n">
        <x:v>0</x:v>
      </x:c>
      <x:c r="R910" s="14" t="n">
        <x:v>-0.015873015873015928</x:v>
      </x:c>
      <x:c r="S910" t="n">
        <x:v>5755</x:v>
      </x:c>
      <x:c r="T910" t="n">
        <x:v>93.43245345018207</x:v>
      </x:c>
      <x:c r="U910" s="14" t="n">
        <x:v>0.7447567407641993</x:v>
      </x:c>
      <x:c r="V910" s="14" t="n">
        <x:v>0.18783988242065483</x:v>
      </x:c>
      <x:c r="W910" s="14" t="n">
        <x:v>0.13453309163492505</x:v>
      </x:c>
      <x:c r="X910" s="14" t="n">
        <x:v>0.38734940287148023</x:v>
      </x:c>
      <x:c r="Y910" s="16" t="n">
        <x:v>99.75247524752476</x:v>
      </x:c>
      <x:c r="Z910" s="16" t="n">
        <x:v>61.03896103896104</x:v>
      </x:c>
      <x:c r="AA910" s="16" t="n">
        <x:v>100</x:v>
      </x:c>
      <x:c r="AB910" s="16" t="n">
        <x:v>1.2376237623762307</x:v>
      </x:c>
      <x:c r="AC910" s="16" t="n">
        <x:v>66.83168316831683</x:v>
      </x:c>
      <x:c r="AD910" s="16" t="n">
        <x:v>57.3780487804878</x:v>
      </x:c>
      <x:c r="AE910" s="16" t="n">
        <x:v>71.85887286463839</x:v>
      </x:c>
      <x:c r="AF910" t="str">
        <x:v>검토</x:v>
      </x:c>
      <x:c r="AG910" t="str">
        <x:v>서울 업종추세·수요 강점 / 경쟁여건 상대적 약점</x:v>
      </x:c>
    </x:row>
    <x:row r="911">
      <x:c r="A911" t="str">
        <x:v>3120070</x:v>
      </x:c>
      <x:c r="B911" t="str">
        <x:v>한성대입구역</x:v>
      </x:c>
      <x:c r="C911" t="str">
        <x:v>발달상권</x:v>
      </x:c>
      <x:c r="D911" t="str">
        <x:v>성북구</x:v>
      </x:c>
      <x:c r="E911" t="str">
        <x:v>삼선동</x:v>
      </x:c>
      <x:c r="F911" t="str">
        <x:v>CS200024</x:v>
      </x:c>
      <x:c r="G911" t="str">
        <x:v>스포츠클럽</x:v>
      </x:c>
      <x:c r="H911" t="n">
        <x:v>478173635</x:v>
      </x:c>
      <x:c r="I911" t="n">
        <x:v>1835</x:v>
      </x:c>
      <x:c r="J911" t="n">
        <x:v>260585.0871934605</x:v>
      </x:c>
      <x:c r="K911" s="14" t="n">
        <x:v>-0.053155623455070855</x:v>
      </x:c>
      <x:c r="L911" s="14" t="n">
        <x:v>0.03927856170757105</x:v>
      </x:c>
      <x:c r="M911" s="14" t="n">
        <x:v>-0.042593628048716026</x:v>
      </x:c>
      <x:c r="N911" t="n">
        <x:v>13</x:v>
      </x:c>
      <x:c r="O911" t="n">
        <x:v>0</x:v>
      </x:c>
      <x:c r="P911" s="14" t="n">
        <x:v>0</x:v>
      </x:c>
      <x:c r="Q911" s="14" t="n">
        <x:v>0</x:v>
      </x:c>
      <x:c r="R911" s="14" t="n">
        <x:v>2.25</x:v>
      </x:c>
      <x:c r="S911" t="n">
        <x:v>3799</x:v>
      </x:c>
      <x:c r="T911" t="n">
        <x:v>474.48947729969404</x:v>
      </x:c>
      <x:c r="U911" s="14" t="n">
        <x:v>0.8914680898289175</x:v>
      </x:c>
      <x:c r="V911" s="14" t="n">
        <x:v>0.3606571596110689</x:v>
      </x:c>
      <x:c r="W911" s="14" t="n">
        <x:v>0.44759699685240906</x:v>
      </x:c>
      <x:c r="X911" s="14" t="n">
        <x:v>0.604476099984057</x:v>
      </x:c>
      <x:c r="Y911" s="16" t="n">
        <x:v>85.5072463768116</x:v>
      </x:c>
      <x:c r="Z911" s="16" t="n">
        <x:v>41.517857142857146</x:v>
      </x:c>
      <x:c r="AA911" s="16" t="n">
        <x:v>75.40983606557377</x:v>
      </x:c>
      <x:c r="AB911" s="16" t="n">
        <x:v>73.0072463768116</x:v>
      </x:c>
      <x:c r="AC911" s="16" t="n">
        <x:v>68.84057971014492</x:v>
      </x:c>
      <x:c r="AD911" s="16" t="n">
        <x:v>89.45121951219512</x:v>
      </x:c>
      <x:c r="AE911" s="16" t="n">
        <x:v>71.85028897343753</x:v>
      </x:c>
      <x:c r="AF911" t="str">
        <x:v>검토</x:v>
      </x:c>
      <x:c r="AG911" t="str">
        <x:v>직장수요·수요 강점 / 상권 모멘텀 상대적 약점</x:v>
      </x:c>
    </x:row>
    <x:row r="912">
      <x:c r="A912" t="str">
        <x:v>3120241</x:v>
      </x:c>
      <x:c r="B912" t="str">
        <x:v>거여역</x:v>
      </x:c>
      <x:c r="C912" t="str">
        <x:v>발달상권</x:v>
      </x:c>
      <x:c r="D912" t="str">
        <x:v>송파구</x:v>
      </x:c>
      <x:c r="E912" t="str">
        <x:v>거여2동</x:v>
      </x:c>
      <x:c r="F912" t="str">
        <x:v>CS100002</x:v>
      </x:c>
      <x:c r="G912" t="str">
        <x:v>중식음식점</x:v>
      </x:c>
      <x:c r="H912" t="n">
        <x:v>322898778</x:v>
      </x:c>
      <x:c r="I912" t="n">
        <x:v>13199</x:v>
      </x:c>
      <x:c r="J912" t="n">
        <x:v>24463.881960754603</x:v>
      </x:c>
      <x:c r="K912" s="14" t="n">
        <x:v>0.12039926479294305</x:v>
      </x:c>
      <x:c r="L912" s="14" t="n">
        <x:v>-0.02375238205614094</x:v>
      </x:c>
      <x:c r="M912" s="14" t="n">
        <x:v>0.025085263877023367</x:v>
      </x:c>
      <x:c r="N912" t="n">
        <x:v>1</x:v>
      </x:c>
      <x:c r="O912" t="n">
        <x:v>0</x:v>
      </x:c>
      <x:c r="P912" s="14" t="n">
        <x:v>0</x:v>
      </x:c>
      <x:c r="Q912" s="14" t="n">
        <x:v>0</x:v>
      </x:c>
      <x:c r="R912" s="14" t="n">
        <x:v>-0.5</x:v>
      </x:c>
      <x:c r="S912" t="n">
        <x:v>2362</x:v>
      </x:c>
      <x:c r="T912" t="n">
        <x:v>248.75202729742824</x:v>
      </x:c>
      <x:c r="U912" s="14" t="n">
        <x:v>0.8160700471898348</x:v>
      </x:c>
      <x:c r="V912" s="14" t="n">
        <x:v>0.5152848209292387</x:v>
      </x:c>
      <x:c r="W912" s="14" t="n">
        <x:v>0.28826383480460244</x:v>
      </x:c>
      <x:c r="X912" s="14" t="n">
        <x:v>0.41079625268820313</x:v>
      </x:c>
      <x:c r="Y912" s="16" t="n">
        <x:v>62.47139588100686</x:v>
      </x:c>
      <x:c r="Z912" s="16" t="n">
        <x:v>92.07459207459208</x:v>
      </x:c>
      <x:c r="AA912" s="16" t="n">
        <x:v>32.78688524590164</x:v>
      </x:c>
      <x:c r="AB912" s="16" t="n">
        <x:v>99.88558352402745</x:v>
      </x:c>
      <x:c r="AC912" s="16" t="n">
        <x:v>76.3157894736842</x:v>
      </x:c>
      <x:c r="AD912" s="16" t="n">
        <x:v>80.60975609756098</x:v>
      </x:c>
      <x:c r="AE912" s="16" t="n">
        <x:v>71.84284404100664</x:v>
      </x:c>
      <x:c r="AF912" t="str">
        <x:v>검토</x:v>
      </x:c>
      <x:c r="AG912" t="str">
        <x:v>경쟁여건·상권 모멘텀 강점 / 서울 업종추세 상대적 약점</x:v>
      </x:c>
    </x:row>
    <x:row r="913">
      <x:c r="A913" t="str">
        <x:v>3120048</x:v>
      </x:c>
      <x:c r="B913" t="str">
        <x:v>금호역</x:v>
      </x:c>
      <x:c r="C913" t="str">
        <x:v>발달상권</x:v>
      </x:c>
      <x:c r="D913" t="str">
        <x:v>성동구</x:v>
      </x:c>
      <x:c r="E913" t="str">
        <x:v>금호4가동</x:v>
      </x:c>
      <x:c r="F913" t="str">
        <x:v>CS300018</x:v>
      </x:c>
      <x:c r="G913" t="str">
        <x:v>의약품</x:v>
      </x:c>
      <x:c r="H913" t="n">
        <x:v>1884663611</x:v>
      </x:c>
      <x:c r="I913" t="n">
        <x:v>140546</x:v>
      </x:c>
      <x:c r="J913" t="n">
        <x:v>13409.585552061248</x:v>
      </x:c>
      <x:c r="K913" s="14" t="n">
        <x:v>0.03788121709133696</x:v>
      </x:c>
      <x:c r="L913" s="14" t="n">
        <x:v>0.027829225601598617</x:v>
      </x:c>
      <x:c r="M913" s="14" t="n">
        <x:v>0.02632929521123617</x:v>
      </x:c>
      <x:c r="N913" t="n">
        <x:v>10</x:v>
      </x:c>
      <x:c r="O913" t="n">
        <x:v>0</x:v>
      </x:c>
      <x:c r="P913" s="14" t="n">
        <x:v>0</x:v>
      </x:c>
      <x:c r="Q913" s="14" t="n">
        <x:v>0</x:v>
      </x:c>
      <x:c r="R913" s="14" t="n">
        <x:v>0</x:v>
      </x:c>
      <x:c r="S913" t="n">
        <x:v>376</x:v>
      </x:c>
      <x:c r="T913" t="n">
        <x:v>61.608035260769114</x:v>
      </x:c>
      <x:c r="U913" s="14" t="n">
        <x:v>0.8165705370537872</x:v>
      </x:c>
      <x:c r="V913" s="14" t="n">
        <x:v>0.17036928984352318</x:v>
      </x:c>
      <x:c r="W913" s="14" t="n">
        <x:v>0.15727955178310069</x:v>
      </x:c>
      <x:c r="X913" s="14" t="n">
        <x:v>0.5264467113436511</x:v>
      </x:c>
      <x:c r="Y913" s="16" t="n">
        <x:v>65.29209621993127</x:v>
      </x:c>
      <x:c r="Z913" s="16" t="n">
        <x:v>77.0979020979021</x:v>
      </x:c>
      <x:c r="AA913" s="16" t="n">
        <x:v>72.1311475409836</x:v>
      </x:c>
      <x:c r="AB913" s="16" t="n">
        <x:v>92.78350515463917</x:v>
      </x:c>
      <x:c r="AC913" s="16" t="n">
        <x:v>66.32302405498282</x:v>
      </x:c>
      <x:c r="AD913" s="16" t="n">
        <x:v>43.71951219512195</x:v>
      </x:c>
      <x:c r="AE913" s="16" t="n">
        <x:v>71.82729001615417</x:v>
      </x:c>
      <x:c r="AF913" t="str">
        <x:v>검토</x:v>
      </x:c>
      <x:c r="AG913" t="str">
        <x:v>경쟁여건·상권 모멘텀 강점 / 직장수요 상대적 약점</x:v>
      </x:c>
    </x:row>
    <x:row r="914">
      <x:c r="A914" t="str">
        <x:v>3120063</x:v>
      </x:c>
      <x:c r="B914" t="str">
        <x:v>청량리역(청량리)</x:v>
      </x:c>
      <x:c r="C914" t="str">
        <x:v>발달상권</x:v>
      </x:c>
      <x:c r="D914" t="str">
        <x:v>동대문구</x:v>
      </x:c>
      <x:c r="E914" t="str">
        <x:v>전농1동</x:v>
      </x:c>
      <x:c r="F914" t="str">
        <x:v>CS300018</x:v>
      </x:c>
      <x:c r="G914" t="str">
        <x:v>의약품</x:v>
      </x:c>
      <x:c r="H914" t="n">
        <x:v>6342192373</x:v>
      </x:c>
      <x:c r="I914" t="n">
        <x:v>335265</x:v>
      </x:c>
      <x:c r="J914" t="n">
        <x:v>18916.95337419653</x:v>
      </x:c>
      <x:c r="K914" s="14" t="n">
        <x:v>0.11848028550881007</x:v>
      </x:c>
      <x:c r="L914" s="14" t="n">
        <x:v>0.027829225601598617</x:v>
      </x:c>
      <x:c r="M914" s="14" t="n">
        <x:v>0.02632929521123617</x:v>
      </x:c>
      <x:c r="N914" t="n">
        <x:v>26</x:v>
      </x:c>
      <x:c r="O914" t="n">
        <x:v>1</x:v>
      </x:c>
      <x:c r="P914" s="14" t="n">
        <x:v>0.03225806451612903</x:v>
      </x:c>
      <x:c r="Q914" s="14" t="n">
        <x:v>0.07692307692307693</x:v>
      </x:c>
      <x:c r="R914" s="14" t="n">
        <x:v>0.30000000000000004</x:v>
      </x:c>
      <x:c r="S914" t="n">
        <x:v>1560</x:v>
      </x:c>
      <x:c r="T914" t="n">
        <x:v>49.221759804122634</x:v>
      </x:c>
      <x:c r="U914" s="14" t="n">
        <x:v>0.8375537088111598</x:v>
      </x:c>
      <x:c r="V914" s="14" t="n">
        <x:v>0.2023459177087311</x:v>
      </x:c>
      <x:c r="W914" s="14" t="n">
        <x:v>0.17989587998894338</x:v>
      </x:c>
      <x:c r="X914" s="14" t="n">
        <x:v>0.5414419882025234</x:v>
      </x:c>
      <x:c r="Y914" s="16" t="n">
        <x:v>91.5807560137457</x:v>
      </x:c>
      <x:c r="Z914" s="16" t="n">
        <x:v>95.27972027972028</x:v>
      </x:c>
      <x:c r="AA914" s="16" t="n">
        <x:v>72.1311475409836</x:v>
      </x:c>
      <x:c r="AB914" s="16" t="n">
        <x:v>41.15120274914089</x:v>
      </x:c>
      <x:c r="AC914" s="16" t="n">
        <x:v>19.7594501718213</x:v>
      </x:c>
      <x:c r="AD914" s="16" t="n">
        <x:v>34.9390243902439</x:v>
      </x:c>
      <x:c r="AE914" s="16" t="n">
        <x:v>71.82445744096805</x:v>
      </x:c>
      <x:c r="AF914" t="str">
        <x:v>검토</x:v>
      </x:c>
      <x:c r="AG914" t="str">
        <x:v>상권 모멘텀·수요 강점 / 안정성 상대적 약점</x:v>
      </x:c>
    </x:row>
    <x:row r="915">
      <x:c r="A915" t="str">
        <x:v>3120191</x:v>
      </x:c>
      <x:c r="B915" t="str">
        <x:v>학동역</x:v>
      </x:c>
      <x:c r="C915" t="str">
        <x:v>발달상권</x:v>
      </x:c>
      <x:c r="D915" t="str">
        <x:v>강남구</x:v>
      </x:c>
      <x:c r="E915" t="str">
        <x:v>논현1동</x:v>
      </x:c>
      <x:c r="F915" t="str">
        <x:v>CS200003</x:v>
      </x:c>
      <x:c r="G915" t="str">
        <x:v>예술학원</x:v>
      </x:c>
      <x:c r="H915" t="n">
        <x:v>648128413</x:v>
      </x:c>
      <x:c r="I915" t="n">
        <x:v>988</x:v>
      </x:c>
      <x:c r="J915" t="n">
        <x:v>656000.4180161944</x:v>
      </x:c>
      <x:c r="K915" s="14" t="n">
        <x:v>0.12043002372282952</x:v>
      </x:c>
      <x:c r="L915" s="14" t="n">
        <x:v>0.09364146198394163</x:v>
      </x:c>
      <x:c r="M915" s="14" t="n">
        <x:v>0.053788091189524545</x:v>
      </x:c>
      <x:c r="N915" t="n">
        <x:v>43</x:v>
      </x:c>
      <x:c r="O915" t="n">
        <x:v>1</x:v>
      </x:c>
      <x:c r="P915" s="14" t="n">
        <x:v>0.020833333333333332</x:v>
      </x:c>
      <x:c r="Q915" s="14" t="n">
        <x:v>0.023255813953488372</x:v>
      </x:c>
      <x:c r="R915" s="14" t="n">
        <x:v>0.023809523809523725</x:v>
      </x:c>
      <x:c r="S915" t="n">
        <x:v>19064</x:v>
      </x:c>
      <x:c r="T915" t="n">
        <x:v>520.4661918113392</x:v>
      </x:c>
      <x:c r="U915" s="14" t="n">
        <x:v>0.8697408132298622</x:v>
      </x:c>
      <x:c r="V915" s="14" t="n">
        <x:v>0.5758181828081652</x:v>
      </x:c>
      <x:c r="W915" s="14" t="n">
        <x:v>0.1667326409897725</x:v>
      </x:c>
      <x:c r="X915" s="14" t="n">
        <x:v>0.672967089933766</x:v>
      </x:c>
      <x:c r="Y915" s="16" t="n">
        <x:v>93.22709163346613</x:v>
      </x:c>
      <x:c r="Z915" s="16" t="n">
        <x:v>71.16564417177914</x:v>
      </x:c>
      <x:c r="AA915" s="16" t="n">
        <x:v>88.52459016393442</x:v>
      </x:c>
      <x:c r="AB915" s="16" t="n">
        <x:v>23.10756972111554</x:v>
      </x:c>
      <x:c r="AC915" s="16" t="n">
        <x:v>36.75298804780876</x:v>
      </x:c>
      <x:c r="AD915" s="16" t="n">
        <x:v>90.3048780487805</x:v>
      </x:c>
      <x:c r="AE915" s="16" t="n">
        <x:v>71.79797759604637</x:v>
      </x:c>
      <x:c r="AF915" t="str">
        <x:v>검토</x:v>
      </x:c>
      <x:c r="AG915" t="str">
        <x:v>수요·직장수요 강점 / 경쟁여건 상대적 약점</x:v>
      </x:c>
    </x:row>
    <x:row r="916">
      <x:c r="A916" t="str">
        <x:v>3120218</x:v>
      </x:c>
      <x:c r="B916" t="str">
        <x:v>코엑스</x:v>
      </x:c>
      <x:c r="C916" t="str">
        <x:v>발달상권</x:v>
      </x:c>
      <x:c r="D916" t="str">
        <x:v>강남구</x:v>
      </x:c>
      <x:c r="E916" t="str">
        <x:v>삼성1동</x:v>
      </x:c>
      <x:c r="F916" t="str">
        <x:v>CS100010</x:v>
      </x:c>
      <x:c r="G916" t="str">
        <x:v>커피-음료</x:v>
      </x:c>
      <x:c r="H916" t="n">
        <x:v>1838561341</x:v>
      </x:c>
      <x:c r="I916" t="n">
        <x:v>136968</x:v>
      </x:c>
      <x:c r="J916" t="n">
        <x:v>13423.291140996436</x:v>
      </x:c>
      <x:c r="K916" s="14" t="n">
        <x:v>0.19853878347934972</x:v>
      </x:c>
      <x:c r="L916" s="14" t="n">
        <x:v>-0.00844757257331652</x:v>
      </x:c>
      <x:c r="M916" s="14" t="n">
        <x:v>0.016227780215539944</x:v>
      </x:c>
      <x:c r="N916" t="n">
        <x:v>155</x:v>
      </x:c>
      <x:c r="O916" t="n">
        <x:v>2</x:v>
      </x:c>
      <x:c r="P916" s="14" t="n">
        <x:v>0.0125</x:v>
      </x:c>
      <x:c r="Q916" s="14" t="n">
        <x:v>0.2903225806451613</x:v>
      </x:c>
      <x:c r="R916" s="14" t="n">
        <x:v>0.15671641791044766</x:v>
      </x:c>
      <x:c r="S916" t="n">
        <x:v>52540</x:v>
      </x:c>
      <x:c r="T916" t="n">
        <x:v>3613.5794657349584</x:v>
      </x:c>
      <x:c r="U916" s="14" t="n">
        <x:v>0.6942498063761909</x:v>
      </x:c>
      <x:c r="V916" s="14" t="n">
        <x:v>0.2767100029000338</x:v>
      </x:c>
      <x:c r="W916" s="14" t="n">
        <x:v>0.40035010178102076</x:v>
      </x:c>
      <x:c r="X916" s="14" t="n">
        <x:v>0.4337917246569583</x:v>
      </x:c>
      <x:c r="Y916" s="16" t="n">
        <x:v>92.04119850187266</x:v>
      </x:c>
      <x:c r="Z916" s="16" t="n">
        <x:v>92.31499051233396</x:v>
      </x:c>
      <x:c r="AA916" s="16" t="n">
        <x:v>37.704918032786885</x:v>
      </x:c>
      <x:c r="AB916" s="16" t="n">
        <x:v>14.091760299625463</x:v>
      </x:c>
      <x:c r="AC916" s="16" t="n">
        <x:v>83.56741573033707</x:v>
      </x:c>
      <x:c r="AD916" s="16" t="n">
        <x:v>99.8170731707317</x:v>
      </x:c>
      <x:c r="AE916" s="16" t="n">
        <x:v>71.79451455955436</x:v>
      </x:c>
      <x:c r="AF916" t="str">
        <x:v>검토</x:v>
      </x:c>
      <x:c r="AG916" t="str">
        <x:v>직장수요·상권 모멘텀 강점 / 경쟁여건 상대적 약점</x:v>
      </x:c>
    </x:row>
    <x:row r="917">
      <x:c r="A917" t="str">
        <x:v>3110257</x:v>
      </x:c>
      <x:c r="B917" t="str">
        <x:v>상봉역 7번</x:v>
      </x:c>
      <x:c r="C917" t="str">
        <x:v>골목상권</x:v>
      </x:c>
      <x:c r="D917" t="str">
        <x:v>중랑구</x:v>
      </x:c>
      <x:c r="E917" t="str">
        <x:v>상봉1동</x:v>
      </x:c>
      <x:c r="F917" t="str">
        <x:v>CS200016</x:v>
      </x:c>
      <x:c r="G917" t="str">
        <x:v>당구장</x:v>
      </x:c>
      <x:c r="H917" t="n">
        <x:v>51248479</x:v>
      </x:c>
      <x:c r="I917" t="n">
        <x:v>1317</x:v>
      </x:c>
      <x:c r="J917" t="n">
        <x:v>38913.04403948368</x:v>
      </x:c>
      <x:c r="K917" s="14" t="n">
        <x:v>0.2747958914026718</x:v>
      </x:c>
      <x:c r="L917" s="14" t="n">
        <x:v>0.052763611334009974</x:v>
      </x:c>
      <x:c r="M917" s="14" t="n">
        <x:v>0.07602781601598463</x:v>
      </x:c>
      <x:c r="N917" t="n">
        <x:v>7</x:v>
      </x:c>
      <x:c r="O917" t="n">
        <x:v>0</x:v>
      </x:c>
      <x:c r="P917" s="14" t="n">
        <x:v>0</x:v>
      </x:c>
      <x:c r="Q917" s="14" t="n">
        <x:v>0</x:v>
      </x:c>
      <x:c r="R917" s="14" t="n">
        <x:v>0.16666666666666674</x:v>
      </x:c>
      <x:c r="S917" t="n">
        <x:v>256</x:v>
      </x:c>
      <x:c r="T917" t="n">
        <x:v>22.391715065425796</x:v>
      </x:c>
      <x:c r="U917" s="14" t="n">
        <x:v>0.5122006450181673</x:v>
      </x:c>
      <x:c r="V917" s="14" t="n">
        <x:v>0.9085895602872429</x:v>
      </x:c>
      <x:c r="W917" s="14" t="n">
        <x:v>0.005288215480502358</x:v>
      </x:c>
      <x:c r="X917" s="14" t="n">
        <x:v>0.11762483721712014</x:v>
      </x:c>
      <x:c r="Y917" s="16" t="n">
        <x:v>57.817109144542776</x:v>
      </x:c>
      <x:c r="Z917" s="16" t="n">
        <x:v>95.37037037037037</x:v>
      </x:c>
      <x:c r="AA917" s="16" t="n">
        <x:v>80.32786885245902</x:v>
      </x:c>
      <x:c r="AB917" s="16" t="n">
        <x:v>85.25073746312684</x:v>
      </x:c>
      <x:c r="AC917" s="16" t="n">
        <x:v>69.32153392330383</x:v>
      </x:c>
      <x:c r="AD917" s="16" t="n">
        <x:v>14.268292682926829</x:v>
      </x:c>
      <x:c r="AE917" s="16" t="n">
        <x:v>71.79242124847865</x:v>
      </x:c>
      <x:c r="AF917" t="str">
        <x:v>검토</x:v>
      </x:c>
      <x:c r="AG917" t="str">
        <x:v>상권 모멘텀·경쟁여건 강점 / 직장수요 상대적 약점</x:v>
      </x:c>
    </x:row>
    <x:row r="918">
      <x:c r="A918" t="str">
        <x:v>3130198</x:v>
      </x:c>
      <x:c r="B918" t="str">
        <x:v>아현시장</x:v>
      </x:c>
      <x:c r="C918" t="str">
        <x:v>전통시장</x:v>
      </x:c>
      <x:c r="D918" t="str">
        <x:v>마포구</x:v>
      </x:c>
      <x:c r="E918" t="str">
        <x:v>아현동</x:v>
      </x:c>
      <x:c r="F918" t="str">
        <x:v>CS300027</x:v>
      </x:c>
      <x:c r="G918" t="str">
        <x:v>섬유제품</x:v>
      </x:c>
      <x:c r="H918" t="n">
        <x:v>161384935</x:v>
      </x:c>
      <x:c r="I918" t="n">
        <x:v>855</x:v>
      </x:c>
      <x:c r="J918" t="n">
        <x:v>188754.30994152048</x:v>
      </x:c>
      <x:c r="K918" s="14" t="n">
        <x:v>0.3179183338089333</x:v>
      </x:c>
      <x:c r="L918" s="14" t="n">
        <x:v>0.005461786773685251</x:v>
      </x:c>
      <x:c r="M918" s="14" t="n">
        <x:v>-0.12689174640480594</x:v>
      </x:c>
      <x:c r="N918" t="n">
        <x:v>6</x:v>
      </x:c>
      <x:c r="O918" t="n">
        <x:v>0</x:v>
      </x:c>
      <x:c r="P918" s="14" t="n">
        <x:v>0</x:v>
      </x:c>
      <x:c r="Q918" s="14" t="n">
        <x:v>0</x:v>
      </x:c>
      <x:c r="R918" s="14" t="n">
        <x:v>-0.4545454545454546</x:v>
      </x:c>
      <x:c r="S918" t="n">
        <x:v>564</x:v>
      </x:c>
      <x:c r="T918" t="n">
        <x:v>203.8234975244841</x:v>
      </x:c>
      <x:c r="U918" s="14" t="n">
        <x:v>0.7357287283351448</x:v>
      </x:c>
      <x:c r="V918" s="14" t="n">
        <x:v>0.365118193962776</x:v>
      </x:c>
      <x:c r="W918" s="14" t="n">
        <x:v>0</x:v>
      </x:c>
      <x:c r="X918" s="14" t="n">
        <x:v>0.6771569725513723</x:v>
      </x:c>
      <x:c r="Y918" s="16" t="n">
        <x:v>69.90291262135922</x:v>
      </x:c>
      <x:c r="Z918" s="16" t="n">
        <x:v>88.50574712643679</x:v>
      </x:c>
      <x:c r="AA918" s="16" t="n">
        <x:v>47.540983606557376</x:v>
      </x:c>
      <x:c r="AB918" s="16" t="n">
        <x:v>83.98058252427185</x:v>
      </x:c>
      <x:c r="AC918" s="16" t="n">
        <x:v>60.679611650485434</x:v>
      </x:c>
      <x:c r="AD918" s="16" t="n">
        <x:v>76.52439024390245</x:v>
      </x:c>
      <x:c r="AE918" s="16" t="n">
        <x:v>71.78958443963113</x:v>
      </x:c>
      <x:c r="AF918" t="str">
        <x:v>검토</x:v>
      </x:c>
      <x:c r="AG918" t="str">
        <x:v>상권 모멘텀·경쟁여건 강점 / 서울 업종추세 상대적 약점</x:v>
      </x:c>
    </x:row>
    <x:row r="919">
      <x:c r="A919" t="str">
        <x:v>3110496</x:v>
      </x:c>
      <x:c r="B919" t="str">
        <x:v>모래내우체국</x:v>
      </x:c>
      <x:c r="C919" t="str">
        <x:v>골목상권</x:v>
      </x:c>
      <x:c r="D919" t="str">
        <x:v>서대문구</x:v>
      </x:c>
      <x:c r="E919" t="str">
        <x:v>북가좌2동</x:v>
      </x:c>
      <x:c r="F919" t="str">
        <x:v>CS200006</x:v>
      </x:c>
      <x:c r="G919" t="str">
        <x:v>일반의원</x:v>
      </x:c>
      <x:c r="H919" t="n">
        <x:v>2885203036</x:v>
      </x:c>
      <x:c r="I919" t="n">
        <x:v>85919</x:v>
      </x:c>
      <x:c r="J919" t="n">
        <x:v>33580.50065759611</x:v>
      </x:c>
      <x:c r="K919" s="14" t="n">
        <x:v>0.06395450865717844</x:v>
      </x:c>
      <x:c r="L919" s="14" t="n">
        <x:v>0.09973642051122278</x:v>
      </x:c>
      <x:c r="M919" s="14" t="n">
        <x:v>0.06942273842247415</x:v>
      </x:c>
      <x:c r="N919" t="n">
        <x:v>18</x:v>
      </x:c>
      <x:c r="O919" t="n">
        <x:v>0</x:v>
      </x:c>
      <x:c r="P919" s="14" t="n">
        <x:v>0</x:v>
      </x:c>
      <x:c r="Q919" s="14" t="n">
        <x:v>0</x:v>
      </x:c>
      <x:c r="R919" s="14" t="n">
        <x:v>0.05882352941176472</x:v>
      </x:c>
      <x:c r="S919" t="n">
        <x:v>431</x:v>
      </x:c>
      <x:c r="T919" t="n">
        <x:v>61.97515242148855</x:v>
      </x:c>
      <x:c r="U919" s="14" t="n">
        <x:v>0.8243404070090546</x:v>
      </x:c>
      <x:c r="V919" s="14" t="n">
        <x:v>0.10658274761360677</x:v>
      </x:c>
      <x:c r="W919" s="14" t="n">
        <x:v>0.21899787956551978</x:v>
      </x:c>
      <x:c r="X919" s="14" t="n">
        <x:v>0.6220305602783929</x:v>
      </x:c>
      <x:c r="Y919" s="16" t="n">
        <x:v>71.37330754352031</x:v>
      </x:c>
      <x:c r="Z919" s="16" t="n">
        <x:v>70.54263565891473</x:v>
      </x:c>
      <x:c r="AA919" s="16" t="n">
        <x:v>90.1639344262295</x:v>
      </x:c>
      <x:c r="AB919" s="16" t="n">
        <x:v>71.51162790697674</x:v>
      </x:c>
      <x:c r="AC919" s="16" t="n">
        <x:v>62.5</x:v>
      </x:c>
      <x:c r="AD919" s="16" t="n">
        <x:v>43.90243902439025</x:v>
      </x:c>
      <x:c r="AE919" s="16" t="n">
        <x:v>71.78564107321549</x:v>
      </x:c>
      <x:c r="AF919" t="str">
        <x:v>검토</x:v>
      </x:c>
      <x:c r="AG919" t="str">
        <x:v>서울 업종추세·경쟁여건 강점 / 직장수요 상대적 약점</x:v>
      </x:c>
    </x:row>
    <x:row r="920">
      <x:c r="A920" t="str">
        <x:v>3120003</x:v>
      </x:c>
      <x:c r="B920" t="str">
        <x:v>광화문역</x:v>
      </x:c>
      <x:c r="C920" t="str">
        <x:v>발달상권</x:v>
      </x:c>
      <x:c r="D920" t="str">
        <x:v>종로구</x:v>
      </x:c>
      <x:c r="E920" t="str">
        <x:v>사직동</x:v>
      </x:c>
      <x:c r="F920" t="str">
        <x:v>CS300007</x:v>
      </x:c>
      <x:c r="G920" t="str">
        <x:v>육류판매</x:v>
      </x:c>
      <x:c r="H920" t="n">
        <x:v>455318169</x:v>
      </x:c>
      <x:c r="I920" t="n">
        <x:v>10909</x:v>
      </x:c>
      <x:c r="J920" t="n">
        <x:v>41737.84664038867</x:v>
      </x:c>
      <x:c r="K920" s="14" t="n">
        <x:v>0.07055840956963255</x:v>
      </x:c>
      <x:c r="L920" s="14" t="n">
        <x:v>0.23518223683931017</x:v>
      </x:c>
      <x:c r="M920" s="14" t="n">
        <x:v>0.00863079289162072</x:v>
      </x:c>
      <x:c r="N920" t="n">
        <x:v>6</x:v>
      </x:c>
      <x:c r="O920" t="n">
        <x:v>0</x:v>
      </x:c>
      <x:c r="P920" s="14" t="n">
        <x:v>0</x:v>
      </x:c>
      <x:c r="Q920" s="14" t="n">
        <x:v>0</x:v>
      </x:c>
      <x:c r="R920" s="14" t="n">
        <x:v>0</x:v>
      </x:c>
      <x:c r="S920" t="n">
        <x:v>43594</x:v>
      </x:c>
      <x:c r="T920" t="n">
        <x:v>1104.9827386051982</x:v>
      </x:c>
      <x:c r="U920" s="14" t="n">
        <x:v>0.7767684227861331</x:v>
      </x:c>
      <x:c r="V920" s="14" t="n">
        <x:v>0.34579831142209483</x:v>
      </x:c>
      <x:c r="W920" s="14" t="n">
        <x:v>0.16000192384152367</x:v>
      </x:c>
      <x:c r="X920" s="14" t="n">
        <x:v>0.423827727814657</x:v>
      </x:c>
      <x:c r="Y920" s="16" t="n">
        <x:v>45.79207920792079</x:v>
      </x:c>
      <x:c r="Z920" s="16" t="n">
        <x:v>75.32467532467533</x:v>
      </x:c>
      <x:c r="AA920" s="16" t="n">
        <x:v>100</x:v>
      </x:c>
      <x:c r="AB920" s="16" t="n">
        <x:v>94.18316831683168</x:v>
      </x:c>
      <x:c r="AC920" s="16" t="n">
        <x:v>66.83168316831683</x:v>
      </x:c>
      <x:c r="AD920" s="16" t="n">
        <x:v>97.4390243902439</x:v>
      </x:c>
      <x:c r="AE920" s="16" t="n">
        <x:v>71.77475757157598</x:v>
      </x:c>
      <x:c r="AF920" t="str">
        <x:v>검토</x:v>
      </x:c>
      <x:c r="AG920" t="str">
        <x:v>서울 업종추세·직장수요 강점 / 수요 상대적 약점</x:v>
      </x:c>
    </x:row>
    <x:row r="921">
      <x:c r="A921" t="str">
        <x:v>3120189</x:v>
      </x:c>
      <x:c r="B921" t="str">
        <x:v>강남역</x:v>
      </x:c>
      <x:c r="C921" t="str">
        <x:v>발달상권</x:v>
      </x:c>
      <x:c r="D921" t="str">
        <x:v>서초구</x:v>
      </x:c>
      <x:c r="E921" t="str">
        <x:v>서초2동</x:v>
      </x:c>
      <x:c r="F921" t="str">
        <x:v>CS200034</x:v>
      </x:c>
      <x:c r="G921" t="str">
        <x:v>여관</x:v>
      </x:c>
      <x:c r="H921" t="n">
        <x:v>391559342</x:v>
      </x:c>
      <x:c r="I921" t="n">
        <x:v>11937</x:v>
      </x:c>
      <x:c r="J921" t="n">
        <x:v>32802.15648822987</x:v>
      </x:c>
      <x:c r="K921" s="14" t="n">
        <x:v>0.07283873756967352</x:v>
      </x:c>
      <x:c r="L921" s="14" t="n">
        <x:v>-0.06163472659791347</x:v>
      </x:c>
      <x:c r="M921" s="14" t="n">
        <x:v>-0.04827226516076055</x:v>
      </x:c>
      <x:c r="N921" t="n">
        <x:v>5</x:v>
      </x:c>
      <x:c r="O921" t="n">
        <x:v>0</x:v>
      </x:c>
      <x:c r="P921" s="14" t="n">
        <x:v>0</x:v>
      </x:c>
      <x:c r="Q921" s="14" t="n">
        <x:v>0</x:v>
      </x:c>
      <x:c r="R921" s="14" t="n">
        <x:v>0.25</x:v>
      </x:c>
      <x:c r="S921" t="n">
        <x:v>87191</x:v>
      </x:c>
      <x:c r="T921" t="n">
        <x:v>1411.89253611466</x:v>
      </x:c>
      <x:c r="U921" s="14" t="n">
        <x:v>0.6687108770348276</x:v>
      </x:c>
      <x:c r="V921" s="14" t="n">
        <x:v>0.40898045538139655</x:v>
      </x:c>
      <x:c r="W921" s="14" t="n">
        <x:v>0.6118902202057537</x:v>
      </x:c>
      <x:c r="X921" s="14" t="n">
        <x:v>0.2857284758640748</x:v>
      </x:c>
      <x:c r="Y921" s="16" t="n">
        <x:v>83.82352941176471</x:v>
      </x:c>
      <x:c r="Z921" s="16" t="n">
        <x:v>69.0721649484536</x:v>
      </x:c>
      <x:c r="AA921" s="16" t="n">
        <x:v>19.672131147540984</x:v>
      </x:c>
      <x:c r="AB921" s="16" t="n">
        <x:v>91.58415841584159</x:v>
      </x:c>
      <x:c r="AC921" s="16" t="n">
        <x:v>70.29702970297029</x:v>
      </x:c>
      <x:c r="AD921" s="16" t="n">
        <x:v>97.92682926829268</x:v>
      </x:c>
      <x:c r="AE921" s="16" t="n">
        <x:v>71.76715615202741</x:v>
      </x:c>
      <x:c r="AF921" t="str">
        <x:v>검토</x:v>
      </x:c>
      <x:c r="AG921" t="str">
        <x:v>직장수요·경쟁여건 강점 / 서울 업종추세 상대적 약점</x:v>
      </x:c>
    </x:row>
    <x:row r="922">
      <x:c r="A922" t="str">
        <x:v>3111046</x:v>
      </x:c>
      <x:c r="B922" t="str">
        <x:v>마천역(마천초등학교)</x:v>
      </x:c>
      <x:c r="C922" t="str">
        <x:v>골목상권</x:v>
      </x:c>
      <x:c r="D922" t="str">
        <x:v>송파구</x:v>
      </x:c>
      <x:c r="E922" t="str">
        <x:v>마천1동</x:v>
      </x:c>
      <x:c r="F922" t="str">
        <x:v>CS200003</x:v>
      </x:c>
      <x:c r="G922" t="str">
        <x:v>예술학원</x:v>
      </x:c>
      <x:c r="H922" t="n">
        <x:v>160410567</x:v>
      </x:c>
      <x:c r="I922" t="n">
        <x:v>1066</x:v>
      </x:c>
      <x:c r="J922" t="n">
        <x:v>150478.9559099437</x:v>
      </x:c>
      <x:c r="K922" s="14" t="n">
        <x:v>0.2910620624128821</x:v>
      </x:c>
      <x:c r="L922" s="14" t="n">
        <x:v>0.09364146198394163</x:v>
      </x:c>
      <x:c r="M922" s="14" t="n">
        <x:v>0.053788091189524545</x:v>
      </x:c>
      <x:c r="N922" t="n">
        <x:v>16</x:v>
      </x:c>
      <x:c r="O922" t="n">
        <x:v>1</x:v>
      </x:c>
      <x:c r="P922" s="14" t="n">
        <x:v>0.047619047619047616</x:v>
      </x:c>
      <x:c r="Q922" s="14" t="n">
        <x:v>0.0625</x:v>
      </x:c>
      <x:c r="R922" s="14" t="n">
        <x:v>0.1428571428571428</x:v>
      </x:c>
      <x:c r="S922" t="n">
        <x:v>782</x:v>
      </x:c>
      <x:c r="T922" t="n">
        <x:v>37.264712890159636</x:v>
      </x:c>
      <x:c r="U922" s="14" t="n">
        <x:v>0.8679918948232381</x:v>
      </x:c>
      <x:c r="V922" s="14" t="n">
        <x:v>0.05857642782348622</x:v>
      </x:c>
      <x:c r="W922" s="14" t="n">
        <x:v>0.018629003412225332</x:v>
      </x:c>
      <x:c r="X922" s="14" t="n">
        <x:v>0.2154689285525685</x:v>
      </x:c>
      <x:c r="Y922" s="16" t="n">
        <x:v>72.11155378486056</x:v>
      </x:c>
      <x:c r="Z922" s="16" t="n">
        <x:v>89.36605316973416</x:v>
      </x:c>
      <x:c r="AA922" s="16" t="n">
        <x:v>88.52459016393442</x:v>
      </x:c>
      <x:c r="AB922" s="16" t="n">
        <x:v>83.46613545816733</x:v>
      </x:c>
      <x:c r="AC922" s="16" t="n">
        <x:v>15.039840637450197</x:v>
      </x:c>
      <x:c r="AD922" s="16" t="n">
        <x:v>27.01219512195122</x:v>
      </x:c>
      <x:c r="AE922" s="16" t="n">
        <x:v>71.76545712180587</x:v>
      </x:c>
      <x:c r="AF922" t="str">
        <x:v>검토</x:v>
      </x:c>
      <x:c r="AG922" t="str">
        <x:v>상권 모멘텀·서울 업종추세 강점 / 안정성 상대적 약점</x:v>
      </x:c>
    </x:row>
    <x:row r="923">
      <x:c r="A923" t="str">
        <x:v>3120239</x:v>
      </x:c>
      <x:c r="B923" t="str">
        <x:v>오금역</x:v>
      </x:c>
      <x:c r="C923" t="str">
        <x:v>발달상권</x:v>
      </x:c>
      <x:c r="D923" t="str">
        <x:v>송파구</x:v>
      </x:c>
      <x:c r="E923" t="str">
        <x:v>가락본동</x:v>
      </x:c>
      <x:c r="F923" t="str">
        <x:v>CS200025</x:v>
      </x:c>
      <x:c r="G923" t="str">
        <x:v>자동차수리</x:v>
      </x:c>
      <x:c r="H923" t="n">
        <x:v>1049678886</x:v>
      </x:c>
      <x:c r="I923" t="n">
        <x:v>3993</x:v>
      </x:c>
      <x:c r="J923" t="n">
        <x:v>262879.7610818933</x:v>
      </x:c>
      <x:c r="K923" s="14" t="n">
        <x:v>0.1509662647048169</x:v>
      </x:c>
      <x:c r="L923" s="14" t="n">
        <x:v>0.02213950283587751</x:v>
      </x:c>
      <x:c r="M923" s="14" t="n">
        <x:v>0.024356161917000962</x:v>
      </x:c>
      <x:c r="N923" t="n">
        <x:v>19</x:v>
      </x:c>
      <x:c r="O923" t="n">
        <x:v>0</x:v>
      </x:c>
      <x:c r="P923" s="14" t="n">
        <x:v>0</x:v>
      </x:c>
      <x:c r="Q923" s="14" t="n">
        <x:v>0.05263157894736842</x:v>
      </x:c>
      <x:c r="R923" s="14" t="n">
        <x:v>-0.13636363636363635</x:v>
      </x:c>
      <x:c r="S923" t="n">
        <x:v>8853</x:v>
      </x:c>
      <x:c r="T923" t="n">
        <x:v>583.7784371909</x:v>
      </x:c>
      <x:c r="U923" s="14" t="n">
        <x:v>0.9266819071751816</x:v>
      </x:c>
      <x:c r="V923" s="14" t="n">
        <x:v>0.14564245793546426</x:v>
      </x:c>
      <x:c r="W923" s="14" t="n">
        <x:v>0.18929155825660762</x:v>
      </x:c>
      <x:c r="X923" s="14" t="n">
        <x:v>0.2740807277703021</x:v>
      </x:c>
      <x:c r="Y923" s="16" t="n">
        <x:v>88.73994638069705</x:v>
      </x:c>
      <x:c r="Z923" s="16" t="n">
        <x:v>78.4153005464481</x:v>
      </x:c>
      <x:c r="AA923" s="16" t="n">
        <x:v>59.01639344262295</x:v>
      </x:c>
      <x:c r="AB923" s="16" t="n">
        <x:v>39.11290322580645</x:v>
      </x:c>
      <x:c r="AC923" s="16" t="n">
        <x:v>56.98924731182796</x:v>
      </x:c>
      <x:c r="AD923" s="16" t="n">
        <x:v>92.01219512195122</x:v>
      </x:c>
      <x:c r="AE923" s="16" t="n">
        <x:v>71.76097033007834</x:v>
      </x:c>
      <x:c r="AF923" t="str">
        <x:v>검토</x:v>
      </x:c>
      <x:c r="AG923" t="str">
        <x:v>직장수요·수요 강점 / 경쟁여건 상대적 약점</x:v>
      </x:c>
    </x:row>
    <x:row r="924">
      <x:c r="A924" t="str">
        <x:v>3120149</x:v>
      </x:c>
      <x:c r="B924" t="str">
        <x:v>여의도역(여의도)</x:v>
      </x:c>
      <x:c r="C924" t="str">
        <x:v>발달상권</x:v>
      </x:c>
      <x:c r="D924" t="str">
        <x:v>영등포구</x:v>
      </x:c>
      <x:c r="E924" t="str">
        <x:v>여의동</x:v>
      </x:c>
      <x:c r="F924" t="str">
        <x:v>CS200001</x:v>
      </x:c>
      <x:c r="G924" t="str">
        <x:v>일반교습학원</x:v>
      </x:c>
      <x:c r="H924" t="n">
        <x:v>4931156483</x:v>
      </x:c>
      <x:c r="I924" t="n">
        <x:v>15329</x:v>
      </x:c>
      <x:c r="J924" t="n">
        <x:v>321688.07378172094</x:v>
      </x:c>
      <x:c r="K924" s="14" t="n">
        <x:v>0.024156562507663848</x:v>
      </x:c>
      <x:c r="L924" s="14" t="n">
        <x:v>0.026465986538897424</x:v>
      </x:c>
      <x:c r="M924" s="14" t="n">
        <x:v>0.05930632525283164</x:v>
      </x:c>
      <x:c r="N924" t="n">
        <x:v>108</x:v>
      </x:c>
      <x:c r="O924" t="n">
        <x:v>0</x:v>
      </x:c>
      <x:c r="P924" s="14" t="n">
        <x:v>0</x:v>
      </x:c>
      <x:c r="Q924" s="14" t="n">
        <x:v>0.07407407407407407</x:v>
      </x:c>
      <x:c r="R924" s="14" t="n">
        <x:v>0.4025974025974026</x:v>
      </x:c>
      <x:c r="S924" t="n">
        <x:v>166492</x:v>
      </x:c>
      <x:c r="T924" t="n">
        <x:v>2781.087031326734</x:v>
      </x:c>
      <x:c r="U924" s="14" t="n">
        <x:v>0.7960981296240889</x:v>
      </x:c>
      <x:c r="V924" s="14" t="n">
        <x:v>0.46105267168825315</x:v>
      </x:c>
      <x:c r="W924" s="14" t="n">
        <x:v>0.0262095450520709</x:v>
      </x:c>
      <x:c r="X924" s="14" t="n">
        <x:v>0.5712450435736861</x:v>
      </x:c>
      <x:c r="Y924" s="16" t="n">
        <x:v>95.96273291925466</x:v>
      </x:c>
      <x:c r="Z924" s="16" t="n">
        <x:v>59.09090909090909</x:v>
      </x:c>
      <x:c r="AA924" s="16" t="n">
        <x:v>70.49180327868852</x:v>
      </x:c>
      <x:c r="AB924" s="16" t="n">
        <x:v>16.07142857142857</x:v>
      </x:c>
      <x:c r="AC924" s="16" t="n">
        <x:v>83.92857142857143</x:v>
      </x:c>
      <x:c r="AD924" s="16" t="n">
        <x:v>99.39024390243902</x:v>
      </x:c>
      <x:c r="AE924" s="16" t="n">
        <x:v>71.75199245541761</x:v>
      </x:c>
      <x:c r="AF924" t="str">
        <x:v>검토</x:v>
      </x:c>
      <x:c r="AG924" t="str">
        <x:v>직장수요·수요 강점 / 경쟁여건 상대적 약점</x:v>
      </x:c>
    </x:row>
    <x:row r="925">
      <x:c r="A925" t="str">
        <x:v>3120125</x:v>
      </x:c>
      <x:c r="B925" t="str">
        <x:v>구로역</x:v>
      </x:c>
      <x:c r="C925" t="str">
        <x:v>발달상권</x:v>
      </x:c>
      <x:c r="D925" t="str">
        <x:v>구로구</x:v>
      </x:c>
      <x:c r="E925" t="str">
        <x:v>구로2동</x:v>
      </x:c>
      <x:c r="F925" t="str">
        <x:v>CS100005</x:v>
      </x:c>
      <x:c r="G925" t="str">
        <x:v>제과점</x:v>
      </x:c>
      <x:c r="H925" t="n">
        <x:v>1777051882</x:v>
      </x:c>
      <x:c r="I925" t="n">
        <x:v>284076</x:v>
      </x:c>
      <x:c r="J925" t="n">
        <x:v>6255.550915952069</x:v>
      </x:c>
      <x:c r="K925" s="14" t="n">
        <x:v>0.0024417961589535686</x:v>
      </x:c>
      <x:c r="L925" s="14" t="n">
        <x:v>0.015772977300780644</x:v>
      </x:c>
      <x:c r="M925" s="14" t="n">
        <x:v>-0.01180050626373963</x:v>
      </x:c>
      <x:c r="N925" t="n">
        <x:v>11</x:v>
      </x:c>
      <x:c r="O925" t="n">
        <x:v>0</x:v>
      </x:c>
      <x:c r="P925" s="14" t="n">
        <x:v>0</x:v>
      </x:c>
      <x:c r="Q925" s="14" t="n">
        <x:v>0.09090909090909091</x:v>
      </x:c>
      <x:c r="R925" s="14" t="n">
        <x:v>-0.08333333333333337</x:v>
      </x:c>
      <x:c r="S925" t="n">
        <x:v>12431</x:v>
      </x:c>
      <x:c r="T925" t="n">
        <x:v>189.05917547629804</x:v>
      </x:c>
      <x:c r="U925" s="14" t="n">
        <x:v>0.586030449391235</x:v>
      </x:c>
      <x:c r="V925" s="14" t="n">
        <x:v>0.3771206996195061</x:v>
      </x:c>
      <x:c r="W925" s="14" t="n">
        <x:v>0.3048269746577945</x:v>
      </x:c>
      <x:c r="X925" s="14" t="n">
        <x:v>0.5933476701948086</x:v>
      </x:c>
      <x:c r="Y925" s="16" t="n">
        <x:v>95.57109557109557</x:v>
      </x:c>
      <x:c r="Z925" s="16" t="n">
        <x:v>34.98759305210918</x:v>
      </x:c>
      <x:c r="AA925" s="16" t="n">
        <x:v>52.459016393442624</x:v>
      </x:c>
      <x:c r="AB925" s="16" t="n">
        <x:v>82.28438228438229</x:v>
      </x:c>
      <x:c r="AC925" s="16" t="n">
        <x:v>73.54312354312354</x:v>
      </x:c>
      <x:c r="AD925" s="16" t="n">
        <x:v>74.63414634146342</x:v>
      </x:c>
      <x:c r="AE925" s="16" t="n">
        <x:v>71.74493153336455</x:v>
      </x:c>
      <x:c r="AF925" t="str">
        <x:v>검토</x:v>
      </x:c>
      <x:c r="AG925" t="str">
        <x:v>수요·경쟁여건 강점 / 상권 모멘텀 상대적 약점</x:v>
      </x:c>
    </x:row>
    <x:row r="926">
      <x:c r="A926" t="str">
        <x:v>3110565</x:v>
      </x:c>
      <x:c r="B926" t="str">
        <x:v>홍익대</x:v>
      </x:c>
      <x:c r="C926" t="str">
        <x:v>골목상권</x:v>
      </x:c>
      <x:c r="D926" t="str">
        <x:v>마포구</x:v>
      </x:c>
      <x:c r="E926" t="str">
        <x:v>서강동</x:v>
      </x:c>
      <x:c r="F926" t="str">
        <x:v>CS200003</x:v>
      </x:c>
      <x:c r="G926" t="str">
        <x:v>예술학원</x:v>
      </x:c>
      <x:c r="H926" t="n">
        <x:v>691355558</x:v>
      </x:c>
      <x:c r="I926" t="n">
        <x:v>493</x:v>
      </x:c>
      <x:c r="J926" t="n">
        <x:v>1402343.9310344828</x:v>
      </x:c>
      <x:c r="K926" s="14" t="n">
        <x:v>0.2670860204507697</x:v>
      </x:c>
      <x:c r="L926" s="14" t="n">
        <x:v>0.09364146198394163</x:v>
      </x:c>
      <x:c r="M926" s="14" t="n">
        <x:v>0.053788091189524545</x:v>
      </x:c>
      <x:c r="N926" t="n">
        <x:v>50</x:v>
      </x:c>
      <x:c r="O926" t="n">
        <x:v>1</x:v>
      </x:c>
      <x:c r="P926" s="14" t="n">
        <x:v>0.01818181818181818</x:v>
      </x:c>
      <x:c r="Q926" s="14" t="n">
        <x:v>0.02</x:v>
      </x:c>
      <x:c r="R926" s="14" t="n">
        <x:v>0.08695652173913038</x:v>
      </x:c>
      <x:c r="S926" t="n">
        <x:v>237</x:v>
      </x:c>
      <x:c r="T926" t="n">
        <x:v>54.39148096298166</x:v>
      </x:c>
      <x:c r="U926" s="14" t="n">
        <x:v>0.4902058283590164</x:v>
      </x:c>
      <x:c r="V926" s="14" t="n">
        <x:v>0.415826938358106</x:v>
      </x:c>
      <x:c r="W926" s="14" t="n">
        <x:v>0.027808258395457926</x:v>
      </x:c>
      <x:c r="X926" s="14" t="n">
        <x:v>0.3961352763146514</x:v>
      </x:c>
      <x:c r="Y926" s="16" t="n">
        <x:v>93.62549800796813</x:v>
      </x:c>
      <x:c r="Z926" s="16" t="n">
        <x:v>87.93456032719837</x:v>
      </x:c>
      <x:c r="AA926" s="16" t="n">
        <x:v>88.52459016393442</x:v>
      </x:c>
      <x:c r="AB926" s="16" t="n">
        <x:v>14.741035856573703</x:v>
      </x:c>
      <x:c r="AC926" s="16" t="n">
        <x:v>39.44223107569721</x:v>
      </x:c>
      <x:c r="AD926" s="16" t="n">
        <x:v>39.02439024390244</x:v>
      </x:c>
      <x:c r="AE926" s="16" t="n">
        <x:v>71.7411228910696</x:v>
      </x:c>
      <x:c r="AF926" t="str">
        <x:v>검토</x:v>
      </x:c>
      <x:c r="AG926" t="str">
        <x:v>수요·서울 업종추세 강점 / 경쟁여건 상대적 약점</x:v>
      </x:c>
    </x:row>
    <x:row r="927">
      <x:c r="A927" t="str">
        <x:v>3130167</x:v>
      </x:c>
      <x:c r="B927" t="str">
        <x:v>연신내상점가(연빛거리)</x:v>
      </x:c>
      <x:c r="C927" t="str">
        <x:v>전통시장</x:v>
      </x:c>
      <x:c r="D927" t="str">
        <x:v>은평구</x:v>
      </x:c>
      <x:c r="E927" t="str">
        <x:v>갈현1동</x:v>
      </x:c>
      <x:c r="F927" t="str">
        <x:v>CS200024</x:v>
      </x:c>
      <x:c r="G927" t="str">
        <x:v>스포츠클럽</x:v>
      </x:c>
      <x:c r="H927" t="n">
        <x:v>173228460</x:v>
      </x:c>
      <x:c r="I927" t="n">
        <x:v>869</x:v>
      </x:c>
      <x:c r="J927" t="n">
        <x:v>199342.30149597238</x:v>
      </x:c>
      <x:c r="K927" s="14" t="n">
        <x:v>0.2391725611289326</x:v>
      </x:c>
      <x:c r="L927" s="14" t="n">
        <x:v>0.03927856170757105</x:v>
      </x:c>
      <x:c r="M927" s="14" t="n">
        <x:v>-0.042593628048716026</x:v>
      </x:c>
      <x:c r="N927" t="n">
        <x:v>11</x:v>
      </x:c>
      <x:c r="O927" t="n">
        <x:v>0</x:v>
      </x:c>
      <x:c r="P927" s="14" t="n">
        <x:v>0</x:v>
      </x:c>
      <x:c r="Q927" s="14" t="n">
        <x:v>0.09090909090909091</x:v>
      </x:c>
      <x:c r="R927" s="14" t="n">
        <x:v>0.8333333333333333</x:v>
      </x:c>
      <x:c r="S927" t="n">
        <x:v>1492</x:v>
      </x:c>
      <x:c r="T927" t="n">
        <x:v>148.96761052757697</x:v>
      </x:c>
      <x:c r="U927" s="14" t="n">
        <x:v>0.917952050142338</x:v>
      </x:c>
      <x:c r="V927" s="14" t="n">
        <x:v>0.5078052359294771</x:v>
      </x:c>
      <x:c r="W927" s="14" t="n">
        <x:v>0.6509942361665052</x:v>
      </x:c>
      <x:c r="X927" s="14" t="n">
        <x:v>0.41144768590565317</x:v>
      </x:c>
      <x:c r="Y927" s="16" t="n">
        <x:v>62.31884057971015</x:v>
      </x:c>
      <x:c r="Z927" s="16" t="n">
        <x:v>81.25</x:v>
      </x:c>
      <x:c r="AA927" s="16" t="n">
        <x:v>75.40983606557377</x:v>
      </x:c>
      <x:c r="AB927" s="16" t="n">
        <x:v>79.8913043478261</x:v>
      </x:c>
      <x:c r="AC927" s="16" t="n">
        <x:v>68.84057971014492</x:v>
      </x:c>
      <x:c r="AD927" s="16" t="n">
        <x:v>70</x:v>
      </x:c>
      <x:c r="AE927" s="16" t="n">
        <x:v>71.74082323592302</x:v>
      </x:c>
      <x:c r="AF927" t="str">
        <x:v>검토</x:v>
      </x:c>
      <x:c r="AG927" t="str">
        <x:v>상권 모멘텀·경쟁여건 강점 / 수요 상대적 약점</x:v>
      </x:c>
    </x:row>
    <x:row r="928">
      <x:c r="A928" t="str">
        <x:v>3120205</x:v>
      </x:c>
      <x:c r="B928" t="str">
        <x:v>매봉역</x:v>
      </x:c>
      <x:c r="C928" t="str">
        <x:v>발달상권</x:v>
      </x:c>
      <x:c r="D928" t="str">
        <x:v>강남구</x:v>
      </x:c>
      <x:c r="E928" t="str">
        <x:v>도곡2동</x:v>
      </x:c>
      <x:c r="F928" t="str">
        <x:v>CS200028</x:v>
      </x:c>
      <x:c r="G928" t="str">
        <x:v>미용실</x:v>
      </x:c>
      <x:c r="H928" t="n">
        <x:v>421098956</x:v>
      </x:c>
      <x:c r="I928" t="n">
        <x:v>12780</x:v>
      </x:c>
      <x:c r="J928" t="n">
        <x:v>32949.84006259781</x:v>
      </x:c>
      <x:c r="K928" s="14" t="n">
        <x:v>-0.031109576399916516</x:v>
      </x:c>
      <x:c r="L928" s="14" t="n">
        <x:v>0.02168887159425803</x:v>
      </x:c>
      <x:c r="M928" s="14" t="n">
        <x:v>-0.013481964371473865</x:v>
      </x:c>
      <x:c r="N928" t="n">
        <x:v>24</x:v>
      </x:c>
      <x:c r="O928" t="n">
        <x:v>0</x:v>
      </x:c>
      <x:c r="P928" s="14" t="n">
        <x:v>0</x:v>
      </x:c>
      <x:c r="Q928" s="14" t="n">
        <x:v>0.125</x:v>
      </x:c>
      <x:c r="R928" s="14" t="n">
        <x:v>-0.040000000000000036</x:v>
      </x:c>
      <x:c r="S928" t="n">
        <x:v>67744</x:v>
      </x:c>
      <x:c r="T928" t="n">
        <x:v>5532.696846696013</x:v>
      </x:c>
      <x:c r="U928" s="14" t="n">
        <x:v>0.6719090393565355</x:v>
      </x:c>
      <x:c r="V928" s="14" t="n">
        <x:v>0.299301509073321</x:v>
      </x:c>
      <x:c r="W928" s="14" t="n">
        <x:v>0.2161779546183439</x:v>
      </x:c>
      <x:c r="X928" s="14" t="n">
        <x:v>0.4832962207581441</x:v>
      </x:c>
      <x:c r="Y928" s="16" t="n">
        <x:v>91.22649955237243</x:v>
      </x:c>
      <x:c r="Z928" s="16" t="n">
        <x:v>22.75179856115108</x:v>
      </x:c>
      <x:c r="AA928" s="16" t="n">
        <x:v>57.377049180327866</x:v>
      </x:c>
      <x:c r="AB928" s="16" t="n">
        <x:v>93.95702775290958</x:v>
      </x:c>
      <x:c r="AC928" s="16" t="n">
        <x:v>75.60429722470904</x:v>
      </x:c>
      <x:c r="AD928" s="16" t="n">
        <x:v>100</x:v>
      </x:c>
      <x:c r="AE928" s="16" t="n">
        <x:v>71.74017581801708</x:v>
      </x:c>
      <x:c r="AF928" t="str">
        <x:v>검토</x:v>
      </x:c>
      <x:c r="AG928" t="str">
        <x:v>직장수요·경쟁여건 강점 / 상권 모멘텀 상대적 약점</x:v>
      </x:c>
    </x:row>
    <x:row r="929">
      <x:c r="A929" t="str">
        <x:v>3120112</x:v>
      </x:c>
      <x:c r="B929" t="str">
        <x:v>등촌역</x:v>
      </x:c>
      <x:c r="C929" t="str">
        <x:v>발달상권</x:v>
      </x:c>
      <x:c r="D929" t="str">
        <x:v>양천구</x:v>
      </x:c>
      <x:c r="E929" t="str">
        <x:v>목3동</x:v>
      </x:c>
      <x:c r="F929" t="str">
        <x:v>CS300022</x:v>
      </x:c>
      <x:c r="G929" t="str">
        <x:v>화장품</x:v>
      </x:c>
      <x:c r="H929" t="n">
        <x:v>675630139</x:v>
      </x:c>
      <x:c r="I929" t="n">
        <x:v>12139</x:v>
      </x:c>
      <x:c r="J929" t="n">
        <x:v>55657.80863333059</x:v>
      </x:c>
      <x:c r="K929" s="14" t="n">
        <x:v>0.9078463088510653</x:v>
      </x:c>
      <x:c r="L929" s="14" t="n">
        <x:v>-0.09644319570020132</x:v>
      </x:c>
      <x:c r="M929" s="14" t="n">
        <x:v>-0.05507322171491158</x:v>
      </x:c>
      <x:c r="N929" t="n">
        <x:v>23</x:v>
      </x:c>
      <x:c r="O929" t="n">
        <x:v>0</x:v>
      </x:c>
      <x:c r="P929" s="14" t="n">
        <x:v>0</x:v>
      </x:c>
      <x:c r="Q929" s="14" t="n">
        <x:v>0.043478260869565216</x:v>
      </x:c>
      <x:c r="R929" s="14" t="n">
        <x:v>-0.07999999999999996</x:v>
      </x:c>
      <x:c r="S929" t="n">
        <x:v>3539</x:v>
      </x:c>
      <x:c r="T929" t="n">
        <x:v>192.57453488815005</x:v>
      </x:c>
      <x:c r="U929" s="14" t="n">
        <x:v>0.9484668474802898</x:v>
      </x:c>
      <x:c r="V929" s="14" t="n">
        <x:v>0.27427379168471344</x:v>
      </x:c>
      <x:c r="W929" s="14" t="n">
        <x:v>0.11288612007878471</x:v>
      </x:c>
      <x:c r="X929" s="14" t="n">
        <x:v>0.7603816264922427</x:v>
      </x:c>
      <x:c r="Y929" s="16" t="n">
        <x:v>83.47107438016529</x:v>
      </x:c>
      <x:c r="Z929" s="16" t="n">
        <x:v>96.49122807017544</x:v>
      </x:c>
      <x:c r="AA929" s="16" t="n">
        <x:v>14.754098360655737</x:v>
      </x:c>
      <x:c r="AB929" s="16" t="n">
        <x:v>65.70247933884298</x:v>
      </x:c>
      <x:c r="AC929" s="16" t="n">
        <x:v>73.86363636363636</x:v>
      </x:c>
      <x:c r="AD929" s="16" t="n">
        <x:v>75.36585365853658</x:v>
      </x:c>
      <x:c r="AE929" s="16" t="n">
        <x:v>71.73626462130821</x:v>
      </x:c>
      <x:c r="AF929" t="str">
        <x:v>검토</x:v>
      </x:c>
      <x:c r="AG929" t="str">
        <x:v>상권 모멘텀·수요 강점 / 서울 업종추세 상대적 약점</x:v>
      </x:c>
    </x:row>
    <x:row r="930">
      <x:c r="A930" t="str">
        <x:v>3120222</x:v>
      </x:c>
      <x:c r="B930" t="str">
        <x:v>삼성역</x:v>
      </x:c>
      <x:c r="C930" t="str">
        <x:v>발달상권</x:v>
      </x:c>
      <x:c r="D930" t="str">
        <x:v>강남구</x:v>
      </x:c>
      <x:c r="E930" t="str">
        <x:v>대치2동</x:v>
      </x:c>
      <x:c r="F930" t="str">
        <x:v>CS300011</x:v>
      </x:c>
      <x:c r="G930" t="str">
        <x:v>일반의류</x:v>
      </x:c>
      <x:c r="H930" t="n">
        <x:v>24329665423</x:v>
      </x:c>
      <x:c r="I930" t="n">
        <x:v>199453</x:v>
      </x:c>
      <x:c r="J930" t="n">
        <x:v>121981.94774207457</x:v>
      </x:c>
      <x:c r="K930" s="14" t="n">
        <x:v>0.10219145668033258</x:v>
      </x:c>
      <x:c r="L930" s="14" t="n">
        <x:v>0.06726691045630595</x:v>
      </x:c>
      <x:c r="M930" s="14" t="n">
        <x:v>0.00788849516466894</x:v>
      </x:c>
      <x:c r="N930" t="n">
        <x:v>180</x:v>
      </x:c>
      <x:c r="O930" t="n">
        <x:v>3</x:v>
      </x:c>
      <x:c r="P930" s="14" t="n">
        <x:v>0.016216216216216217</x:v>
      </x:c>
      <x:c r="Q930" s="14" t="n">
        <x:v>0</x:v>
      </x:c>
      <x:c r="R930" s="14" t="n">
        <x:v>-0.1428571428571429</x:v>
      </x:c>
      <x:c r="S930" t="n">
        <x:v>109259</x:v>
      </x:c>
      <x:c r="T930" t="n">
        <x:v>3066.170507132293</x:v>
      </x:c>
      <x:c r="U930" s="14" t="n">
        <x:v>0.6390932450842852</x:v>
      </x:c>
      <x:c r="V930" s="14" t="n">
        <x:v>0.38776704603103</x:v>
      </x:c>
      <x:c r="W930" s="14" t="n">
        <x:v>0.35699650804852745</x:v>
      </x:c>
      <x:c r="X930" s="14" t="n">
        <x:v>0.6670464620388051</x:v>
      </x:c>
      <x:c r="Y930" s="16" t="n">
        <x:v>98.46878680800943</x:v>
      </x:c>
      <x:c r="Z930" s="16" t="n">
        <x:v>58.96510228640192</x:v>
      </x:c>
      <x:c r="AA930" s="16" t="n">
        <x:v>81.9672131147541</x:v>
      </x:c>
      <x:c r="AB930" s="16" t="n">
        <x:v>22.025912838633687</x:v>
      </x:c>
      <x:c r="AC930" s="16" t="n">
        <x:v>48.99882214369847</x:v>
      </x:c>
      <x:c r="AD930" s="16" t="n">
        <x:v>99.57317073170732</x:v>
      </x:c>
      <x:c r="AE930" s="16" t="n">
        <x:v>71.73460548404707</x:v>
      </x:c>
      <x:c r="AF930" t="str">
        <x:v>검토</x:v>
      </x:c>
      <x:c r="AG930" t="str">
        <x:v>직장수요·수요 강점 / 경쟁여건 상대적 약점</x:v>
      </x:c>
    </x:row>
    <x:row r="931">
      <x:c r="A931" t="str">
        <x:v>3110079</x:v>
      </x:c>
      <x:c r="B931" t="str">
        <x:v>후암동주민센터</x:v>
      </x:c>
      <x:c r="C931" t="str">
        <x:v>골목상권</x:v>
      </x:c>
      <x:c r="D931" t="str">
        <x:v>용산구</x:v>
      </x:c>
      <x:c r="E931" t="str">
        <x:v>후암동</x:v>
      </x:c>
      <x:c r="F931" t="str">
        <x:v>CS200031</x:v>
      </x:c>
      <x:c r="G931" t="str">
        <x:v>세탁소</x:v>
      </x:c>
      <x:c r="H931" t="n">
        <x:v>156186867</x:v>
      </x:c>
      <x:c r="I931" t="n">
        <x:v>6406</x:v>
      </x:c>
      <x:c r="J931" t="n">
        <x:v>24381.34046206681</x:v>
      </x:c>
      <x:c r="K931" s="14" t="n">
        <x:v>0.035637571417059144</x:v>
      </x:c>
      <x:c r="L931" s="14" t="n">
        <x:v>0.00038108013748794356</x:v>
      </x:c>
      <x:c r="M931" s="14" t="n">
        <x:v>0.043856378214214065</x:v>
      </x:c>
      <x:c r="N931" t="n">
        <x:v>10</x:v>
      </x:c>
      <x:c r="O931" t="n">
        <x:v>0</x:v>
      </x:c>
      <x:c r="P931" s="14" t="n">
        <x:v>0</x:v>
      </x:c>
      <x:c r="Q931" s="14" t="n">
        <x:v>0.2</x:v>
      </x:c>
      <x:c r="R931" s="14" t="n">
        <x:v>0</x:v>
      </x:c>
      <x:c r="S931" t="n">
        <x:v>1199</x:v>
      </x:c>
      <x:c r="T931" t="n">
        <x:v>40.91577629068969</x:v>
      </x:c>
      <x:c r="U931" s="14" t="n">
        <x:v>0.8208941600704495</x:v>
      </x:c>
      <x:c r="V931" s="14" t="n">
        <x:v>0.26331069180099503</x:v>
      </x:c>
      <x:c r="W931" s="14" t="n">
        <x:v>0.24127784060102825</x:v>
      </x:c>
      <x:c r="X931" s="14" t="n">
        <x:v>0.41254062673528114</x:v>
      </x:c>
      <x:c r="Y931" s="16" t="n">
        <x:v>92.3076923076923</x:v>
      </x:c>
      <x:c r="Z931" s="16" t="n">
        <x:v>61.111111111111114</x:v>
      </x:c>
      <x:c r="AA931" s="16" t="n">
        <x:v>42.622950819672134</x:v>
      </x:c>
      <x:c r="AB931" s="16" t="n">
        <x:v>87.2960372960373</x:v>
      </x:c>
      <x:c r="AC931" s="16" t="n">
        <x:v>62.47086247086247</x:v>
      </x:c>
      <x:c r="AD931" s="16" t="n">
        <x:v>29.390243902439025</x:v>
      </x:c>
      <x:c r="AE931" s="16" t="n">
        <x:v>71.73436118947915</x:v>
      </x:c>
      <x:c r="AF931" t="str">
        <x:v>검토</x:v>
      </x:c>
      <x:c r="AG931" t="str">
        <x:v>수요·경쟁여건 강점 / 직장수요 상대적 약점</x:v>
      </x:c>
    </x:row>
    <x:row r="932">
      <x:c r="A932" t="str">
        <x:v>3110415</x:v>
      </x:c>
      <x:c r="B932" t="str">
        <x:v>수락산역 4번</x:v>
      </x:c>
      <x:c r="C932" t="str">
        <x:v>골목상권</x:v>
      </x:c>
      <x:c r="D932" t="str">
        <x:v>노원구</x:v>
      </x:c>
      <x:c r="E932" t="str">
        <x:v>상계1동</x:v>
      </x:c>
      <x:c r="F932" t="str">
        <x:v>CS200006</x:v>
      </x:c>
      <x:c r="G932" t="str">
        <x:v>일반의원</x:v>
      </x:c>
      <x:c r="H932" t="n">
        <x:v>5322292118</x:v>
      </x:c>
      <x:c r="I932" t="n">
        <x:v>200694</x:v>
      </x:c>
      <x:c r="J932" t="n">
        <x:v>26519.438139655394</x:v>
      </x:c>
      <x:c r="K932" s="14" t="n">
        <x:v>0.039166553344913035</x:v>
      </x:c>
      <x:c r="L932" s="14" t="n">
        <x:v>0.09973642051122278</x:v>
      </x:c>
      <x:c r="M932" s="14" t="n">
        <x:v>0.06942273842247415</x:v>
      </x:c>
      <x:c r="N932" t="n">
        <x:v>25</x:v>
      </x:c>
      <x:c r="O932" t="n">
        <x:v>0</x:v>
      </x:c>
      <x:c r="P932" s="14" t="n">
        <x:v>0</x:v>
      </x:c>
      <x:c r="Q932" s="14" t="n">
        <x:v>0</x:v>
      </x:c>
      <x:c r="R932" s="14" t="n">
        <x:v>0.13636363636363646</x:v>
      </x:c>
      <x:c r="S932" t="n">
        <x:v>1942</x:v>
      </x:c>
      <x:c r="T932" t="n">
        <x:v>98.32513113392876</x:v>
      </x:c>
      <x:c r="U932" s="14" t="n">
        <x:v>0.7965696489416179</x:v>
      </x:c>
      <x:c r="V932" s="14" t="n">
        <x:v>0.18161225550378557</x:v>
      </x:c>
      <x:c r="W932" s="14" t="n">
        <x:v>0.17214157466131025</x:v>
      </x:c>
      <x:c r="X932" s="14" t="n">
        <x:v>0.5746613476280447</x:v>
      </x:c>
      <x:c r="Y932" s="16" t="n">
        <x:v>84.33268858800774</x:v>
      </x:c>
      <x:c r="Z932" s="16" t="n">
        <x:v>56.395348837209305</x:v>
      </x:c>
      <x:c r="AA932" s="16" t="n">
        <x:v>90.1639344262295</x:v>
      </x:c>
      <x:c r="AB932" s="16" t="n">
        <x:v>54.84496124031008</x:v>
      </x:c>
      <x:c r="AC932" s="16" t="n">
        <x:v>62.5</x:v>
      </x:c>
      <x:c r="AD932" s="16" t="n">
        <x:v>58.71951219512195</x:v>
      </x:c>
      <x:c r="AE932" s="16" t="n">
        <x:v>71.73282073298161</x:v>
      </x:c>
      <x:c r="AF932" t="str">
        <x:v>검토</x:v>
      </x:c>
      <x:c r="AG932" t="str">
        <x:v>서울 업종추세·수요 강점 / 경쟁여건 상대적 약점</x:v>
      </x:c>
    </x:row>
    <x:row r="933">
      <x:c r="A933" t="str">
        <x:v>3110448</x:v>
      </x:c>
      <x:c r="B933" t="str">
        <x:v>상신초등학교입구</x:v>
      </x:c>
      <x:c r="C933" t="str">
        <x:v>골목상권</x:v>
      </x:c>
      <x:c r="D933" t="str">
        <x:v>은평구</x:v>
      </x:c>
      <x:c r="E933" t="str">
        <x:v>신사2동</x:v>
      </x:c>
      <x:c r="F933" t="str">
        <x:v>CS200028</x:v>
      </x:c>
      <x:c r="G933" t="str">
        <x:v>미용실</x:v>
      </x:c>
      <x:c r="H933" t="n">
        <x:v>127765265</x:v>
      </x:c>
      <x:c r="I933" t="n">
        <x:v>3879</x:v>
      </x:c>
      <x:c r="J933" t="n">
        <x:v>32937.68110337716</x:v>
      </x:c>
      <x:c r="K933" s="14" t="n">
        <x:v>0.20839737955902504</x:v>
      </x:c>
      <x:c r="L933" s="14" t="n">
        <x:v>0.02168887159425803</x:v>
      </x:c>
      <x:c r="M933" s="14" t="n">
        <x:v>-0.013481964371473865</x:v>
      </x:c>
      <x:c r="N933" t="n">
        <x:v>30</x:v>
      </x:c>
      <x:c r="O933" t="n">
        <x:v>0</x:v>
      </x:c>
      <x:c r="P933" s="14" t="n">
        <x:v>0</x:v>
      </x:c>
      <x:c r="Q933" s="14" t="n">
        <x:v>0.03333333333333333</x:v>
      </x:c>
      <x:c r="R933" s="14" t="n">
        <x:v>-0.2682926829268293</x:v>
      </x:c>
      <x:c r="S933" t="n">
        <x:v>77</x:v>
      </x:c>
      <x:c r="T933" t="n">
        <x:v>12.466607301869992</x:v>
      </x:c>
      <x:c r="U933" s="14" t="n">
        <x:v>0.6919269646566303</x:v>
      </x:c>
      <x:c r="V933" s="14" t="n">
        <x:v>0.5344990283548506</x:v>
      </x:c>
      <x:c r="W933" s="14" t="n">
        <x:v>0.048498987576944326</x:v>
      </x:c>
      <x:c r="X933" s="14" t="n">
        <x:v>0.7541418632051521</x:v>
      </x:c>
      <x:c r="Y933" s="16" t="n">
        <x:v>66.24888093106536</x:v>
      </x:c>
      <x:c r="Z933" s="16" t="n">
        <x:v>95.05395683453237</x:v>
      </x:c>
      <x:c r="AA933" s="16" t="n">
        <x:v>57.377049180327866</x:v>
      </x:c>
      <x:c r="AB933" s="16" t="n">
        <x:v>87.10832587287376</x:v>
      </x:c>
      <x:c r="AC933" s="16" t="n">
        <x:v>75.60429722470904</x:v>
      </x:c>
      <x:c r="AD933" s="16" t="n">
        <x:v>5.975609756097561</x:v>
      </x:c>
      <x:c r="AE933" s="16" t="n">
        <x:v>71.72991616103536</x:v>
      </x:c>
      <x:c r="AF933" t="str">
        <x:v>검토</x:v>
      </x:c>
      <x:c r="AG933" t="str">
        <x:v>상권 모멘텀·경쟁여건 강점 / 직장수요 상대적 약점</x:v>
      </x:c>
    </x:row>
    <x:row r="934">
      <x:c r="A934" t="str">
        <x:v>3110293</x:v>
      </x:c>
      <x:c r="B934" t="str">
        <x:v>삼선중학교</x:v>
      </x:c>
      <x:c r="C934" t="str">
        <x:v>골목상권</x:v>
      </x:c>
      <x:c r="D934" t="str">
        <x:v>성북구</x:v>
      </x:c>
      <x:c r="E934" t="str">
        <x:v>성북동</x:v>
      </x:c>
      <x:c r="F934" t="str">
        <x:v>CS200001</x:v>
      </x:c>
      <x:c r="G934" t="str">
        <x:v>일반교습학원</x:v>
      </x:c>
      <x:c r="H934" t="n">
        <x:v>1086269729</x:v>
      </x:c>
      <x:c r="I934" t="n">
        <x:v>3778</x:v>
      </x:c>
      <x:c r="J934" t="n">
        <x:v>287525.0738485971</x:v>
      </x:c>
      <x:c r="K934" s="14" t="n">
        <x:v>0.04107816701744338</x:v>
      </x:c>
      <x:c r="L934" s="14" t="n">
        <x:v>0.026465986538897424</x:v>
      </x:c>
      <x:c r="M934" s="14" t="n">
        <x:v>0.05930632525283164</x:v>
      </x:c>
      <x:c r="N934" t="n">
        <x:v>42</x:v>
      </x:c>
      <x:c r="O934" t="n">
        <x:v>1</x:v>
      </x:c>
      <x:c r="P934" s="14" t="n">
        <x:v>0.02127659574468085</x:v>
      </x:c>
      <x:c r="Q934" s="14" t="n">
        <x:v>0.047619047619047616</x:v>
      </x:c>
      <x:c r="R934" s="14" t="n">
        <x:v>0</x:v>
      </x:c>
      <x:c r="S934" t="n">
        <x:v>6443</x:v>
      </x:c>
      <x:c r="T934" t="n">
        <x:v>807.090066391081</x:v>
      </x:c>
      <x:c r="U934" s="14" t="n">
        <x:v>0.8223884603894729</x:v>
      </x:c>
      <x:c r="V934" s="14" t="n">
        <x:v>0.5099934539370746</x:v>
      </x:c>
      <x:c r="W934" s="14" t="n">
        <x:v>0.006288832154320302</x:v>
      </x:c>
      <x:c r="X934" s="14" t="n">
        <x:v>0.565486522914973</x:v>
      </x:c>
      <x:c r="Y934" s="16" t="n">
        <x:v>84.62732919254658</x:v>
      </x:c>
      <x:c r="Z934" s="16" t="n">
        <x:v>65.09740259740259</x:v>
      </x:c>
      <x:c r="AA934" s="16" t="n">
        <x:v>70.49180327868852</x:v>
      </x:c>
      <x:c r="AB934" s="16" t="n">
        <x:v>66.38198757763975</x:v>
      </x:c>
      <x:c r="AC934" s="16" t="n">
        <x:v>37.96583850931677</x:v>
      </x:c>
      <x:c r="AD934" s="16" t="n">
        <x:v>95.0609756097561</x:v>
      </x:c>
      <x:c r="AE934" s="16" t="n">
        <x:v>71.71974699674054</x:v>
      </x:c>
      <x:c r="AF934" t="str">
        <x:v>검토</x:v>
      </x:c>
      <x:c r="AG934" t="str">
        <x:v>직장수요·수요 강점 / 안정성 상대적 약점</x:v>
      </x:c>
    </x:row>
    <x:row r="935">
      <x:c r="A935" t="str">
        <x:v>3130244</x:v>
      </x:c>
      <x:c r="B935" t="str">
        <x:v>대림중앙시장</x:v>
      </x:c>
      <x:c r="C935" t="str">
        <x:v>전통시장</x:v>
      </x:c>
      <x:c r="D935" t="str">
        <x:v>영등포구</x:v>
      </x:c>
      <x:c r="E935" t="str">
        <x:v>대림2동</x:v>
      </x:c>
      <x:c r="F935" t="str">
        <x:v>CS300007</x:v>
      </x:c>
      <x:c r="G935" t="str">
        <x:v>육류판매</x:v>
      </x:c>
      <x:c r="H935" t="n">
        <x:v>1333943790</x:v>
      </x:c>
      <x:c r="I935" t="n">
        <x:v>49635</x:v>
      </x:c>
      <x:c r="J935" t="n">
        <x:v>26875.063765488063</x:v>
      </x:c>
      <x:c r="K935" s="14" t="n">
        <x:v>0.03473863987961301</x:v>
      </x:c>
      <x:c r="L935" s="14" t="n">
        <x:v>0.23518223683931017</x:v>
      </x:c>
      <x:c r="M935" s="14" t="n">
        <x:v>0.00863079289162072</x:v>
      </x:c>
      <x:c r="N935" t="n">
        <x:v>13</x:v>
      </x:c>
      <x:c r="O935" t="n">
        <x:v>0</x:v>
      </x:c>
      <x:c r="P935" s="14" t="n">
        <x:v>0</x:v>
      </x:c>
      <x:c r="Q935" s="14" t="n">
        <x:v>0</x:v>
      </x:c>
      <x:c r="R935" s="14" t="n">
        <x:v>0.08333333333333326</x:v>
      </x:c>
      <x:c r="S935" t="n">
        <x:v>361</x:v>
      </x:c>
      <x:c r="T935" t="n">
        <x:v>76.27942357266619</x:v>
      </x:c>
      <x:c r="U935" s="14" t="n">
        <x:v>0.6458329747162734</x:v>
      </x:c>
      <x:c r="V935" s="14" t="n">
        <x:v>0.18332862661326982</x:v>
      </x:c>
      <x:c r="W935" s="14" t="n">
        <x:v>0.09439862304842694</x:v>
      </x:c>
      <x:c r="X935" s="14" t="n">
        <x:v>0.6756840263861493</x:v>
      </x:c>
      <x:c r="Y935" s="16" t="n">
        <x:v>78.46534653465346</x:v>
      </x:c>
      <x:c r="Z935" s="16" t="n">
        <x:v>54.54545454545455</x:v>
      </x:c>
      <x:c r="AA935" s="16" t="n">
        <x:v>100</x:v>
      </x:c>
      <x:c r="AB935" s="16" t="n">
        <x:v>60.89108910891089</x:v>
      </x:c>
      <x:c r="AC935" s="16" t="n">
        <x:v>66.83168316831683</x:v>
      </x:c>
      <x:c r="AD935" s="16" t="n">
        <x:v>50.36585365853659</x:v>
      </x:c>
      <x:c r="AE935" s="16" t="n">
        <x:v>71.70708656231476</x:v>
      </x:c>
      <x:c r="AF935" t="str">
        <x:v>검토</x:v>
      </x:c>
      <x:c r="AG935" t="str">
        <x:v>서울 업종추세·수요 강점 / 직장수요 상대적 약점</x:v>
      </x:c>
    </x:row>
    <x:row r="936">
      <x:c r="A936" t="str">
        <x:v>3120129</x:v>
      </x:c>
      <x:c r="B936" t="str">
        <x:v>구로디지털단지</x:v>
      </x:c>
      <x:c r="C936" t="str">
        <x:v>발달상권</x:v>
      </x:c>
      <x:c r="D936" t="str">
        <x:v>구로구</x:v>
      </x:c>
      <x:c r="E936" t="str">
        <x:v>구로3동</x:v>
      </x:c>
      <x:c r="F936" t="str">
        <x:v>CS200028</x:v>
      </x:c>
      <x:c r="G936" t="str">
        <x:v>미용실</x:v>
      </x:c>
      <x:c r="H936" t="n">
        <x:v>664630296</x:v>
      </x:c>
      <x:c r="I936" t="n">
        <x:v>11897</x:v>
      </x:c>
      <x:c r="J936" t="n">
        <x:v>55865.369084643185</x:v>
      </x:c>
      <x:c r="K936" s="14" t="n">
        <x:v>0.02823176683305939</x:v>
      </x:c>
      <x:c r="L936" s="14" t="n">
        <x:v>0.02168887159425803</x:v>
      </x:c>
      <x:c r="M936" s="14" t="n">
        <x:v>-0.013481964371473865</x:v>
      </x:c>
      <x:c r="N936" t="n">
        <x:v>65</x:v>
      </x:c>
      <x:c r="O936" t="n">
        <x:v>0</x:v>
      </x:c>
      <x:c r="P936" s="14" t="n">
        <x:v>0</x:v>
      </x:c>
      <x:c r="Q936" s="14" t="n">
        <x:v>0.13846153846153847</x:v>
      </x:c>
      <x:c r="R936" s="14" t="n">
        <x:v>0.06557377049180335</x:v>
      </x:c>
      <x:c r="S936" t="n">
        <x:v>56132</x:v>
      </x:c>
      <x:c r="T936" t="n">
        <x:v>1219.4947087590622</x:v>
      </x:c>
      <x:c r="U936" s="14" t="n">
        <x:v>0.6746716598666758</x:v>
      </x:c>
      <x:c r="V936" s="14" t="n">
        <x:v>0.4170683049934275</x:v>
      </x:c>
      <x:c r="W936" s="14" t="n">
        <x:v>0.5790348217891048</x:v>
      </x:c>
      <x:c r="X936" s="14" t="n">
        <x:v>0.37359153275793494</x:v>
      </x:c>
      <x:c r="Y936" s="16" t="n">
        <x:v>95.34467323187108</x:v>
      </x:c>
      <x:c r="Z936" s="16" t="n">
        <x:v>56.02517985611511</x:v>
      </x:c>
      <x:c r="AA936" s="16" t="n">
        <x:v>57.377049180327866</x:v>
      </x:c>
      <x:c r="AB936" s="16" t="n">
        <x:v>40.5550581915846</x:v>
      </x:c>
      <x:c r="AC936" s="16" t="n">
        <x:v>75.60429722470904</x:v>
      </x:c>
      <x:c r="AD936" s="16" t="n">
        <x:v>97.5609756097561</x:v>
      </x:c>
      <x:c r="AE936" s="16" t="n">
        <x:v>71.70396621112347</x:v>
      </x:c>
      <x:c r="AF936" t="str">
        <x:v>검토</x:v>
      </x:c>
      <x:c r="AG936" t="str">
        <x:v>직장수요·수요 강점 / 경쟁여건 상대적 약점</x:v>
      </x:c>
    </x:row>
    <x:row r="937">
      <x:c r="A937" t="str">
        <x:v>3110529</x:v>
      </x:c>
      <x:c r="B937" t="str">
        <x:v>홍제3동주민센터</x:v>
      </x:c>
      <x:c r="C937" t="str">
        <x:v>골목상권</x:v>
      </x:c>
      <x:c r="D937" t="str">
        <x:v>서대문구</x:v>
      </x:c>
      <x:c r="E937" t="str">
        <x:v>홍제3동</x:v>
      </x:c>
      <x:c r="F937" t="str">
        <x:v>CS200030</x:v>
      </x:c>
      <x:c r="G937" t="str">
        <x:v>피부관리실</x:v>
      </x:c>
      <x:c r="H937" t="n">
        <x:v>20844151</x:v>
      </x:c>
      <x:c r="I937" t="n">
        <x:v>330</x:v>
      </x:c>
      <x:c r="J937" t="n">
        <x:v>63164.09393939394</x:v>
      </x:c>
      <x:c r="K937" s="14" t="n">
        <x:v>1.1903786020294622</x:v>
      </x:c>
      <x:c r="L937" s="14" t="n">
        <x:v>0.11857168683779085</x:v>
      </x:c>
      <x:c r="M937" s="14" t="n">
        <x:v>0.0314283578178467</x:v>
      </x:c>
      <x:c r="N937" t="n">
        <x:v>9</x:v>
      </x:c>
      <x:c r="O937" t="n">
        <x:v>0</x:v>
      </x:c>
      <x:c r="P937" s="14" t="n">
        <x:v>0</x:v>
      </x:c>
      <x:c r="Q937" s="14" t="n">
        <x:v>0</x:v>
      </x:c>
      <x:c r="R937" s="14" t="n">
        <x:v>0.8</x:v>
      </x:c>
      <x:c r="S937" t="n">
        <x:v>273</x:v>
      </x:c>
      <x:c r="T937" t="n">
        <x:v>24.053287282595285</x:v>
      </x:c>
      <x:c r="U937" s="14" t="n">
        <x:v>0.9542256242530579</x:v>
      </x:c>
      <x:c r="V937" s="14" t="n">
        <x:v>0.6080566198162737</x:v>
      </x:c>
      <x:c r="W937" s="14" t="n">
        <x:v>0.9341993348637706</x:v>
      </x:c>
      <x:c r="X937" s="14" t="n">
        <x:v>0.9628083197056095</x:v>
      </x:c>
      <x:c r="Y937" s="16" t="n">
        <x:v>46.40198511166253</x:v>
      </x:c>
      <x:c r="Z937" s="16" t="n">
        <x:v>95.49071618037135</x:v>
      </x:c>
      <x:c r="AA937" s="16" t="n">
        <x:v>91.80327868852459</x:v>
      </x:c>
      <x:c r="AB937" s="16" t="n">
        <x:v>92.55583126550869</x:v>
      </x:c>
      <x:c r="AC937" s="16" t="n">
        <x:v>79.15632754342431</x:v>
      </x:c>
      <x:c r="AD937" s="16" t="n">
        <x:v>15.731707317073171</x:v>
      </x:c>
      <x:c r="AE937" s="16" t="n">
        <x:v>71.69492263845723</x:v>
      </x:c>
      <x:c r="AF937" t="str">
        <x:v>검토</x:v>
      </x:c>
      <x:c r="AG937" t="str">
        <x:v>상권 모멘텀·경쟁여건 강점 / 직장수요 상대적 약점</x:v>
      </x:c>
    </x:row>
    <x:row r="938">
      <x:c r="A938" t="str">
        <x:v>3120186</x:v>
      </x:c>
      <x:c r="B938" t="str">
        <x:v>가로수길</x:v>
      </x:c>
      <x:c r="C938" t="str">
        <x:v>발달상권</x:v>
      </x:c>
      <x:c r="D938" t="str">
        <x:v>강남구</x:v>
      </x:c>
      <x:c r="E938" t="str">
        <x:v>신사동</x:v>
      </x:c>
      <x:c r="F938" t="str">
        <x:v>CS300017</x:v>
      </x:c>
      <x:c r="G938" t="str">
        <x:v>시계및귀금속</x:v>
      </x:c>
      <x:c r="H938" t="n">
        <x:v>451690055</x:v>
      </x:c>
      <x:c r="I938" t="n">
        <x:v>315</x:v>
      </x:c>
      <x:c r="J938" t="n">
        <x:v>1433936.6825396826</x:v>
      </x:c>
      <x:c r="K938" s="14" t="n">
        <x:v>0.5649236855918796</x:v>
      </x:c>
      <x:c r="L938" s="14" t="n">
        <x:v>0.09182238369060247</x:v>
      </x:c>
      <x:c r="M938" s="14" t="n">
        <x:v>0.00817160170707898</x:v>
      </x:c>
      <x:c r="N938" t="n">
        <x:v>71</x:v>
      </x:c>
      <x:c r="O938" t="n">
        <x:v>0</x:v>
      </x:c>
      <x:c r="P938" s="14" t="n">
        <x:v>0</x:v>
      </x:c>
      <x:c r="Q938" s="14" t="n">
        <x:v>0.014084507042253521</x:v>
      </x:c>
      <x:c r="R938" s="14" t="n">
        <x:v>0.05970149253731338</x:v>
      </x:c>
      <x:c r="S938" t="n">
        <x:v>11262</x:v>
      </x:c>
      <x:c r="T938" t="n">
        <x:v>438.7427538490307</x:v>
      </x:c>
      <x:c r="U938" s="14" t="n">
        <x:v>1</x:v>
      </x:c>
      <x:c r="V938" s="14" t="n">
        <x:v>0.5000000011069538</x:v>
      </x:c>
      <x:c r="W938" s="14" t="n">
        <x:v>0</x:v>
      </x:c>
      <x:c r="X938" s="14" t="n">
        <x:v>0.5348837224233329</x:v>
      </x:c>
      <x:c r="Y938" s="16" t="n">
        <x:v>81.56424581005587</x:v>
      </x:c>
      <x:c r="Z938" s="16" t="n">
        <x:v>88.88888888888889</x:v>
      </x:c>
      <x:c r="AA938" s="16" t="n">
        <x:v>86.88524590163935</x:v>
      </x:c>
      <x:c r="AB938" s="16" t="n">
        <x:v>11.516853932584269</x:v>
      </x:c>
      <x:c r="AC938" s="16" t="n">
        <x:v>61.79775280898876</x:v>
      </x:c>
      <x:c r="AD938" s="16" t="n">
        <x:v>88.53658536585365</x:v>
      </x:c>
      <x:c r="AE938" s="16" t="n">
        <x:v>71.69218333562243</x:v>
      </x:c>
      <x:c r="AF938" t="str">
        <x:v>검토</x:v>
      </x:c>
      <x:c r="AG938" t="str">
        <x:v>상권 모멘텀·직장수요 강점 / 경쟁여건 상대적 약점</x:v>
      </x:c>
    </x:row>
    <x:row r="939">
      <x:c r="A939" t="str">
        <x:v>3130167</x:v>
      </x:c>
      <x:c r="B939" t="str">
        <x:v>연신내상점가(연빛거리)</x:v>
      </x:c>
      <x:c r="C939" t="str">
        <x:v>전통시장</x:v>
      </x:c>
      <x:c r="D939" t="str">
        <x:v>은평구</x:v>
      </x:c>
      <x:c r="E939" t="str">
        <x:v>갈현1동</x:v>
      </x:c>
      <x:c r="F939" t="str">
        <x:v>CS300016</x:v>
      </x:c>
      <x:c r="G939" t="str">
        <x:v>안경</x:v>
      </x:c>
      <x:c r="H939" t="n">
        <x:v>621360753</x:v>
      </x:c>
      <x:c r="I939" t="n">
        <x:v>11518</x:v>
      </x:c>
      <x:c r="J939" t="n">
        <x:v>53946.93115124154</x:v>
      </x:c>
      <x:c r="K939" s="14" t="n">
        <x:v>0.046093674351689096</x:v>
      </x:c>
      <x:c r="L939" s="14" t="n">
        <x:v>0.02313988190963734</x:v>
      </x:c>
      <x:c r="M939" s="14" t="n">
        <x:v>0.009707725123368816</x:v>
      </x:c>
      <x:c r="N939" t="n">
        <x:v>7</x:v>
      </x:c>
      <x:c r="O939" t="n">
        <x:v>0</x:v>
      </x:c>
      <x:c r="P939" s="14" t="n">
        <x:v>0</x:v>
      </x:c>
      <x:c r="Q939" s="14" t="n">
        <x:v>0.42857142857142855</x:v>
      </x:c>
      <x:c r="R939" s="14" t="n">
        <x:v>0</x:v>
      </x:c>
      <x:c r="S939" t="n">
        <x:v>1492</x:v>
      </x:c>
      <x:c r="T939" t="n">
        <x:v>148.96761052757697</x:v>
      </x:c>
      <x:c r="U939" s="14" t="n">
        <x:v>0.6649125874224631</x:v>
      </x:c>
      <x:c r="V939" s="14" t="n">
        <x:v>0.4391663839122456</x:v>
      </x:c>
      <x:c r="W939" s="14" t="n">
        <x:v>0.54854363484396</x:v>
      </x:c>
      <x:c r="X939" s="14" t="n">
        <x:v>0.7263681216119551</x:v>
      </x:c>
      <x:c r="Y939" s="16" t="n">
        <x:v>79.71014492753623</x:v>
      </x:c>
      <x:c r="Z939" s="16" t="n">
        <x:v>75.1219512195122</x:v>
      </x:c>
      <x:c r="AA939" s="16" t="n">
        <x:v>62.295081967213115</x:v>
      </x:c>
      <x:c r="AB939" s="16" t="n">
        <x:v>67.96116504854369</x:v>
      </x:c>
      <x:c r="AC939" s="16" t="n">
        <x:v>57.28155339805825</x:v>
      </x:c>
      <x:c r="AD939" s="16" t="n">
        <x:v>70</x:v>
      </x:c>
      <x:c r="AE939" s="16" t="n">
        <x:v>71.68953336070946</x:v>
      </x:c>
      <x:c r="AF939" t="str">
        <x:v>검토</x:v>
      </x:c>
      <x:c r="AG939" t="str">
        <x:v>수요·상권 모멘텀 강점 / 안정성 상대적 약점</x:v>
      </x:c>
    </x:row>
    <x:row r="940">
      <x:c r="A940" t="str">
        <x:v>3120149</x:v>
      </x:c>
      <x:c r="B940" t="str">
        <x:v>여의도역(여의도)</x:v>
      </x:c>
      <x:c r="C940" t="str">
        <x:v>발달상권</x:v>
      </x:c>
      <x:c r="D940" t="str">
        <x:v>영등포구</x:v>
      </x:c>
      <x:c r="E940" t="str">
        <x:v>여의동</x:v>
      </x:c>
      <x:c r="F940" t="str">
        <x:v>CS300010</x:v>
      </x:c>
      <x:c r="G940" t="str">
        <x:v>반찬가게</x:v>
      </x:c>
      <x:c r="H940" t="n">
        <x:v>4050996793</x:v>
      </x:c>
      <x:c r="I940" t="n">
        <x:v>92434</x:v>
      </x:c>
      <x:c r="J940" t="n">
        <x:v>43825.830246446116</x:v>
      </x:c>
      <x:c r="K940" s="14" t="n">
        <x:v>0.1565227561707785</x:v>
      </x:c>
      <x:c r="L940" s="14" t="n">
        <x:v>0.02346021551670452</x:v>
      </x:c>
      <x:c r="M940" s="14" t="n">
        <x:v>0.024589273784872745</x:v>
      </x:c>
      <x:c r="N940" t="n">
        <x:v>86</x:v>
      </x:c>
      <x:c r="O940" t="n">
        <x:v>0</x:v>
      </x:c>
      <x:c r="P940" s="14" t="n">
        <x:v>0</x:v>
      </x:c>
      <x:c r="Q940" s="14" t="n">
        <x:v>0.10465116279069768</x:v>
      </x:c>
      <x:c r="R940" s="14" t="n">
        <x:v>0.17808219178082196</x:v>
      </x:c>
      <x:c r="S940" t="n">
        <x:v>166492</x:v>
      </x:c>
      <x:c r="T940" t="n">
        <x:v>2781.087031326734</x:v>
      </x:c>
      <x:c r="U940" s="14" t="n">
        <x:v>0.9215858174588291</x:v>
      </x:c>
      <x:c r="V940" s="14" t="n">
        <x:v>0.37318355833119515</x:v>
      </x:c>
      <x:c r="W940" s="14" t="n">
        <x:v>0.2431460495604495</x:v>
      </x:c>
      <x:c r="X940" s="14" t="n">
        <x:v>0.28200370930286245</x:v>
      </x:c>
      <x:c r="Y940" s="16" t="n">
        <x:v>91.72932330827068</x:v>
      </x:c>
      <x:c r="Z940" s="16" t="n">
        <x:v>81.66666666666667</x:v>
      </x:c>
      <x:c r="AA940" s="16" t="n">
        <x:v>63.9344262295082</x:v>
      </x:c>
      <x:c r="AB940" s="16" t="n">
        <x:v>8.646616541353382</x:v>
      </x:c>
      <x:c r="AC940" s="16" t="n">
        <x:v>73.93483709273183</x:v>
      </x:c>
      <x:c r="AD940" s="16" t="n">
        <x:v>99.39024390243902</x:v>
      </x:c>
      <x:c r="AE940" s="16" t="n">
        <x:v>71.68874881125244</x:v>
      </x:c>
      <x:c r="AF940" t="str">
        <x:v>검토</x:v>
      </x:c>
      <x:c r="AG940" t="str">
        <x:v>직장수요·수요 강점 / 경쟁여건 상대적 약점</x:v>
      </x:c>
    </x:row>
    <x:row r="941">
      <x:c r="A941" t="str">
        <x:v>3110991</x:v>
      </x:c>
      <x:c r="B941" t="str">
        <x:v>삼성중앙역 5번</x:v>
      </x:c>
      <x:c r="C941" t="str">
        <x:v>골목상권</x:v>
      </x:c>
      <x:c r="D941" t="str">
        <x:v>강남구</x:v>
      </x:c>
      <x:c r="E941" t="str">
        <x:v>삼성1동</x:v>
      </x:c>
      <x:c r="F941" t="str">
        <x:v>CS100001</x:v>
      </x:c>
      <x:c r="G941" t="str">
        <x:v>한식음식점</x:v>
      </x:c>
      <x:c r="H941" t="n">
        <x:v>11321792830</x:v>
      </x:c>
      <x:c r="I941" t="n">
        <x:v>74113</x:v>
      </x:c>
      <x:c r="J941" t="n">
        <x:v>152763.92576201208</x:v>
      </x:c>
      <x:c r="K941" s="14" t="n">
        <x:v>0.08550931723917587</x:v>
      </x:c>
      <x:c r="L941" s="14" t="n">
        <x:v>-0.0018259958518723751</x:v>
      </x:c>
      <x:c r="M941" s="14" t="n">
        <x:v>0.06341040875687098</x:v>
      </x:c>
      <x:c r="N941" t="n">
        <x:v>322</x:v>
      </x:c>
      <x:c r="O941" t="n">
        <x:v>5</x:v>
      </x:c>
      <x:c r="P941" s="14" t="n">
        <x:v>0.01529051987767584</x:v>
      </x:c>
      <x:c r="Q941" s="14" t="n">
        <x:v>0.14906832298136646</x:v>
      </x:c>
      <x:c r="R941" s="14" t="n">
        <x:v>-0.021276595744680882</x:v>
      </x:c>
      <x:c r="S941" t="n">
        <x:v>2236</x:v>
      </x:c>
      <x:c r="T941" t="n">
        <x:v>839.9068439636391</x:v>
      </x:c>
      <x:c r="U941" s="14" t="n">
        <x:v>0.843270761208585</x:v>
      </x:c>
      <x:c r="V941" s="14" t="n">
        <x:v>0.749856719467989</x:v>
      </x:c>
      <x:c r="W941" s="14" t="n">
        <x:v>0.11230546584732022</x:v>
      </x:c>
      <x:c r="X941" s="14" t="n">
        <x:v>0.10920902904385683</x:v>
      </x:c>
      <x:c r="Y941" s="16" t="n">
        <x:v>94.66192170818505</x:v>
      </x:c>
      <x:c r="Z941" s="16" t="n">
        <x:v>85.98999285203718</x:v>
      </x:c>
      <x:c r="AA941" s="16" t="n">
        <x:v>40.98360655737705</x:v>
      </x:c>
      <x:c r="AB941" s="16" t="n">
        <x:v>12.241992882562272</x:v>
      </x:c>
      <x:c r="AC941" s="16" t="n">
        <x:v>85.90747330960855</x:v>
      </x:c>
      <x:c r="AD941" s="16" t="n">
        <x:v>95.60975609756098</x:v>
      </x:c>
      <x:c r="AE941" s="16" t="n">
        <x:v>71.684746220102</x:v>
      </x:c>
      <x:c r="AF941" t="str">
        <x:v>검토</x:v>
      </x:c>
      <x:c r="AG941" t="str">
        <x:v>직장수요·수요 강점 / 경쟁여건 상대적 약점</x:v>
      </x:c>
    </x:row>
    <x:row r="942">
      <x:c r="A942" t="str">
        <x:v>3120224</x:v>
      </x:c>
      <x:c r="B942" t="str">
        <x:v>수서역</x:v>
      </x:c>
      <x:c r="C942" t="str">
        <x:v>발달상권</x:v>
      </x:c>
      <x:c r="D942" t="str">
        <x:v>강남구</x:v>
      </x:c>
      <x:c r="E942" t="str">
        <x:v>수서동</x:v>
      </x:c>
      <x:c r="F942" t="str">
        <x:v>CS200029</x:v>
      </x:c>
      <x:c r="G942" t="str">
        <x:v>네일숍</x:v>
      </x:c>
      <x:c r="H942" t="n">
        <x:v>91041373</x:v>
      </x:c>
      <x:c r="I942" t="n">
        <x:v>1933</x:v>
      </x:c>
      <x:c r="J942" t="n">
        <x:v>47098.48577340921</x:v>
      </x:c>
      <x:c r="K942" s="14" t="n">
        <x:v>0.03800746011678724</x:v>
      </x:c>
      <x:c r="L942" s="14" t="n">
        <x:v>-0.03823077167694788</x:v>
      </x:c>
      <x:c r="M942" s="14" t="n">
        <x:v>-0.06057133576425</x:v>
      </x:c>
      <x:c r="N942" t="n">
        <x:v>3</x:v>
      </x:c>
      <x:c r="O942" t="n">
        <x:v>0</x:v>
      </x:c>
      <x:c r="P942" s="14" t="n">
        <x:v>0</x:v>
      </x:c>
      <x:c r="Q942" s="14" t="n">
        <x:v>0</x:v>
      </x:c>
      <x:c r="R942" s="14" t="n">
        <x:v>0.5</x:v>
      </x:c>
      <x:c r="S942" t="n">
        <x:v>19403</x:v>
      </x:c>
      <x:c r="T942" t="n">
        <x:v>3224.0001329279035</x:v>
      </x:c>
      <x:c r="U942" s="14" t="n">
        <x:v>0.8434767015211864</x:v>
      </x:c>
      <x:c r="V942" s="14" t="n">
        <x:v>0.48331250452472857</x:v>
      </x:c>
      <x:c r="W942" s="14" t="n">
        <x:v>0.3881849079758496</x:v>
      </x:c>
      <x:c r="X942" s="14" t="n">
        <x:v>0.9043369655683905</x:v>
      </x:c>
      <x:c r="Y942" s="16" t="n">
        <x:v>87.34693877551021</x:v>
      </x:c>
      <x:c r="Z942" s="16" t="n">
        <x:v>53.52697095435685</x:v>
      </x:c>
      <x:c r="AA942" s="16" t="n">
        <x:v>26.229508196721312</x:v>
      </x:c>
      <x:c r="AB942" s="16" t="n">
        <x:v>98.77551020408163</x:v>
      </x:c>
      <x:c r="AC942" s="16" t="n">
        <x:v>66.73469387755102</x:v>
      </x:c>
      <x:c r="AD942" s="16" t="n">
        <x:v>99.63414634146342</x:v>
      </x:c>
      <x:c r="AE942" s="16" t="n">
        <x:v>71.68275222724866</x:v>
      </x:c>
      <x:c r="AF942" t="str">
        <x:v>검토</x:v>
      </x:c>
      <x:c r="AG942" t="str">
        <x:v>직장수요·경쟁여건 강점 / 서울 업종추세 상대적 약점</x:v>
      </x:c>
    </x:row>
    <x:row r="943">
      <x:c r="A943" t="str">
        <x:v>3120038</x:v>
      </x:c>
      <x:c r="B943" t="str">
        <x:v>약수역</x:v>
      </x:c>
      <x:c r="C943" t="str">
        <x:v>발달상권</x:v>
      </x:c>
      <x:c r="D943" t="str">
        <x:v>중구</x:v>
      </x:c>
      <x:c r="E943" t="str">
        <x:v>다산동</x:v>
      </x:c>
      <x:c r="F943" t="str">
        <x:v>CS200006</x:v>
      </x:c>
      <x:c r="G943" t="str">
        <x:v>일반의원</x:v>
      </x:c>
      <x:c r="H943" t="n">
        <x:v>6679522973</x:v>
      </x:c>
      <x:c r="I943" t="n">
        <x:v>121830</x:v>
      </x:c>
      <x:c r="J943" t="n">
        <x:v>54826.586005089055</x:v>
      </x:c>
      <x:c r="K943" s="14" t="n">
        <x:v>0.0007266123674845026</x:v>
      </x:c>
      <x:c r="L943" s="14" t="n">
        <x:v>0.09973642051122278</x:v>
      </x:c>
      <x:c r="M943" s="14" t="n">
        <x:v>0.06942273842247415</x:v>
      </x:c>
      <x:c r="N943" t="n">
        <x:v>19</x:v>
      </x:c>
      <x:c r="O943" t="n">
        <x:v>0</x:v>
      </x:c>
      <x:c r="P943" s="14" t="n">
        <x:v>0</x:v>
      </x:c>
      <x:c r="Q943" s="14" t="n">
        <x:v>0</x:v>
      </x:c>
      <x:c r="R943" s="14" t="n">
        <x:v>0.11764705882352944</x:v>
      </x:c>
      <x:c r="S943" t="n">
        <x:v>8665</x:v>
      </x:c>
      <x:c r="T943" t="n">
        <x:v>633.2351630041583</x:v>
      </x:c>
      <x:c r="U943" s="14" t="n">
        <x:v>0.8338256581365605</x:v>
      </x:c>
      <x:c r="V943" s="14" t="n">
        <x:v>0.15515800771840538</x:v>
      </x:c>
      <x:c r="W943" s="14" t="n">
        <x:v>0.2717264896515238</x:v>
      </x:c>
      <x:c r="X943" s="14" t="n">
        <x:v>0.5957023327989084</x:v>
      </x:c>
      <x:c r="Y943" s="16" t="n">
        <x:v>88.00773694390716</x:v>
      </x:c>
      <x:c r="Z943" s="16" t="n">
        <x:v>30.62015503875969</x:v>
      </x:c>
      <x:c r="AA943" s="16" t="n">
        <x:v>90.1639344262295</x:v>
      </x:c>
      <x:c r="AB943" s="16" t="n">
        <x:v>68.7984496124031</x:v>
      </x:c>
      <x:c r="AC943" s="16" t="n">
        <x:v>62.5</x:v>
      </x:c>
      <x:c r="AD943" s="16" t="n">
        <x:v>93.23170731707317</x:v>
      </x:c>
      <x:c r="AE943" s="16" t="n">
        <x:v>71.68268190976798</x:v>
      </x:c>
      <x:c r="AF943" t="str">
        <x:v>검토</x:v>
      </x:c>
      <x:c r="AG943" t="str">
        <x:v>직장수요·서울 업종추세 강점 / 상권 모멘텀 상대적 약점</x:v>
      </x:c>
    </x:row>
    <x:row r="944">
      <x:c r="A944" t="str">
        <x:v>3120067</x:v>
      </x:c>
      <x:c r="B944" t="str">
        <x:v>장안동사거리</x:v>
      </x:c>
      <x:c r="C944" t="str">
        <x:v>발달상권</x:v>
      </x:c>
      <x:c r="D944" t="str">
        <x:v>동대문구</x:v>
      </x:c>
      <x:c r="E944" t="str">
        <x:v>장안2동</x:v>
      </x:c>
      <x:c r="F944" t="str">
        <x:v>CS200006</x:v>
      </x:c>
      <x:c r="G944" t="str">
        <x:v>일반의원</x:v>
      </x:c>
      <x:c r="H944" t="n">
        <x:v>3494082569</x:v>
      </x:c>
      <x:c r="I944" t="n">
        <x:v>125499</x:v>
      </x:c>
      <x:c r="J944" t="n">
        <x:v>27841.517215276617</x:v>
      </x:c>
      <x:c r="K944" s="14" t="n">
        <x:v>0.08161844772533589</x:v>
      </x:c>
      <x:c r="L944" s="14" t="n">
        <x:v>0.09973642051122278</x:v>
      </x:c>
      <x:c r="M944" s="14" t="n">
        <x:v>0.06942273842247415</x:v>
      </x:c>
      <x:c r="N944" t="n">
        <x:v>32</x:v>
      </x:c>
      <x:c r="O944" t="n">
        <x:v>0</x:v>
      </x:c>
      <x:c r="P944" s="14" t="n">
        <x:v>0</x:v>
      </x:c>
      <x:c r="Q944" s="14" t="n">
        <x:v>0</x:v>
      </x:c>
      <x:c r="R944" s="14" t="n">
        <x:v>0.06666666666666665</x:v>
      </x:c>
      <x:c r="S944" t="n">
        <x:v>3227</x:v>
      </x:c>
      <x:c r="T944" t="n">
        <x:v>146.95702861722862</x:v>
      </x:c>
      <x:c r="U944" s="14" t="n">
        <x:v>0.8465282455664831</x:v>
      </x:c>
      <x:c r="V944" s="14" t="n">
        <x:v>0.1637775701344624</x:v>
      </x:c>
      <x:c r="W944" s="14" t="n">
        <x:v>0.1617275186950512</x:v>
      </x:c>
      <x:c r="X944" s="14" t="n">
        <x:v>0.556267610915751</x:v>
      </x:c>
      <x:c r="Y944" s="16" t="n">
        <x:v>76.78916827852998</x:v>
      </x:c>
      <x:c r="Z944" s="16" t="n">
        <x:v>76.16279069767442</x:v>
      </x:c>
      <x:c r="AA944" s="16" t="n">
        <x:v>90.1639344262295</x:v>
      </x:c>
      <x:c r="AB944" s="16" t="n">
        <x:v>42.054263565891475</x:v>
      </x:c>
      <x:c r="AC944" s="16" t="n">
        <x:v>62.5</x:v>
      </x:c>
      <x:c r="AD944" s="16" t="n">
        <x:v>69.7560975609756</x:v>
      </x:c>
      <x:c r="AE944" s="16" t="n">
        <x:v>71.6793016138873</x:v>
      </x:c>
      <x:c r="AF944" t="str">
        <x:v>검토</x:v>
      </x:c>
      <x:c r="AG944" t="str">
        <x:v>서울 업종추세·수요 강점 / 경쟁여건 상대적 약점</x:v>
      </x:c>
    </x:row>
    <x:row r="945">
      <x:c r="A945" t="str">
        <x:v>3120057</x:v>
      </x:c>
      <x:c r="B945" t="str">
        <x:v>아차산역</x:v>
      </x:c>
      <x:c r="C945" t="str">
        <x:v>발달상권</x:v>
      </x:c>
      <x:c r="D945" t="str">
        <x:v>광진구</x:v>
      </x:c>
      <x:c r="E945" t="str">
        <x:v>중곡2동</x:v>
      </x:c>
      <x:c r="F945" t="str">
        <x:v>CS200016</x:v>
      </x:c>
      <x:c r="G945" t="str">
        <x:v>당구장</x:v>
      </x:c>
      <x:c r="H945" t="n">
        <x:v>163963927</x:v>
      </x:c>
      <x:c r="I945" t="n">
        <x:v>11275</x:v>
      </x:c>
      <x:c r="J945" t="n">
        <x:v>14542.255166297118</x:v>
      </x:c>
      <x:c r="K945" s="14" t="n">
        <x:v>0.0030141216547350247</x:v>
      </x:c>
      <x:c r="L945" s="14" t="n">
        <x:v>0.052763611334009974</x:v>
      </x:c>
      <x:c r="M945" s="14" t="n">
        <x:v>0.07602781601598463</x:v>
      </x:c>
      <x:c r="N945" t="n">
        <x:v>13</x:v>
      </x:c>
      <x:c r="O945" t="n">
        <x:v>0</x:v>
      </x:c>
      <x:c r="P945" s="14" t="n">
        <x:v>0</x:v>
      </x:c>
      <x:c r="Q945" s="14" t="n">
        <x:v>0</x:v>
      </x:c>
      <x:c r="R945" s="14" t="n">
        <x:v>-0.1333333333333333</x:v>
      </x:c>
      <x:c r="S945" t="n">
        <x:v>2527</x:v>
      </x:c>
      <x:c r="T945" t="n">
        <x:v>125.5608500573893</x:v>
      </x:c>
      <x:c r="U945" s="14" t="n">
        <x:v>0.6224589326895056</x:v>
      </x:c>
      <x:c r="V945" s="14" t="n">
        <x:v>0.6746452590148075</x:v>
      </x:c>
      <x:c r="W945" s="14" t="n">
        <x:v>0.046623096554646436</x:v>
      </x:c>
      <x:c r="X945" s="14" t="n">
        <x:v>0.033444771056258</x:v>
      </x:c>
      <x:c r="Y945" s="16" t="n">
        <x:v>89.38053097345133</x:v>
      </x:c>
      <x:c r="Z945" s="16" t="n">
        <x:v>52.46913580246913</x:v>
      </x:c>
      <x:c r="AA945" s="16" t="n">
        <x:v>80.32786885245902</x:v>
      </x:c>
      <x:c r="AB945" s="16" t="n">
        <x:v>51.03244837758112</x:v>
      </x:c>
      <x:c r="AC945" s="16" t="n">
        <x:v>69.32153392330383</x:v>
      </x:c>
      <x:c r="AD945" s="16" t="n">
        <x:v>65.1829268292683</x:v>
      </x:c>
      <x:c r="AE945" s="16" t="n">
        <x:v>71.6723603195016</x:v>
      </x:c>
      <x:c r="AF945" t="str">
        <x:v>검토</x:v>
      </x:c>
      <x:c r="AG945" t="str">
        <x:v>수요·서울 업종추세 강점 / 경쟁여건 상대적 약점</x:v>
      </x:c>
    </x:row>
    <x:row r="946">
      <x:c r="A946" t="str">
        <x:v>3111011</x:v>
      </x:c>
      <x:c r="B946" t="str">
        <x:v>잠실나루역</x:v>
      </x:c>
      <x:c r="C946" t="str">
        <x:v>골목상권</x:v>
      </x:c>
      <x:c r="D946" t="str">
        <x:v>송파구</x:v>
      </x:c>
      <x:c r="E946" t="str">
        <x:v>잠실4동</x:v>
      </x:c>
      <x:c r="F946" t="str">
        <x:v>CS200030</x:v>
      </x:c>
      <x:c r="G946" t="str">
        <x:v>피부관리실</x:v>
      </x:c>
      <x:c r="H946" t="n">
        <x:v>76509331</x:v>
      </x:c>
      <x:c r="I946" t="n">
        <x:v>245</x:v>
      </x:c>
      <x:c r="J946" t="n">
        <x:v>312282.9836734694</x:v>
      </x:c>
      <x:c r="K946" s="14" t="n">
        <x:v>0.12765683370678738</x:v>
      </x:c>
      <x:c r="L946" s="14" t="n">
        <x:v>0.11857168683779085</x:v>
      </x:c>
      <x:c r="M946" s="14" t="n">
        <x:v>0.0314283578178467</x:v>
      </x:c>
      <x:c r="N946" t="n">
        <x:v>6</x:v>
      </x:c>
      <x:c r="O946" t="n">
        <x:v>1</x:v>
      </x:c>
      <x:c r="P946" s="14" t="n">
        <x:v>0.09090909090909091</x:v>
      </x:c>
      <x:c r="Q946" s="14" t="n">
        <x:v>0</x:v>
      </x:c>
      <x:c r="R946" s="14" t="n">
        <x:v>-0.1428571428571429</x:v>
      </x:c>
      <x:c r="S946" t="n">
        <x:v>4438</x:v>
      </x:c>
      <x:c r="T946" t="n">
        <x:v>1717.558729052982</x:v>
      </x:c>
      <x:c r="U946" s="14" t="n">
        <x:v>0.984728163418394</x:v>
      </x:c>
      <x:c r="V946" s="14" t="n">
        <x:v>0.6731826474864876</x:v>
      </x:c>
      <x:c r="W946" s="14" t="n">
        <x:v>0.04871716889015799</x:v>
      </x:c>
      <x:c r="X946" s="14" t="n">
        <x:v>0.8316279618233755</x:v>
      </x:c>
      <x:c r="Y946" s="16" t="n">
        <x:v>71.46401985111663</x:v>
      </x:c>
      <x:c r="Z946" s="16" t="n">
        <x:v>65.51724137931035</x:v>
      </x:c>
      <x:c r="AA946" s="16" t="n">
        <x:v>91.80327868852459</x:v>
      </x:c>
      <x:c r="AB946" s="16" t="n">
        <x:v>97.39454094292805</x:v>
      </x:c>
      <x:c r="AC946" s="16" t="n">
        <x:v>2.605459057071954</x:v>
      </x:c>
      <x:c r="AD946" s="16" t="n">
        <x:v>98.29268292682927</x:v>
      </x:c>
      <x:c r="AE946" s="16" t="n">
        <x:v>71.67070822051944</x:v>
      </x:c>
      <x:c r="AF946" t="str">
        <x:v>검토</x:v>
      </x:c>
      <x:c r="AG946" t="str">
        <x:v>직장수요·경쟁여건 강점 / 안정성 상대적 약점</x:v>
      </x:c>
    </x:row>
    <x:row r="947">
      <x:c r="A947" t="str">
        <x:v>3110102</x:v>
      </x:c>
      <x:c r="B947" t="str">
        <x:v>옥수역 6번</x:v>
      </x:c>
      <x:c r="C947" t="str">
        <x:v>골목상권</x:v>
      </x:c>
      <x:c r="D947" t="str">
        <x:v>성동구</x:v>
      </x:c>
      <x:c r="E947" t="str">
        <x:v>옥수동</x:v>
      </x:c>
      <x:c r="F947" t="str">
        <x:v>CS200028</x:v>
      </x:c>
      <x:c r="G947" t="str">
        <x:v>미용실</x:v>
      </x:c>
      <x:c r="H947" t="n">
        <x:v>396170179</x:v>
      </x:c>
      <x:c r="I947" t="n">
        <x:v>4756</x:v>
      </x:c>
      <x:c r="J947" t="n">
        <x:v>83299.02838519764</x:v>
      </x:c>
      <x:c r="K947" s="14" t="n">
        <x:v>-0.016060790102721656</x:v>
      </x:c>
      <x:c r="L947" s="14" t="n">
        <x:v>0.02168887159425803</x:v>
      </x:c>
      <x:c r="M947" s="14" t="n">
        <x:v>-0.013481964371473865</x:v>
      </x:c>
      <x:c r="N947" t="n">
        <x:v>27</x:v>
      </x:c>
      <x:c r="O947" t="n">
        <x:v>0</x:v>
      </x:c>
      <x:c r="P947" s="14" t="n">
        <x:v>0</x:v>
      </x:c>
      <x:c r="Q947" s="14" t="n">
        <x:v>0.25925925925925924</x:v>
      </x:c>
      <x:c r="R947" s="14" t="n">
        <x:v>0</x:v>
      </x:c>
      <x:c r="S947" t="n">
        <x:v>1402</x:v>
      </x:c>
      <x:c r="T947" t="n">
        <x:v>404.24427656997864</x:v>
      </x:c>
      <x:c r="U947" s="14" t="n">
        <x:v>0.6807937984650783</x:v>
      </x:c>
      <x:c r="V947" s="14" t="n">
        <x:v>0.2706158961045879</x:v>
      </x:c>
      <x:c r="W947" s="14" t="n">
        <x:v>0.2721833108998343</x:v>
      </x:c>
      <x:c r="X947" s="14" t="n">
        <x:v>0.5700816340343476</x:v>
      </x:c>
      <x:c r="Y947" s="16" t="n">
        <x:v>90.24171888988361</x:v>
      </x:c>
      <x:c r="Z947" s="16" t="n">
        <x:v>29.406474820143885</x:v>
      </x:c>
      <x:c r="AA947" s="16" t="n">
        <x:v>57.377049180327866</x:v>
      </x:c>
      <x:c r="AB947" s="16" t="n">
        <x:v>91.047448522829</x:v>
      </x:c>
      <x:c r="AC947" s="16" t="n">
        <x:v>75.60429722470904</x:v>
      </x:c>
      <x:c r="AD947" s="16" t="n">
        <x:v>87.5</x:v>
      </x:c>
      <x:c r="AE947" s="16" t="n">
        <x:v>71.66500095343247</x:v>
      </x:c>
      <x:c r="AF947" t="str">
        <x:v>검토</x:v>
      </x:c>
      <x:c r="AG947" t="str">
        <x:v>경쟁여건·수요 강점 / 상권 모멘텀 상대적 약점</x:v>
      </x:c>
    </x:row>
    <x:row r="948">
      <x:c r="A948" t="str">
        <x:v>3120132</x:v>
      </x:c>
      <x:c r="B948" t="str">
        <x:v>독산동</x:v>
      </x:c>
      <x:c r="C948" t="str">
        <x:v>발달상권</x:v>
      </x:c>
      <x:c r="D948" t="str">
        <x:v>금천구</x:v>
      </x:c>
      <x:c r="E948" t="str">
        <x:v>독산1동</x:v>
      </x:c>
      <x:c r="F948" t="str">
        <x:v>CS300035</x:v>
      </x:c>
      <x:c r="G948" t="str">
        <x:v>인테리어</x:v>
      </x:c>
      <x:c r="H948" t="n">
        <x:v>35560510</x:v>
      </x:c>
      <x:c r="I948" t="n">
        <x:v>81</x:v>
      </x:c>
      <x:c r="J948" t="n">
        <x:v>439018.64197530865</x:v>
      </x:c>
      <x:c r="K948" s="14" t="n">
        <x:v>1.0976176078593953</x:v>
      </x:c>
      <x:c r="L948" s="14" t="n">
        <x:v>0.20213561276420866</x:v>
      </x:c>
      <x:c r="M948" s="14" t="n">
        <x:v>0.044160820891303576</x:v>
      </x:c>
      <x:c r="N948" t="n">
        <x:v>9</x:v>
      </x:c>
      <x:c r="O948" t="n">
        <x:v>0</x:v>
      </x:c>
      <x:c r="P948" s="14" t="n">
        <x:v>0</x:v>
      </x:c>
      <x:c r="Q948" s="14" t="n">
        <x:v>0</x:v>
      </x:c>
      <x:c r="R948" s="14" t="n">
        <x:v>-0.3076923076923077</x:v>
      </x:c>
      <x:c r="S948" t="n">
        <x:v>7998</x:v>
      </x:c>
      <x:c r="T948" t="n">
        <x:v>150.89968133338112</x:v>
      </x:c>
      <x:c r="U948" s="14" t="n">
        <x:v>1</x:v>
      </x:c>
      <x:c r="V948" s="14" t="n">
        <x:v>0</x:v>
      </x:c>
      <x:c r="W948" s="14" t="n">
        <x:v>0</x:v>
      </x:c>
      <x:c r="X948" s="14" t="n">
        <x:v>0</x:v>
      </x:c>
      <x:c r="Y948" s="16" t="n">
        <x:v>48.91304347826087</x:v>
      </x:c>
      <x:c r="Z948" s="16" t="n">
        <x:v>90.44585987261146</x:v>
      </x:c>
      <x:c r="AA948" s="16" t="n">
        <x:v>98.36065573770492</x:v>
      </x:c>
      <x:c r="AB948" s="16" t="n">
        <x:v>80.97826086956522</x:v>
      </x:c>
      <x:c r="AC948" s="16" t="n">
        <x:v>60.32608695652174</x:v>
      </x:c>
      <x:c r="AD948" s="16" t="n">
        <x:v>70.3048780487805</x:v>
      </x:c>
      <x:c r="AE948" s="16" t="n">
        <x:v>71.65742728109532</x:v>
      </x:c>
      <x:c r="AF948" t="str">
        <x:v>검토</x:v>
      </x:c>
      <x:c r="AG948" t="str">
        <x:v>서울 업종추세·상권 모멘텀 강점 / 수요 상대적 약점</x:v>
      </x:c>
    </x:row>
    <x:row r="949">
      <x:c r="A949" t="str">
        <x:v>3120187</x:v>
      </x:c>
      <x:c r="B949" t="str">
        <x:v>신논현역</x:v>
      </x:c>
      <x:c r="C949" t="str">
        <x:v>발달상권</x:v>
      </x:c>
      <x:c r="D949" t="str">
        <x:v>강남구</x:v>
      </x:c>
      <x:c r="E949" t="str">
        <x:v>논현1동</x:v>
      </x:c>
      <x:c r="F949" t="str">
        <x:v>CS100003</x:v>
      </x:c>
      <x:c r="G949" t="str">
        <x:v>일식음식점</x:v>
      </x:c>
      <x:c r="H949" t="n">
        <x:v>4108358008</x:v>
      </x:c>
      <x:c r="I949" t="n">
        <x:v>123637</x:v>
      </x:c>
      <x:c r="J949" t="n">
        <x:v>33229.195208554076</x:v>
      </x:c>
      <x:c r="K949" s="14" t="n">
        <x:v>0.07525014277223674</x:v>
      </x:c>
      <x:c r="L949" s="14" t="n">
        <x:v>0.048235937606500245</x:v>
      </x:c>
      <x:c r="M949" s="14" t="n">
        <x:v>-0.004288267098710441</x:v>
      </x:c>
      <x:c r="N949" t="n">
        <x:v>53</x:v>
      </x:c>
      <x:c r="O949" t="n">
        <x:v>2</x:v>
      </x:c>
      <x:c r="P949" s="14" t="n">
        <x:v>0.034482758620689655</x:v>
      </x:c>
      <x:c r="Q949" s="14" t="n">
        <x:v>0.09433962264150944</x:v>
      </x:c>
      <x:c r="R949" s="14" t="n">
        <x:v>-0.01851851851851849</x:v>
      </x:c>
      <x:c r="S949" t="n">
        <x:v>25051</x:v>
      </x:c>
      <x:c r="T949" t="n">
        <x:v>655.1130776794494</x:v>
      </x:c>
      <x:c r="U949" s="14" t="n">
        <x:v>0.7333508798729792</x:v>
      </x:c>
      <x:c r="V949" s="14" t="n">
        <x:v>0.5503595812724021</x:v>
      </x:c>
      <x:c r="W949" s="14" t="n">
        <x:v>0.5212488348946244</x:v>
      </x:c>
      <x:c r="X949" s="14" t="n">
        <x:v>0.38484157659124824</x:v>
      </x:c>
      <x:c r="Y949" s="16" t="n">
        <x:v>96.13095238095238</x:v>
      </x:c>
      <x:c r="Z949" s="16" t="n">
        <x:v>66.9753086419753</x:v>
      </x:c>
      <x:c r="AA949" s="16" t="n">
        <x:v>78.68852459016394</x:v>
      </x:c>
      <x:c r="AB949" s="16" t="n">
        <x:v>28.42261904761905</x:v>
      </x:c>
      <x:c r="AC949" s="16" t="n">
        <x:v>38.69047619047619</x:v>
      </x:c>
      <x:c r="AD949" s="16" t="n">
        <x:v>93.53658536585365</x:v>
      </x:c>
      <x:c r="AE949" s="16" t="n">
        <x:v>71.65344349473614</x:v>
      </x:c>
      <x:c r="AF949" t="str">
        <x:v>검토</x:v>
      </x:c>
      <x:c r="AG949" t="str">
        <x:v>수요·직장수요 강점 / 경쟁여건 상대적 약점</x:v>
      </x:c>
    </x:row>
    <x:row r="950">
      <x:c r="A950" t="str">
        <x:v>3120206</x:v>
      </x:c>
      <x:c r="B950" t="str">
        <x:v>개나리아파트</x:v>
      </x:c>
      <x:c r="C950" t="str">
        <x:v>발달상권</x:v>
      </x:c>
      <x:c r="D950" t="str">
        <x:v>강남구</x:v>
      </x:c>
      <x:c r="E950" t="str">
        <x:v>역삼2동</x:v>
      </x:c>
      <x:c r="F950" t="str">
        <x:v>CS200024</x:v>
      </x:c>
      <x:c r="G950" t="str">
        <x:v>스포츠클럽</x:v>
      </x:c>
      <x:c r="H950" t="n">
        <x:v>716172467</x:v>
      </x:c>
      <x:c r="I950" t="n">
        <x:v>697</x:v>
      </x:c>
      <x:c r="J950" t="n">
        <x:v>1027507.1262553802</x:v>
      </x:c>
      <x:c r="K950" s="14" t="n">
        <x:v>0.10490174700537902</x:v>
      </x:c>
      <x:c r="L950" s="14" t="n">
        <x:v>0.03927856170757105</x:v>
      </x:c>
      <x:c r="M950" s="14" t="n">
        <x:v>-0.042593628048716026</x:v>
      </x:c>
      <x:c r="N950" t="n">
        <x:v>39</x:v>
      </x:c>
      <x:c r="O950" t="n">
        <x:v>0</x:v>
      </x:c>
      <x:c r="P950" s="14" t="n">
        <x:v>0</x:v>
      </x:c>
      <x:c r="Q950" s="14" t="n">
        <x:v>0.05128205128205128</x:v>
      </x:c>
      <x:c r="R950" s="14" t="n">
        <x:v>0.30000000000000004</x:v>
      </x:c>
      <x:c r="S950" t="n">
        <x:v>6788</x:v>
      </x:c>
      <x:c r="T950" t="n">
        <x:v>457.37541438697684</x:v>
      </x:c>
      <x:c r="U950" s="14" t="n">
        <x:v>0.9578377159254853</x:v>
      </x:c>
      <x:c r="V950" s="14" t="n">
        <x:v>0.2542835984226688</x:v>
      </x:c>
      <x:c r="W950" s="14" t="n">
        <x:v>0.16699219323660483</x:v>
      </x:c>
      <x:c r="X950" s="14" t="n">
        <x:v>0.3542060839934524</x:v>
      </x:c>
      <x:c r="Y950" s="16" t="n">
        <x:v>91.30434782608695</x:v>
      </x:c>
      <x:c r="Z950" s="16" t="n">
        <x:v>72.76785714285714</x:v>
      </x:c>
      <x:c r="AA950" s="16" t="n">
        <x:v>75.40983606557377</x:v>
      </x:c>
      <x:c r="AB950" s="16" t="n">
        <x:v>16.66666666666667</x:v>
      </x:c>
      <x:c r="AC950" s="16" t="n">
        <x:v>68.84057971014492</x:v>
      </x:c>
      <x:c r="AD950" s="16" t="n">
        <x:v>88.90243902439025</x:v>
      </x:c>
      <x:c r="AE950" s="16" t="n">
        <x:v>71.65074849977194</x:v>
      </x:c>
      <x:c r="AF950" t="str">
        <x:v>검토</x:v>
      </x:c>
      <x:c r="AG950" t="str">
        <x:v>수요·직장수요 강점 / 경쟁여건 상대적 약점</x:v>
      </x:c>
    </x:row>
    <x:row r="951">
      <x:c r="A951" t="str">
        <x:v>3120081</x:v>
      </x:c>
      <x:c r="B951" t="str">
        <x:v>노원역</x:v>
      </x:c>
      <x:c r="C951" t="str">
        <x:v>발달상권</x:v>
      </x:c>
      <x:c r="D951" t="str">
        <x:v>노원구</x:v>
      </x:c>
      <x:c r="E951" t="str">
        <x:v>상계2동</x:v>
      </x:c>
      <x:c r="F951" t="str">
        <x:v>CS200003</x:v>
      </x:c>
      <x:c r="G951" t="str">
        <x:v>예술학원</x:v>
      </x:c>
      <x:c r="H951" t="n">
        <x:v>2045272239</x:v>
      </x:c>
      <x:c r="I951" t="n">
        <x:v>3958</x:v>
      </x:c>
      <x:c r="J951" t="n">
        <x:v>516743.8703890854</x:v>
      </x:c>
      <x:c r="K951" s="14" t="n">
        <x:v>0.08230158387589537</x:v>
      </x:c>
      <x:c r="L951" s="14" t="n">
        <x:v>0.09364146198394163</x:v>
      </x:c>
      <x:c r="M951" s="14" t="n">
        <x:v>0.053788091189524545</x:v>
      </x:c>
      <x:c r="N951" t="n">
        <x:v>35</x:v>
      </x:c>
      <x:c r="O951" t="n">
        <x:v>2</x:v>
      </x:c>
      <x:c r="P951" s="14" t="n">
        <x:v>0.05</x:v>
      </x:c>
      <x:c r="Q951" s="14" t="n">
        <x:v>0.02857142857142857</x:v>
      </x:c>
      <x:c r="R951" s="14" t="n">
        <x:v>0.02941176470588225</x:v>
      </x:c>
      <x:c r="S951" t="n">
        <x:v>5934</x:v>
      </x:c>
      <x:c r="T951" t="n">
        <x:v>221.67184050386078</x:v>
      </x:c>
      <x:c r="U951" s="14" t="n">
        <x:v>0.8427705897200123</x:v>
      </x:c>
      <x:c r="V951" s="14" t="n">
        <x:v>0.4641761800200135</x:v>
      </x:c>
      <x:c r="W951" s="14" t="n">
        <x:v>0.05080369254452097</x:v>
      </x:c>
      <x:c r="X951" s="14" t="n">
        <x:v>0.5390166844189977</x:v>
      </x:c>
      <x:c r="Y951" s="16" t="n">
        <x:v>98.60557768924303</x:v>
      </x:c>
      <x:c r="Z951" s="16" t="n">
        <x:v>63.59918200408998</x:v>
      </x:c>
      <x:c r="AA951" s="16" t="n">
        <x:v>88.52459016393442</x:v>
      </x:c>
      <x:c r="AB951" s="16" t="n">
        <x:v>38.745019920318725</x:v>
      </x:c>
      <x:c r="AC951" s="16" t="n">
        <x:v>14.04382470119522</x:v>
      </x:c>
      <x:c r="AD951" s="16" t="n">
        <x:v>78.23170731707317</x:v>
      </x:c>
      <x:c r="AE951" s="16" t="n">
        <x:v>71.63819794066421</x:v>
      </x:c>
      <x:c r="AF951" t="str">
        <x:v>검토</x:v>
      </x:c>
      <x:c r="AG951" t="str">
        <x:v>수요·서울 업종추세 강점 / 안정성 상대적 약점</x:v>
      </x:c>
    </x:row>
    <x:row r="952">
      <x:c r="A952" t="str">
        <x:v>3120102</x:v>
      </x:c>
      <x:c r="B952" t="str">
        <x:v>서교동(홍대)</x:v>
      </x:c>
      <x:c r="C952" t="str">
        <x:v>발달상권</x:v>
      </x:c>
      <x:c r="D952" t="str">
        <x:v>마포구</x:v>
      </x:c>
      <x:c r="E952" t="str">
        <x:v>서교동</x:v>
      </x:c>
      <x:c r="F952" t="str">
        <x:v>CS300011</x:v>
      </x:c>
      <x:c r="G952" t="str">
        <x:v>일반의류</x:v>
      </x:c>
      <x:c r="H952" t="n">
        <x:v>1531156915</x:v>
      </x:c>
      <x:c r="I952" t="n">
        <x:v>8461</x:v>
      </x:c>
      <x:c r="J952" t="n">
        <x:v>180966.42418153884</x:v>
      </x:c>
      <x:c r="K952" s="14" t="n">
        <x:v>0.5519033552894619</x:v>
      </x:c>
      <x:c r="L952" s="14" t="n">
        <x:v>0.06726691045630595</x:v>
      </x:c>
      <x:c r="M952" s="14" t="n">
        <x:v>0.00788849516466894</x:v>
      </x:c>
      <x:c r="N952" t="n">
        <x:v>586</x:v>
      </x:c>
      <x:c r="O952" t="n">
        <x:v>7</x:v>
      </x:c>
      <x:c r="P952" s="14" t="n">
        <x:v>0.011844331641285956</x:v>
      </x:c>
      <x:c r="Q952" s="14" t="n">
        <x:v>0.0017064846416382253</x:v>
      </x:c>
      <x:c r="R952" s="14" t="n">
        <x:v>0.035335689045936425</x:v>
      </x:c>
      <x:c r="S952" t="n">
        <x:v>4770</x:v>
      </x:c>
      <x:c r="T952" t="n">
        <x:v>193.5648807567291</x:v>
      </x:c>
      <x:c r="U952" s="14" t="n">
        <x:v>0.5175814740058827</x:v>
      </x:c>
      <x:c r="V952" s="14" t="n">
        <x:v>0.23525740208017804</x:v>
      </x:c>
      <x:c r="W952" s="14" t="n">
        <x:v>0.14745603980111993</x:v>
      </x:c>
      <x:c r="X952" s="14" t="n">
        <x:v>0.595099944410335</x:v>
      </x:c>
      <x:c r="Y952" s="16" t="n">
        <x:v>86.6902237926973</x:v>
      </x:c>
      <x:c r="Z952" s="16" t="n">
        <x:v>92.7797833935018</x:v>
      </x:c>
      <x:c r="AA952" s="16" t="n">
        <x:v>81.9672131147541</x:v>
      </x:c>
      <x:c r="AB952" s="16" t="n">
        <x:v>3.7102473498233195</x:v>
      </x:c>
      <x:c r="AC952" s="16" t="n">
        <x:v>61.071849234393405</x:v>
      </x:c>
      <x:c r="AD952" s="16" t="n">
        <x:v>75.42682926829268</x:v>
      </x:c>
      <x:c r="AE952" s="16" t="n">
        <x:v>71.62768046268499</x:v>
      </x:c>
      <x:c r="AF952" t="str">
        <x:v>검토</x:v>
      </x:c>
      <x:c r="AG952" t="str">
        <x:v>상권 모멘텀·수요 강점 / 경쟁여건 상대적 약점</x:v>
      </x:c>
    </x:row>
    <x:row r="953">
      <x:c r="A953" t="str">
        <x:v>3120047</x:v>
      </x:c>
      <x:c r="B953" t="str">
        <x:v>한남오거리</x:v>
      </x:c>
      <x:c r="C953" t="str">
        <x:v>발달상권</x:v>
      </x:c>
      <x:c r="D953" t="str">
        <x:v>용산구</x:v>
      </x:c>
      <x:c r="E953" t="str">
        <x:v>한남동</x:v>
      </x:c>
      <x:c r="F953" t="str">
        <x:v>CS300018</x:v>
      </x:c>
      <x:c r="G953" t="str">
        <x:v>의약품</x:v>
      </x:c>
      <x:c r="H953" t="n">
        <x:v>3081676295</x:v>
      </x:c>
      <x:c r="I953" t="n">
        <x:v>89630</x:v>
      </x:c>
      <x:c r="J953" t="n">
        <x:v>34382.1967533192</x:v>
      </x:c>
      <x:c r="K953" s="14" t="n">
        <x:v>0.08518073341922139</x:v>
      </x:c>
      <x:c r="L953" s="14" t="n">
        <x:v>0.027829225601598617</x:v>
      </x:c>
      <x:c r="M953" s="14" t="n">
        <x:v>0.02632929521123617</x:v>
      </x:c>
      <x:c r="N953" t="n">
        <x:v>20</x:v>
      </x:c>
      <x:c r="O953" t="n">
        <x:v>1</x:v>
      </x:c>
      <x:c r="P953" s="14" t="n">
        <x:v>0.04</x:v>
      </x:c>
      <x:c r="Q953" s="14" t="n">
        <x:v>0.05</x:v>
      </x:c>
      <x:c r="R953" s="14" t="n">
        <x:v>0.05263157894736836</x:v>
      </x:c>
      <x:c r="S953" t="n">
        <x:v>13257</x:v>
      </x:c>
      <x:c r="T953" t="n">
        <x:v>848.6652583061264</x:v>
      </x:c>
      <x:c r="U953" s="14" t="n">
        <x:v>0.9270072987987208</x:v>
      </x:c>
      <x:c r="V953" s="14" t="n">
        <x:v>0.0968934464286425</x:v>
      </x:c>
      <x:c r="W953" s="14" t="n">
        <x:v>0.17432087428248202</x:v>
      </x:c>
      <x:c r="X953" s="14" t="n">
        <x:v>0.5239120022500611</x:v>
      </x:c>
      <x:c r="Y953" s="16" t="n">
        <x:v>77.66323024054982</x:v>
      </x:c>
      <x:c r="Z953" s="16" t="n">
        <x:v>92.48251748251748</x:v>
      </x:c>
      <x:c r="AA953" s="16" t="n">
        <x:v>72.1311475409836</x:v>
      </x:c>
      <x:c r="AB953" s="16" t="n">
        <x:v>60.738831615120276</x:v>
      </x:c>
      <x:c r="AC953" s="16" t="n">
        <x:v>12.199312714776639</x:v>
      </x:c>
      <x:c r="AD953" s="16" t="n">
        <x:v>95.79268292682927</x:v>
      </x:c>
      <x:c r="AE953" s="16" t="n">
        <x:v>71.61869637193064</x:v>
      </x:c>
      <x:c r="AF953" t="str">
        <x:v>검토</x:v>
      </x:c>
      <x:c r="AG953" t="str">
        <x:v>직장수요·상권 모멘텀 강점 / 안정성 상대적 약점</x:v>
      </x:c>
    </x:row>
    <x:row r="954">
      <x:c r="A954" t="str">
        <x:v>3120230</x:v>
      </x:c>
      <x:c r="B954" t="str">
        <x:v>송파사거리(송파역)</x:v>
      </x:c>
      <x:c r="C954" t="str">
        <x:v>발달상권</x:v>
      </x:c>
      <x:c r="D954" t="str">
        <x:v>송파구</x:v>
      </x:c>
      <x:c r="E954" t="str">
        <x:v>석촌동</x:v>
      </x:c>
      <x:c r="F954" t="str">
        <x:v>CS200003</x:v>
      </x:c>
      <x:c r="G954" t="str">
        <x:v>예술학원</x:v>
      </x:c>
      <x:c r="H954" t="n">
        <x:v>1304346095</x:v>
      </x:c>
      <x:c r="I954" t="n">
        <x:v>2616</x:v>
      </x:c>
      <x:c r="J954" t="n">
        <x:v>498603.247324159</x:v>
      </x:c>
      <x:c r="K954" s="14" t="n">
        <x:v>0.20004069661645452</x:v>
      </x:c>
      <x:c r="L954" s="14" t="n">
        <x:v>0.09364146198394163</x:v>
      </x:c>
      <x:c r="M954" s="14" t="n">
        <x:v>0.053788091189524545</x:v>
      </x:c>
      <x:c r="N954" t="n">
        <x:v>52</x:v>
      </x:c>
      <x:c r="O954" t="n">
        <x:v>2</x:v>
      </x:c>
      <x:c r="P954" s="14" t="n">
        <x:v>0.03508771929824561</x:v>
      </x:c>
      <x:c r="Q954" s="14" t="n">
        <x:v>0.019230769230769232</x:v>
      </x:c>
      <x:c r="R954" s="14" t="n">
        <x:v>0.08333333333333326</x:v>
      </x:c>
      <x:c r="S954" t="n">
        <x:v>2117</x:v>
      </x:c>
      <x:c r="T954" t="n">
        <x:v>206.85746670444885</x:v>
      </x:c>
      <x:c r="U954" s="14" t="n">
        <x:v>0.707527075473017</x:v>
      </x:c>
      <x:c r="V954" s="14" t="n">
        <x:v>0.4397862309696262</x:v>
      </x:c>
      <x:c r="W954" s="14" t="n">
        <x:v>0.11018383966565254</x:v>
      </x:c>
      <x:c r="X954" s="14" t="n">
        <x:v>0.47609698866005346</x:v>
      </x:c>
      <x:c r="Y954" s="16" t="n">
        <x:v>96.81274900398407</x:v>
      </x:c>
      <x:c r="Z954" s="16" t="n">
        <x:v>82.61758691206543</x:v>
      </x:c>
      <x:c r="AA954" s="16" t="n">
        <x:v>88.52459016393442</x:v>
      </x:c>
      <x:c r="AB954" s="16" t="n">
        <x:v>12.151394422310759</x:v>
      </x:c>
      <x:c r="AC954" s="16" t="n">
        <x:v>22.50996015936255</x:v>
      </x:c>
      <x:c r="AD954" s="16" t="n">
        <x:v>77.07317073170732</x:v>
      </x:c>
      <x:c r="AE954" s="16" t="n">
        <x:v>71.61403177426591</x:v>
      </x:c>
      <x:c r="AF954" t="str">
        <x:v>검토</x:v>
      </x:c>
      <x:c r="AG954" t="str">
        <x:v>수요·서울 업종추세 강점 / 경쟁여건 상대적 약점</x:v>
      </x:c>
    </x:row>
    <x:row r="955">
      <x:c r="A955" t="str">
        <x:v>3130308</x:v>
      </x:c>
      <x:c r="B955" t="str">
        <x:v>청담삼익시장</x:v>
      </x:c>
      <x:c r="C955" t="str">
        <x:v>전통시장</x:v>
      </x:c>
      <x:c r="D955" t="str">
        <x:v>강남구</x:v>
      </x:c>
      <x:c r="E955" t="str">
        <x:v>청담동</x:v>
      </x:c>
      <x:c r="F955" t="str">
        <x:v>CS300011</x:v>
      </x:c>
      <x:c r="G955" t="str">
        <x:v>일반의류</x:v>
      </x:c>
      <x:c r="H955" t="n">
        <x:v>885225099</x:v>
      </x:c>
      <x:c r="I955" t="n">
        <x:v>2755</x:v>
      </x:c>
      <x:c r="J955" t="n">
        <x:v>321315.82540834846</x:v>
      </x:c>
      <x:c r="K955" s="14" t="n">
        <x:v>0.9059112428869462</x:v>
      </x:c>
      <x:c r="L955" s="14" t="n">
        <x:v>0.06726691045630595</x:v>
      </x:c>
      <x:c r="M955" s="14" t="n">
        <x:v>0.00788849516466894</x:v>
      </x:c>
      <x:c r="N955" t="n">
        <x:v>377</x:v>
      </x:c>
      <x:c r="O955" t="n">
        <x:v>1</x:v>
      </x:c>
      <x:c r="P955" s="14" t="n">
        <x:v>0.002617801047120419</x:v>
      </x:c>
      <x:c r="Q955" s="14" t="n">
        <x:v>0.005305039787798408</x:v>
      </x:c>
      <x:c r="R955" s="14" t="n">
        <x:v>0.08959537572254339</x:v>
      </x:c>
      <x:c r="S955"/>
      <x:c r="T955"/>
      <x:c r="U955" s="14" t="n">
        <x:v>0.9753673297055939</x:v>
      </x:c>
      <x:c r="V955" s="14" t="n">
        <x:v>0.2152117548578455</x:v>
      </x:c>
      <x:c r="W955" s="14" t="n">
        <x:v>0.036183099684117745</x:v>
      </x:c>
      <x:c r="X955" s="14" t="n">
        <x:v>0.789430053202773</x:v>
      </x:c>
      <x:c r="Y955" s="16" t="n">
        <x:v>82.21436984687868</x:v>
      </x:c>
      <x:c r="Z955" s="16" t="n">
        <x:v>96.75090252707581</x:v>
      </x:c>
      <x:c r="AA955" s="16" t="n">
        <x:v>81.9672131147541</x:v>
      </x:c>
      <x:c r="AB955" s="16" t="n">
        <x:v>9.717314487632507</x:v>
      </x:c>
      <x:c r="AC955" s="16" t="n">
        <x:v>72.20259128386337</x:v>
      </x:c>
      <x:c r="AD955" s="16" t="n">
        <x:v>50</x:v>
      </x:c>
      <x:c r="AE955" s="16" t="n">
        <x:v>71.59814822056703</x:v>
      </x:c>
      <x:c r="AF955" t="str">
        <x:v>검토</x:v>
      </x:c>
      <x:c r="AG955" t="str">
        <x:v>상권 모멘텀·수요 강점 / 경쟁여건 상대적 약점</x:v>
      </x:c>
    </x:row>
    <x:row r="956">
      <x:c r="A956" t="str">
        <x:v>3120151</x:v>
      </x:c>
      <x:c r="B956" t="str">
        <x:v>보라매공원</x:v>
      </x:c>
      <x:c r="C956" t="str">
        <x:v>발달상권</x:v>
      </x:c>
      <x:c r="D956" t="str">
        <x:v>동작구</x:v>
      </x:c>
      <x:c r="E956" t="str">
        <x:v>신대방2동</x:v>
      </x:c>
      <x:c r="F956" t="str">
        <x:v>CS100001</x:v>
      </x:c>
      <x:c r="G956" t="str">
        <x:v>한식음식점</x:v>
      </x:c>
      <x:c r="H956" t="n">
        <x:v>10103819147</x:v>
      </x:c>
      <x:c r="I956" t="n">
        <x:v>345311</x:v>
      </x:c>
      <x:c r="J956" t="n">
        <x:v>29260.05585399828</x:v>
      </x:c>
      <x:c r="K956" s="14" t="n">
        <x:v>0.09530021535775268</x:v>
      </x:c>
      <x:c r="L956" s="14" t="n">
        <x:v>-0.0018259958518723751</x:v>
      </x:c>
      <x:c r="M956" s="14" t="n">
        <x:v>0.06341040875687098</x:v>
      </x:c>
      <x:c r="N956" t="n">
        <x:v>137</x:v>
      </x:c>
      <x:c r="O956" t="n">
        <x:v>7</x:v>
      </x:c>
      <x:c r="P956" s="14" t="n">
        <x:v>0.04929577464788732</x:v>
      </x:c>
      <x:c r="Q956" s="14" t="n">
        <x:v>0.11678832116788321</x:v>
      </x:c>
      <x:c r="R956" s="14" t="n">
        <x:v>0.07874015748031504</x:v>
      </x:c>
      <x:c r="S956" t="n">
        <x:v>10160</x:v>
      </x:c>
      <x:c r="T956" t="n">
        <x:v>848.8666460576995</x:v>
      </x:c>
      <x:c r="U956" s="14" t="n">
        <x:v>0.80749962794242</x:v>
      </x:c>
      <x:c r="V956" s="14" t="n">
        <x:v>0.40092045394565096</x:v>
      </x:c>
      <x:c r="W956" s="14" t="n">
        <x:v>0.22715852635599437</x:v>
      </x:c>
      <x:c r="X956" s="14" t="n">
        <x:v>0.302874354387927</x:v>
      </x:c>
      <x:c r="Y956" s="16" t="n">
        <x:v>93.66548042704626</x:v>
      </x:c>
      <x:c r="Z956" s="16" t="n">
        <x:v>88.06290207290922</x:v>
      </x:c>
      <x:c r="AA956" s="16" t="n">
        <x:v>40.98360655737705</x:v>
      </x:c>
      <x:c r="AB956" s="16" t="n">
        <x:v>53.736654804270465</x:v>
      </x:c>
      <x:c r="AC956" s="16" t="n">
        <x:v>21.992882562277586</x:v>
      </x:c>
      <x:c r="AD956" s="16" t="n">
        <x:v>95.85365853658537</x:v>
      </x:c>
      <x:c r="AE956" s="16" t="n">
        <x:v>71.5955089513522</x:v>
      </x:c>
      <x:c r="AF956" t="str">
        <x:v>검토</x:v>
      </x:c>
      <x:c r="AG956" t="str">
        <x:v>직장수요·수요 강점 / 안정성 상대적 약점</x:v>
      </x:c>
    </x:row>
    <x:row r="957">
      <x:c r="A957" t="str">
        <x:v>3120125</x:v>
      </x:c>
      <x:c r="B957" t="str">
        <x:v>구로역</x:v>
      </x:c>
      <x:c r="C957" t="str">
        <x:v>발달상권</x:v>
      </x:c>
      <x:c r="D957" t="str">
        <x:v>구로구</x:v>
      </x:c>
      <x:c r="E957" t="str">
        <x:v>구로2동</x:v>
      </x:c>
      <x:c r="F957" t="str">
        <x:v>CS100003</x:v>
      </x:c>
      <x:c r="G957" t="str">
        <x:v>일식음식점</x:v>
      </x:c>
      <x:c r="H957" t="n">
        <x:v>764538178</x:v>
      </x:c>
      <x:c r="I957" t="n">
        <x:v>37226</x:v>
      </x:c>
      <x:c r="J957" t="n">
        <x:v>20537.747219685167</x:v>
      </x:c>
      <x:c r="K957" s="14" t="n">
        <x:v>0.04110329952032621</x:v>
      </x:c>
      <x:c r="L957" s="14" t="n">
        <x:v>0.048235937606500245</x:v>
      </x:c>
      <x:c r="M957" s="14" t="n">
        <x:v>-0.004288267098710441</x:v>
      </x:c>
      <x:c r="N957" t="n">
        <x:v>10</x:v>
      </x:c>
      <x:c r="O957" t="n">
        <x:v>0</x:v>
      </x:c>
      <x:c r="P957" s="14" t="n">
        <x:v>0</x:v>
      </x:c>
      <x:c r="Q957" s="14" t="n">
        <x:v>0.1</x:v>
      </x:c>
      <x:c r="R957" s="14" t="n">
        <x:v>-0.09090909090909094</x:v>
      </x:c>
      <x:c r="S957" t="n">
        <x:v>12431</x:v>
      </x:c>
      <x:c r="T957" t="n">
        <x:v>189.05917547629804</x:v>
      </x:c>
      <x:c r="U957" s="14" t="n">
        <x:v>0.6766322688466186</x:v>
      </x:c>
      <x:c r="V957" s="14" t="n">
        <x:v>0.32210026665274</x:v>
      </x:c>
      <x:c r="W957" s="14" t="n">
        <x:v>0.3345060369241626</x:v>
      </x:c>
      <x:c r="X957" s="14" t="n">
        <x:v>0.42479634417942697</x:v>
      </x:c>
      <x:c r="Y957" s="16" t="n">
        <x:v>72.61904761904762</x:v>
      </x:c>
      <x:c r="Z957" s="16" t="n">
        <x:v>49.382716049382715</x:v>
      </x:c>
      <x:c r="AA957" s="16" t="n">
        <x:v>78.68852459016394</x:v>
      </x:c>
      <x:c r="AB957" s="16" t="n">
        <x:v>84.375</x:v>
      </x:c>
      <x:c r="AC957" s="16" t="n">
        <x:v>81.10119047619048</x:v>
      </x:c>
      <x:c r="AD957" s="16" t="n">
        <x:v>74.63414634146342</x:v>
      </x:c>
      <x:c r="AE957" s="16" t="n">
        <x:v>71.59456492976003</x:v>
      </x:c>
      <x:c r="AF957" t="str">
        <x:v>검토</x:v>
      </x:c>
      <x:c r="AG957" t="str">
        <x:v>경쟁여건·안정성 강점 / 상권 모멘텀 상대적 약점</x:v>
      </x:c>
    </x:row>
    <x:row r="958">
      <x:c r="A958" t="str">
        <x:v>3120150</x:v>
      </x:c>
      <x:c r="B958" t="str">
        <x:v>63빌딩</x:v>
      </x:c>
      <x:c r="C958" t="str">
        <x:v>발달상권</x:v>
      </x:c>
      <x:c r="D958" t="str">
        <x:v>영등포구</x:v>
      </x:c>
      <x:c r="E958" t="str">
        <x:v>여의동</x:v>
      </x:c>
      <x:c r="F958" t="str">
        <x:v>CS300019</x:v>
      </x:c>
      <x:c r="G958" t="str">
        <x:v>의료기기</x:v>
      </x:c>
      <x:c r="H958" t="n">
        <x:v>20502000000</x:v>
      </x:c>
      <x:c r="I958" t="n">
        <x:v>13109</x:v>
      </x:c>
      <x:c r="J958" t="n">
        <x:v>1563963.6890685789</x:v>
      </x:c>
      <x:c r="K958" s="14" t="n">
        <x:v>0</x:v>
      </x:c>
      <x:c r="L958" s="14" t="n">
        <x:v>0.026268479822085578</x:v>
      </x:c>
      <x:c r="M958" s="14" t="n">
        <x:v>-0.00009912701459890982</x:v>
      </x:c>
      <x:c r="N958" t="n">
        <x:v>19</x:v>
      </x:c>
      <x:c r="O958" t="n">
        <x:v>0</x:v>
      </x:c>
      <x:c r="P958" s="14" t="n">
        <x:v>0</x:v>
      </x:c>
      <x:c r="Q958" s="14" t="n">
        <x:v>0</x:v>
      </x:c>
      <x:c r="R958" s="14" t="n">
        <x:v>0</x:v>
      </x:c>
      <x:c r="S958" t="n">
        <x:v>8821</x:v>
      </x:c>
      <x:c r="T958" t="n">
        <x:v>2166.842712913606</x:v>
      </x:c>
      <x:c r="U958" s="14" t="n">
        <x:v>1</x:v>
      </x:c>
      <x:c r="V958" s="14" t="n">
        <x:v>0</x:v>
      </x:c>
      <x:c r="W958" s="14" t="n">
        <x:v>0.10851517437323188</x:v>
      </x:c>
      <x:c r="X958" s="14" t="n">
        <x:v>0.1631357648034338</x:v>
      </x:c>
      <x:c r="Y958" s="16" t="n">
        <x:v>100</x:v>
      </x:c>
      <x:c r="Z958" s="16" t="n">
        <x:v>45.10489510489511</x:v>
      </x:c>
      <x:c r="AA958" s="16" t="n">
        <x:v>68.85245901639344</x:v>
      </x:c>
      <x:c r="AB958" s="16" t="n">
        <x:v>41.29032258064516</x:v>
      </x:c>
      <x:c r="AC958" s="16" t="n">
        <x:v>60.96774193548387</x:v>
      </x:c>
      <x:c r="AD958" s="16" t="n">
        <x:v>99.08536585365853</x:v>
      </x:c>
      <x:c r="AE958" s="16" t="n">
        <x:v>71.59343874676613</x:v>
      </x:c>
      <x:c r="AF958" t="str">
        <x:v>검토</x:v>
      </x:c>
      <x:c r="AG958" t="str">
        <x:v>수요·직장수요 강점 / 경쟁여건 상대적 약점</x:v>
      </x:c>
    </x:row>
    <x:row r="959">
      <x:c r="A959" t="str">
        <x:v>3110422</x:v>
      </x:c>
      <x:c r="B959" t="str">
        <x:v>노원역 9번</x:v>
      </x:c>
      <x:c r="C959" t="str">
        <x:v>골목상권</x:v>
      </x:c>
      <x:c r="D959" t="str">
        <x:v>노원구</x:v>
      </x:c>
      <x:c r="E959" t="str">
        <x:v>상계10동</x:v>
      </x:c>
      <x:c r="F959" t="str">
        <x:v>CS200028</x:v>
      </x:c>
      <x:c r="G959" t="str">
        <x:v>미용실</x:v>
      </x:c>
      <x:c r="H959" t="n">
        <x:v>301580432</x:v>
      </x:c>
      <x:c r="I959" t="n">
        <x:v>6943</x:v>
      </x:c>
      <x:c r="J959" t="n">
        <x:v>43436.61702434106</x:v>
      </x:c>
      <x:c r="K959" s="14" t="n">
        <x:v>0.019800068118648317</x:v>
      </x:c>
      <x:c r="L959" s="14" t="n">
        <x:v>0.02168887159425803</x:v>
      </x:c>
      <x:c r="M959" s="14" t="n">
        <x:v>-0.013481964371473865</x:v>
      </x:c>
      <x:c r="N959" t="n">
        <x:v>19</x:v>
      </x:c>
      <x:c r="O959" t="n">
        <x:v>0</x:v>
      </x:c>
      <x:c r="P959" s="14" t="n">
        <x:v>0</x:v>
      </x:c>
      <x:c r="Q959" s="14" t="n">
        <x:v>0.15789473684210525</x:v>
      </x:c>
      <x:c r="R959" s="14" t="n">
        <x:v>0.2666666666666666</x:v>
      </x:c>
      <x:c r="S959" t="n">
        <x:v>55</x:v>
      </x:c>
      <x:c r="T959" t="n">
        <x:v>15.570150605820405</x:v>
      </x:c>
      <x:c r="U959" s="14" t="n">
        <x:v>0.6199804932967269</x:v>
      </x:c>
      <x:c r="V959" s="14" t="n">
        <x:v>0.3087395637128075</x:v>
      </x:c>
      <x:c r="W959" s="14" t="n">
        <x:v>0.3096396453202242</x:v>
      </x:c>
      <x:c r="X959" s="14" t="n">
        <x:v>0.6530953739067527</x:v>
      </x:c>
      <x:c r="Y959" s="16" t="n">
        <x:v>86.39212175470009</x:v>
      </x:c>
      <x:c r="Z959" s="16" t="n">
        <x:v>51.07913669064748</x:v>
      </x:c>
      <x:c r="AA959" s="16" t="n">
        <x:v>57.377049180327866</x:v>
      </x:c>
      <x:c r="AB959" s="16" t="n">
        <x:v>96.911369740376</x:v>
      </x:c>
      <x:c r="AC959" s="16" t="n">
        <x:v>75.60429722470904</x:v>
      </x:c>
      <x:c r="AD959" s="16" t="n">
        <x:v>8.658536585365853</x:v>
      </x:c>
      <x:c r="AE959" s="16" t="n">
        <x:v>71.5896893421193</x:v>
      </x:c>
      <x:c r="AF959" t="str">
        <x:v>검토</x:v>
      </x:c>
      <x:c r="AG959" t="str">
        <x:v>경쟁여건·수요 강점 / 직장수요 상대적 약점</x:v>
      </x:c>
    </x:row>
    <x:row r="960">
      <x:c r="A960" t="str">
        <x:v>3120032</x:v>
      </x:c>
      <x:c r="B960" t="str">
        <x:v>충무로역</x:v>
      </x:c>
      <x:c r="C960" t="str">
        <x:v>발달상권</x:v>
      </x:c>
      <x:c r="D960" t="str">
        <x:v>중구</x:v>
      </x:c>
      <x:c r="E960" t="str">
        <x:v>필동</x:v>
      </x:c>
      <x:c r="F960" t="str">
        <x:v>CS100008</x:v>
      </x:c>
      <x:c r="G960" t="str">
        <x:v>분식전문점</x:v>
      </x:c>
      <x:c r="H960" t="n">
        <x:v>1054508682</x:v>
      </x:c>
      <x:c r="I960" t="n">
        <x:v>76980</x:v>
      </x:c>
      <x:c r="J960" t="n">
        <x:v>13698.475993764614</x:v>
      </x:c>
      <x:c r="K960" s="14" t="n">
        <x:v>0.05738658193523083</x:v>
      </x:c>
      <x:c r="L960" s="14" t="n">
        <x:v>-0.021494731595524064</x:v>
      </x:c>
      <x:c r="M960" s="14" t="n">
        <x:v>0.009923521656473921</x:v>
      </x:c>
      <x:c r="N960" t="n">
        <x:v>33</x:v>
      </x:c>
      <x:c r="O960" t="n">
        <x:v>0</x:v>
      </x:c>
      <x:c r="P960" s="14" t="n">
        <x:v>0</x:v>
      </x:c>
      <x:c r="Q960" s="14" t="n">
        <x:v>0.18181818181818182</x:v>
      </x:c>
      <x:c r="R960" s="14" t="n">
        <x:v>-0.02941176470588236</x:v>
      </x:c>
      <x:c r="S960" t="n">
        <x:v>12883</x:v>
      </x:c>
      <x:c r="T960" t="n">
        <x:v>544.6988787227925</x:v>
      </x:c>
      <x:c r="U960" s="14" t="n">
        <x:v>0.8570183815708025</x:v>
      </x:c>
      <x:c r="V960" s="14" t="n">
        <x:v>0.30163784180204595</x:v>
      </x:c>
      <x:c r="W960" s="14" t="n">
        <x:v>0.3436132913697528</x:v>
      </x:c>
      <x:c r="X960" s="14" t="n">
        <x:v>0.3545785552859014</x:v>
      </x:c>
      <x:c r="Y960" s="16" t="n">
        <x:v>91.83673469387755</x:v>
      </x:c>
      <x:c r="Z960" s="16" t="n">
        <x:v>69.5822454308094</x:v>
      </x:c>
      <x:c r="AA960" s="16" t="n">
        <x:v>34.42622950819672</x:v>
      </x:c>
      <x:c r="AB960" s="16" t="n">
        <x:v>50.191326530612244</x:v>
      </x:c>
      <x:c r="AC960" s="16" t="n">
        <x:v>82.71683673469389</x:v>
      </x:c>
      <x:c r="AD960" s="16" t="n">
        <x:v>90.91463414634147</x:v>
      </x:c>
      <x:c r="AE960" s="16" t="n">
        <x:v>71.56935501562683</x:v>
      </x:c>
      <x:c r="AF960" t="str">
        <x:v>검토</x:v>
      </x:c>
      <x:c r="AG960" t="str">
        <x:v>수요·직장수요 강점 / 서울 업종추세 상대적 약점</x:v>
      </x:c>
    </x:row>
    <x:row r="961">
      <x:c r="A961" t="str">
        <x:v>3110415</x:v>
      </x:c>
      <x:c r="B961" t="str">
        <x:v>수락산역 4번</x:v>
      </x:c>
      <x:c r="C961" t="str">
        <x:v>골목상권</x:v>
      </x:c>
      <x:c r="D961" t="str">
        <x:v>노원구</x:v>
      </x:c>
      <x:c r="E961" t="str">
        <x:v>상계1동</x:v>
      </x:c>
      <x:c r="F961" t="str">
        <x:v>CS300016</x:v>
      </x:c>
      <x:c r="G961" t="str">
        <x:v>안경</x:v>
      </x:c>
      <x:c r="H961" t="n">
        <x:v>636382866</x:v>
      </x:c>
      <x:c r="I961" t="n">
        <x:v>6483</x:v>
      </x:c>
      <x:c r="J961" t="n">
        <x:v>98161.78713558537</x:v>
      </x:c>
      <x:c r="K961" s="14" t="n">
        <x:v>0.02738721774278874</x:v>
      </x:c>
      <x:c r="L961" s="14" t="n">
        <x:v>0.02313988190963734</x:v>
      </x:c>
      <x:c r="M961" s="14" t="n">
        <x:v>0.009707725123368816</x:v>
      </x:c>
      <x:c r="N961" t="n">
        <x:v>5</x:v>
      </x:c>
      <x:c r="O961" t="n">
        <x:v>0</x:v>
      </x:c>
      <x:c r="P961" s="14" t="n">
        <x:v>0</x:v>
      </x:c>
      <x:c r="Q961" s="14" t="n">
        <x:v>0.4</x:v>
      </x:c>
      <x:c r="R961" s="14" t="n">
        <x:v>0.25</x:v>
      </x:c>
      <x:c r="S961" t="n">
        <x:v>1942</x:v>
      </x:c>
      <x:c r="T961" t="n">
        <x:v>98.32513113392876</x:v>
      </x:c>
      <x:c r="U961" s="14" t="n">
        <x:v>0.7207752133288894</x:v>
      </x:c>
      <x:c r="V961" s="14" t="n">
        <x:v>0.30162152574359224</x:v>
      </x:c>
      <x:c r="W961" s="14" t="n">
        <x:v>0.2365165940844171</x:v>
      </x:c>
      <x:c r="X961" s="14" t="n">
        <x:v>0.5465467120228846</x:v>
      </x:c>
      <x:c r="Y961" s="16" t="n">
        <x:v>80.19323671497584</x:v>
      </x:c>
      <x:c r="Z961" s="16" t="n">
        <x:v>62.4390243902439</x:v>
      </x:c>
      <x:c r="AA961" s="16" t="n">
        <x:v>62.295081967213115</x:v>
      </x:c>
      <x:c r="AB961" s="16" t="n">
        <x:v>86.6504854368932</x:v>
      </x:c>
      <x:c r="AC961" s="16" t="n">
        <x:v>57.28155339805825</x:v>
      </x:c>
      <x:c r="AD961" s="16" t="n">
        <x:v>58.71951219512195</x:v>
      </x:c>
      <x:c r="AE961" s="16" t="n">
        <x:v>71.5614037884682</x:v>
      </x:c>
      <x:c r="AF961" t="str">
        <x:v>검토</x:v>
      </x:c>
      <x:c r="AG961" t="str">
        <x:v>경쟁여건·수요 강점 / 안정성 상대적 약점</x:v>
      </x:c>
    </x:row>
    <x:row r="962">
      <x:c r="A962" t="str">
        <x:v>3120234</x:v>
      </x:c>
      <x:c r="B962" t="str">
        <x:v>가락시장역</x:v>
      </x:c>
      <x:c r="C962" t="str">
        <x:v>발달상권</x:v>
      </x:c>
      <x:c r="D962" t="str">
        <x:v>송파구</x:v>
      </x:c>
      <x:c r="E962" t="str">
        <x:v>가락본동</x:v>
      </x:c>
      <x:c r="F962" t="str">
        <x:v>CS200016</x:v>
      </x:c>
      <x:c r="G962" t="str">
        <x:v>당구장</x:v>
      </x:c>
      <x:c r="H962" t="n">
        <x:v>202366800</x:v>
      </x:c>
      <x:c r="I962" t="n">
        <x:v>7053</x:v>
      </x:c>
      <x:c r="J962" t="n">
        <x:v>28692.30114844747</x:v>
      </x:c>
      <x:c r="K962" s="14" t="n">
        <x:v>0.049037505765893386</x:v>
      </x:c>
      <x:c r="L962" s="14" t="n">
        <x:v>0.052763611334009974</x:v>
      </x:c>
      <x:c r="M962" s="14" t="n">
        <x:v>0.07602781601598463</x:v>
      </x:c>
      <x:c r="N962" t="n">
        <x:v>28</x:v>
      </x:c>
      <x:c r="O962" t="n">
        <x:v>0</x:v>
      </x:c>
      <x:c r="P962" s="14" t="n">
        <x:v>0</x:v>
      </x:c>
      <x:c r="Q962" s="14" t="n">
        <x:v>0</x:v>
      </x:c>
      <x:c r="R962" s="14" t="n">
        <x:v>0.07692307692307687</x:v>
      </x:c>
      <x:c r="S962" t="n">
        <x:v>11587</x:v>
      </x:c>
      <x:c r="T962" t="n">
        <x:v>701.409235090438</x:v>
      </x:c>
      <x:c r="U962" s="14" t="n">
        <x:v>0.6695839238452157</x:v>
      </x:c>
      <x:c r="V962" s="14" t="n">
        <x:v>0.5334301921066104</x:v>
      </x:c>
      <x:c r="W962" s="14" t="n">
        <x:v>0.2757677494529735</x:v>
      </x:c>
      <x:c r="X962" s="14" t="n">
        <x:v>0.06031520486562025</x:v>
      </x:c>
      <x:c r="Y962" s="16" t="n">
        <x:v>92.62536873156343</x:v>
      </x:c>
      <x:c r="Z962" s="16" t="n">
        <x:v>72.22222222222223</x:v>
      </x:c>
      <x:c r="AA962" s="16" t="n">
        <x:v>80.32786885245902</x:v>
      </x:c>
      <x:c r="AB962" s="16" t="n">
        <x:v>6.78466076696165</x:v>
      </x:c>
      <x:c r="AC962" s="16" t="n">
        <x:v>69.32153392330383</x:v>
      </x:c>
      <x:c r="AD962" s="16" t="n">
        <x:v>93.96341463414635</x:v>
      </x:c>
      <x:c r="AE962" s="16" t="n">
        <x:v>71.56052706744245</x:v>
      </x:c>
      <x:c r="AF962" t="str">
        <x:v>검토</x:v>
      </x:c>
      <x:c r="AG962" t="str">
        <x:v>직장수요·수요 강점 / 경쟁여건 상대적 약점</x:v>
      </x:c>
    </x:row>
    <x:row r="963">
      <x:c r="A963" t="str">
        <x:v>3130213</x:v>
      </x:c>
      <x:c r="B963" t="str">
        <x:v>방신전통시장</x:v>
      </x:c>
      <x:c r="C963" t="str">
        <x:v>전통시장</x:v>
      </x:c>
      <x:c r="D963" t="str">
        <x:v>강서구</x:v>
      </x:c>
      <x:c r="E963" t="str">
        <x:v>방화1동</x:v>
      </x:c>
      <x:c r="F963" t="str">
        <x:v>CS300007</x:v>
      </x:c>
      <x:c r="G963" t="str">
        <x:v>육류판매</x:v>
      </x:c>
      <x:c r="H963" t="n">
        <x:v>3370503864</x:v>
      </x:c>
      <x:c r="I963" t="n">
        <x:v>121613</x:v>
      </x:c>
      <x:c r="J963" t="n">
        <x:v>27714.99645597099</x:v>
      </x:c>
      <x:c r="K963" s="14" t="n">
        <x:v>0.14268493028267737</x:v>
      </x:c>
      <x:c r="L963" s="14" t="n">
        <x:v>0.23518223683931017</x:v>
      </x:c>
      <x:c r="M963" s="14" t="n">
        <x:v>0.00863079289162072</x:v>
      </x:c>
      <x:c r="N963" t="n">
        <x:v>31</x:v>
      </x:c>
      <x:c r="O963" t="n">
        <x:v>2</x:v>
      </x:c>
      <x:c r="P963" s="14" t="n">
        <x:v>0.05555555555555555</x:v>
      </x:c>
      <x:c r="Q963" s="14" t="n">
        <x:v>0</x:v>
      </x:c>
      <x:c r="R963" s="14" t="n">
        <x:v>-0.03125</x:v>
      </x:c>
      <x:c r="S963" t="n">
        <x:v>504</x:v>
      </x:c>
      <x:c r="T963" t="n">
        <x:v>265.82278481012656</x:v>
      </x:c>
      <x:c r="U963" s="14" t="n">
        <x:v>0.6538094290699795</x:v>
      </x:c>
      <x:c r="V963" s="14" t="n">
        <x:v>0.18947236756527866</x:v>
      </x:c>
      <x:c r="W963" s="14" t="n">
        <x:v>0.08073182259375093</x:v>
      </x:c>
      <x:c r="X963" s="14" t="n">
        <x:v>0.6144933602129228</x:v>
      </x:c>
      <x:c r="Y963" s="16" t="n">
        <x:v>90.34653465346534</x:v>
      </x:c>
      <x:c r="Z963" s="16" t="n">
        <x:v>89.35064935064935</x:v>
      </x:c>
      <x:c r="AA963" s="16" t="n">
        <x:v>100</x:v>
      </x:c>
      <x:c r="AB963" s="16" t="n">
        <x:v>11.138613861386133</x:v>
      </x:c>
      <x:c r="AC963" s="16" t="n">
        <x:v>13.118811881188122</x:v>
      </x:c>
      <x:c r="AD963" s="16" t="n">
        <x:v>81.70731707317073</x:v>
      </x:c>
      <x:c r="AE963" s="16" t="n">
        <x:v>71.559456119828</x:v>
      </x:c>
      <x:c r="AF963" t="str">
        <x:v>검토</x:v>
      </x:c>
      <x:c r="AG963" t="str">
        <x:v>서울 업종추세·수요 강점 / 경쟁여건 상대적 약점</x:v>
      </x:c>
    </x:row>
    <x:row r="964">
      <x:c r="A964" t="str">
        <x:v>3110166</x:v>
      </x:c>
      <x:c r="B964" t="str">
        <x:v>구의1동주민센터</x:v>
      </x:c>
      <x:c r="C964" t="str">
        <x:v>골목상권</x:v>
      </x:c>
      <x:c r="D964" t="str">
        <x:v>광진구</x:v>
      </x:c>
      <x:c r="E964" t="str">
        <x:v>구의1동</x:v>
      </x:c>
      <x:c r="F964" t="str">
        <x:v>CS300010</x:v>
      </x:c>
      <x:c r="G964" t="str">
        <x:v>반찬가게</x:v>
      </x:c>
      <x:c r="H964" t="n">
        <x:v>549482597</x:v>
      </x:c>
      <x:c r="I964" t="n">
        <x:v>118329</x:v>
      </x:c>
      <x:c r="J964" t="n">
        <x:v>4643.684954660312</x:v>
      </x:c>
      <x:c r="K964" s="14" t="n">
        <x:v>1.9265858336244457</x:v>
      </x:c>
      <x:c r="L964" s="14" t="n">
        <x:v>0.02346021551670452</x:v>
      </x:c>
      <x:c r="M964" s="14" t="n">
        <x:v>0.024589273784872745</x:v>
      </x:c>
      <x:c r="N964" t="n">
        <x:v>18</x:v>
      </x:c>
      <x:c r="O964" t="n">
        <x:v>0</x:v>
      </x:c>
      <x:c r="P964" s="14" t="n">
        <x:v>0</x:v>
      </x:c>
      <x:c r="Q964" s="14" t="n">
        <x:v>0</x:v>
      </x:c>
      <x:c r="R964" s="14" t="n">
        <x:v>0.05882352941176472</x:v>
      </x:c>
      <x:c r="S964" t="n">
        <x:v>439</x:v>
      </x:c>
      <x:c r="T964" t="n">
        <x:v>33.35359367877222</x:v>
      </x:c>
      <x:c r="U964" s="14" t="n">
        <x:v>0.6549225343346042</x:v>
      </x:c>
      <x:c r="V964" s="14" t="n">
        <x:v>0.5120711002244899</x:v>
      </x:c>
      <x:c r="W964" s="14" t="n">
        <x:v>0.5441236294513618</x:v>
      </x:c>
      <x:c r="X964" s="14" t="n">
        <x:v>0.5592651845168447</x:v>
      </x:c>
      <x:c r="Y964" s="16" t="n">
        <x:v>64.16040100250626</x:v>
      </x:c>
      <x:c r="Z964" s="16" t="n">
        <x:v>99.16666666666667</x:v>
      </x:c>
      <x:c r="AA964" s="16" t="n">
        <x:v>63.9344262295082</x:v>
      </x:c>
      <x:c r="AB964" s="16" t="n">
        <x:v>73.80952380952381</x:v>
      </x:c>
      <x:c r="AC964" s="16" t="n">
        <x:v>73.93483709273183</x:v>
      </x:c>
      <x:c r="AD964" s="16" t="n">
        <x:v>24.26829268292683</x:v>
      </x:c>
      <x:c r="AE964" s="16" t="n">
        <x:v>71.55796453348485</x:v>
      </x:c>
      <x:c r="AF964" t="str">
        <x:v>검토</x:v>
      </x:c>
      <x:c r="AG964" t="str">
        <x:v>상권 모멘텀·안정성 강점 / 직장수요 상대적 약점</x:v>
      </x:c>
    </x:row>
    <x:row r="965">
      <x:c r="A965" t="str">
        <x:v>3120045</x:v>
      </x:c>
      <x:c r="B965" t="str">
        <x:v>남영동 먹자골목</x:v>
      </x:c>
      <x:c r="C965" t="str">
        <x:v>발달상권</x:v>
      </x:c>
      <x:c r="D965" t="str">
        <x:v>용산구</x:v>
      </x:c>
      <x:c r="E965" t="str">
        <x:v>남영동</x:v>
      </x:c>
      <x:c r="F965" t="str">
        <x:v>CS100010</x:v>
      </x:c>
      <x:c r="G965" t="str">
        <x:v>커피-음료</x:v>
      </x:c>
      <x:c r="H965" t="n">
        <x:v>1398150016</x:v>
      </x:c>
      <x:c r="I965" t="n">
        <x:v>104654</x:v>
      </x:c>
      <x:c r="J965" t="n">
        <x:v>13359.73795554876</x:v>
      </x:c>
      <x:c r="K965" s="14" t="n">
        <x:v>0.10243402169586857</x:v>
      </x:c>
      <x:c r="L965" s="14" t="n">
        <x:v>-0.00844757257331652</x:v>
      </x:c>
      <x:c r="M965" s="14" t="n">
        <x:v>0.016227780215539944</x:v>
      </x:c>
      <x:c r="N965" t="n">
        <x:v>93</x:v>
      </x:c>
      <x:c r="O965" t="n">
        <x:v>0</x:v>
      </x:c>
      <x:c r="P965" s="14" t="n">
        <x:v>0</x:v>
      </x:c>
      <x:c r="Q965" s="14" t="n">
        <x:v>0.22580645161290322</x:v>
      </x:c>
      <x:c r="R965" s="14" t="n">
        <x:v>0.1923076923076923</x:v>
      </x:c>
      <x:c r="S965" t="n">
        <x:v>3277</x:v>
      </x:c>
      <x:c r="T965" t="n">
        <x:v>490.05533123971884</x:v>
      </x:c>
      <x:c r="U965" s="14" t="n">
        <x:v>0.6961534583997029</x:v>
      </x:c>
      <x:c r="V965" s="14" t="n">
        <x:v>0.4620002679311917</x:v>
      </x:c>
      <x:c r="W965" s="14" t="n">
        <x:v>0.5839690023649079</x:v>
      </x:c>
      <x:c r="X965" s="14" t="n">
        <x:v>0.5196769106928223</x:v>
      </x:c>
      <x:c r="Y965" s="16" t="n">
        <x:v>88.57677902621722</x:v>
      </x:c>
      <x:c r="Z965" s="16" t="n">
        <x:v>82.16318785578747</x:v>
      </x:c>
      <x:c r="AA965" s="16" t="n">
        <x:v>37.704918032786885</x:v>
      </x:c>
      <x:c r="AB965" s="16" t="n">
        <x:v>30.945692883895134</x:v>
      </x:c>
      <x:c r="AC965" s="16" t="n">
        <x:v>93.25842696629213</x:v>
      </x:c>
      <x:c r="AD965" s="16" t="n">
        <x:v>89.8780487804878</x:v>
      </x:c>
      <x:c r="AE965" s="16" t="n">
        <x:v>71.55184700348943</x:v>
      </x:c>
      <x:c r="AF965" t="str">
        <x:v>검토</x:v>
      </x:c>
      <x:c r="AG965" t="str">
        <x:v>안정성·직장수요 강점 / 경쟁여건 상대적 약점</x:v>
      </x:c>
    </x:row>
    <x:row r="966">
      <x:c r="A966" t="str">
        <x:v>3110400</x:v>
      </x:c>
      <x:c r="B966" t="str">
        <x:v>도봉구보건소</x:v>
      </x:c>
      <x:c r="C966" t="str">
        <x:v>골목상권</x:v>
      </x:c>
      <x:c r="D966" t="str">
        <x:v>도봉구</x:v>
      </x:c>
      <x:c r="E966" t="str">
        <x:v>쌍문2동</x:v>
      </x:c>
      <x:c r="F966" t="str">
        <x:v>CS300019</x:v>
      </x:c>
      <x:c r="G966" t="str">
        <x:v>의료기기</x:v>
      </x:c>
      <x:c r="H966" t="n">
        <x:v>736202056</x:v>
      </x:c>
      <x:c r="I966" t="n">
        <x:v>7426</x:v>
      </x:c>
      <x:c r="J966" t="n">
        <x:v>99138.44007541072</x:v>
      </x:c>
      <x:c r="K966" s="14" t="n">
        <x:v>0.14471641598459706</x:v>
      </x:c>
      <x:c r="L966" s="14" t="n">
        <x:v>0.026268479822085578</x:v>
      </x:c>
      <x:c r="M966" s="14" t="n">
        <x:v>-0.00009912701459890982</x:v>
      </x:c>
      <x:c r="N966" t="n">
        <x:v>5</x:v>
      </x:c>
      <x:c r="O966" t="n">
        <x:v>0</x:v>
      </x:c>
      <x:c r="P966" s="14" t="n">
        <x:v>0</x:v>
      </x:c>
      <x:c r="Q966" s="14" t="n">
        <x:v>0</x:v>
      </x:c>
      <x:c r="R966" s="14" t="n">
        <x:v>0.25</x:v>
      </x:c>
      <x:c r="S966" t="n">
        <x:v>330</x:v>
      </x:c>
      <x:c r="T966" t="n">
        <x:v>26.764207333392807</x:v>
      </x:c>
      <x:c r="U966" s="14" t="n">
        <x:v>0.9717315309969741</x:v>
      </x:c>
      <x:c r="V966" s="14" t="n">
        <x:v>0.09266427395035691</x:v>
      </x:c>
      <x:c r="W966" s="14" t="n">
        <x:v>0.026978206374365245</x:v>
      </x:c>
      <x:c r="X966" s="14" t="n">
        <x:v>0.32256551046632775</x:v>
      </x:c>
      <x:c r="Y966" s="16" t="n">
        <x:v>72.90322580645162</x:v>
      </x:c>
      <x:c r="Z966" s="16" t="n">
        <x:v>71.32867132867133</x:v>
      </x:c>
      <x:c r="AA966" s="16" t="n">
        <x:v>68.85245901639344</x:v>
      </x:c>
      <x:c r="AB966" s="16" t="n">
        <x:v>96.12903225806451</x:v>
      </x:c>
      <x:c r="AC966" s="16" t="n">
        <x:v>60.96774193548387</x:v>
      </x:c>
      <x:c r="AD966" s="16" t="n">
        <x:v>18.475609756097562</x:v>
      </x:c>
      <x:c r="AE966" s="16" t="n">
        <x:v>71.54964167051429</x:v>
      </x:c>
      <x:c r="AF966" t="str">
        <x:v>검토</x:v>
      </x:c>
      <x:c r="AG966" t="str">
        <x:v>경쟁여건·수요 강점 / 직장수요 상대적 약점</x:v>
      </x:c>
    </x:row>
    <x:row r="967">
      <x:c r="A967" t="str">
        <x:v>3120149</x:v>
      </x:c>
      <x:c r="B967" t="str">
        <x:v>여의도역(여의도)</x:v>
      </x:c>
      <x:c r="C967" t="str">
        <x:v>발달상권</x:v>
      </x:c>
      <x:c r="D967" t="str">
        <x:v>영등포구</x:v>
      </x:c>
      <x:c r="E967" t="str">
        <x:v>여의동</x:v>
      </x:c>
      <x:c r="F967" t="str">
        <x:v>CS200031</x:v>
      </x:c>
      <x:c r="G967" t="str">
        <x:v>세탁소</x:v>
      </x:c>
      <x:c r="H967" t="n">
        <x:v>149688026</x:v>
      </x:c>
      <x:c r="I967" t="n">
        <x:v>1562</x:v>
      </x:c>
      <x:c r="J967" t="n">
        <x:v>95831.00256081946</x:v>
      </x:c>
      <x:c r="K967" s="14" t="n">
        <x:v>0.09934000576501356</x:v>
      </x:c>
      <x:c r="L967" s="14" t="n">
        <x:v>0.00038108013748794356</x:v>
      </x:c>
      <x:c r="M967" s="14" t="n">
        <x:v>0.043856378214214065</x:v>
      </x:c>
      <x:c r="N967" t="n">
        <x:v>20</x:v>
      </x:c>
      <x:c r="O967" t="n">
        <x:v>0</x:v>
      </x:c>
      <x:c r="P967" s="14" t="n">
        <x:v>0</x:v>
      </x:c>
      <x:c r="Q967" s="14" t="n">
        <x:v>0.15</x:v>
      </x:c>
      <x:c r="R967" s="14" t="n">
        <x:v>0.05263157894736836</x:v>
      </x:c>
      <x:c r="S967" t="n">
        <x:v>166492</x:v>
      </x:c>
      <x:c r="T967" t="n">
        <x:v>2781.087031326734</x:v>
      </x:c>
      <x:c r="U967" s="14" t="n">
        <x:v>0.9636556968157226</x:v>
      </x:c>
      <x:c r="V967" s="14" t="n">
        <x:v>0.05009498221320655</x:v>
      </x:c>
      <x:c r="W967" s="14" t="n">
        <x:v>0.0645273523748653</x:v>
      </x:c>
      <x:c r="X967" s="14" t="n">
        <x:v>0.16043056777300277</x:v>
      </x:c>
      <x:c r="Y967" s="16" t="n">
        <x:v>91.60839160839161</x:v>
      </x:c>
      <x:c r="Z967" s="16" t="n">
        <x:v>77.29468599033817</x:v>
      </x:c>
      <x:c r="AA967" s="16" t="n">
        <x:v>42.622950819672134</x:v>
      </x:c>
      <x:c r="AB967" s="16" t="n">
        <x:v>42.773892773892776</x:v>
      </x:c>
      <x:c r="AC967" s="16" t="n">
        <x:v>62.47086247086247</x:v>
      </x:c>
      <x:c r="AD967" s="16" t="n">
        <x:v>99.39024390243902</x:v>
      </x:c>
      <x:c r="AE967" s="16" t="n">
        <x:v>71.54799924224763</x:v>
      </x:c>
      <x:c r="AF967" t="str">
        <x:v>검토</x:v>
      </x:c>
      <x:c r="AG967" t="str">
        <x:v>직장수요·수요 강점 / 서울 업종추세 상대적 약점</x:v>
      </x:c>
    </x:row>
    <x:row r="968">
      <x:c r="A968" t="str">
        <x:v>3110755</x:v>
      </x:c>
      <x:c r="B968" t="str">
        <x:v>동일여자고등학교</x:v>
      </x:c>
      <x:c r="C968" t="str">
        <x:v>골목상권</x:v>
      </x:c>
      <x:c r="D968" t="str">
        <x:v>금천구</x:v>
      </x:c>
      <x:c r="E968" t="str">
        <x:v>시흥2동</x:v>
      </x:c>
      <x:c r="F968" t="str">
        <x:v>CS300001</x:v>
      </x:c>
      <x:c r="G968" t="str">
        <x:v>슈퍼마켓</x:v>
      </x:c>
      <x:c r="H968" t="n">
        <x:v>1044409434</x:v>
      </x:c>
      <x:c r="I968" t="n">
        <x:v>135880</x:v>
      </x:c>
      <x:c r="J968" t="n">
        <x:v>7686.263129231675</x:v>
      </x:c>
      <x:c r="K968" s="14" t="n">
        <x:v>0.04500208385801585</x:v>
      </x:c>
      <x:c r="L968" s="14" t="n">
        <x:v>-0.02979620222776047</x:v>
      </x:c>
      <x:c r="M968" s="14" t="n">
        <x:v>-0.03099912402160654</x:v>
      </x:c>
      <x:c r="N968" t="n">
        <x:v>12</x:v>
      </x:c>
      <x:c r="O968" t="n">
        <x:v>0</x:v>
      </x:c>
      <x:c r="P968" s="14" t="n">
        <x:v>0</x:v>
      </x:c>
      <x:c r="Q968" s="14" t="n">
        <x:v>0.25</x:v>
      </x:c>
      <x:c r="R968" s="14" t="n">
        <x:v>0.5</x:v>
      </x:c>
      <x:c r="S968" t="n">
        <x:v>1138</x:v>
      </x:c>
      <x:c r="T968" t="n">
        <x:v>190.73478144274603</x:v>
      </x:c>
      <x:c r="U968" s="14" t="n">
        <x:v>0.7224233527940346</x:v>
      </x:c>
      <x:c r="V968" s="14" t="n">
        <x:v>0.42742745944977745</x:v>
      </x:c>
      <x:c r="W968" s="14" t="n">
        <x:v>0.41327408384938047</x:v>
      </x:c>
      <x:c r="X968" s="14" t="n">
        <x:v>0.33043537119179256</x:v>
      </x:c>
      <x:c r="Y968" s="16" t="n">
        <x:v>72.94250281848929</x:v>
      </x:c>
      <x:c r="Z968" s="16" t="n">
        <x:v>74.70862470862471</x:v>
      </x:c>
      <x:c r="AA968" s="16" t="n">
        <x:v>31.147540983606557</x:v>
      </x:c>
      <x:c r="AB968" s="16" t="n">
        <x:v>98.4216459977452</x:v>
      </x:c>
      <x:c r="AC968" s="16" t="n">
        <x:v>78.80496054114994</x:v>
      </x:c>
      <x:c r="AD968" s="16" t="n">
        <x:v>74.9390243902439</x:v>
      </x:c>
      <x:c r="AE968" s="16" t="n">
        <x:v>71.53442624902615</x:v>
      </x:c>
      <x:c r="AF968" t="str">
        <x:v>검토</x:v>
      </x:c>
      <x:c r="AG968" t="str">
        <x:v>경쟁여건·안정성 강점 / 서울 업종추세 상대적 약점</x:v>
      </x:c>
    </x:row>
    <x:row r="969">
      <x:c r="A969" t="str">
        <x:v>3130092</x:v>
      </x:c>
      <x:c r="B969" t="str">
        <x:v>청량리농수산물시장</x:v>
      </x:c>
      <x:c r="C969" t="str">
        <x:v>전통시장</x:v>
      </x:c>
      <x:c r="D969" t="str">
        <x:v>동대문구</x:v>
      </x:c>
      <x:c r="E969" t="str">
        <x:v>제기동</x:v>
      </x:c>
      <x:c r="F969" t="str">
        <x:v>CS300009</x:v>
      </x:c>
      <x:c r="G969" t="str">
        <x:v>청과상</x:v>
      </x:c>
      <x:c r="H969" t="n">
        <x:v>106676842472</x:v>
      </x:c>
      <x:c r="I969" t="n">
        <x:v>3003586</x:v>
      </x:c>
      <x:c r="J969" t="n">
        <x:v>35516.49344217213</x:v>
      </x:c>
      <x:c r="K969" s="14" t="n">
        <x:v>0.15881264598178024</x:v>
      </x:c>
      <x:c r="L969" s="14" t="n">
        <x:v>0.19728256051488424</x:v>
      </x:c>
      <x:c r="M969" s="14" t="n">
        <x:v>0.09797365727115581</x:v>
      </x:c>
      <x:c r="N969" t="n">
        <x:v>752</x:v>
      </x:c>
      <x:c r="O969" t="n">
        <x:v>12</x:v>
      </x:c>
      <x:c r="P969" s="14" t="n">
        <x:v>0.015852047556142668</x:v>
      </x:c>
      <x:c r="Q969" s="14" t="n">
        <x:v>0</x:v>
      </x:c>
      <x:c r="R969" s="14" t="n">
        <x:v>0.002666666666666595</x:v>
      </x:c>
      <x:c r="S969" t="n">
        <x:v>178</x:v>
      </x:c>
      <x:c r="T969" t="n">
        <x:v>54.80801798195646</x:v>
      </x:c>
      <x:c r="U969" s="14" t="n">
        <x:v>0.7735374470298841</x:v>
      </x:c>
      <x:c r="V969" s="14" t="n">
        <x:v>0.025003625643495227</x:v>
      </x:c>
      <x:c r="W969" s="14" t="n">
        <x:v>0.05037318739922818</x:v>
      </x:c>
      <x:c r="X969" s="14" t="n">
        <x:v>0.5582217109269072</x:v>
      </x:c>
      <x:c r="Y969" s="16" t="n">
        <x:v>98.9010989010989</x:v>
      </x:c>
      <x:c r="Z969" s="16" t="n">
        <x:v>83.96946564885496</x:v>
      </x:c>
      <x:c r="AA969" s="16" t="n">
        <x:v>95.08196721311475</x:v>
      </x:c>
      <x:c r="AB969" s="16" t="n">
        <x:v>1.6483516483516496</x:v>
      </x:c>
      <x:c r="AC969" s="16" t="n">
        <x:v>36.446886446886445</x:v>
      </x:c>
      <x:c r="AD969" s="16" t="n">
        <x:v>39.390243902439025</x:v>
      </x:c>
      <x:c r="AE969" s="16" t="n">
        <x:v>71.53302641418615</x:v>
      </x:c>
      <x:c r="AF969" t="str">
        <x:v>검토</x:v>
      </x:c>
      <x:c r="AG969" t="str">
        <x:v>수요·서울 업종추세 강점 / 경쟁여건 상대적 약점</x:v>
      </x:c>
    </x:row>
    <x:row r="970">
      <x:c r="A970" t="str">
        <x:v>3120225</x:v>
      </x:c>
      <x:c r="B970" t="str">
        <x:v>잠실새내역(신천)</x:v>
      </x:c>
      <x:c r="C970" t="str">
        <x:v>발달상권</x:v>
      </x:c>
      <x:c r="D970" t="str">
        <x:v>송파구</x:v>
      </x:c>
      <x:c r="E970" t="str">
        <x:v>잠실본동</x:v>
      </x:c>
      <x:c r="F970" t="str">
        <x:v>CS300017</x:v>
      </x:c>
      <x:c r="G970" t="str">
        <x:v>시계및귀금속</x:v>
      </x:c>
      <x:c r="H970" t="n">
        <x:v>242012823</x:v>
      </x:c>
      <x:c r="I970" t="n">
        <x:v>1010</x:v>
      </x:c>
      <x:c r="J970" t="n">
        <x:v>239616.65643564356</x:v>
      </x:c>
      <x:c r="K970" s="14" t="n">
        <x:v>0.020538767507320532</x:v>
      </x:c>
      <x:c r="L970" s="14" t="n">
        <x:v>0.09182238369060247</x:v>
      </x:c>
      <x:c r="M970" s="14" t="n">
        <x:v>0.00817160170707898</x:v>
      </x:c>
      <x:c r="N970" t="n">
        <x:v>7</x:v>
      </x:c>
      <x:c r="O970" t="n">
        <x:v>0</x:v>
      </x:c>
      <x:c r="P970" s="14" t="n">
        <x:v>0</x:v>
      </x:c>
      <x:c r="Q970" s="14" t="n">
        <x:v>0.2857142857142857</x:v>
      </x:c>
      <x:c r="R970" s="14" t="n">
        <x:v>0</x:v>
      </x:c>
      <x:c r="S970" t="n">
        <x:v>12478</x:v>
      </x:c>
      <x:c r="T970" t="n">
        <x:v>524.1821993135809</x:v>
      </x:c>
      <x:c r="U970" s="14" t="n">
        <x:v>0.835630494670111</x:v>
      </x:c>
      <x:c r="V970" s="14" t="n">
        <x:v>0.30479266381682596</x:v>
      </x:c>
      <x:c r="W970" s="14" t="n">
        <x:v>0.22263342219680649</x:v>
      </x:c>
      <x:c r="X970" s="14" t="n">
        <x:v>0.593689248441187</x:v>
      </x:c>
      <x:c r="Y970" s="16" t="n">
        <x:v>73.74301675977654</x:v>
      </x:c>
      <x:c r="Z970" s="16" t="n">
        <x:v>55.55555555555556</x:v>
      </x:c>
      <x:c r="AA970" s="16" t="n">
        <x:v>86.88524590163935</x:v>
      </x:c>
      <x:c r="AB970" s="16" t="n">
        <x:v>72.47191011235955</x:v>
      </x:c>
      <x:c r="AC970" s="16" t="n">
        <x:v>61.79775280898876</x:v>
      </x:c>
      <x:c r="AD970" s="16" t="n">
        <x:v>90.48780487804878</x:v>
      </x:c>
      <x:c r="AE970" s="16" t="n">
        <x:v>71.52890590393406</x:v>
      </x:c>
      <x:c r="AF970" t="str">
        <x:v>검토</x:v>
      </x:c>
      <x:c r="AG970" t="str">
        <x:v>직장수요·서울 업종추세 강점 / 상권 모멘텀 상대적 약점</x:v>
      </x:c>
    </x:row>
    <x:row r="971">
      <x:c r="A971" t="str">
        <x:v>3120098</x:v>
      </x:c>
      <x:c r="B971" t="str">
        <x:v>DMC(디지털미디어시티)</x:v>
      </x:c>
      <x:c r="C971" t="str">
        <x:v>발달상권</x:v>
      </x:c>
      <x:c r="D971" t="str">
        <x:v>마포구</x:v>
      </x:c>
      <x:c r="E971" t="str">
        <x:v>상암동</x:v>
      </x:c>
      <x:c r="F971" t="str">
        <x:v>CS300003</x:v>
      </x:c>
      <x:c r="G971" t="str">
        <x:v>컴퓨터및주변장치판매</x:v>
      </x:c>
      <x:c r="H971" t="n">
        <x:v>2083128062</x:v>
      </x:c>
      <x:c r="I971" t="n">
        <x:v>41219</x:v>
      </x:c>
      <x:c r="J971" t="n">
        <x:v>50538.05434387054</x:v>
      </x:c>
      <x:c r="K971" s="14" t="n">
        <x:v>1.2570640273127038</x:v>
      </x:c>
      <x:c r="L971" s="14" t="n">
        <x:v>-0.0032738070361170157</x:v>
      </x:c>
      <x:c r="M971" s="14" t="n">
        <x:v>-0.118230834961212</x:v>
      </x:c>
      <x:c r="N971" t="n">
        <x:v>33</x:v>
      </x:c>
      <x:c r="O971" t="n">
        <x:v>0</x:v>
      </x:c>
      <x:c r="P971" s="14" t="n">
        <x:v>0</x:v>
      </x:c>
      <x:c r="Q971" s="14" t="n">
        <x:v>0</x:v>
      </x:c>
      <x:c r="R971" s="14" t="n">
        <x:v>0</x:v>
      </x:c>
      <x:c r="S971" t="n">
        <x:v>15261</x:v>
      </x:c>
      <x:c r="T971" t="n">
        <x:v>438.8396528620477</x:v>
      </x:c>
      <x:c r="U971" s="14" t="n">
        <x:v>0.7106919656099376</x:v>
      </x:c>
      <x:c r="V971" s="14" t="n">
        <x:v>0.4630610885601905</x:v>
      </x:c>
      <x:c r="W971" s="14" t="n">
        <x:v>0.320540767118714</x:v>
      </x:c>
      <x:c r="X971" s="14" t="n">
        <x:v>0.315900962597661</x:v>
      </x:c>
      <x:c r="Y971" s="16" t="n">
        <x:v>82.95454545454545</x:v>
      </x:c>
      <x:c r="Z971" s="16" t="n">
        <x:v>93.75</x:v>
      </x:c>
      <x:c r="AA971" s="16" t="n">
        <x:v>39.34426229508197</x:v>
      </x:c>
      <x:c r="AB971" s="16" t="n">
        <x:v>47.72727272727273</x:v>
      </x:c>
      <x:c r="AC971" s="16" t="n">
        <x:v>62.5</x:v>
      </x:c>
      <x:c r="AD971" s="16" t="n">
        <x:v>88.59756097560975</x:v>
      </x:c>
      <x:c r="AE971" s="16" t="n">
        <x:v>71.5246992112246</x:v>
      </x:c>
      <x:c r="AF971" t="str">
        <x:v>검토</x:v>
      </x:c>
      <x:c r="AG971" t="str">
        <x:v>상권 모멘텀·직장수요 강점 / 서울 업종추세 상대적 약점</x:v>
      </x:c>
    </x:row>
    <x:row r="972">
      <x:c r="A972" t="str">
        <x:v>3120053</x:v>
      </x:c>
      <x:c r="B972" t="str">
        <x:v>건대입구역(건대)</x:v>
      </x:c>
      <x:c r="C972" t="str">
        <x:v>발달상권</x:v>
      </x:c>
      <x:c r="D972" t="str">
        <x:v>광진구</x:v>
      </x:c>
      <x:c r="E972" t="str">
        <x:v>화양동</x:v>
      </x:c>
      <x:c r="F972" t="str">
        <x:v>CS300018</x:v>
      </x:c>
      <x:c r="G972" t="str">
        <x:v>의약품</x:v>
      </x:c>
      <x:c r="H972" t="n">
        <x:v>3918625288</x:v>
      </x:c>
      <x:c r="I972" t="n">
        <x:v>246027</x:v>
      </x:c>
      <x:c r="J972" t="n">
        <x:v>15927.62293569405</x:v>
      </x:c>
      <x:c r="K972" s="14" t="n">
        <x:v>0.04364043863413869</x:v>
      </x:c>
      <x:c r="L972" s="14" t="n">
        <x:v>0.027829225601598617</x:v>
      </x:c>
      <x:c r="M972" s="14" t="n">
        <x:v>0.02632929521123617</x:v>
      </x:c>
      <x:c r="N972" t="n">
        <x:v>25</x:v>
      </x:c>
      <x:c r="O972" t="n">
        <x:v>0</x:v>
      </x:c>
      <x:c r="P972" s="14" t="n">
        <x:v>0</x:v>
      </x:c>
      <x:c r="Q972" s="14" t="n">
        <x:v>0.16</x:v>
      </x:c>
      <x:c r="R972" s="14" t="n">
        <x:v>0.04166666666666674</x:v>
      </x:c>
      <x:c r="S972" t="n">
        <x:v>1689</x:v>
      </x:c>
      <x:c r="T972" t="n">
        <x:v>61.399873492267766</x:v>
      </x:c>
      <x:c r="U972" s="14" t="n">
        <x:v>0.8530110542174402</x:v>
      </x:c>
      <x:c r="V972" s="14" t="n">
        <x:v>0.2840674083865097</x:v>
      </x:c>
      <x:c r="W972" s="14" t="n">
        <x:v>0.342360602609371</x:v>
      </x:c>
      <x:c r="X972" s="14" t="n">
        <x:v>0.5417146488847954</x:v>
      </x:c>
      <x:c r="Y972" s="16" t="n">
        <x:v>82.98969072164948</x:v>
      </x:c>
      <x:c r="Z972" s="16" t="n">
        <x:v>80.76923076923077</x:v>
      </x:c>
      <x:c r="AA972" s="16" t="n">
        <x:v>72.1311475409836</x:v>
      </x:c>
      <x:c r="AB972" s="16" t="n">
        <x:v>44.58762886597938</x:v>
      </x:c>
      <x:c r="AC972" s="16" t="n">
        <x:v>66.32302405498282</x:v>
      </x:c>
      <x:c r="AD972" s="16" t="n">
        <x:v>43.65853658536585</x:v>
      </x:c>
      <x:c r="AE972" s="16" t="n">
        <x:v>71.5232836022345</x:v>
      </x:c>
      <x:c r="AF972" t="str">
        <x:v>검토</x:v>
      </x:c>
      <x:c r="AG972" t="str">
        <x:v>수요·상권 모멘텀 강점 / 직장수요 상대적 약점</x:v>
      </x:c>
    </x:row>
    <x:row r="973">
      <x:c r="A973" t="str">
        <x:v>3110128</x:v>
      </x:c>
      <x:c r="B973" t="str">
        <x:v>성원중학교</x:v>
      </x:c>
      <x:c r="C973" t="str">
        <x:v>골목상권</x:v>
      </x:c>
      <x:c r="D973" t="str">
        <x:v>성동구</x:v>
      </x:c>
      <x:c r="E973" t="str">
        <x:v>성수1가1동</x:v>
      </x:c>
      <x:c r="F973" t="str">
        <x:v>CS300033</x:v>
      </x:c>
      <x:c r="G973" t="str">
        <x:v>철물점</x:v>
      </x:c>
      <x:c r="H973" t="n">
        <x:v>232067425</x:v>
      </x:c>
      <x:c r="I973" t="n">
        <x:v>8159</x:v>
      </x:c>
      <x:c r="J973" t="n">
        <x:v>28443.121093271235</x:v>
      </x:c>
      <x:c r="K973" s="14" t="n">
        <x:v>0.15066651633111805</x:v>
      </x:c>
      <x:c r="L973" s="14" t="n">
        <x:v>0.018800721364975237</x:v>
      </x:c>
      <x:c r="M973" s="14" t="n">
        <x:v>-0.020555839555512545</x:v>
      </x:c>
      <x:c r="N973" t="n">
        <x:v>7</x:v>
      </x:c>
      <x:c r="O973" t="n">
        <x:v>0</x:v>
      </x:c>
      <x:c r="P973" s="14" t="n">
        <x:v>0</x:v>
      </x:c>
      <x:c r="Q973" s="14" t="n">
        <x:v>0</x:v>
      </x:c>
      <x:c r="R973" s="14" t="n">
        <x:v>-0.36363636363636365</x:v>
      </x:c>
      <x:c r="S973" t="n">
        <x:v>1406</x:v>
      </x:c>
      <x:c r="T973" t="n">
        <x:v>56.84482898035093</x:v>
      </x:c>
      <x:c r="U973" s="14" t="n">
        <x:v>0.923611433185851</x:v>
      </x:c>
      <x:c r="V973" s="14" t="n">
        <x:v>0.06674876062420221</x:v>
      </x:c>
      <x:c r="W973" s="14" t="n">
        <x:v>0.09671386236133744</x:v>
      </x:c>
      <x:c r="X973" s="14" t="n">
        <x:v>0.18312305141490667</x:v>
      </x:c>
      <x:c r="Y973" s="16" t="n">
        <x:v>88.37209302325581</x:v>
      </x:c>
      <x:c r="Z973" s="16" t="n">
        <x:v>79.14110429447852</x:v>
      </x:c>
      <x:c r="AA973" s="16" t="n">
        <x:v>54.09836065573771</x:v>
      </x:c>
      <x:c r="AB973" s="16" t="n">
        <x:v>61.04651162790697</x:v>
      </x:c>
      <x:c r="AC973" s="16" t="n">
        <x:v>54.651162790697676</x:v>
      </x:c>
      <x:c r="AD973" s="16" t="n">
        <x:v>40.548780487804876</x:v>
      </x:c>
      <x:c r="AE973" s="16" t="n">
        <x:v>71.52273956304197</x:v>
      </x:c>
      <x:c r="AF973" t="str">
        <x:v>검토</x:v>
      </x:c>
      <x:c r="AG973" t="str">
        <x:v>수요·상권 모멘텀 강점 / 직장수요 상대적 약점</x:v>
      </x:c>
    </x:row>
    <x:row r="974">
      <x:c r="A974" t="str">
        <x:v>3120206</x:v>
      </x:c>
      <x:c r="B974" t="str">
        <x:v>개나리아파트</x:v>
      </x:c>
      <x:c r="C974" t="str">
        <x:v>발달상권</x:v>
      </x:c>
      <x:c r="D974" t="str">
        <x:v>강남구</x:v>
      </x:c>
      <x:c r="E974" t="str">
        <x:v>역삼2동</x:v>
      </x:c>
      <x:c r="F974" t="str">
        <x:v>CS300011</x:v>
      </x:c>
      <x:c r="G974" t="str">
        <x:v>일반의류</x:v>
      </x:c>
      <x:c r="H974" t="n">
        <x:v>2323527066</x:v>
      </x:c>
      <x:c r="I974" t="n">
        <x:v>9146</x:v>
      </x:c>
      <x:c r="J974" t="n">
        <x:v>254048.44369123114</x:v>
      </x:c>
      <x:c r="K974" s="14" t="n">
        <x:v>0.0662997876421243</x:v>
      </x:c>
      <x:c r="L974" s="14" t="n">
        <x:v>0.06726691045630595</x:v>
      </x:c>
      <x:c r="M974" s="14" t="n">
        <x:v>0.00788849516466894</x:v>
      </x:c>
      <x:c r="N974" t="n">
        <x:v>94</x:v>
      </x:c>
      <x:c r="O974" t="n">
        <x:v>0</x:v>
      </x:c>
      <x:c r="P974" s="14" t="n">
        <x:v>0</x:v>
      </x:c>
      <x:c r="Q974" s="14" t="n">
        <x:v>0</x:v>
      </x:c>
      <x:c r="R974" s="14" t="n">
        <x:v>-0.09615384615384615</x:v>
      </x:c>
      <x:c r="S974" t="n">
        <x:v>6788</x:v>
      </x:c>
      <x:c r="T974" t="n">
        <x:v>457.37541438697684</x:v>
      </x:c>
      <x:c r="U974" s="14" t="n">
        <x:v>0.5831777067838124</x:v>
      </x:c>
      <x:c r="V974" s="14" t="n">
        <x:v>0.19428260363548527</x:v>
      </x:c>
      <x:c r="W974" s="14" t="n">
        <x:v>0.1343236261660143</x:v>
      </x:c>
      <x:c r="X974" s="14" t="n">
        <x:v>0.2743506371532838</x:v>
      </x:c>
      <x:c r="Y974" s="16" t="n">
        <x:v>89.39929328621908</x:v>
      </x:c>
      <x:c r="Z974" s="16" t="n">
        <x:v>49.21780986762936</x:v>
      </x:c>
      <x:c r="AA974" s="16" t="n">
        <x:v>81.9672131147541</x:v>
      </x:c>
      <x:c r="AB974" s="16" t="n">
        <x:v>33.33333333333333</x:v>
      </x:c>
      <x:c r="AC974" s="16" t="n">
        <x:v>86.33686690223793</x:v>
      </x:c>
      <x:c r="AD974" s="16" t="n">
        <x:v>88.90243902439025</x:v>
      </x:c>
      <x:c r="AE974" s="16" t="n">
        <x:v>71.50720523235896</x:v>
      </x:c>
      <x:c r="AF974" t="str">
        <x:v>검토</x:v>
      </x:c>
      <x:c r="AG974" t="str">
        <x:v>수요·직장수요 강점 / 경쟁여건 상대적 약점</x:v>
      </x:c>
    </x:row>
    <x:row r="975">
      <x:c r="A975" t="str">
        <x:v>3110407</x:v>
      </x:c>
      <x:c r="B975" t="str">
        <x:v>도봉역 2번</x:v>
      </x:c>
      <x:c r="C975" t="str">
        <x:v>골목상권</x:v>
      </x:c>
      <x:c r="D975" t="str">
        <x:v>도봉구</x:v>
      </x:c>
      <x:c r="E975" t="str">
        <x:v>도봉1동</x:v>
      </x:c>
      <x:c r="F975" t="str">
        <x:v>CS300029</x:v>
      </x:c>
      <x:c r="G975" t="str">
        <x:v>애완동물</x:v>
      </x:c>
      <x:c r="H975" t="n">
        <x:v>95146991</x:v>
      </x:c>
      <x:c r="I975" t="n">
        <x:v>42</x:v>
      </x:c>
      <x:c r="J975" t="n">
        <x:v>2265404.5476190476</x:v>
      </x:c>
      <x:c r="K975" s="14" t="n">
        <x:v>0.6743658593141137</x:v>
      </x:c>
      <x:c r="L975" s="14" t="n">
        <x:v>0.041190648357217086</x:v>
      </x:c>
      <x:c r="M975" s="14" t="n">
        <x:v>-0.09713695399403299</x:v>
      </x:c>
      <x:c r="N975" t="n">
        <x:v>6</x:v>
      </x:c>
      <x:c r="O975" t="n">
        <x:v>1</x:v>
      </x:c>
      <x:c r="P975" s="14" t="n">
        <x:v>0.09090909090909091</x:v>
      </x:c>
      <x:c r="Q975" s="14" t="n">
        <x:v>0.16666666666666666</x:v>
      </x:c>
      <x:c r="R975" s="14" t="n">
        <x:v>-0.33333333333333337</x:v>
      </x:c>
      <x:c r="S975" t="n">
        <x:v>499</x:v>
      </x:c>
      <x:c r="T975" t="n">
        <x:v>10.98296429986354</x:v>
      </x:c>
      <x:c r="U975" s="14" t="n">
        <x:v>0.8939172127892094</x:v>
      </x:c>
      <x:c r="V975" s="14" t="n">
        <x:v>1</x:v>
      </x:c>
      <x:c r="W975" s="14" t="n">
        <x:v>0</x:v>
      </x:c>
      <x:c r="X975" s="14" t="n">
        <x:v>0.4024003029165683</x:v>
      </x:c>
      <x:c r="Y975" s="16" t="n">
        <x:v>78.87323943661971</x:v>
      </x:c>
      <x:c r="Z975" s="16" t="n">
        <x:v>96.92307692307692</x:v>
      </x:c>
      <x:c r="AA975" s="16" t="n">
        <x:v>77.04918032786885</x:v>
      </x:c>
      <x:c r="AB975" s="16" t="n">
        <x:v>82.3943661971831</x:v>
      </x:c>
      <x:c r="AC975" s="16" t="n">
        <x:v>3.5211267605633765</x:v>
      </x:c>
      <x:c r="AD975" s="16" t="n">
        <x:v>4.939024390243903</x:v>
      </x:c>
      <x:c r="AE975" s="16" t="n">
        <x:v>71.50584506175862</x:v>
      </x:c>
      <x:c r="AF975" t="str">
        <x:v>검토</x:v>
      </x:c>
      <x:c r="AG975" t="str">
        <x:v>상권 모멘텀·경쟁여건 강점 / 안정성 상대적 약점</x:v>
      </x:c>
    </x:row>
    <x:row r="976">
      <x:c r="A976" t="str">
        <x:v>3110158</x:v>
      </x:c>
      <x:c r="B976" t="str">
        <x:v>중곡3동주민센터</x:v>
      </x:c>
      <x:c r="C976" t="str">
        <x:v>골목상권</x:v>
      </x:c>
      <x:c r="D976" t="str">
        <x:v>광진구</x:v>
      </x:c>
      <x:c r="E976" t="str">
        <x:v>중곡3동</x:v>
      </x:c>
      <x:c r="F976" t="str">
        <x:v>CS300020</x:v>
      </x:c>
      <x:c r="G976" t="str">
        <x:v>서적</x:v>
      </x:c>
      <x:c r="H976" t="n">
        <x:v>160425465</x:v>
      </x:c>
      <x:c r="I976" t="n">
        <x:v>293</x:v>
      </x:c>
      <x:c r="J976" t="n">
        <x:v>547527.1843003413</x:v>
      </x:c>
      <x:c r="K976" s="14" t="n">
        <x:v>0.6940101698751027</x:v>
      </x:c>
      <x:c r="L976" s="14" t="n">
        <x:v>0.20039418624921757</x:v>
      </x:c>
      <x:c r="M976" s="14" t="n">
        <x:v>-0.01061516125540185</x:v>
      </x:c>
      <x:c r="N976" t="n">
        <x:v>9</x:v>
      </x:c>
      <x:c r="O976" t="n">
        <x:v>0</x:v>
      </x:c>
      <x:c r="P976" s="14" t="n">
        <x:v>0</x:v>
      </x:c>
      <x:c r="Q976" s="14" t="n">
        <x:v>0</x:v>
      </x:c>
      <x:c r="R976" s="14" t="n">
        <x:v>0.2857142857142858</x:v>
      </x:c>
      <x:c r="S976" t="n">
        <x:v>268</x:v>
      </x:c>
      <x:c r="T976" t="n">
        <x:v>16.06724260936816</x:v>
      </x:c>
      <x:c r="U976" s="14" t="n">
        <x:v>1</x:v>
      </x:c>
      <x:c r="V976" s="14" t="n">
        <x:v>0.04311960697760795</x:v>
      </x:c>
      <x:c r="W976" s="14" t="n">
        <x:v>0</x:v>
      </x:c>
      <x:c r="X976" s="14" t="n">
        <x:v>0</x:v>
      </x:c>
      <x:c r="Y976" s="16" t="n">
        <x:v>55.70469798657718</x:v>
      </x:c>
      <x:c r="Z976" s="16" t="n">
        <x:v>97.85714285714286</x:v>
      </x:c>
      <x:c r="AA976" s="16" t="n">
        <x:v>96.72131147540983</x:v>
      </x:c>
      <x:c r="AB976" s="16" t="n">
        <x:v>76.84563758389262</x:v>
      </x:c>
      <x:c r="AC976" s="16" t="n">
        <x:v>59.395973154362416</x:v>
      </x:c>
      <x:c r="AD976" s="16" t="n">
        <x:v>8.902439024390244</x:v>
      </x:c>
      <x:c r="AE976" s="16" t="n">
        <x:v>71.4878344922817</x:v>
      </x:c>
      <x:c r="AF976" t="str">
        <x:v>검토</x:v>
      </x:c>
      <x:c r="AG976" t="str">
        <x:v>상권 모멘텀·서울 업종추세 강점 / 직장수요 상대적 약점</x:v>
      </x:c>
    </x:row>
    <x:row r="977">
      <x:c r="A977" t="str">
        <x:v>3001492</x:v>
      </x:c>
      <x:c r="B977" t="str">
        <x:v>명동 남대문 북창동 다동 무교동 관광특구</x:v>
      </x:c>
      <x:c r="C977" t="str">
        <x:v>관광특구</x:v>
      </x:c>
      <x:c r="D977" t="str">
        <x:v>중구</x:v>
      </x:c>
      <x:c r="E977" t="str">
        <x:v>소공동</x:v>
      </x:c>
      <x:c r="F977" t="str">
        <x:v>CS100007</x:v>
      </x:c>
      <x:c r="G977" t="str">
        <x:v>치킨전문점</x:v>
      </x:c>
      <x:c r="H977" t="n">
        <x:v>2690435430</x:v>
      </x:c>
      <x:c r="I977" t="n">
        <x:v>47132</x:v>
      </x:c>
      <x:c r="J977" t="n">
        <x:v>57082.98883985403</x:v>
      </x:c>
      <x:c r="K977" s="14" t="n">
        <x:v>0.07202693727231702</x:v>
      </x:c>
      <x:c r="L977" s="14" t="n">
        <x:v>-0.0724550541763268</x:v>
      </x:c>
      <x:c r="M977" s="14" t="n">
        <x:v>-0.037092372220345116</x:v>
      </x:c>
      <x:c r="N977" t="n">
        <x:v>10</x:v>
      </x:c>
      <x:c r="O977" t="n">
        <x:v>1</x:v>
      </x:c>
      <x:c r="P977" s="14" t="n">
        <x:v>0.06666666666666667</x:v>
      </x:c>
      <x:c r="Q977" s="14" t="n">
        <x:v>0.7</x:v>
      </x:c>
      <x:c r="R977" s="14" t="n">
        <x:v>-0.23076923076923073</x:v>
      </x:c>
      <x:c r="S977" t="n">
        <x:v>199667</x:v>
      </x:c>
      <x:c r="T977" t="n">
        <x:v>2029.9242185482574</x:v>
      </x:c>
      <x:c r="U977" s="14" t="n">
        <x:v>0.8072974618833354</x:v>
      </x:c>
      <x:c r="V977" s="14" t="n">
        <x:v>0.8567478034587137</x:v>
      </x:c>
      <x:c r="W977" s="14" t="n">
        <x:v>0.29283198593619475</x:v>
      </x:c>
      <x:c r="X977" s="14" t="n">
        <x:v>0.283661579270832</x:v>
      </x:c>
      <x:c r="Y977" s="16" t="n">
        <x:v>100</x:v>
      </x:c>
      <x:c r="Z977" s="16" t="n">
        <x:v>73.11608961303462</x:v>
      </x:c>
      <x:c r="AA977" s="16" t="n">
        <x:v>16.39344262295082</x:v>
      </x:c>
      <x:c r="AB977" s="16" t="n">
        <x:v>85.4581673306773</x:v>
      </x:c>
      <x:c r="AC977" s="16" t="n">
        <x:v>16.434262948207177</x:v>
      </x:c>
      <x:c r="AD977" s="16" t="n">
        <x:v>98.84146341463415</x:v>
      </x:c>
      <x:c r="AE977" s="16" t="n">
        <x:v>71.48645888120356</x:v>
      </x:c>
      <x:c r="AF977" t="str">
        <x:v>검토</x:v>
      </x:c>
      <x:c r="AG977" t="str">
        <x:v>수요·직장수요 강점 / 서울 업종추세 상대적 약점</x:v>
      </x:c>
    </x:row>
    <x:row r="978">
      <x:c r="A978" t="str">
        <x:v>3120212</x:v>
      </x:c>
      <x:c r="B978" t="str">
        <x:v>한티역</x:v>
      </x:c>
      <x:c r="C978" t="str">
        <x:v>발달상권</x:v>
      </x:c>
      <x:c r="D978" t="str">
        <x:v>강남구</x:v>
      </x:c>
      <x:c r="E978" t="str">
        <x:v>대치4동</x:v>
      </x:c>
      <x:c r="F978" t="str">
        <x:v>CS200006</x:v>
      </x:c>
      <x:c r="G978" t="str">
        <x:v>일반의원</x:v>
      </x:c>
      <x:c r="H978" t="n">
        <x:v>8006505523</x:v>
      </x:c>
      <x:c r="I978" t="n">
        <x:v>174642</x:v>
      </x:c>
      <x:c r="J978" t="n">
        <x:v>45845.24640693533</x:v>
      </x:c>
      <x:c r="K978" s="14" t="n">
        <x:v>0.04963539258052463</x:v>
      </x:c>
      <x:c r="L978" s="14" t="n">
        <x:v>0.09973642051122278</x:v>
      </x:c>
      <x:c r="M978" s="14" t="n">
        <x:v>0.06942273842247415</x:v>
      </x:c>
      <x:c r="N978" t="n">
        <x:v>57</x:v>
      </x:c>
      <x:c r="O978" t="n">
        <x:v>0</x:v>
      </x:c>
      <x:c r="P978" s="14" t="n">
        <x:v>0</x:v>
      </x:c>
      <x:c r="Q978" s="14" t="n">
        <x:v>0</x:v>
      </x:c>
      <x:c r="R978" s="14" t="n">
        <x:v>0.23913043478260865</x:v>
      </x:c>
      <x:c r="S978" t="n">
        <x:v>9550</x:v>
      </x:c>
      <x:c r="T978" t="n">
        <x:v>847.1268650096688</x:v>
      </x:c>
      <x:c r="U978" s="14" t="n">
        <x:v>0.7947724540650392</x:v>
      </x:c>
      <x:c r="V978" s="14" t="n">
        <x:v>0.17423240426084197</x:v>
      </x:c>
      <x:c r="W978" s="14" t="n">
        <x:v>0.1661533052314114</x:v>
      </x:c>
      <x:c r="X978" s="14" t="n">
        <x:v>0.5803525923577884</x:v>
      </x:c>
      <x:c r="Y978" s="16" t="n">
        <x:v>90.52224371373308</x:v>
      </x:c>
      <x:c r="Z978" s="16" t="n">
        <x:v>62.98449612403101</x:v>
      </x:c>
      <x:c r="AA978" s="16" t="n">
        <x:v>90.1639344262295</x:v>
      </x:c>
      <x:c r="AB978" s="16" t="n">
        <x:v>17.538759689922486</x:v>
      </x:c>
      <x:c r="AC978" s="16" t="n">
        <x:v>62.5</x:v>
      </x:c>
      <x:c r="AD978" s="16" t="n">
        <x:v>95.73170731707317</x:v>
      </x:c>
      <x:c r="AE978" s="16" t="n">
        <x:v>71.47167400788922</x:v>
      </x:c>
      <x:c r="AF978" t="str">
        <x:v>검토</x:v>
      </x:c>
      <x:c r="AG978" t="str">
        <x:v>직장수요·수요 강점 / 경쟁여건 상대적 약점</x:v>
      </x:c>
    </x:row>
    <x:row r="979">
      <x:c r="A979" t="str">
        <x:v>3120080</x:v>
      </x:c>
      <x:c r="B979" t="str">
        <x:v>마들역</x:v>
      </x:c>
      <x:c r="C979" t="str">
        <x:v>발달상권</x:v>
      </x:c>
      <x:c r="D979" t="str">
        <x:v>노원구</x:v>
      </x:c>
      <x:c r="E979" t="str">
        <x:v>상계9동</x:v>
      </x:c>
      <x:c r="F979" t="str">
        <x:v>CS200028</x:v>
      </x:c>
      <x:c r="G979" t="str">
        <x:v>미용실</x:v>
      </x:c>
      <x:c r="H979" t="n">
        <x:v>299387155</x:v>
      </x:c>
      <x:c r="I979" t="n">
        <x:v>11280</x:v>
      </x:c>
      <x:c r="J979" t="n">
        <x:v>26541.41445035461</x:v>
      </x:c>
      <x:c r="K979" s="14" t="n">
        <x:v>-0.00967713851446439</x:v>
      </x:c>
      <x:c r="L979" s="14" t="n">
        <x:v>0.02168887159425803</x:v>
      </x:c>
      <x:c r="M979" s="14" t="n">
        <x:v>-0.013481964371473865</x:v>
      </x:c>
      <x:c r="N979" t="n">
        <x:v>23</x:v>
      </x:c>
      <x:c r="O979" t="n">
        <x:v>0</x:v>
      </x:c>
      <x:c r="P979" s="14" t="n">
        <x:v>0</x:v>
      </x:c>
      <x:c r="Q979" s="14" t="n">
        <x:v>0.08695652173913043</x:v>
      </x:c>
      <x:c r="R979" s="14" t="n">
        <x:v>0</x:v>
      </x:c>
      <x:c r="S979" t="n">
        <x:v>1635</x:v>
      </x:c>
      <x:c r="T979" t="n">
        <x:v>419.4889162561576</x:v>
      </x:c>
      <x:c r="U979" s="14" t="n">
        <x:v>0.645144742432253</x:v>
      </x:c>
      <x:c r="V979" s="14" t="n">
        <x:v>0.30919680906149766</x:v>
      </x:c>
      <x:c r="W979" s="14" t="n">
        <x:v>0.2111935697441662</x:v>
      </x:c>
      <x:c r="X979" s="14" t="n">
        <x:v>0.5463987691789917</x:v>
      </x:c>
      <x:c r="Y979" s="16" t="n">
        <x:v>86.30259623992838</x:v>
      </x:c>
      <x:c r="Z979" s="16" t="n">
        <x:v>32.46402877697842</x:v>
      </x:c>
      <x:c r="AA979" s="16" t="n">
        <x:v>57.377049180327866</x:v>
      </x:c>
      <x:c r="AB979" s="16" t="n">
        <x:v>94.6284691136974</x:v>
      </x:c>
      <x:c r="AC979" s="16" t="n">
        <x:v>75.60429722470904</x:v>
      </x:c>
      <x:c r="AD979" s="16" t="n">
        <x:v>87.98780487804878</x:v>
      </x:c>
      <x:c r="AE979" s="16" t="n">
        <x:v>71.45936214984775</x:v>
      </x:c>
      <x:c r="AF979" t="str">
        <x:v>검토</x:v>
      </x:c>
      <x:c r="AG979" t="str">
        <x:v>경쟁여건·직장수요 강점 / 상권 모멘텀 상대적 약점</x:v>
      </x:c>
    </x:row>
    <x:row r="980">
      <x:c r="A980" t="str">
        <x:v>3110069</x:v>
      </x:c>
      <x:c r="B980" t="str">
        <x:v>숙대입구</x:v>
      </x:c>
      <x:c r="C980" t="str">
        <x:v>골목상권</x:v>
      </x:c>
      <x:c r="D980" t="str">
        <x:v>용산구</x:v>
      </x:c>
      <x:c r="E980" t="str">
        <x:v>청파동</x:v>
      </x:c>
      <x:c r="F980" t="str">
        <x:v>CS200028</x:v>
      </x:c>
      <x:c r="G980" t="str">
        <x:v>미용실</x:v>
      </x:c>
      <x:c r="H980" t="n">
        <x:v>988754750</x:v>
      </x:c>
      <x:c r="I980" t="n">
        <x:v>14305</x:v>
      </x:c>
      <x:c r="J980" t="n">
        <x:v>69119.52114645229</x:v>
      </x:c>
      <x:c r="K980" s="14" t="n">
        <x:v>0.017281624964094133</x:v>
      </x:c>
      <x:c r="L980" s="14" t="n">
        <x:v>0.02168887159425803</x:v>
      </x:c>
      <x:c r="M980" s="14" t="n">
        <x:v>-0.013481964371473865</x:v>
      </x:c>
      <x:c r="N980" t="n">
        <x:v>49</x:v>
      </x:c>
      <x:c r="O980" t="n">
        <x:v>0</x:v>
      </x:c>
      <x:c r="P980" s="14" t="n">
        <x:v>0</x:v>
      </x:c>
      <x:c r="Q980" s="14" t="n">
        <x:v>0.14285714285714285</x:v>
      </x:c>
      <x:c r="R980" s="14" t="n">
        <x:v>0</x:v>
      </x:c>
      <x:c r="S980" t="n">
        <x:v>1042</x:v>
      </x:c>
      <x:c r="T980" t="n">
        <x:v>60.04310195802745</x:v>
      </x:c>
      <x:c r="U980" s="14" t="n">
        <x:v>0.6182134093413963</x:v>
      </x:c>
      <x:c r="V980" s="14" t="n">
        <x:v>0.3840504766222362</x:v>
      </x:c>
      <x:c r="W980" s="14" t="n">
        <x:v>0.44656010704373356</x:v>
      </x:c>
      <x:c r="X980" s="14" t="n">
        <x:v>0.6860111933722696</x:v>
      </x:c>
      <x:c r="Y980" s="16" t="n">
        <x:v>96.68755595344673</x:v>
      </x:c>
      <x:c r="Z980" s="16" t="n">
        <x:v>49.3705035971223</x:v>
      </x:c>
      <x:c r="AA980" s="16" t="n">
        <x:v>57.377049180327866</x:v>
      </x:c>
      <x:c r="AB980" s="16" t="n">
        <x:v>62.89167412712623</x:v>
      </x:c>
      <x:c r="AC980" s="16" t="n">
        <x:v>75.60429722470904</x:v>
      </x:c>
      <x:c r="AD980" s="16" t="n">
        <x:v>42.86585365853659</x:v>
      </x:c>
      <x:c r="AE980" s="16" t="n">
        <x:v>71.45877620464665</x:v>
      </x:c>
      <x:c r="AF980" t="str">
        <x:v>검토</x:v>
      </x:c>
      <x:c r="AG980" t="str">
        <x:v>수요·안정성 강점 / 직장수요 상대적 약점</x:v>
      </x:c>
    </x:row>
    <x:row r="981">
      <x:c r="A981" t="str">
        <x:v>3120110</x:v>
      </x:c>
      <x:c r="B981" t="str">
        <x:v>목동역 8번출구</x:v>
      </x:c>
      <x:c r="C981" t="str">
        <x:v>발달상권</x:v>
      </x:c>
      <x:c r="D981" t="str">
        <x:v>양천구</x:v>
      </x:c>
      <x:c r="E981" t="str">
        <x:v>신정4동</x:v>
      </x:c>
      <x:c r="F981" t="str">
        <x:v>CS300020</x:v>
      </x:c>
      <x:c r="G981" t="str">
        <x:v>서적</x:v>
      </x:c>
      <x:c r="H981" t="n">
        <x:v>393451594</x:v>
      </x:c>
      <x:c r="I981" t="n">
        <x:v>9127</x:v>
      </x:c>
      <x:c r="J981" t="n">
        <x:v>43108.53445820094</x:v>
      </x:c>
      <x:c r="K981" s="14" t="n">
        <x:v>0.04370836356384267</x:v>
      </x:c>
      <x:c r="L981" s="14" t="n">
        <x:v>0.20039418624921757</x:v>
      </x:c>
      <x:c r="M981" s="14" t="n">
        <x:v>-0.01061516125540185</x:v>
      </x:c>
      <x:c r="N981" t="n">
        <x:v>15</x:v>
      </x:c>
      <x:c r="O981" t="n">
        <x:v>0</x:v>
      </x:c>
      <x:c r="P981" s="14" t="n">
        <x:v>0</x:v>
      </x:c>
      <x:c r="Q981" s="14" t="n">
        <x:v>0</x:v>
      </x:c>
      <x:c r="R981" s="14" t="n">
        <x:v>0</x:v>
      </x:c>
      <x:c r="S981" t="n">
        <x:v>2332</x:v>
      </x:c>
      <x:c r="T981" t="n">
        <x:v>184.1047786716351</x:v>
      </x:c>
      <x:c r="U981" s="14" t="n">
        <x:v>0.8255492872650555</x:v>
      </x:c>
      <x:c r="V981" s="14" t="n">
        <x:v>0.2520715114957699</x:v>
      </x:c>
      <x:c r="W981" s="14" t="n">
        <x:v>0.14702775864214696</x:v>
      </x:c>
      <x:c r="X981" s="14" t="n">
        <x:v>0.5000535288211337</x:v>
      </x:c>
      <x:c r="Y981" s="16" t="n">
        <x:v>75.16778523489933</x:v>
      </x:c>
      <x:c r="Z981" s="16" t="n">
        <x:v>66.42857142857143</x:v>
      </x:c>
      <x:c r="AA981" s="16" t="n">
        <x:v>96.72131147540983</x:v>
      </x:c>
      <x:c r="AB981" s="16" t="n">
        <x:v>51.34228187919463</x:v>
      </x:c>
      <x:c r="AC981" s="16" t="n">
        <x:v>59.395973154362416</x:v>
      </x:c>
      <x:c r="AD981" s="16" t="n">
        <x:v>74.14634146341463</x:v>
      </x:c>
      <x:c r="AE981" s="16" t="n">
        <x:v>71.45089250972669</x:v>
      </x:c>
      <x:c r="AF981" t="str">
        <x:v>검토</x:v>
      </x:c>
      <x:c r="AG981" t="str">
        <x:v>서울 업종추세·수요 강점 / 경쟁여건 상대적 약점</x:v>
      </x:c>
    </x:row>
    <x:row r="982">
      <x:c r="A982" t="str">
        <x:v>3120200</x:v>
      </x:c>
      <x:c r="B982" t="str">
        <x:v>학동사거리</x:v>
      </x:c>
      <x:c r="C982" t="str">
        <x:v>발달상권</x:v>
      </x:c>
      <x:c r="D982" t="str">
        <x:v>강남구</x:v>
      </x:c>
      <x:c r="E982" t="str">
        <x:v>청담동</x:v>
      </x:c>
      <x:c r="F982" t="str">
        <x:v>CS200030</x:v>
      </x:c>
      <x:c r="G982" t="str">
        <x:v>피부관리실</x:v>
      </x:c>
      <x:c r="H982" t="n">
        <x:v>594845084</x:v>
      </x:c>
      <x:c r="I982" t="n">
        <x:v>1338</x:v>
      </x:c>
      <x:c r="J982" t="n">
        <x:v>444577.79073243646</x:v>
      </x:c>
      <x:c r="K982" s="14" t="n">
        <x:v>0.17489445784256197</x:v>
      </x:c>
      <x:c r="L982" s="14" t="n">
        <x:v>0.11857168683779085</x:v>
      </x:c>
      <x:c r="M982" s="14" t="n">
        <x:v>0.0314283578178467</x:v>
      </x:c>
      <x:c r="N982" t="n">
        <x:v>138</x:v>
      </x:c>
      <x:c r="O982" t="n">
        <x:v>2</x:v>
      </x:c>
      <x:c r="P982" s="14" t="n">
        <x:v>0.013986013986013986</x:v>
      </x:c>
      <x:c r="Q982" s="14" t="n">
        <x:v>0.057971014492753624</x:v>
      </x:c>
      <x:c r="R982" s="14" t="n">
        <x:v>0.3398058252427185</x:v>
      </x:c>
      <x:c r="S982" t="n">
        <x:v>19111</x:v>
      </x:c>
      <x:c r="T982" t="n">
        <x:v>716.8497770042422</x:v>
      </x:c>
      <x:c r="U982" s="14" t="n">
        <x:v>0.88808311812492</x:v>
      </x:c>
      <x:c r="V982" s="14" t="n">
        <x:v>0.28989201329601977</x:v>
      </x:c>
      <x:c r="W982" s="14" t="n">
        <x:v>0.27809433993742144</x:v>
      </x:c>
      <x:c r="X982" s="14" t="n">
        <x:v>0.7058386331053549</x:v>
      </x:c>
      <x:c r="Y982" s="16" t="n">
        <x:v>95.28535980148884</x:v>
      </x:c>
      <x:c r="Z982" s="16" t="n">
        <x:v>69.76127320954907</x:v>
      </x:c>
      <x:c r="AA982" s="16" t="n">
        <x:v>91.80327868852459</x:v>
      </x:c>
      <x:c r="AB982" s="16" t="n">
        <x:v>4.0942928039702196</x:v>
      </x:c>
      <x:c r="AC982" s="16" t="n">
        <x:v>50.49627791563275</x:v>
      </x:c>
      <x:c r="AD982" s="16" t="n">
        <x:v>94.14634146341463</x:v>
      </x:c>
      <x:c r="AE982" s="16" t="n">
        <x:v>71.44371116103913</x:v>
      </x:c>
      <x:c r="AF982" t="str">
        <x:v>검토</x:v>
      </x:c>
      <x:c r="AG982" t="str">
        <x:v>수요·직장수요 강점 / 경쟁여건 상대적 약점</x:v>
      </x:c>
    </x:row>
    <x:row r="983">
      <x:c r="A983" t="str">
        <x:v>3120069</x:v>
      </x:c>
      <x:c r="B983" t="str">
        <x:v>상봉역</x:v>
      </x:c>
      <x:c r="C983" t="str">
        <x:v>발달상권</x:v>
      </x:c>
      <x:c r="D983" t="str">
        <x:v>중랑구</x:v>
      </x:c>
      <x:c r="E983" t="str">
        <x:v>상봉2동</x:v>
      </x:c>
      <x:c r="F983" t="str">
        <x:v>CS100003</x:v>
      </x:c>
      <x:c r="G983" t="str">
        <x:v>일식음식점</x:v>
      </x:c>
      <x:c r="H983" t="n">
        <x:v>2565945735</x:v>
      </x:c>
      <x:c r="I983" t="n">
        <x:v>43190</x:v>
      </x:c>
      <x:c r="J983" t="n">
        <x:v>59410.6444778884</x:v>
      </x:c>
      <x:c r="K983" s="14" t="n">
        <x:v>0.01958391563930917</x:v>
      </x:c>
      <x:c r="L983" s="14" t="n">
        <x:v>0.048235937606500245</x:v>
      </x:c>
      <x:c r="M983" s="14" t="n">
        <x:v>-0.004288267098710441</x:v>
      </x:c>
      <x:c r="N983" t="n">
        <x:v>22</x:v>
      </x:c>
      <x:c r="O983" t="n">
        <x:v>0</x:v>
      </x:c>
      <x:c r="P983" s="14" t="n">
        <x:v>0</x:v>
      </x:c>
      <x:c r="Q983" s="14" t="n">
        <x:v>0.18181818181818182</x:v>
      </x:c>
      <x:c r="R983" s="14" t="n">
        <x:v>1.2000000000000002</x:v>
      </x:c>
      <x:c r="S983" t="n">
        <x:v>2554</x:v>
      </x:c>
      <x:c r="T983" t="n">
        <x:v>124.08418679674291</x:v>
      </x:c>
      <x:c r="U983" s="14" t="n">
        <x:v>0.620374248093754</x:v>
      </x:c>
      <x:c r="V983" s="14" t="n">
        <x:v>0.4949215428361348</x:v>
      </x:c>
      <x:c r="W983" s="14" t="n">
        <x:v>0.41409779891545523</x:v>
      </x:c>
      <x:c r="X983" s="14" t="n">
        <x:v>0.45193154016563797</x:v>
      </x:c>
      <x:c r="Y983" s="16" t="n">
        <x:v>91.07142857142857</x:v>
      </x:c>
      <x:c r="Z983" s="16" t="n">
        <x:v>37.96296296296296</x:v>
      </x:c>
      <x:c r="AA983" s="16" t="n">
        <x:v>78.68852459016394</x:v>
      </x:c>
      <x:c r="AB983" s="16" t="n">
        <x:v>58.779761904761905</x:v>
      </x:c>
      <x:c r="AC983" s="16" t="n">
        <x:v>81.10119047619048</x:v>
      </x:c>
      <x:c r="AD983" s="16" t="n">
        <x:v>64.8170731707317</x:v>
      </x:c>
      <x:c r="AE983" s="16" t="n">
        <x:v>71.43880827298709</x:v>
      </x:c>
      <x:c r="AF983" t="str">
        <x:v>검토</x:v>
      </x:c>
      <x:c r="AG983" t="str">
        <x:v>수요·안정성 강점 / 상권 모멘텀 상대적 약점</x:v>
      </x:c>
    </x:row>
    <x:row r="984">
      <x:c r="A984" t="str">
        <x:v>3001492</x:v>
      </x:c>
      <x:c r="B984" t="str">
        <x:v>명동 남대문 북창동 다동 무교동 관광특구</x:v>
      </x:c>
      <x:c r="C984" t="str">
        <x:v>관광특구</x:v>
      </x:c>
      <x:c r="D984" t="str">
        <x:v>중구</x:v>
      </x:c>
      <x:c r="E984" t="str">
        <x:v>소공동</x:v>
      </x:c>
      <x:c r="F984" t="str">
        <x:v>CS200029</x:v>
      </x:c>
      <x:c r="G984" t="str">
        <x:v>네일숍</x:v>
      </x:c>
      <x:c r="H984" t="n">
        <x:v>176385794</x:v>
      </x:c>
      <x:c r="I984" t="n">
        <x:v>3957</x:v>
      </x:c>
      <x:c r="J984" t="n">
        <x:v>44575.636593378826</x:v>
      </x:c>
      <x:c r="K984" s="14" t="n">
        <x:v>0.04248975977707725</x:v>
      </x:c>
      <x:c r="L984" s="14" t="n">
        <x:v>-0.03823077167694788</x:v>
      </x:c>
      <x:c r="M984" s="14" t="n">
        <x:v>-0.06057133576425</x:v>
      </x:c>
      <x:c r="N984" t="n">
        <x:v>8</x:v>
      </x:c>
      <x:c r="O984" t="n">
        <x:v>0</x:v>
      </x:c>
      <x:c r="P984" s="14" t="n">
        <x:v>0</x:v>
      </x:c>
      <x:c r="Q984" s="14" t="n">
        <x:v>0</x:v>
      </x:c>
      <x:c r="R984" s="14" t="n">
        <x:v>0.1428571428571428</x:v>
      </x:c>
      <x:c r="S984" t="n">
        <x:v>199667</x:v>
      </x:c>
      <x:c r="T984" t="n">
        <x:v>2029.9242185482574</x:v>
      </x:c>
      <x:c r="U984" s="14" t="n">
        <x:v>0.8139747297336202</x:v>
      </x:c>
      <x:c r="V984" s="14" t="n">
        <x:v>0.42607974993723136</x:v>
      </x:c>
      <x:c r="W984" s="14" t="n">
        <x:v>0.4828536701770892</x:v>
      </x:c>
      <x:c r="X984" s="14" t="n">
        <x:v>0.8632345471087087</x:v>
      </x:c>
      <x:c r="Y984" s="16" t="n">
        <x:v>92.24489795918367</x:v>
      </x:c>
      <x:c r="Z984" s="16" t="n">
        <x:v>54.77178423236514</x:v>
      </x:c>
      <x:c r="AA984" s="16" t="n">
        <x:v>26.229508196721312</x:v>
      </x:c>
      <x:c r="AB984" s="16" t="n">
        <x:v>84.28571428571429</x:v>
      </x:c>
      <x:c r="AC984" s="16" t="n">
        <x:v>66.73469387755102</x:v>
      </x:c>
      <x:c r="AD984" s="16" t="n">
        <x:v>98.84146341463415</x:v>
      </x:c>
      <x:c r="AE984" s="16" t="n">
        <x:v>71.43289706303946</x:v>
      </x:c>
      <x:c r="AF984" t="str">
        <x:v>검토</x:v>
      </x:c>
      <x:c r="AG984" t="str">
        <x:v>직장수요·수요 강점 / 서울 업종추세 상대적 약점</x:v>
      </x:c>
    </x:row>
    <x:row r="985">
      <x:c r="A985" t="str">
        <x:v>3120212</x:v>
      </x:c>
      <x:c r="B985" t="str">
        <x:v>한티역</x:v>
      </x:c>
      <x:c r="C985" t="str">
        <x:v>발달상권</x:v>
      </x:c>
      <x:c r="D985" t="str">
        <x:v>강남구</x:v>
      </x:c>
      <x:c r="E985" t="str">
        <x:v>대치4동</x:v>
      </x:c>
      <x:c r="F985" t="str">
        <x:v>CS300009</x:v>
      </x:c>
      <x:c r="G985" t="str">
        <x:v>청과상</x:v>
      </x:c>
      <x:c r="H985" t="n">
        <x:v>2142741517</x:v>
      </x:c>
      <x:c r="I985" t="n">
        <x:v>162261</x:v>
      </x:c>
      <x:c r="J985" t="n">
        <x:v>13205.523921336611</x:v>
      </x:c>
      <x:c r="K985" s="14"/>
      <x:c r="L985" s="14" t="n">
        <x:v>0.19728256051488424</x:v>
      </x:c>
      <x:c r="M985" s="14" t="n">
        <x:v>0.09797365727115581</x:v>
      </x:c>
      <x:c r="N985" t="n">
        <x:v>22</x:v>
      </x:c>
      <x:c r="O985" t="n">
        <x:v>0</x:v>
      </x:c>
      <x:c r="P985" s="14" t="n">
        <x:v>0</x:v>
      </x:c>
      <x:c r="Q985" s="14" t="n">
        <x:v>0.09090909090909091</x:v>
      </x:c>
      <x:c r="R985" s="14" t="n">
        <x:v>0.375</x:v>
      </x:c>
      <x:c r="S985" t="n">
        <x:v>9550</x:v>
      </x:c>
      <x:c r="T985" t="n">
        <x:v>847.1268650096688</x:v>
      </x:c>
      <x:c r="U985" s="14" t="n">
        <x:v>0.6989518708242773</x:v>
      </x:c>
      <x:c r="V985" s="14" t="n">
        <x:v>0.27101629822949846</x:v>
      </x:c>
      <x:c r="W985" s="14" t="n">
        <x:v>0.054464528303625526</x:v>
      </x:c>
      <x:c r="X985" s="14" t="n">
        <x:v>0.6359751580806282</x:v>
      </x:c>
      <x:c r="Y985" s="16" t="n">
        <x:v>84.24908424908425</x:v>
      </x:c>
      <x:c r="Z985" s="16" t="n">
        <x:v>50</x:v>
      </x:c>
      <x:c r="AA985" s="16" t="n">
        <x:v>95.08196721311475</x:v>
      </x:c>
      <x:c r="AB985" s="16" t="n">
        <x:v>39.56043956043956</x:v>
      </x:c>
      <x:c r="AC985" s="16" t="n">
        <x:v>69.5970695970696</x:v>
      </x:c>
      <x:c r="AD985" s="16" t="n">
        <x:v>95.73170731707317</x:v>
      </x:c>
      <x:c r="AE985" s="16" t="n">
        <x:v>71.42983282877324</x:v>
      </x:c>
      <x:c r="AF985" t="str">
        <x:v>검토</x:v>
      </x:c>
      <x:c r="AG985" t="str">
        <x:v>직장수요·서울 업종추세 강점 / 경쟁여건 상대적 약점</x:v>
      </x:c>
    </x:row>
    <x:row r="986">
      <x:c r="A986" t="str">
        <x:v>3120227</x:v>
      </x:c>
      <x:c r="B986" t="str">
        <x:v>잠실역</x:v>
      </x:c>
      <x:c r="C986" t="str">
        <x:v>발달상권</x:v>
      </x:c>
      <x:c r="D986" t="str">
        <x:v>송파구</x:v>
      </x:c>
      <x:c r="E986" t="str">
        <x:v>잠실6동</x:v>
      </x:c>
      <x:c r="F986" t="str">
        <x:v>CS100005</x:v>
      </x:c>
      <x:c r="G986" t="str">
        <x:v>제과점</x:v>
      </x:c>
      <x:c r="H986" t="n">
        <x:v>7530520276</x:v>
      </x:c>
      <x:c r="I986" t="n">
        <x:v>448138</x:v>
      </x:c>
      <x:c r="J986" t="n">
        <x:v>16804.020806090983</x:v>
      </x:c>
      <x:c r="K986" s="14" t="n">
        <x:v>0.05596176614594439</x:v>
      </x:c>
      <x:c r="L986" s="14" t="n">
        <x:v>0.015772977300780644</x:v>
      </x:c>
      <x:c r="M986" s="14" t="n">
        <x:v>-0.01180050626373963</x:v>
      </x:c>
      <x:c r="N986" t="n">
        <x:v>25</x:v>
      </x:c>
      <x:c r="O986" t="n">
        <x:v>1</x:v>
      </x:c>
      <x:c r="P986" s="14" t="n">
        <x:v>0.03333333333333333</x:v>
      </x:c>
      <x:c r="Q986" s="14" t="n">
        <x:v>0.32</x:v>
      </x:c>
      <x:c r="R986" s="14" t="n">
        <x:v>-0.038461538461538436</x:v>
      </x:c>
      <x:c r="S986" t="n">
        <x:v>110575</x:v>
      </x:c>
      <x:c r="T986" t="n">
        <x:v>2098.727003209539</x:v>
      </x:c>
      <x:c r="U986" s="14" t="n">
        <x:v>0.6510783242461852</x:v>
      </x:c>
      <x:c r="V986" s="14" t="n">
        <x:v>0.39702653554079614</x:v>
      </x:c>
      <x:c r="W986" s="14" t="n">
        <x:v>0.5476455725301602</x:v>
      </x:c>
      <x:c r="X986" s="14" t="n">
        <x:v>0.6235158278458369</x:v>
      </x:c>
      <x:c r="Y986" s="16" t="n">
        <x:v>100</x:v>
      </x:c>
      <x:c r="Z986" s="16" t="n">
        <x:v>72.70471464019852</x:v>
      </x:c>
      <x:c r="AA986" s="16" t="n">
        <x:v>52.459016393442624</x:v>
      </x:c>
      <x:c r="AB986" s="16" t="n">
        <x:v>34.38228438228438</x:v>
      </x:c>
      <x:c r="AC986" s="16" t="n">
        <x:v>39.16083916083916</x:v>
      </x:c>
      <x:c r="AD986" s="16" t="n">
        <x:v>98.90243902439025</x:v>
      </x:c>
      <x:c r="AE986" s="16" t="n">
        <x:v>71.4283439117022</x:v>
      </x:c>
      <x:c r="AF986" t="str">
        <x:v>검토</x:v>
      </x:c>
      <x:c r="AG986" t="str">
        <x:v>수요·직장수요 강점 / 경쟁여건 상대적 약점</x:v>
      </x:c>
    </x:row>
    <x:row r="987">
      <x:c r="A987" t="str">
        <x:v>3120012</x:v>
      </x:c>
      <x:c r="B987" t="str">
        <x:v>대학로(혜화역)</x:v>
      </x:c>
      <x:c r="C987" t="str">
        <x:v>발달상권</x:v>
      </x:c>
      <x:c r="D987" t="str">
        <x:v>종로구</x:v>
      </x:c>
      <x:c r="E987" t="str">
        <x:v>혜화동</x:v>
      </x:c>
      <x:c r="F987" t="str">
        <x:v>CS200028</x:v>
      </x:c>
      <x:c r="G987" t="str">
        <x:v>미용실</x:v>
      </x:c>
      <x:c r="H987" t="n">
        <x:v>568118912</x:v>
      </x:c>
      <x:c r="I987" t="n">
        <x:v>11520</x:v>
      </x:c>
      <x:c r="J987" t="n">
        <x:v>49315.87777777778</x:v>
      </x:c>
      <x:c r="K987" s="14" t="n">
        <x:v>0.041351451047703325</x:v>
      </x:c>
      <x:c r="L987" s="14" t="n">
        <x:v>0.02168887159425803</x:v>
      </x:c>
      <x:c r="M987" s="14" t="n">
        <x:v>-0.013481964371473865</x:v>
      </x:c>
      <x:c r="N987" t="n">
        <x:v>41</x:v>
      </x:c>
      <x:c r="O987" t="n">
        <x:v>1</x:v>
      </x:c>
      <x:c r="P987" s="14" t="n">
        <x:v>0.021739130434782608</x:v>
      </x:c>
      <x:c r="Q987" s="14" t="n">
        <x:v>0.14634146341463414</x:v>
      </x:c>
      <x:c r="R987" s="14" t="n">
        <x:v>0.10810810810810811</x:v>
      </x:c>
      <x:c r="S987" t="n">
        <x:v>2991</x:v>
      </x:c>
      <x:c r="T987" t="n">
        <x:v>116.4320637787674</x:v>
      </x:c>
      <x:c r="U987" s="14" t="n">
        <x:v>0.6754404190649439</x:v>
      </x:c>
      <x:c r="V987" s="14" t="n">
        <x:v>0.38742658156748705</x:v>
      </x:c>
      <x:c r="W987" s="14" t="n">
        <x:v>0.462209974801895</x:v>
      </x:c>
      <x:c r="X987" s="14" t="n">
        <x:v>0.5429917231834732</x:v>
      </x:c>
      <x:c r="Y987" s="16" t="n">
        <x:v>94.35989256938227</x:v>
      </x:c>
      <x:c r="Z987" s="16" t="n">
        <x:v>64.74820143884892</x:v>
      </x:c>
      <x:c r="AA987" s="16" t="n">
        <x:v>57.377049180327866</x:v>
      </x:c>
      <x:c r="AB987" s="16" t="n">
        <x:v>76.32050134288272</x:v>
      </x:c>
      <x:c r="AC987" s="16" t="n">
        <x:v>22.33661593554163</x:v>
      </x:c>
      <x:c r="AD987" s="16" t="n">
        <x:v>63.170731707317074</x:v>
      </x:c>
      <x:c r="AE987" s="16" t="n">
        <x:v>71.42243344445518</x:v>
      </x:c>
      <x:c r="AF987" t="str">
        <x:v>검토</x:v>
      </x:c>
      <x:c r="AG987" t="str">
        <x:v>수요·경쟁여건 강점 / 안정성 상대적 약점</x:v>
      </x:c>
    </x:row>
    <x:row r="988">
      <x:c r="A988" t="str">
        <x:v>3110869</x:v>
      </x:c>
      <x:c r="B988" t="str">
        <x:v>신림역 5번(신림동주민센터, 신림동별빛거리)</x:v>
      </x:c>
      <x:c r="C988" t="str">
        <x:v>골목상권</x:v>
      </x:c>
      <x:c r="D988" t="str">
        <x:v>관악구</x:v>
      </x:c>
      <x:c r="E988" t="str">
        <x:v>신림동</x:v>
      </x:c>
      <x:c r="F988" t="str">
        <x:v>CS300007</x:v>
      </x:c>
      <x:c r="G988" t="str">
        <x:v>육류판매</x:v>
      </x:c>
      <x:c r="H988" t="n">
        <x:v>1427677677</x:v>
      </x:c>
      <x:c r="I988" t="n">
        <x:v>6196</x:v>
      </x:c>
      <x:c r="J988" t="n">
        <x:v>230419.2506455778</x:v>
      </x:c>
      <x:c r="K988" s="14" t="n">
        <x:v>0.05173890930284153</x:v>
      </x:c>
      <x:c r="L988" s="14" t="n">
        <x:v>0.23518223683931017</x:v>
      </x:c>
      <x:c r="M988" s="14" t="n">
        <x:v>0.00863079289162072</x:v>
      </x:c>
      <x:c r="N988" t="n">
        <x:v>14</x:v>
      </x:c>
      <x:c r="O988" t="n">
        <x:v>0</x:v>
      </x:c>
      <x:c r="P988" s="14" t="n">
        <x:v>0</x:v>
      </x:c>
      <x:c r="Q988" s="14" t="n">
        <x:v>0</x:v>
      </x:c>
      <x:c r="R988" s="14" t="n">
        <x:v>0.16666666666666674</x:v>
      </x:c>
      <x:c r="S988" t="n">
        <x:v>218</x:v>
      </x:c>
      <x:c r="T988" t="n">
        <x:v>11.196655384409942</x:v>
      </x:c>
      <x:c r="U988" s="14" t="n">
        <x:v>0.9775203825646144</x:v>
      </x:c>
      <x:c r="V988" s="14" t="n">
        <x:v>0.04134140566239308</x:v>
      </x:c>
      <x:c r="W988" s="14" t="n">
        <x:v>0.037993456698139576</x:v>
      </x:c>
      <x:c r="X988" s="14" t="n">
        <x:v>0.9526634491182844</x:v>
      </x:c>
      <x:c r="Y988" s="16" t="n">
        <x:v>79.45544554455445</x:v>
      </x:c>
      <x:c r="Z988" s="16" t="n">
        <x:v>65.97402597402598</x:v>
      </x:c>
      <x:c r="AA988" s="16" t="n">
        <x:v>100</x:v>
      </x:c>
      <x:c r="AB988" s="16" t="n">
        <x:v>56.43564356435643</x:v>
      </x:c>
      <x:c r="AC988" s="16" t="n">
        <x:v>66.83168316831683</x:v>
      </x:c>
      <x:c r="AD988" s="16" t="n">
        <x:v>5.304878048780488</x:v>
      </x:c>
      <x:c r="AE988" s="16" t="n">
        <x:v>71.41796988932343</x:v>
      </x:c>
      <x:c r="AF988" t="str">
        <x:v>검토</x:v>
      </x:c>
      <x:c r="AG988" t="str">
        <x:v>서울 업종추세·수요 강점 / 직장수요 상대적 약점</x:v>
      </x:c>
    </x:row>
    <x:row r="989">
      <x:c r="A989" t="str">
        <x:v>3120142</x:v>
      </x:c>
      <x:c r="B989" t="str">
        <x:v>대림역</x:v>
      </x:c>
      <x:c r="C989" t="str">
        <x:v>발달상권</x:v>
      </x:c>
      <x:c r="D989" t="str">
        <x:v>영등포구</x:v>
      </x:c>
      <x:c r="E989" t="str">
        <x:v>대림3동</x:v>
      </x:c>
      <x:c r="F989" t="str">
        <x:v>CS300018</x:v>
      </x:c>
      <x:c r="G989" t="str">
        <x:v>의약품</x:v>
      </x:c>
      <x:c r="H989" t="n">
        <x:v>5486081117</x:v>
      </x:c>
      <x:c r="I989" t="n">
        <x:v>162995</x:v>
      </x:c>
      <x:c r="J989" t="n">
        <x:v>33657.97182122151</x:v>
      </x:c>
      <x:c r="K989" s="14" t="n">
        <x:v>0.041990620112138055</x:v>
      </x:c>
      <x:c r="L989" s="14" t="n">
        <x:v>0.027829225601598617</x:v>
      </x:c>
      <x:c r="M989" s="14" t="n">
        <x:v>0.02632929521123617</x:v>
      </x:c>
      <x:c r="N989" t="n">
        <x:v>44</x:v>
      </x:c>
      <x:c r="O989" t="n">
        <x:v>0</x:v>
      </x:c>
      <x:c r="P989" s="14" t="n">
        <x:v>0</x:v>
      </x:c>
      <x:c r="Q989" s="14" t="n">
        <x:v>0</x:v>
      </x:c>
      <x:c r="R989" s="14" t="n">
        <x:v>0.023255813953488413</x:v>
      </x:c>
      <x:c r="S989" t="n">
        <x:v>2012</x:v>
      </x:c>
      <x:c r="T989" t="n">
        <x:v>141.12266870541694</x:v>
      </x:c>
      <x:c r="U989" s="14" t="n">
        <x:v>0.9374134985106164</x:v>
      </x:c>
      <x:c r="V989" s="14" t="n">
        <x:v>0.04053283815125186</x:v>
      </x:c>
      <x:c r="W989" s="14" t="n">
        <x:v>0.06929363235662124</x:v>
      </x:c>
      <x:c r="X989" s="14" t="n">
        <x:v>0.4981286721284183</x:v>
      </x:c>
      <x:c r="Y989" s="16" t="n">
        <x:v>89.86254295532646</x:v>
      </x:c>
      <x:c r="Z989" s="16" t="n">
        <x:v>80.24475524475524</x:v>
      </x:c>
      <x:c r="AA989" s="16" t="n">
        <x:v>72.1311475409836</x:v>
      </x:c>
      <x:c r="AB989" s="16" t="n">
        <x:v>20.274914089347078</x:v>
      </x:c>
      <x:c r="AC989" s="16" t="n">
        <x:v>66.32302405498282</x:v>
      </x:c>
      <x:c r="AD989" s="16" t="n">
        <x:v>68.35365853658537</x:v>
      </x:c>
      <x:c r="AE989" s="16" t="n">
        <x:v>71.41173566019246</x:v>
      </x:c>
      <x:c r="AF989" t="str">
        <x:v>검토</x:v>
      </x:c>
      <x:c r="AG989" t="str">
        <x:v>수요·상권 모멘텀 강점 / 경쟁여건 상대적 약점</x:v>
      </x:c>
    </x:row>
    <x:row r="990">
      <x:c r="A990" t="str">
        <x:v>3120017</x:v>
      </x:c>
      <x:c r="B990" t="str">
        <x:v>동묘앞역(동묘)</x:v>
      </x:c>
      <x:c r="C990" t="str">
        <x:v>발달상권</x:v>
      </x:c>
      <x:c r="D990" t="str">
        <x:v>종로구</x:v>
      </x:c>
      <x:c r="E990" t="str">
        <x:v>창신1동</x:v>
      </x:c>
      <x:c r="F990" t="str">
        <x:v>CS300011</x:v>
      </x:c>
      <x:c r="G990" t="str">
        <x:v>일반의류</x:v>
      </x:c>
      <x:c r="H990" t="n">
        <x:v>2352551235</x:v>
      </x:c>
      <x:c r="I990" t="n">
        <x:v>28609</x:v>
      </x:c>
      <x:c r="J990" t="n">
        <x:v>82231.15925058548</x:v>
      </x:c>
      <x:c r="K990" s="14" t="n">
        <x:v>0.2505931905561791</x:v>
      </x:c>
      <x:c r="L990" s="14" t="n">
        <x:v>0.06726691045630595</x:v>
      </x:c>
      <x:c r="M990" s="14" t="n">
        <x:v>0.00788849516466894</x:v>
      </x:c>
      <x:c r="N990" t="n">
        <x:v>225</x:v>
      </x:c>
      <x:c r="O990" t="n">
        <x:v>3</x:v>
      </x:c>
      <x:c r="P990" s="14" t="n">
        <x:v>0.013043478260869565</x:v>
      </x:c>
      <x:c r="Q990" s="14" t="n">
        <x:v>0.0044444444444444444</x:v>
      </x:c>
      <x:c r="R990" s="14" t="n">
        <x:v>-0.09999999999999998</x:v>
      </x:c>
      <x:c r="S990" t="n">
        <x:v>705</x:v>
      </x:c>
      <x:c r="T990" t="n">
        <x:v>99.01963538301638</x:v>
      </x:c>
      <x:c r="U990" s="14" t="n">
        <x:v>0.7465403906495579</x:v>
      </x:c>
      <x:c r="V990" s="14" t="n">
        <x:v>0.1924208621964401</x:v>
      </x:c>
      <x:c r="W990" s="14" t="n">
        <x:v>0.15146316632717247</x:v>
      </x:c>
      <x:c r="X990" s="14" t="n">
        <x:v>0.47374110515386925</x:v>
      </x:c>
      <x:c r="Y990" s="16" t="n">
        <x:v>89.63486454652532</x:v>
      </x:c>
      <x:c r="Z990" s="16" t="n">
        <x:v>80.86642599277978</x:v>
      </x:c>
      <x:c r="AA990" s="16" t="n">
        <x:v>81.9672131147541</x:v>
      </x:c>
      <x:c r="AB990" s="16" t="n">
        <x:v>19.670200235571258</x:v>
      </x:c>
      <x:c r="AC990" s="16" t="n">
        <x:v>56.65488810365135</x:v>
      </x:c>
      <x:c r="AD990" s="16" t="n">
        <x:v>59.02439024390244</x:v>
      </x:c>
      <x:c r="AE990" s="16" t="n">
        <x:v>71.40780811494888</x:v>
      </x:c>
      <x:c r="AF990" t="str">
        <x:v>검토</x:v>
      </x:c>
      <x:c r="AG990" t="str">
        <x:v>수요·서울 업종추세 강점 / 경쟁여건 상대적 약점</x:v>
      </x:c>
    </x:row>
    <x:row r="991">
      <x:c r="A991" t="str">
        <x:v>3130231</x:v>
      </x:c>
      <x:c r="B991" t="str">
        <x:v>독산동 우시장</x:v>
      </x:c>
      <x:c r="C991" t="str">
        <x:v>전통시장</x:v>
      </x:c>
      <x:c r="D991" t="str">
        <x:v>금천구</x:v>
      </x:c>
      <x:c r="E991" t="str">
        <x:v>독산1동</x:v>
      </x:c>
      <x:c r="F991" t="str">
        <x:v>CS300007</x:v>
      </x:c>
      <x:c r="G991" t="str">
        <x:v>육류판매</x:v>
      </x:c>
      <x:c r="H991" t="n">
        <x:v>198687712787</x:v>
      </x:c>
      <x:c r="I991" t="n">
        <x:v>1708468</x:v>
      </x:c>
      <x:c r="J991" t="n">
        <x:v>116295.83509143864</x:v>
      </x:c>
      <x:c r="K991" s="14" t="n">
        <x:v>0.03698566358470079</x:v>
      </x:c>
      <x:c r="L991" s="14" t="n">
        <x:v>0.23518223683931017</x:v>
      </x:c>
      <x:c r="M991" s="14" t="n">
        <x:v>0.00863079289162072</x:v>
      </x:c>
      <x:c r="N991" t="n">
        <x:v>294</x:v>
      </x:c>
      <x:c r="O991" t="n">
        <x:v>0</x:v>
      </x:c>
      <x:c r="P991" s="14" t="n">
        <x:v>0</x:v>
      </x:c>
      <x:c r="Q991" s="14" t="n">
        <x:v>0</x:v>
      </x:c>
      <x:c r="R991" s="14" t="n">
        <x:v>-0.08125000000000004</x:v>
      </x:c>
      <x:c r="S991" t="n">
        <x:v>871</x:v>
      </x:c>
      <x:c r="T991" t="n">
        <x:v>137.39904088844017</x:v>
      </x:c>
      <x:c r="U991" s="14" t="n">
        <x:v>0.8119581953059528</x:v>
      </x:c>
      <x:c r="V991" s="14" t="n">
        <x:v>0.0643184406913971</x:v>
      </x:c>
      <x:c r="W991" s="14" t="n">
        <x:v>0.127660326460105</x:v>
      </x:c>
      <x:c r="X991" s="14" t="n">
        <x:v>0.4426808387858942</x:v>
      </x:c>
      <x:c r="Y991" s="16" t="n">
        <x:v>100</x:v>
      </x:c>
      <x:c r="Z991" s="16" t="n">
        <x:v>56.36363636363637</x:v>
      </x:c>
      <x:c r="AA991" s="16" t="n">
        <x:v>100</x:v>
      </x:c>
      <x:c r="AB991" s="16" t="n">
        <x:v>0.4950495049505008</x:v>
      </x:c>
      <x:c r="AC991" s="16" t="n">
        <x:v>66.83168316831683</x:v>
      </x:c>
      <x:c r="AD991" s="16" t="n">
        <x:v>67.3780487804878</x:v>
      </x:c>
      <x:c r="AE991" s="16" t="n">
        <x:v>71.39905545432592</x:v>
      </x:c>
      <x:c r="AF991" t="str">
        <x:v>검토</x:v>
      </x:c>
      <x:c r="AG991" t="str">
        <x:v>수요·서울 업종추세 강점 / 경쟁여건 상대적 약점</x:v>
      </x:c>
    </x:row>
    <x:row r="992">
      <x:c r="A992" t="str">
        <x:v>3120184</x:v>
      </x:c>
      <x:c r="B992" t="str">
        <x:v>포이사거리(삼호물산)</x:v>
      </x:c>
      <x:c r="C992" t="str">
        <x:v>발달상권</x:v>
      </x:c>
      <x:c r="D992" t="str">
        <x:v>서초구</x:v>
      </x:c>
      <x:c r="E992" t="str">
        <x:v>양재2동</x:v>
      </x:c>
      <x:c r="F992" t="str">
        <x:v>CS200016</x:v>
      </x:c>
      <x:c r="G992" t="str">
        <x:v>당구장</x:v>
      </x:c>
      <x:c r="H992" t="n">
        <x:v>322480433</x:v>
      </x:c>
      <x:c r="I992" t="n">
        <x:v>3963</x:v>
      </x:c>
      <x:c r="J992" t="n">
        <x:v>81372.8067120868</x:v>
      </x:c>
      <x:c r="K992" s="14" t="n">
        <x:v>0.09836514319261247</x:v>
      </x:c>
      <x:c r="L992" s="14" t="n">
        <x:v>0.052763611334009974</x:v>
      </x:c>
      <x:c r="M992" s="14" t="n">
        <x:v>0.07602781601598463</x:v>
      </x:c>
      <x:c r="N992" t="n">
        <x:v>25</x:v>
      </x:c>
      <x:c r="O992" t="n">
        <x:v>1</x:v>
      </x:c>
      <x:c r="P992" s="14" t="n">
        <x:v>0.03333333333333333</x:v>
      </x:c>
      <x:c r="Q992" s="14" t="n">
        <x:v>0</x:v>
      </x:c>
      <x:c r="R992" s="14" t="n">
        <x:v>-0.13793103448275867</x:v>
      </x:c>
      <x:c r="S992" t="n">
        <x:v>15262</x:v>
      </x:c>
      <x:c r="T992" t="n">
        <x:v>433.64237432127953</x:v>
      </x:c>
      <x:c r="U992" s="14" t="n">
        <x:v>0.7904103254537617</x:v>
      </x:c>
      <x:c r="V992" s="14" t="n">
        <x:v>0.4081227588775906</x:v>
      </x:c>
      <x:c r="W992" s="14" t="n">
        <x:v>0.11701270879898626</x:v>
      </x:c>
      <x:c r="X992" s="14" t="n">
        <x:v>0.43422841099943577</x:v>
      </x:c>
      <x:c r="Y992" s="16" t="n">
        <x:v>95.87020648967551</x:v>
      </x:c>
      <x:c r="Z992" s="16" t="n">
        <x:v>81.48148148148148</x:v>
      </x:c>
      <x:c r="AA992" s="16" t="n">
        <x:v>80.32786885245902</x:v>
      </x:c>
      <x:c r="AB992" s="16" t="n">
        <x:v>9.882005899705021</x:v>
      </x:c>
      <x:c r="AC992" s="16" t="n">
        <x:v>35.9882005899705</x:v>
      </x:c>
      <x:c r="AD992" s="16" t="n">
        <x:v>88.35365853658537</x:v>
      </x:c>
      <x:c r="AE992" s="16" t="n">
        <x:v>71.39885276633366</x:v>
      </x:c>
      <x:c r="AF992" t="str">
        <x:v>검토</x:v>
      </x:c>
      <x:c r="AG992" t="str">
        <x:v>수요·직장수요 강점 / 경쟁여건 상대적 약점</x:v>
      </x:c>
    </x:row>
    <x:row r="993">
      <x:c r="A993" t="str">
        <x:v>3120114</x:v>
      </x:c>
      <x:c r="B993" t="str">
        <x:v>목동신시가지</x:v>
      </x:c>
      <x:c r="C993" t="str">
        <x:v>발달상권</x:v>
      </x:c>
      <x:c r="D993" t="str">
        <x:v>양천구</x:v>
      </x:c>
      <x:c r="E993" t="str">
        <x:v>목1동</x:v>
      </x:c>
      <x:c r="F993" t="str">
        <x:v>CS100005</x:v>
      </x:c>
      <x:c r="G993" t="str">
        <x:v>제과점</x:v>
      </x:c>
      <x:c r="H993" t="n">
        <x:v>1121012720</x:v>
      </x:c>
      <x:c r="I993" t="n">
        <x:v>70160</x:v>
      </x:c>
      <x:c r="J993" t="n">
        <x:v>15977.946408209806</x:v>
      </x:c>
      <x:c r="K993" s="14" t="n">
        <x:v>0.1329117202553618</x:v>
      </x:c>
      <x:c r="L993" s="14" t="n">
        <x:v>0.015772977300780644</x:v>
      </x:c>
      <x:c r="M993" s="14" t="n">
        <x:v>-0.01180050626373963</x:v>
      </x:c>
      <x:c r="N993" t="n">
        <x:v>49</x:v>
      </x:c>
      <x:c r="O993" t="n">
        <x:v>0</x:v>
      </x:c>
      <x:c r="P993" s="14" t="n">
        <x:v>0</x:v>
      </x:c>
      <x:c r="Q993" s="14" t="n">
        <x:v>0.1836734693877551</x:v>
      </x:c>
      <x:c r="R993" s="14" t="n">
        <x:v>0.11363636363636354</x:v>
      </x:c>
      <x:c r="S993" t="n">
        <x:v>27985</x:v>
      </x:c>
      <x:c r="T993" t="n">
        <x:v>664.0501721523673</x:v>
      </x:c>
      <x:c r="U993" s="14" t="n">
        <x:v>0.6634693556376416</x:v>
      </x:c>
      <x:c r="V993" s="14" t="n">
        <x:v>0.13478559458272696</x:v>
      </x:c>
      <x:c r="W993" s="14" t="n">
        <x:v>0.20153046702271138</x:v>
      </x:c>
      <x:c r="X993" s="14" t="n">
        <x:v>0.5844213542911448</x:v>
      </x:c>
      <x:c r="Y993" s="16" t="n">
        <x:v>90.67599067599068</x:v>
      </x:c>
      <x:c r="Z993" s="16" t="n">
        <x:v>89.57816377171216</x:v>
      </x:c>
      <x:c r="AA993" s="16" t="n">
        <x:v>52.459016393442624</x:v>
      </x:c>
      <x:c r="AB993" s="16" t="n">
        <x:v>12.23776223776224</x:v>
      </x:c>
      <x:c r="AC993" s="16" t="n">
        <x:v>73.54312354312354</x:v>
      </x:c>
      <x:c r="AD993" s="16" t="n">
        <x:v>93.65853658536585</x:v>
      </x:c>
      <x:c r="AE993" s="16" t="n">
        <x:v>71.39398546920054</x:v>
      </x:c>
      <x:c r="AF993" t="str">
        <x:v>검토</x:v>
      </x:c>
      <x:c r="AG993" t="str">
        <x:v>직장수요·수요 강점 / 경쟁여건 상대적 약점</x:v>
      </x:c>
    </x:row>
    <x:row r="994">
      <x:c r="A994" t="str">
        <x:v>3120083</x:v>
      </x:c>
      <x:c r="B994" t="str">
        <x:v>등나무근린공원</x:v>
      </x:c>
      <x:c r="C994" t="str">
        <x:v>발달상권</x:v>
      </x:c>
      <x:c r="D994" t="str">
        <x:v>노원구</x:v>
      </x:c>
      <x:c r="E994" t="str">
        <x:v>중계2·3동</x:v>
      </x:c>
      <x:c r="F994" t="str">
        <x:v>CS100006</x:v>
      </x:c>
      <x:c r="G994" t="str">
        <x:v>패스트푸드점</x:v>
      </x:c>
      <x:c r="H994" t="n">
        <x:v>394129931</x:v>
      </x:c>
      <x:c r="I994" t="n">
        <x:v>36565</x:v>
      </x:c>
      <x:c r="J994" t="n">
        <x:v>10778.885026664844</x:v>
      </x:c>
      <x:c r="K994" s="14" t="n">
        <x:v>0.04489046815466513</x:v>
      </x:c>
      <x:c r="L994" s="14" t="n">
        <x:v>0.0037102725933797487</x:v>
      </x:c>
      <x:c r="M994" s="14" t="n">
        <x:v>0.011474434125836375</x:v>
      </x:c>
      <x:c r="N994" t="n">
        <x:v>7</x:v>
      </x:c>
      <x:c r="O994" t="n">
        <x:v>0</x:v>
      </x:c>
      <x:c r="P994" s="14" t="n">
        <x:v>0</x:v>
      </x:c>
      <x:c r="Q994" s="14" t="n">
        <x:v>0.7142857142857143</x:v>
      </x:c>
      <x:c r="R994" s="14" t="n">
        <x:v>-0.125</x:v>
      </x:c>
      <x:c r="S994" t="n">
        <x:v>1099</x:v>
      </x:c>
      <x:c r="T994" t="n">
        <x:v>87.34700365601653</x:v>
      </x:c>
      <x:c r="U994" s="14" t="n">
        <x:v>0.6250646414367347</x:v>
      </x:c>
      <x:c r="V994" s="14" t="n">
        <x:v>0.3380106597385013</x:v>
      </x:c>
      <x:c r="W994" s="14" t="n">
        <x:v>0.27481610626522046</x:v>
      </x:c>
      <x:c r="X994" s="14" t="n">
        <x:v>0.46183233417002273</x:v>
      </x:c>
      <x:c r="Y994" s="16" t="n">
        <x:v>74.3142144638404</x:v>
      </x:c>
      <x:c r="Z994" s="16" t="n">
        <x:v>71.80156657963447</x:v>
      </x:c>
      <x:c r="AA994" s="16" t="n">
        <x:v>44.26229508196721</x:v>
      </x:c>
      <x:c r="AB994" s="16" t="n">
        <x:v>91.89526184538653</x:v>
      </x:c>
      <x:c r="AC994" s="16" t="n">
        <x:v>78.30423940149626</x:v>
      </x:c>
      <x:c r="AD994" s="16" t="n">
        <x:v>55.24390243902439</x:v>
      </x:c>
      <x:c r="AE994" s="16" t="n">
        <x:v>71.38654097947494</x:v>
      </x:c>
      <x:c r="AF994" t="str">
        <x:v>검토</x:v>
      </x:c>
      <x:c r="AG994" t="str">
        <x:v>경쟁여건·안정성 강점 / 서울 업종추세 상대적 약점</x:v>
      </x:c>
    </x:row>
    <x:row r="995">
      <x:c r="A995" t="str">
        <x:v>3120114</x:v>
      </x:c>
      <x:c r="B995" t="str">
        <x:v>목동신시가지</x:v>
      </x:c>
      <x:c r="C995" t="str">
        <x:v>발달상권</x:v>
      </x:c>
      <x:c r="D995" t="str">
        <x:v>양천구</x:v>
      </x:c>
      <x:c r="E995" t="str">
        <x:v>목1동</x:v>
      </x:c>
      <x:c r="F995" t="str">
        <x:v>CS200030</x:v>
      </x:c>
      <x:c r="G995" t="str">
        <x:v>피부관리실</x:v>
      </x:c>
      <x:c r="H995" t="n">
        <x:v>543422476</x:v>
      </x:c>
      <x:c r="I995" t="n">
        <x:v>2273</x:v>
      </x:c>
      <x:c r="J995" t="n">
        <x:v>239077.20017597888</x:v>
      </x:c>
      <x:c r="K995" s="14" t="n">
        <x:v>0.010452663798701023</x:v>
      </x:c>
      <x:c r="L995" s="14" t="n">
        <x:v>0.11857168683779085</x:v>
      </x:c>
      <x:c r="M995" s="14" t="n">
        <x:v>0.0314283578178467</x:v>
      </x:c>
      <x:c r="N995" t="n">
        <x:v>53</x:v>
      </x:c>
      <x:c r="O995" t="n">
        <x:v>0</x:v>
      </x:c>
      <x:c r="P995" s="14" t="n">
        <x:v>0</x:v>
      </x:c>
      <x:c r="Q995" s="14" t="n">
        <x:v>0.09433962264150944</x:v>
      </x:c>
      <x:c r="R995" s="14" t="n">
        <x:v>0.26190476190476186</x:v>
      </x:c>
      <x:c r="S995" t="n">
        <x:v>27985</x:v>
      </x:c>
      <x:c r="T995" t="n">
        <x:v>664.0501721523673</x:v>
      </x:c>
      <x:c r="U995" s="14" t="n">
        <x:v>0.7419290898082029</x:v>
      </x:c>
      <x:c r="V995" s="14" t="n">
        <x:v>0.38059490200401647</x:v>
      </x:c>
      <x:c r="W995" s="14" t="n">
        <x:v>0.2635672433983021</x:v>
      </x:c>
      <x:c r="X995" s="14" t="n">
        <x:v>0.7711630499434845</x:v>
      </x:c>
      <x:c r="Y995" s="16" t="n">
        <x:v>94.78908188585608</x:v>
      </x:c>
      <x:c r="Z995" s="16" t="n">
        <x:v>40.84880636604775</x:v>
      </x:c>
      <x:c r="AA995" s="16" t="n">
        <x:v>91.80327868852459</x:v>
      </x:c>
      <x:c r="AB995" s="16" t="n">
        <x:v>24.44168734491315</x:v>
      </x:c>
      <x:c r="AC995" s="16" t="n">
        <x:v>79.15632754342431</x:v>
      </x:c>
      <x:c r="AD995" s="16" t="n">
        <x:v>93.65853658536585</x:v>
      </x:c>
      <x:c r="AE995" s="16" t="n">
        <x:v>71.38124442188555</x:v>
      </x:c>
      <x:c r="AF995" t="str">
        <x:v>검토</x:v>
      </x:c>
      <x:c r="AG995" t="str">
        <x:v>수요·직장수요 강점 / 경쟁여건 상대적 약점</x:v>
      </x:c>
    </x:row>
    <x:row r="996">
      <x:c r="A996" t="str">
        <x:v>3120083</x:v>
      </x:c>
      <x:c r="B996" t="str">
        <x:v>등나무근린공원</x:v>
      </x:c>
      <x:c r="C996" t="str">
        <x:v>발달상권</x:v>
      </x:c>
      <x:c r="D996" t="str">
        <x:v>노원구</x:v>
      </x:c>
      <x:c r="E996" t="str">
        <x:v>중계2·3동</x:v>
      </x:c>
      <x:c r="F996" t="str">
        <x:v>CS300010</x:v>
      </x:c>
      <x:c r="G996" t="str">
        <x:v>반찬가게</x:v>
      </x:c>
      <x:c r="H996" t="n">
        <x:v>3077455847</x:v>
      </x:c>
      <x:c r="I996" t="n">
        <x:v>224651</x:v>
      </x:c>
      <x:c r="J996" t="n">
        <x:v>13698.829949566216</x:v>
      </x:c>
      <x:c r="K996" s="14" t="n">
        <x:v>-0.019475385418927016</x:v>
      </x:c>
      <x:c r="L996" s="14" t="n">
        <x:v>0.02346021551670452</x:v>
      </x:c>
      <x:c r="M996" s="14" t="n">
        <x:v>0.024589273784872745</x:v>
      </x:c>
      <x:c r="N996" t="n">
        <x:v>10</x:v>
      </x:c>
      <x:c r="O996" t="n">
        <x:v>0</x:v>
      </x:c>
      <x:c r="P996" s="14" t="n">
        <x:v>0</x:v>
      </x:c>
      <x:c r="Q996" s="14" t="n">
        <x:v>0.2</x:v>
      </x:c>
      <x:c r="R996" s="14" t="n">
        <x:v>0.11111111111111116</x:v>
      </x:c>
      <x:c r="S996" t="n">
        <x:v>1099</x:v>
      </x:c>
      <x:c r="T996" t="n">
        <x:v>87.34700365601653</x:v>
      </x:c>
      <x:c r="U996" s="14" t="n">
        <x:v>0.6110040963976826</x:v>
      </x:c>
      <x:c r="V996" s="14" t="n">
        <x:v>0.24015937018900796</x:v>
      </x:c>
      <x:c r="W996" s="14" t="n">
        <x:v>0.057866733059257436</x:v>
      </x:c>
      <x:c r="X996" s="14" t="n">
        <x:v>0.6214174740684753</x:v>
      </x:c>
      <x:c r="Y996" s="16" t="n">
        <x:v>88.7218045112782</x:v>
      </x:c>
      <x:c r="Z996" s="16" t="n">
        <x:v>31.38888888888889</x:v>
      </x:c>
      <x:c r="AA996" s="16" t="n">
        <x:v>63.9344262295082</x:v>
      </x:c>
      <x:c r="AB996" s="16" t="n">
        <x:v>95.36340852130326</x:v>
      </x:c>
      <x:c r="AC996" s="16" t="n">
        <x:v>73.93483709273183</x:v>
      </x:c>
      <x:c r="AD996" s="16" t="n">
        <x:v>55.24390243902439</x:v>
      </x:c>
      <x:c r="AE996" s="16" t="n">
        <x:v>71.38076340057127</x:v>
      </x:c>
      <x:c r="AF996" t="str">
        <x:v>검토</x:v>
      </x:c>
      <x:c r="AG996" t="str">
        <x:v>경쟁여건·수요 강점 / 상권 모멘텀 상대적 약점</x:v>
      </x:c>
    </x:row>
    <x:row r="997">
      <x:c r="A997" t="str">
        <x:v>3110249</x:v>
      </x:c>
      <x:c r="B997" t="str">
        <x:v>중화역 1번</x:v>
      </x:c>
      <x:c r="C997" t="str">
        <x:v>골목상권</x:v>
      </x:c>
      <x:c r="D997" t="str">
        <x:v>중랑구</x:v>
      </x:c>
      <x:c r="E997" t="str">
        <x:v>중화1동</x:v>
      </x:c>
      <x:c r="F997" t="str">
        <x:v>CS100008</x:v>
      </x:c>
      <x:c r="G997" t="str">
        <x:v>분식전문점</x:v>
      </x:c>
      <x:c r="H997" t="n">
        <x:v>292609827</x:v>
      </x:c>
      <x:c r="I997" t="n">
        <x:v>7803</x:v>
      </x:c>
      <x:c r="J997" t="n">
        <x:v>37499.65743944637</x:v>
      </x:c>
      <x:c r="K997" s="14" t="n">
        <x:v>0.14478855371594146</x:v>
      </x:c>
      <x:c r="L997" s="14" t="n">
        <x:v>-0.021494731595524064</x:v>
      </x:c>
      <x:c r="M997" s="14" t="n">
        <x:v>0.009923521656473921</x:v>
      </x:c>
      <x:c r="N997" t="n">
        <x:v>10</x:v>
      </x:c>
      <x:c r="O997" t="n">
        <x:v>0</x:v>
      </x:c>
      <x:c r="P997" s="14" t="n">
        <x:v>0</x:v>
      </x:c>
      <x:c r="Q997" s="14" t="n">
        <x:v>0</x:v>
      </x:c>
      <x:c r="R997" s="14" t="n">
        <x:v>-0.2857142857142857</x:v>
      </x:c>
      <x:c r="S997" t="n">
        <x:v>792</x:v>
      </x:c>
      <x:c r="T997" t="n">
        <x:v>46.50152362946741</x:v>
      </x:c>
      <x:c r="U997" s="14" t="n">
        <x:v>0.9465139289392355</x:v>
      </x:c>
      <x:c r="V997" s="14" t="n">
        <x:v>0.058049137221901984</x:v>
      </x:c>
      <x:c r="W997" s="14" t="n">
        <x:v>0.05185376087864609</x:v>
      </x:c>
      <x:c r="X997" s="14" t="n">
        <x:v>0.11299661511368174</x:v>
      </x:c>
      <x:c r="Y997" s="16" t="n">
        <x:v>69.7704081632653</x:v>
      </x:c>
      <x:c r="Z997" s="16" t="n">
        <x:v>86.55352480417754</x:v>
      </x:c>
      <x:c r="AA997" s="16" t="n">
        <x:v>34.42622950819672</x:v>
      </x:c>
      <x:c r="AB997" s="16" t="n">
        <x:v>96.875</x:v>
      </x:c>
      <x:c r="AC997" s="16" t="n">
        <x:v>82.71683673469389</x:v>
      </x:c>
      <x:c r="AD997" s="16" t="n">
        <x:v>33.59756097560975</x:v>
      </x:c>
      <x:c r="AE997" s="16" t="n">
        <x:v>71.37709396645775</x:v>
      </x:c>
      <x:c r="AF997" t="str">
        <x:v>검토</x:v>
      </x:c>
      <x:c r="AG997" t="str">
        <x:v>경쟁여건·상권 모멘텀 강점 / 직장수요 상대적 약점</x:v>
      </x:c>
    </x:row>
    <x:row r="998">
      <x:c r="A998" t="str">
        <x:v>3110560</x:v>
      </x:c>
      <x:c r="B998" t="str">
        <x:v>마포FM</x:v>
      </x:c>
      <x:c r="C998" t="str">
        <x:v>골목상권</x:v>
      </x:c>
      <x:c r="D998" t="str">
        <x:v>마포구</x:v>
      </x:c>
      <x:c r="E998" t="str">
        <x:v>연남동</x:v>
      </x:c>
      <x:c r="F998" t="str">
        <x:v>CS300036</x:v>
      </x:c>
      <x:c r="G998" t="str">
        <x:v>조명용품</x:v>
      </x:c>
      <x:c r="H998" t="n">
        <x:v>6194121260</x:v>
      </x:c>
      <x:c r="I998" t="n">
        <x:v>80503</x:v>
      </x:c>
      <x:c r="J998" t="n">
        <x:v>76942.73828304536</x:v>
      </x:c>
      <x:c r="K998" s="14" t="n">
        <x:v>0.008794885552947385</x:v>
      </x:c>
      <x:c r="L998" s="14" t="n">
        <x:v>0.025028299232514595</x:v>
      </x:c>
      <x:c r="M998" s="14" t="n">
        <x:v>-0.03086161384017172</x:v>
      </x:c>
      <x:c r="N998" t="n">
        <x:v>9</x:v>
      </x:c>
      <x:c r="O998" t="n">
        <x:v>0</x:v>
      </x:c>
      <x:c r="P998" s="14" t="n">
        <x:v>0</x:v>
      </x:c>
      <x:c r="Q998" s="14" t="n">
        <x:v>0</x:v>
      </x:c>
      <x:c r="R998" s="14" t="n">
        <x:v>-0.18181818181818177</x:v>
      </x:c>
      <x:c r="S998" t="n">
        <x:v>421</x:v>
      </x:c>
      <x:c r="T998" t="n">
        <x:v>69.89872156732525</x:v>
      </x:c>
      <x:c r="U998" s="14" t="n">
        <x:v>0.9606658924207112</x:v>
      </x:c>
      <x:c r="V998" s="14" t="n">
        <x:v>0.06563795233159514</x:v>
      </x:c>
      <x:c r="W998" s="14" t="n">
        <x:v>0.06302105280386455</x:v>
      </x:c>
      <x:c r="X998" s="14" t="n">
        <x:v>0.3241456843871991</x:v>
      </x:c>
      <x:c r="Y998" s="16" t="n">
        <x:v>92.20779220779221</x:v>
      </x:c>
      <x:c r="Z998" s="16" t="n">
        <x:v>41.61073825503356</x:v>
      </x:c>
      <x:c r="AA998" s="16" t="n">
        <x:v>67.21311475409836</x:v>
      </x:c>
      <x:c r="AB998" s="16" t="n">
        <x:v>83.11688311688312</x:v>
      </x:c>
      <x:c r="AC998" s="16" t="n">
        <x:v>58.44155844155844</x:v>
      </x:c>
      <x:c r="AD998" s="16" t="n">
        <x:v>47.74390243902439</x:v>
      </x:c>
      <x:c r="AE998" s="16" t="n">
        <x:v>71.37572557048827</x:v>
      </x:c>
      <x:c r="AF998" t="str">
        <x:v>검토</x:v>
      </x:c>
      <x:c r="AG998" t="str">
        <x:v>수요·경쟁여건 강점 / 상권 모멘텀 상대적 약점</x:v>
      </x:c>
    </x:row>
    <x:row r="999">
      <x:c r="A999" t="str">
        <x:v>3120048</x:v>
      </x:c>
      <x:c r="B999" t="str">
        <x:v>금호역</x:v>
      </x:c>
      <x:c r="C999" t="str">
        <x:v>발달상권</x:v>
      </x:c>
      <x:c r="D999" t="str">
        <x:v>성동구</x:v>
      </x:c>
      <x:c r="E999" t="str">
        <x:v>금호4가동</x:v>
      </x:c>
      <x:c r="F999" t="str">
        <x:v>CS300028</x:v>
      </x:c>
      <x:c r="G999" t="str">
        <x:v>화초</x:v>
      </x:c>
      <x:c r="H999" t="n">
        <x:v>276471555</x:v>
      </x:c>
      <x:c r="I999" t="n">
        <x:v>15439</x:v>
      </x:c>
      <x:c r="J999" t="n">
        <x:v>17907.348597707107</x:v>
      </x:c>
      <x:c r="K999" s="14" t="n">
        <x:v>-0.06397349746716818</x:v>
      </x:c>
      <x:c r="L999" s="14" t="n">
        <x:v>0.028008199294863756</x:v>
      </x:c>
      <x:c r="M999" s="14" t="n">
        <x:v>-0.0030123365554672876</x:v>
      </x:c>
      <x:c r="N999" t="n">
        <x:v>11</x:v>
      </x:c>
      <x:c r="O999" t="n">
        <x:v>0</x:v>
      </x:c>
      <x:c r="P999" s="14" t="n">
        <x:v>0</x:v>
      </x:c>
      <x:c r="Q999" s="14" t="n">
        <x:v>0</x:v>
      </x:c>
      <x:c r="R999" s="14" t="n">
        <x:v>0.375</x:v>
      </x:c>
      <x:c r="S999" t="n">
        <x:v>376</x:v>
      </x:c>
      <x:c r="T999" t="n">
        <x:v>61.608035260769114</x:v>
      </x:c>
      <x:c r="U999" s="14" t="n">
        <x:v>0.6852146254250279</x:v>
      </x:c>
      <x:c r="V999" s="14" t="n">
        <x:v>0.46005564297563994</x:v>
      </x:c>
      <x:c r="W999" s="14" t="n">
        <x:v>0.5286937457272955</x:v>
      </x:c>
      <x:c r="X999" s="14" t="n">
        <x:v>0.5204256437882009</x:v>
      </x:c>
      <x:c r="Y999" s="16" t="n">
        <x:v>87.58389261744966</x:v>
      </x:c>
      <x:c r="Z999" s="16" t="n">
        <x:v>46.917808219178085</x:v>
      </x:c>
      <x:c r="AA999" s="16" t="n">
        <x:v>73.77049180327869</x:v>
      </x:c>
      <x:c r="AB999" s="16" t="n">
        <x:v>76.00671140939598</x:v>
      </x:c>
      <x:c r="AC999" s="16" t="n">
        <x:v>66.7785234899329</x:v>
      </x:c>
      <x:c r="AD999" s="16" t="n">
        <x:v>43.71951219512195</x:v>
      </x:c>
      <x:c r="AE999" s="16" t="n">
        <x:v>71.36833250059358</x:v>
      </x:c>
      <x:c r="AF999" t="str">
        <x:v>검토</x:v>
      </x:c>
      <x:c r="AG999" t="str">
        <x:v>수요·경쟁여건 강점 / 직장수요 상대적 약점</x:v>
      </x:c>
    </x:row>
    <x:row r="1000">
      <x:c r="A1000" t="str">
        <x:v>3120038</x:v>
      </x:c>
      <x:c r="B1000" t="str">
        <x:v>약수역</x:v>
      </x:c>
      <x:c r="C1000" t="str">
        <x:v>발달상권</x:v>
      </x:c>
      <x:c r="D1000" t="str">
        <x:v>중구</x:v>
      </x:c>
      <x:c r="E1000" t="str">
        <x:v>다산동</x:v>
      </x:c>
      <x:c r="F1000" t="str">
        <x:v>CS100005</x:v>
      </x:c>
      <x:c r="G1000" t="str">
        <x:v>제과점</x:v>
      </x:c>
      <x:c r="H1000" t="n">
        <x:v>1507228165</x:v>
      </x:c>
      <x:c r="I1000" t="n">
        <x:v>129265</x:v>
      </x:c>
      <x:c r="J1000" t="n">
        <x:v>11659.986577960004</x:v>
      </x:c>
      <x:c r="K1000" s="14" t="n">
        <x:v>-0.000697933380406246</x:v>
      </x:c>
      <x:c r="L1000" s="14" t="n">
        <x:v>0.015772977300780644</x:v>
      </x:c>
      <x:c r="M1000" s="14" t="n">
        <x:v>-0.01180050626373963</x:v>
      </x:c>
      <x:c r="N1000" t="n">
        <x:v>11</x:v>
      </x:c>
      <x:c r="O1000" t="n">
        <x:v>0</x:v>
      </x:c>
      <x:c r="P1000" s="14" t="n">
        <x:v>0</x:v>
      </x:c>
      <x:c r="Q1000" s="14" t="n">
        <x:v>0.18181818181818182</x:v>
      </x:c>
      <x:c r="R1000" s="14" t="n">
        <x:v>0.22222222222222232</x:v>
      </x:c>
      <x:c r="S1000" t="n">
        <x:v>8665</x:v>
      </x:c>
      <x:c r="T1000" t="n">
        <x:v>633.2351630041583</x:v>
      </x:c>
      <x:c r="U1000" s="14" t="n">
        <x:v>0.7088549741903211</x:v>
      </x:c>
      <x:c r="V1000" s="14" t="n">
        <x:v>0.3270121939368085</x:v>
      </x:c>
      <x:c r="W1000" s="14" t="n">
        <x:v>0.2928154298390516</x:v>
      </x:c>
      <x:c r="X1000" s="14" t="n">
        <x:v>0.5596963250749762</x:v>
      </x:c>
      <x:c r="Y1000" s="16" t="n">
        <x:v>93.93939393939394</x:v>
      </x:c>
      <x:c r="Z1000" s="16" t="n">
        <x:v>31.265508684863523</x:v>
      </x:c>
      <x:c r="AA1000" s="16" t="n">
        <x:v>52.459016393442624</x:v>
      </x:c>
      <x:c r="AB1000" s="16" t="n">
        <x:v>82.28438228438229</x:v>
      </x:c>
      <x:c r="AC1000" s="16" t="n">
        <x:v>73.54312354312354</x:v>
      </x:c>
      <x:c r="AD1000" s="16" t="n">
        <x:v>93.23170731707317</x:v>
      </x:c>
      <x:c r="AE1000" s="16" t="n">
        <x:v>71.35929713760032</x:v>
      </x:c>
      <x:c r="AF1000" t="str">
        <x:v>검토</x:v>
      </x:c>
      <x:c r="AG1000" t="str">
        <x:v>수요·직장수요 강점 / 상권 모멘텀 상대적 약점</x:v>
      </x:c>
    </x:row>
    <x:row r="1001">
      <x:c r="A1001" t="str">
        <x:v>3110590</x:v>
      </x:c>
      <x:c r="B1001" t="str">
        <x:v>만리재</x:v>
      </x:c>
      <x:c r="C1001" t="str">
        <x:v>골목상권</x:v>
      </x:c>
      <x:c r="D1001" t="str">
        <x:v>마포구</x:v>
      </x:c>
      <x:c r="E1001" t="str">
        <x:v>공덕동</x:v>
      </x:c>
      <x:c r="F1001" t="str">
        <x:v>CS300004</x:v>
      </x:c>
      <x:c r="G1001" t="str">
        <x:v>핸드폰</x:v>
      </x:c>
      <x:c r="H1001" t="n">
        <x:v>336463065</x:v>
      </x:c>
      <x:c r="I1001" t="n">
        <x:v>2501</x:v>
      </x:c>
      <x:c r="J1001" t="n">
        <x:v>134531.41343462616</x:v>
      </x:c>
      <x:c r="K1001" s="14" t="n">
        <x:v>0.8892469267023317</x:v>
      </x:c>
      <x:c r="L1001" s="14" t="n">
        <x:v>0.021417847123978317</x:v>
      </x:c>
      <x:c r="M1001" s="14" t="n">
        <x:v>-0.06496332404204874</x:v>
      </x:c>
      <x:c r="N1001" t="n">
        <x:v>14</x:v>
      </x:c>
      <x:c r="O1001" t="n">
        <x:v>0</x:v>
      </x:c>
      <x:c r="P1001" s="14" t="n">
        <x:v>0</x:v>
      </x:c>
      <x:c r="Q1001" s="14" t="n">
        <x:v>0</x:v>
      </x:c>
      <x:c r="R1001" s="14" t="n">
        <x:v>-0.125</x:v>
      </x:c>
      <x:c r="S1001" t="n">
        <x:v>312</x:v>
      </x:c>
      <x:c r="T1001" t="n">
        <x:v>52.25955579377575</x:v>
      </x:c>
      <x:c r="U1001" s="14" t="n">
        <x:v>0.9814126403443421</x:v>
      </x:c>
      <x:c r="V1001" s="14" t="n">
        <x:v>0.9758364324476447</x:v>
      </x:c>
      <x:c r="W1001" s="14" t="n">
        <x:v>0.005576207896697369</x:v>
      </x:c>
      <x:c r="X1001" s="14" t="n">
        <x:v>0.024163567552355263</x:v>
      </x:c>
      <x:c r="Y1001" s="16" t="n">
        <x:v>78.73563218390805</x:v>
      </x:c>
      <x:c r="Z1001" s="16" t="n">
        <x:v>86.58536585365853</x:v>
      </x:c>
      <x:c r="AA1001" s="16" t="n">
        <x:v>55.73770491803279</x:v>
      </x:c>
      <x:c r="AB1001" s="16" t="n">
        <x:v>68.10344827586206</x:v>
      </x:c>
      <x:c r="AC1001" s="16" t="n">
        <x:v>60.3448275862069</x:v>
      </x:c>
      <x:c r="AD1001" s="16" t="n">
        <x:v>37.4390243902439</x:v>
      </x:c>
      <x:c r="AE1001" s="16" t="n">
        <x:v>71.35715139231664</x:v>
      </x:c>
      <x:c r="AF1001" t="str">
        <x:v>검토</x:v>
      </x:c>
      <x:c r="AG1001" t="str">
        <x:v>상권 모멘텀·수요 강점 / 직장수요 상대적 약점</x:v>
      </x:c>
    </x:row>
  </x:sheetData>
  <x:conditionalFormatting sqref="AE2:AE1001">
    <x:cfRule type="colorScale" priority="1">
      <x:colorScale>
        <x:cfvo type="min"/>
        <x:cfvo type="percentile" val="50"/>
        <x:cfvo type="max"/>
        <x:color rgb="FFFDECEC"/>
        <x:color rgb="FFFFF4D6"/>
        <x:color rgb="FFE6F4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768f93367be47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업종코드</x:v>
      </x:c>
      <x:c r="B1" s="5" t="str">
        <x:v>업종명</x:v>
      </x:c>
      <x:c r="C1" s="5" t="str">
        <x:v>Q4상권매출</x:v>
      </x:c>
      <x:c r="D1" s="5" t="str">
        <x:v>Q4매출건수</x:v>
      </x:c>
      <x:c r="E1" s="5" t="str">
        <x:v>매출존재상권수</x:v>
      </x:c>
      <x:c r="F1" s="5" t="str">
        <x:v>상권당평균매출</x:v>
      </x:c>
      <x:c r="G1" s="5" t="str">
        <x:v>서울Q4매출</x:v>
      </x:c>
      <x:c r="H1" s="5" t="str">
        <x:v>서울YoY</x:v>
      </x:c>
      <x:c r="I1" s="5" t="str">
        <x:v>서울4년CAGR</x:v>
      </x:c>
      <x:c r="J1" s="5" t="str">
        <x:v>서울추세점수</x:v>
      </x:c>
    </x:row>
    <x:row r="2">
      <x:c r="A2" t="str">
        <x:v>CS300007</x:v>
      </x:c>
      <x:c r="B2" t="str">
        <x:v>육류판매</x:v>
      </x:c>
      <x:c r="C2" t="n">
        <x:v>807736979652</x:v>
      </x:c>
      <x:c r="D2" t="n">
        <x:v>14832645</x:v>
      </x:c>
      <x:c r="E2" t="n">
        <x:v>405</x:v>
      </x:c>
      <x:c r="F2" t="n">
        <x:v>1994412295.437037</x:v>
      </x:c>
      <x:c r="G2" t="n">
        <x:v>899624155583</x:v>
      </x:c>
      <x:c r="H2" s="14" t="n">
        <x:v>0.23518223683931017</x:v>
      </x:c>
      <x:c r="I2" s="14" t="n">
        <x:v>0.00863079289162072</x:v>
      </x:c>
      <x:c r="J2" s="16" t="n">
        <x:v>100</x:v>
      </x:c>
    </x:row>
    <x:row r="3">
      <x:c r="A3" t="str">
        <x:v>CS300035</x:v>
      </x:c>
      <x:c r="B3" t="str">
        <x:v>인테리어</x:v>
      </x:c>
      <x:c r="C3" t="n">
        <x:v>46465316353</x:v>
      </x:c>
      <x:c r="D3" t="n">
        <x:v>546299</x:v>
      </x:c>
      <x:c r="E3" t="n">
        <x:v>185</x:v>
      </x:c>
      <x:c r="F3" t="n">
        <x:v>251163872.17837837</x:v>
      </x:c>
      <x:c r="G3" t="n">
        <x:v>66896116715</x:v>
      </x:c>
      <x:c r="H3" s="14" t="n">
        <x:v>0.20213561276420866</x:v>
      </x:c>
      <x:c r="I3" s="14" t="n">
        <x:v>0.044160820891303576</x:v>
      </x:c>
      <x:c r="J3" s="16" t="n">
        <x:v>98.36065573770492</x:v>
      </x:c>
    </x:row>
    <x:row r="4">
      <x:c r="A4" t="str">
        <x:v>CS300020</x:v>
      </x:c>
      <x:c r="B4" t="str">
        <x:v>서적</x:v>
      </x:c>
      <x:c r="C4" t="n">
        <x:v>66613105452</x:v>
      </x:c>
      <x:c r="D4" t="n">
        <x:v>1209585</x:v>
      </x:c>
      <x:c r="E4" t="n">
        <x:v>150</x:v>
      </x:c>
      <x:c r="F4" t="n">
        <x:v>444087369.68</x:v>
      </x:c>
      <x:c r="G4" t="n">
        <x:v>108934172075</x:v>
      </x:c>
      <x:c r="H4" s="14" t="n">
        <x:v>0.20039418624921757</x:v>
      </x:c>
      <x:c r="I4" s="14" t="n">
        <x:v>-0.01061516125540185</x:v>
      </x:c>
      <x:c r="J4" s="16" t="n">
        <x:v>96.72131147540983</x:v>
      </x:c>
    </x:row>
    <x:row r="5">
      <x:c r="A5" t="str">
        <x:v>CS300009</x:v>
      </x:c>
      <x:c r="B5" t="str">
        <x:v>청과상</x:v>
      </x:c>
      <x:c r="C5" t="n">
        <x:v>1281305234493</x:v>
      </x:c>
      <x:c r="D5" t="n">
        <x:v>49080474</x:v>
      </x:c>
      <x:c r="E5" t="n">
        <x:v>274</x:v>
      </x:c>
      <x:c r="F5" t="n">
        <x:v>4676296476.251824</x:v>
      </x:c>
      <x:c r="G5" t="n">
        <x:v>1324235772268</x:v>
      </x:c>
      <x:c r="H5" s="14" t="n">
        <x:v>0.19728256051488424</x:v>
      </x:c>
      <x:c r="I5" s="14" t="n">
        <x:v>0.09797365727115581</x:v>
      </x:c>
      <x:c r="J5" s="16" t="n">
        <x:v>95.08196721311475</x:v>
      </x:c>
    </x:row>
    <x:row r="6">
      <x:c r="A6" t="str">
        <x:v>CS300026</x:v>
      </x:c>
      <x:c r="B6" t="str">
        <x:v>완구</x:v>
      </x:c>
      <x:c r="C6" t="n">
        <x:v>45391851043</x:v>
      </x:c>
      <x:c r="D6" t="n">
        <x:v>2869205</x:v>
      </x:c>
      <x:c r="E6" t="n">
        <x:v>16</x:v>
      </x:c>
      <x:c r="F6" t="n">
        <x:v>2836990690.1875</x:v>
      </x:c>
      <x:c r="G6" t="n">
        <x:v>31916345438</x:v>
      </x:c>
      <x:c r="H6" s="14" t="n">
        <x:v>0.13391619953678746</x:v>
      </x:c>
      <x:c r="I6" s="14" t="n">
        <x:v>-0.001177008085450515</x:v>
      </x:c>
      <x:c r="J6" s="16" t="n">
        <x:v>93.44262295081967</x:v>
      </x:c>
    </x:row>
    <x:row r="7">
      <x:c r="A7" t="str">
        <x:v>CS200030</x:v>
      </x:c>
      <x:c r="B7" t="str">
        <x:v>피부관리실</x:v>
      </x:c>
      <x:c r="C7" t="n">
        <x:v>54215886875</x:v>
      </x:c>
      <x:c r="D7" t="n">
        <x:v>303571</x:v>
      </x:c>
      <x:c r="E7" t="n">
        <x:v>404</x:v>
      </x:c>
      <x:c r="F7" t="n">
        <x:v>134197739.78960396</x:v>
      </x:c>
      <x:c r="G7" t="n">
        <x:v>59739984191</x:v>
      </x:c>
      <x:c r="H7" s="14" t="n">
        <x:v>0.11857168683779085</x:v>
      </x:c>
      <x:c r="I7" s="14" t="n">
        <x:v>0.0314283578178467</x:v>
      </x:c>
      <x:c r="J7" s="16" t="n">
        <x:v>91.80327868852459</x:v>
      </x:c>
    </x:row>
    <x:row r="8">
      <x:c r="A8" t="str">
        <x:v>CS200006</x:v>
      </x:c>
      <x:c r="B8" t="str">
        <x:v>일반의원</x:v>
      </x:c>
      <x:c r="C8" t="n">
        <x:v>1787685318222</x:v>
      </x:c>
      <x:c r="D8" t="n">
        <x:v>32891128</x:v>
      </x:c>
      <x:c r="E8" t="n">
        <x:v>518</x:v>
      </x:c>
      <x:c r="F8" t="n">
        <x:v>3451129957.957529</x:v>
      </x:c>
      <x:c r="G8" t="n">
        <x:v>2122140088966</x:v>
      </x:c>
      <x:c r="H8" s="14" t="n">
        <x:v>0.09973642051122278</x:v>
      </x:c>
      <x:c r="I8" s="14" t="n">
        <x:v>0.06942273842247415</x:v>
      </x:c>
      <x:c r="J8" s="16" t="n">
        <x:v>90.1639344262295</x:v>
      </x:c>
    </x:row>
    <x:row r="9">
      <x:c r="A9" t="str">
        <x:v>CS200003</x:v>
      </x:c>
      <x:c r="B9" t="str">
        <x:v>예술학원</x:v>
      </x:c>
      <x:c r="C9" t="n">
        <x:v>113155646706</x:v>
      </x:c>
      <x:c r="D9" t="n">
        <x:v>390389</x:v>
      </x:c>
      <x:c r="E9" t="n">
        <x:v>503</x:v>
      </x:c>
      <x:c r="F9" t="n">
        <x:v>224961524.2664016</x:v>
      </x:c>
      <x:c r="G9" t="n">
        <x:v>161933684437</x:v>
      </x:c>
      <x:c r="H9" s="14" t="n">
        <x:v>0.09364146198394163</x:v>
      </x:c>
      <x:c r="I9" s="14" t="n">
        <x:v>0.053788091189524545</x:v>
      </x:c>
      <x:c r="J9" s="16" t="n">
        <x:v>88.52459016393442</x:v>
      </x:c>
    </x:row>
    <x:row r="10">
      <x:c r="A10" t="str">
        <x:v>CS300017</x:v>
      </x:c>
      <x:c r="B10" t="str">
        <x:v>시계및귀금속</x:v>
      </x:c>
      <x:c r="C10" t="n">
        <x:v>395765977273</x:v>
      </x:c>
      <x:c r="D10" t="n">
        <x:v>578578</x:v>
      </x:c>
      <x:c r="E10" t="n">
        <x:v>180</x:v>
      </x:c>
      <x:c r="F10" t="n">
        <x:v>2198699873.7388887</x:v>
      </x:c>
      <x:c r="G10" t="n">
        <x:v>338582930666</x:v>
      </x:c>
      <x:c r="H10" s="14" t="n">
        <x:v>0.09182238369060247</x:v>
      </x:c>
      <x:c r="I10" s="14" t="n">
        <x:v>0.00817160170707898</x:v>
      </x:c>
      <x:c r="J10" s="16" t="n">
        <x:v>86.88524590163935</x:v>
      </x:c>
    </x:row>
    <x:row r="11">
      <x:c r="A11" t="str">
        <x:v>CS300032</x:v>
      </x:c>
      <x:c r="B11" t="str">
        <x:v>가전제품</x:v>
      </x:c>
      <x:c r="C11" t="n">
        <x:v>253031507746</x:v>
      </x:c>
      <x:c r="D11" t="n">
        <x:v>501731</x:v>
      </x:c>
      <x:c r="E11" t="n">
        <x:v>56</x:v>
      </x:c>
      <x:c r="F11" t="n">
        <x:v>4518419781.178572</x:v>
      </x:c>
      <x:c r="G11" t="n">
        <x:v>279541171825</x:v>
      </x:c>
      <x:c r="H11" s="14" t="n">
        <x:v>0.08324168862116821</x:v>
      </x:c>
      <x:c r="I11" s="14" t="n">
        <x:v>-0.006486947916917396</x:v>
      </x:c>
      <x:c r="J11" s="16" t="n">
        <x:v>85.24590163934427</x:v>
      </x:c>
    </x:row>
    <x:row r="12">
      <x:c r="A12" t="str">
        <x:v>CS300015</x:v>
      </x:c>
      <x:c r="B12" t="str">
        <x:v>가방</x:v>
      </x:c>
      <x:c r="C12" t="n">
        <x:v>72656058330</x:v>
      </x:c>
      <x:c r="D12" t="n">
        <x:v>2150563</x:v>
      </x:c>
      <x:c r="E12" t="n">
        <x:v>62</x:v>
      </x:c>
      <x:c r="F12" t="n">
        <x:v>1171871908.548387</x:v>
      </x:c>
      <x:c r="G12" t="n">
        <x:v>55797865361</x:v>
      </x:c>
      <x:c r="H12" s="14" t="n">
        <x:v>0.08003853878387823</x:v>
      </x:c>
      <x:c r="I12" s="14" t="n">
        <x:v>0.032771077188109565</x:v>
      </x:c>
      <x:c r="J12" s="16" t="n">
        <x:v>83.60655737704919</x:v>
      </x:c>
    </x:row>
    <x:row r="13">
      <x:c r="A13" t="str">
        <x:v>CS300011</x:v>
      </x:c>
      <x:c r="B13" t="str">
        <x:v>일반의류</x:v>
      </x:c>
      <x:c r="C13" t="n">
        <x:v>2132212624743</x:v>
      </x:c>
      <x:c r="D13" t="n">
        <x:v>29900054</x:v>
      </x:c>
      <x:c r="E13" t="n">
        <x:v>850</x:v>
      </x:c>
      <x:c r="F13" t="n">
        <x:v>2508485440.874118</x:v>
      </x:c>
      <x:c r="G13" t="n">
        <x:v>1935563682669</x:v>
      </x:c>
      <x:c r="H13" s="14" t="n">
        <x:v>0.06726691045630595</x:v>
      </x:c>
      <x:c r="I13" s="14" t="n">
        <x:v>0.00788849516466894</x:v>
      </x:c>
      <x:c r="J13" s="16" t="n">
        <x:v>81.9672131147541</x:v>
      </x:c>
    </x:row>
    <x:row r="14">
      <x:c r="A14" t="str">
        <x:v>CS200016</x:v>
      </x:c>
      <x:c r="B14" t="str">
        <x:v>당구장</x:v>
      </x:c>
      <x:c r="C14" t="n">
        <x:v>27061280878</x:v>
      </x:c>
      <x:c r="D14" t="n">
        <x:v>1397394</x:v>
      </x:c>
      <x:c r="E14" t="n">
        <x:v>340</x:v>
      </x:c>
      <x:c r="F14" t="n">
        <x:v>79592002.58235294</x:v>
      </x:c>
      <x:c r="G14" t="n">
        <x:v>37244802094</x:v>
      </x:c>
      <x:c r="H14" s="14" t="n">
        <x:v>0.052763611334009974</x:v>
      </x:c>
      <x:c r="I14" s="14" t="n">
        <x:v>0.07602781601598463</x:v>
      </x:c>
      <x:c r="J14" s="16" t="n">
        <x:v>80.32786885245902</x:v>
      </x:c>
    </x:row>
    <x:row r="15">
      <x:c r="A15" t="str">
        <x:v>CS100003</x:v>
      </x:c>
      <x:c r="B15" t="str">
        <x:v>일식음식점</x:v>
      </x:c>
      <x:c r="C15" t="n">
        <x:v>287641673877</x:v>
      </x:c>
      <x:c r="D15" t="n">
        <x:v>6317072</x:v>
      </x:c>
      <x:c r="E15" t="n">
        <x:v>337</x:v>
      </x:c>
      <x:c r="F15" t="n">
        <x:v>853536124.264095</x:v>
      </x:c>
      <x:c r="G15" t="n">
        <x:v>300611323126</x:v>
      </x:c>
      <x:c r="H15" s="14" t="n">
        <x:v>0.048235937606500245</x:v>
      </x:c>
      <x:c r="I15" s="14" t="n">
        <x:v>-0.004288267098710441</x:v>
      </x:c>
      <x:c r="J15" s="16" t="n">
        <x:v>78.68852459016394</x:v>
      </x:c>
    </x:row>
    <x:row r="16">
      <x:c r="A16" t="str">
        <x:v>CS300029</x:v>
      </x:c>
      <x:c r="B16" t="str">
        <x:v>애완동물</x:v>
      </x:c>
      <x:c r="C16" t="n">
        <x:v>7915045753</x:v>
      </x:c>
      <x:c r="D16" t="n">
        <x:v>133793</x:v>
      </x:c>
      <x:c r="E16" t="n">
        <x:v>72</x:v>
      </x:c>
      <x:c r="F16" t="n">
        <x:v>109931191.0138889</x:v>
      </x:c>
      <x:c r="G16" t="n">
        <x:v>12166659530</x:v>
      </x:c>
      <x:c r="H16" s="14" t="n">
        <x:v>0.041190648357217086</x:v>
      </x:c>
      <x:c r="I16" s="14" t="n">
        <x:v>-0.09713695399403299</x:v>
      </x:c>
      <x:c r="J16" s="16" t="n">
        <x:v>77.04918032786885</x:v>
      </x:c>
    </x:row>
    <x:row r="17">
      <x:c r="A17" t="str">
        <x:v>CS200024</x:v>
      </x:c>
      <x:c r="B17" t="str">
        <x:v>스포츠클럽</x:v>
      </x:c>
      <x:c r="C17" t="n">
        <x:v>72336083725</x:v>
      </x:c>
      <x:c r="D17" t="n">
        <x:v>429460</x:v>
      </x:c>
      <x:c r="E17" t="n">
        <x:v>277</x:v>
      </x:c>
      <x:c r="F17" t="n">
        <x:v>261141096.4801444</x:v>
      </x:c>
      <x:c r="G17" t="n">
        <x:v>102435648109</x:v>
      </x:c>
      <x:c r="H17" s="14" t="n">
        <x:v>0.03927856170757105</x:v>
      </x:c>
      <x:c r="I17" s="14" t="n">
        <x:v>-0.042593628048716026</x:v>
      </x:c>
      <x:c r="J17" s="16" t="n">
        <x:v>75.40983606557377</x:v>
      </x:c>
    </x:row>
    <x:row r="18">
      <x:c r="A18" t="str">
        <x:v>CS300028</x:v>
      </x:c>
      <x:c r="B18" t="str">
        <x:v>화초</x:v>
      </x:c>
      <x:c r="C18" t="n">
        <x:v>55514682245</x:v>
      </x:c>
      <x:c r="D18" t="n">
        <x:v>1005889</x:v>
      </x:c>
      <x:c r="E18" t="n">
        <x:v>299</x:v>
      </x:c>
      <x:c r="F18" t="n">
        <x:v>185667833.59531772</x:v>
      </x:c>
      <x:c r="G18" t="n">
        <x:v>72860677488</x:v>
      </x:c>
      <x:c r="H18" s="14" t="n">
        <x:v>0.028008199294863756</x:v>
      </x:c>
      <x:c r="I18" s="14" t="n">
        <x:v>-0.0030123365554672876</x:v>
      </x:c>
      <x:c r="J18" s="16" t="n">
        <x:v>73.77049180327869</x:v>
      </x:c>
    </x:row>
    <x:row r="19">
      <x:c r="A19" t="str">
        <x:v>CS300018</x:v>
      </x:c>
      <x:c r="B19" t="str">
        <x:v>의약품</x:v>
      </x:c>
      <x:c r="C19" t="n">
        <x:v>1426634468592</x:v>
      </x:c>
      <x:c r="D19" t="n">
        <x:v>58776059</x:v>
      </x:c>
      <x:c r="E19" t="n">
        <x:v>583</x:v>
      </x:c>
      <x:c r="F19" t="n">
        <x:v>2447057407.5334477</x:v>
      </x:c>
      <x:c r="G19" t="n">
        <x:v>1770442134124</x:v>
      </x:c>
      <x:c r="H19" s="14" t="n">
        <x:v>0.027829225601598617</x:v>
      </x:c>
      <x:c r="I19" s="14" t="n">
        <x:v>0.02632929521123617</x:v>
      </x:c>
      <x:c r="J19" s="16" t="n">
        <x:v>72.1311475409836</x:v>
      </x:c>
    </x:row>
    <x:row r="20">
      <x:c r="A20" t="str">
        <x:v>CS200001</x:v>
      </x:c>
      <x:c r="B20" t="str">
        <x:v>일반교습학원</x:v>
      </x:c>
      <x:c r="C20" t="n">
        <x:v>701123088884</x:v>
      </x:c>
      <x:c r="D20" t="n">
        <x:v>2348947</x:v>
      </x:c>
      <x:c r="E20" t="n">
        <x:v>645</x:v>
      </x:c>
      <x:c r="F20" t="n">
        <x:v>1087012540.9054263</x:v>
      </x:c>
      <x:c r="G20" t="n">
        <x:v>909594177133</x:v>
      </x:c>
      <x:c r="H20" s="14" t="n">
        <x:v>0.026465986538897424</x:v>
      </x:c>
      <x:c r="I20" s="14" t="n">
        <x:v>0.05930632525283164</x:v>
      </x:c>
      <x:c r="J20" s="16" t="n">
        <x:v>70.49180327868852</x:v>
      </x:c>
    </x:row>
    <x:row r="21">
      <x:c r="A21" t="str">
        <x:v>CS300019</x:v>
      </x:c>
      <x:c r="B21" t="str">
        <x:v>의료기기</x:v>
      </x:c>
      <x:c r="C21" t="n">
        <x:v>201721201093</x:v>
      </x:c>
      <x:c r="D21" t="n">
        <x:v>381376</x:v>
      </x:c>
      <x:c r="E21" t="n">
        <x:v>156</x:v>
      </x:c>
      <x:c r="F21" t="n">
        <x:v>1293084622.3910255</x:v>
      </x:c>
      <x:c r="G21" t="n">
        <x:v>260619215322</x:v>
      </x:c>
      <x:c r="H21" s="14" t="n">
        <x:v>0.026268479822085578</x:v>
      </x:c>
      <x:c r="I21" s="14" t="n">
        <x:v>-0.00009912701459890982</x:v>
      </x:c>
      <x:c r="J21" s="16" t="n">
        <x:v>68.85245901639344</x:v>
      </x:c>
    </x:row>
    <x:row r="22">
      <x:c r="A22" t="str">
        <x:v>CS300036</x:v>
      </x:c>
      <x:c r="B22" t="str">
        <x:v>조명용품</x:v>
      </x:c>
      <x:c r="C22" t="n">
        <x:v>396448154343</x:v>
      </x:c>
      <x:c r="D22" t="n">
        <x:v>3126408</x:v>
      </x:c>
      <x:c r="E22" t="n">
        <x:v>155</x:v>
      </x:c>
      <x:c r="F22" t="n">
        <x:v>2557730028.019355</x:v>
      </x:c>
      <x:c r="G22" t="n">
        <x:v>420291531027</x:v>
      </x:c>
      <x:c r="H22" s="14" t="n">
        <x:v>0.025028299232514595</x:v>
      </x:c>
      <x:c r="I22" s="14" t="n">
        <x:v>-0.03086161384017172</x:v>
      </x:c>
      <x:c r="J22" s="16" t="n">
        <x:v>67.21311475409836</x:v>
      </x:c>
    </x:row>
    <x:row r="23">
      <x:c r="A23" t="str">
        <x:v>CS300024</x:v>
      </x:c>
      <x:c r="B23" t="str">
        <x:v>운동/경기용품</x:v>
      </x:c>
      <x:c r="C23" t="n">
        <x:v>214735198073</x:v>
      </x:c>
      <x:c r="D23" t="n">
        <x:v>1272924</x:v>
      </x:c>
      <x:c r="E23" t="n">
        <x:v>131</x:v>
      </x:c>
      <x:c r="F23" t="n">
        <x:v>1639199985.2900763</x:v>
      </x:c>
      <x:c r="G23" t="n">
        <x:v>238003053809</x:v>
      </x:c>
      <x:c r="H23" s="14" t="n">
        <x:v>0.02391308801579517</x:v>
      </x:c>
      <x:c r="I23" s="14" t="n">
        <x:v>-0.0228667837393145</x:v>
      </x:c>
      <x:c r="J23" s="16" t="n">
        <x:v>65.57377049180327</x:v>
      </x:c>
    </x:row>
    <x:row r="24">
      <x:c r="A24" t="str">
        <x:v>CS300010</x:v>
      </x:c>
      <x:c r="B24" t="str">
        <x:v>반찬가게</x:v>
      </x:c>
      <x:c r="C24" t="n">
        <x:v>856226080781</x:v>
      </x:c>
      <x:c r="D24" t="n">
        <x:v>34798223</x:v>
      </x:c>
      <x:c r="E24" t="n">
        <x:v>400</x:v>
      </x:c>
      <x:c r="F24" t="n">
        <x:v>2140565201.9525</x:v>
      </x:c>
      <x:c r="G24" t="n">
        <x:v>899703541651</x:v>
      </x:c>
      <x:c r="H24" s="14" t="n">
        <x:v>0.02346021551670452</x:v>
      </x:c>
      <x:c r="I24" s="14" t="n">
        <x:v>0.024589273784872745</x:v>
      </x:c>
      <x:c r="J24" s="16" t="n">
        <x:v>63.9344262295082</x:v>
      </x:c>
    </x:row>
    <x:row r="25">
      <x:c r="A25" t="str">
        <x:v>CS300016</x:v>
      </x:c>
      <x:c r="B25" t="str">
        <x:v>안경</x:v>
      </x:c>
      <x:c r="C25" t="n">
        <x:v>100177124888</x:v>
      </x:c>
      <x:c r="D25" t="n">
        <x:v>1011177</x:v>
      </x:c>
      <x:c r="E25" t="n">
        <x:v>208</x:v>
      </x:c>
      <x:c r="F25" t="n">
        <x:v>481620792.7307692</x:v>
      </x:c>
      <x:c r="G25" t="n">
        <x:v>125347118880</x:v>
      </x:c>
      <x:c r="H25" s="14" t="n">
        <x:v>0.02313988190963734</x:v>
      </x:c>
      <x:c r="I25" s="14" t="n">
        <x:v>0.009707725123368816</x:v>
      </x:c>
      <x:c r="J25" s="16" t="n">
        <x:v>62.295081967213115</x:v>
      </x:c>
    </x:row>
    <x:row r="26">
      <x:c r="A26" t="str">
        <x:v>CS300008</x:v>
      </x:c>
      <x:c r="B26" t="str">
        <x:v>수산물판매</x:v>
      </x:c>
      <x:c r="C26" t="n">
        <x:v>1400689731246</x:v>
      </x:c>
      <x:c r="D26" t="n">
        <x:v>21052006</x:v>
      </x:c>
      <x:c r="E26" t="n">
        <x:v>130</x:v>
      </x:c>
      <x:c r="F26" t="n">
        <x:v>10774536394.2</x:v>
      </x:c>
      <x:c r="G26" t="n">
        <x:v>1451622864670</x:v>
      </x:c>
      <x:c r="H26" s="14" t="n">
        <x:v>0.022342410896780907</x:v>
      </x:c>
      <x:c r="I26" s="14" t="n">
        <x:v>0.037399436424052857</x:v>
      </x:c>
      <x:c r="J26" s="16" t="n">
        <x:v>60.65573770491803</x:v>
      </x:c>
    </x:row>
    <x:row r="27">
      <x:c r="A27" t="str">
        <x:v>CS200025</x:v>
      </x:c>
      <x:c r="B27" t="str">
        <x:v>자동차수리</x:v>
      </x:c>
      <x:c r="C27" t="n">
        <x:v>177739209563</x:v>
      </x:c>
      <x:c r="D27" t="n">
        <x:v>872187</x:v>
      </x:c>
      <x:c r="E27" t="n">
        <x:v>374</x:v>
      </x:c>
      <x:c r="F27" t="n">
        <x:v>475238528.2433155</x:v>
      </x:c>
      <x:c r="G27" t="n">
        <x:v>309445460853</x:v>
      </x:c>
      <x:c r="H27" s="14" t="n">
        <x:v>0.02213950283587751</x:v>
      </x:c>
      <x:c r="I27" s="14" t="n">
        <x:v>0.024356161917000962</x:v>
      </x:c>
      <x:c r="J27" s="16" t="n">
        <x:v>59.01639344262295</x:v>
      </x:c>
    </x:row>
    <x:row r="28">
      <x:c r="A28" t="str">
        <x:v>CS200028</x:v>
      </x:c>
      <x:c r="B28" t="str">
        <x:v>미용실</x:v>
      </x:c>
      <x:c r="C28" t="n">
        <x:v>230322706119</x:v>
      </x:c>
      <x:c r="D28" t="n">
        <x:v>4176115</x:v>
      </x:c>
      <x:c r="E28" t="n">
        <x:v>1118</x:v>
      </x:c>
      <x:c r="F28" t="n">
        <x:v>206013153.95259392</x:v>
      </x:c>
      <x:c r="G28" t="n">
        <x:v>270587410246</x:v>
      </x:c>
      <x:c r="H28" s="14" t="n">
        <x:v>0.02168887159425803</x:v>
      </x:c>
      <x:c r="I28" s="14" t="n">
        <x:v>-0.013481964371473865</x:v>
      </x:c>
      <x:c r="J28" s="16" t="n">
        <x:v>57.377049180327866</x:v>
      </x:c>
    </x:row>
    <x:row r="29">
      <x:c r="A29" t="str">
        <x:v>CS300004</x:v>
      </x:c>
      <x:c r="B29" t="str">
        <x:v>핸드폰</x:v>
      </x:c>
      <x:c r="C29" t="n">
        <x:v>79477025439</x:v>
      </x:c>
      <x:c r="D29" t="n">
        <x:v>1970077</x:v>
      </x:c>
      <x:c r="E29" t="n">
        <x:v>175</x:v>
      </x:c>
      <x:c r="F29" t="n">
        <x:v>454154431.08</x:v>
      </x:c>
      <x:c r="G29" t="n">
        <x:v>88324288750</x:v>
      </x:c>
      <x:c r="H29" s="14" t="n">
        <x:v>0.021417847123978317</x:v>
      </x:c>
      <x:c r="I29" s="14" t="n">
        <x:v>-0.06496332404204874</x:v>
      </x:c>
      <x:c r="J29" s="16" t="n">
        <x:v>55.73770491803279</x:v>
      </x:c>
    </x:row>
    <x:row r="30">
      <x:c r="A30" t="str">
        <x:v>CS300033</x:v>
      </x:c>
      <x:c r="B30" t="str">
        <x:v>철물점</x:v>
      </x:c>
      <x:c r="C30" t="n">
        <x:v>21999437919</x:v>
      </x:c>
      <x:c r="D30" t="n">
        <x:v>497903</x:v>
      </x:c>
      <x:c r="E30" t="n">
        <x:v>173</x:v>
      </x:c>
      <x:c r="F30" t="n">
        <x:v>127164381.03468208</x:v>
      </x:c>
      <x:c r="G30" t="n">
        <x:v>69443241343</x:v>
      </x:c>
      <x:c r="H30" s="14" t="n">
        <x:v>0.018800721364975237</x:v>
      </x:c>
      <x:c r="I30" s="14" t="n">
        <x:v>-0.020555839555512545</x:v>
      </x:c>
      <x:c r="J30" s="16" t="n">
        <x:v>54.09836065573771</x:v>
      </x:c>
    </x:row>
    <x:row r="31">
      <x:c r="A31" t="str">
        <x:v>CS100005</x:v>
      </x:c>
      <x:c r="B31" t="str">
        <x:v>제과점</x:v>
      </x:c>
      <x:c r="C31" t="n">
        <x:v>209457645279</x:v>
      </x:c>
      <x:c r="D31" t="n">
        <x:v>18146206</x:v>
      </x:c>
      <x:c r="E31" t="n">
        <x:v>430</x:v>
      </x:c>
      <x:c r="F31" t="n">
        <x:v>487110802.9744186</x:v>
      </x:c>
      <x:c r="G31" t="n">
        <x:v>281537950533</x:v>
      </x:c>
      <x:c r="H31" s="14" t="n">
        <x:v>0.015772977300780644</x:v>
      </x:c>
      <x:c r="I31" s="14" t="n">
        <x:v>-0.01180050626373963</x:v>
      </x:c>
      <x:c r="J31" s="16" t="n">
        <x:v>52.459016393442624</x:v>
      </x:c>
    </x:row>
    <x:row r="32">
      <x:c r="A32" t="str">
        <x:v>CS200019</x:v>
      </x:c>
      <x:c r="B32" t="str">
        <x:v>PC방</x:v>
      </x:c>
      <x:c r="C32" t="n">
        <x:v>41848288717</x:v>
      </x:c>
      <x:c r="D32" t="n">
        <x:v>7909467</x:v>
      </x:c>
      <x:c r="E32" t="n">
        <x:v>105</x:v>
      </x:c>
      <x:c r="F32" t="n">
        <x:v>398555130.63809526</x:v>
      </x:c>
      <x:c r="G32" t="n">
        <x:v>88811120060</x:v>
      </x:c>
      <x:c r="H32" s="14" t="n">
        <x:v>0.007617357603377117</x:v>
      </x:c>
      <x:c r="I32" s="14" t="n">
        <x:v>-0.035308538695497105</x:v>
      </x:c>
      <x:c r="J32" s="16" t="n">
        <x:v>50.81967213114754</x:v>
      </x:c>
    </x:row>
    <x:row r="33">
      <x:c r="A33" t="str">
        <x:v>CS300031</x:v>
      </x:c>
      <x:c r="B33" t="str">
        <x:v>가구</x:v>
      </x:c>
      <x:c r="C33" t="n">
        <x:v>122124148036</x:v>
      </x:c>
      <x:c r="D33" t="n">
        <x:v>177842</x:v>
      </x:c>
      <x:c r="E33" t="n">
        <x:v>95</x:v>
      </x:c>
      <x:c r="F33" t="n">
        <x:v>1285517347.7473683</x:v>
      </x:c>
      <x:c r="G33" t="n">
        <x:v>143194533275</x:v>
      </x:c>
      <x:c r="H33" s="14" t="n">
        <x:v>0.007439212551848762</x:v>
      </x:c>
      <x:c r="I33" s="14" t="n">
        <x:v>-0.09845567001162137</x:v>
      </x:c>
      <x:c r="J33" s="16" t="n">
        <x:v>49.18032786885246</x:v>
      </x:c>
    </x:row>
    <x:row r="34">
      <x:c r="A34" t="str">
        <x:v>CS300027</x:v>
      </x:c>
      <x:c r="B34" t="str">
        <x:v>섬유제품</x:v>
      </x:c>
      <x:c r="C34" t="n">
        <x:v>28064643255</x:v>
      </x:c>
      <x:c r="D34" t="n">
        <x:v>256065</x:v>
      </x:c>
      <x:c r="E34" t="n">
        <x:v>104</x:v>
      </x:c>
      <x:c r="F34" t="n">
        <x:v>269852338.99038464</x:v>
      </x:c>
      <x:c r="G34" t="n">
        <x:v>32844078440</x:v>
      </x:c>
      <x:c r="H34" s="14" t="n">
        <x:v>0.005461786773685251</x:v>
      </x:c>
      <x:c r="I34" s="14" t="n">
        <x:v>-0.12689174640480594</x:v>
      </x:c>
      <x:c r="J34" s="16" t="n">
        <x:v>47.540983606557376</x:v>
      </x:c>
    </x:row>
    <x:row r="35">
      <x:c r="A35" t="str">
        <x:v>CS300006</x:v>
      </x:c>
      <x:c r="B35" t="str">
        <x:v>미곡판매</x:v>
      </x:c>
      <x:c r="C35" t="n">
        <x:v>86468371139</x:v>
      </x:c>
      <x:c r="D35" t="n">
        <x:v>1757175</x:v>
      </x:c>
      <x:c r="E35" t="n">
        <x:v>57</x:v>
      </x:c>
      <x:c r="F35" t="n">
        <x:v>1516988967.3508773</x:v>
      </x:c>
      <x:c r="G35" t="n">
        <x:v>132569367483</x:v>
      </x:c>
      <x:c r="H35" s="14" t="n">
        <x:v>0.004010265746541286</x:v>
      </x:c>
      <x:c r="I35" s="14" t="n">
        <x:v>-0.03215157263211299</x:v>
      </x:c>
      <x:c r="J35" s="16" t="n">
        <x:v>45.90163934426229</x:v>
      </x:c>
    </x:row>
    <x:row r="36">
      <x:c r="A36" t="str">
        <x:v>CS100006</x:v>
      </x:c>
      <x:c r="B36" t="str">
        <x:v>패스트푸드점</x:v>
      </x:c>
      <x:c r="C36" t="n">
        <x:v>161943433566</x:v>
      </x:c>
      <x:c r="D36" t="n">
        <x:v>12796567</x:v>
      </x:c>
      <x:c r="E36" t="n">
        <x:v>402</x:v>
      </x:c>
      <x:c r="F36" t="n">
        <x:v>402844362.1044776</x:v>
      </x:c>
      <x:c r="G36" t="n">
        <x:v>180583794424</x:v>
      </x:c>
      <x:c r="H36" s="14" t="n">
        <x:v>0.0037102725933797487</x:v>
      </x:c>
      <x:c r="I36" s="14" t="n">
        <x:v>0.011474434125836375</x:v>
      </x:c>
      <x:c r="J36" s="16" t="n">
        <x:v>44.26229508196721</x:v>
      </x:c>
    </x:row>
    <x:row r="37">
      <x:c r="A37" t="str">
        <x:v>CS200031</x:v>
      </x:c>
      <x:c r="B37" t="str">
        <x:v>세탁소</x:v>
      </x:c>
      <x:c r="C37" t="n">
        <x:v>27273139971</x:v>
      </x:c>
      <x:c r="D37" t="n">
        <x:v>1491499</x:v>
      </x:c>
      <x:c r="E37" t="n">
        <x:v>430</x:v>
      </x:c>
      <x:c r="F37" t="n">
        <x:v>63425906.909302324</x:v>
      </x:c>
      <x:c r="G37" t="n">
        <x:v>45686653463</x:v>
      </x:c>
      <x:c r="H37" s="14" t="n">
        <x:v>0.00038108013748794356</x:v>
      </x:c>
      <x:c r="I37" s="14" t="n">
        <x:v>0.043856378214214065</x:v>
      </x:c>
      <x:c r="J37" s="16" t="n">
        <x:v>42.622950819672134</x:v>
      </x:c>
    </x:row>
    <x:row r="38">
      <x:c r="A38" t="str">
        <x:v>CS100001</x:v>
      </x:c>
      <x:c r="B38" t="str">
        <x:v>한식음식점</x:v>
      </x:c>
      <x:c r="C38" t="n">
        <x:v>3985898301921</x:v>
      </x:c>
      <x:c r="D38" t="n">
        <x:v>97348712</x:v>
      </x:c>
      <x:c r="E38" t="n">
        <x:v>1406</x:v>
      </x:c>
      <x:c r="F38" t="n">
        <x:v>2834920556.131579</x:v>
      </x:c>
      <x:c r="G38" t="n">
        <x:v>4222288403551</x:v>
      </x:c>
      <x:c r="H38" s="14" t="n">
        <x:v>-0.0018259958518723751</x:v>
      </x:c>
      <x:c r="I38" s="14" t="n">
        <x:v>0.06341040875687098</x:v>
      </x:c>
      <x:c r="J38" s="16" t="n">
        <x:v>40.98360655737705</x:v>
      </x:c>
    </x:row>
    <x:row r="39">
      <x:c r="A39" t="str">
        <x:v>CS300003</x:v>
      </x:c>
      <x:c r="B39" t="str">
        <x:v>컴퓨터및주변장치판매</x:v>
      </x:c>
      <x:c r="C39" t="n">
        <x:v>678032239217</x:v>
      </x:c>
      <x:c r="D39" t="n">
        <x:v>4446922</x:v>
      </x:c>
      <x:c r="E39" t="n">
        <x:v>89</x:v>
      </x:c>
      <x:c r="F39" t="n">
        <x:v>7618339766.483146</x:v>
      </x:c>
      <x:c r="G39" t="n">
        <x:v>709179729454</x:v>
      </x:c>
      <x:c r="H39" s="14" t="n">
        <x:v>-0.0032738070361170157</x:v>
      </x:c>
      <x:c r="I39" s="14" t="n">
        <x:v>-0.118230834961212</x:v>
      </x:c>
      <x:c r="J39" s="16" t="n">
        <x:v>39.34426229508197</x:v>
      </x:c>
    </x:row>
    <x:row r="40">
      <x:c r="A40" t="str">
        <x:v>CS100010</x:v>
      </x:c>
      <x:c r="B40" t="str">
        <x:v>커피-음료</x:v>
      </x:c>
      <x:c r="C40" t="n">
        <x:v>686429650341</x:v>
      </x:c>
      <x:c r="D40" t="n">
        <x:v>83451907</x:v>
      </x:c>
      <x:c r="E40" t="n">
        <x:v>1069</x:v>
      </x:c>
      <x:c r="F40" t="n">
        <x:v>642123152.797942</x:v>
      </x:c>
      <x:c r="G40" t="n">
        <x:v>726089131835</x:v>
      </x:c>
      <x:c r="H40" s="14" t="n">
        <x:v>-0.00844757257331652</x:v>
      </x:c>
      <x:c r="I40" s="14" t="n">
        <x:v>0.016227780215539944</x:v>
      </x:c>
      <x:c r="J40" s="16" t="n">
        <x:v>37.704918032786885</x:v>
      </x:c>
    </x:row>
    <x:row r="41">
      <x:c r="A41" t="str">
        <x:v>CS200026</x:v>
      </x:c>
      <x:c r="B41" t="str">
        <x:v>자동차미용</x:v>
      </x:c>
      <x:c r="C41" t="n">
        <x:v>5178110020</x:v>
      </x:c>
      <x:c r="D41" t="n">
        <x:v>53123</x:v>
      </x:c>
      <x:c r="E41" t="n">
        <x:v>53</x:v>
      </x:c>
      <x:c r="F41" t="n">
        <x:v>97700189.05660377</x:v>
      </x:c>
      <x:c r="G41" t="n">
        <x:v>15337566967</x:v>
      </x:c>
      <x:c r="H41" s="14" t="n">
        <x:v>-0.019736846042192724</x:v>
      </x:c>
      <x:c r="I41" s="14" t="n">
        <x:v>0.032440828422417356</x:v>
      </x:c>
      <x:c r="J41" s="16" t="n">
        <x:v>36.0655737704918</x:v>
      </x:c>
    </x:row>
    <x:row r="42">
      <x:c r="A42" t="str">
        <x:v>CS100008</x:v>
      </x:c>
      <x:c r="B42" t="str">
        <x:v>분식전문점</x:v>
      </x:c>
      <x:c r="C42" t="n">
        <x:v>281397512910</x:v>
      </x:c>
      <x:c r="D42" t="n">
        <x:v>25139286</x:v>
      </x:c>
      <x:c r="E42" t="n">
        <x:v>785</x:v>
      </x:c>
      <x:c r="F42" t="n">
        <x:v>358468169.3121019</x:v>
      </x:c>
      <x:c r="G42" t="n">
        <x:v>313436639209</x:v>
      </x:c>
      <x:c r="H42" s="14" t="n">
        <x:v>-0.021494731595524064</x:v>
      </x:c>
      <x:c r="I42" s="14" t="n">
        <x:v>0.009923521656473921</x:v>
      </x:c>
      <x:c r="J42" s="16" t="n">
        <x:v>34.42622950819672</x:v>
      </x:c>
    </x:row>
    <x:row r="43">
      <x:c r="A43" t="str">
        <x:v>CS100002</x:v>
      </x:c>
      <x:c r="B43" t="str">
        <x:v>중식음식점</x:v>
      </x:c>
      <x:c r="C43" t="n">
        <x:v>264156022454</x:v>
      </x:c>
      <x:c r="D43" t="n">
        <x:v>7107177</x:v>
      </x:c>
      <x:c r="E43" t="n">
        <x:v>438</x:v>
      </x:c>
      <x:c r="F43" t="n">
        <x:v>603095941.6757991</x:v>
      </x:c>
      <x:c r="G43" t="n">
        <x:v>295867141873</x:v>
      </x:c>
      <x:c r="H43" s="14" t="n">
        <x:v>-0.02375238205614094</x:v>
      </x:c>
      <x:c r="I43" s="14" t="n">
        <x:v>0.025085263877023367</x:v>
      </x:c>
      <x:c r="J43" s="16" t="n">
        <x:v>32.78688524590164</x:v>
      </x:c>
    </x:row>
    <x:row r="44">
      <x:c r="A44" t="str">
        <x:v>CS300001</x:v>
      </x:c>
      <x:c r="B44" t="str">
        <x:v>슈퍼마켓</x:v>
      </x:c>
      <x:c r="C44" t="n">
        <x:v>849778983467</x:v>
      </x:c>
      <x:c r="D44" t="n">
        <x:v>74225863</x:v>
      </x:c>
      <x:c r="E44" t="n">
        <x:v>888</x:v>
      </x:c>
      <x:c r="F44" t="n">
        <x:v>956958314.71509</x:v>
      </x:c>
      <x:c r="G44" t="n">
        <x:v>1118165475250</x:v>
      </x:c>
      <x:c r="H44" s="14" t="n">
        <x:v>-0.02979620222776047</x:v>
      </x:c>
      <x:c r="I44" s="14" t="n">
        <x:v>-0.03099912402160654</x:v>
      </x:c>
      <x:c r="J44" s="16" t="n">
        <x:v>31.147540983606557</x:v>
      </x:c>
    </x:row>
    <x:row r="45">
      <x:c r="A45" t="str">
        <x:v>CS300002</x:v>
      </x:c>
      <x:c r="B45" t="str">
        <x:v>편의점</x:v>
      </x:c>
      <x:c r="C45" t="n">
        <x:v>806130121145</x:v>
      </x:c>
      <x:c r="D45" t="n">
        <x:v>110658092</x:v>
      </x:c>
      <x:c r="E45" t="n">
        <x:v>671</x:v>
      </x:c>
      <x:c r="F45" t="n">
        <x:v>1201386171.6020865</x:v>
      </x:c>
      <x:c r="G45" t="n">
        <x:v>1034895729952</x:v>
      </x:c>
      <x:c r="H45" s="14" t="n">
        <x:v>-0.03570715280155945</x:v>
      </x:c>
      <x:c r="I45" s="14" t="n">
        <x:v>-0.014869839696300402</x:v>
      </x:c>
      <x:c r="J45" s="16" t="n">
        <x:v>29.508196721311474</x:v>
      </x:c>
    </x:row>
    <x:row r="46">
      <x:c r="A46" t="str">
        <x:v>CS200037</x:v>
      </x:c>
      <x:c r="B46" t="str">
        <x:v>노래방</x:v>
      </x:c>
      <x:c r="C46" t="n">
        <x:v>100493323252</x:v>
      </x:c>
      <x:c r="D46" t="n">
        <x:v>4166948</x:v>
      </x:c>
      <x:c r="E46" t="n">
        <x:v>503</x:v>
      </x:c>
      <x:c r="F46" t="n">
        <x:v>199787918.99005964</x:v>
      </x:c>
      <x:c r="G46" t="n">
        <x:v>119773541817</x:v>
      </x:c>
      <x:c r="H46" s="14" t="n">
        <x:v>-0.038104861974415316</x:v>
      </x:c>
      <x:c r="I46" s="14" t="n">
        <x:v>0.05972019768270753</x:v>
      </x:c>
      <x:c r="J46" s="16" t="n">
        <x:v>27.868852459016395</x:v>
      </x:c>
    </x:row>
    <x:row r="47">
      <x:c r="A47" t="str">
        <x:v>CS200029</x:v>
      </x:c>
      <x:c r="B47" t="str">
        <x:v>네일숍</x:v>
      </x:c>
      <x:c r="C47" t="n">
        <x:v>11483453135</x:v>
      </x:c>
      <x:c r="D47" t="n">
        <x:v>133683</x:v>
      </x:c>
      <x:c r="E47" t="n">
        <x:v>246</x:v>
      </x:c>
      <x:c r="F47" t="n">
        <x:v>46680703.80081301</x:v>
      </x:c>
      <x:c r="G47" t="n">
        <x:v>14679020112</x:v>
      </x:c>
      <x:c r="H47" s="14" t="n">
        <x:v>-0.03823077167694788</x:v>
      </x:c>
      <x:c r="I47" s="14" t="n">
        <x:v>-0.06057133576425</x:v>
      </x:c>
      <x:c r="J47" s="16" t="n">
        <x:v>26.229508196721312</x:v>
      </x:c>
    </x:row>
    <x:row r="48">
      <x:c r="A48" t="str">
        <x:v>CS100004</x:v>
      </x:c>
      <x:c r="B48" t="str">
        <x:v>양식음식점</x:v>
      </x:c>
      <x:c r="C48" t="n">
        <x:v>373127782711</x:v>
      </x:c>
      <x:c r="D48" t="n">
        <x:v>7581351</x:v>
      </x:c>
      <x:c r="E48" t="n">
        <x:v>331</x:v>
      </x:c>
      <x:c r="F48" t="n">
        <x:v>1127274268.0090635</x:v>
      </x:c>
      <x:c r="G48" t="n">
        <x:v>355364186802</x:v>
      </x:c>
      <x:c r="H48" s="14" t="n">
        <x:v>-0.044984231184224344</x:v>
      </x:c>
      <x:c r="I48" s="14" t="n">
        <x:v>0.00784185409553384</x:v>
      </x:c>
      <x:c r="J48" s="16" t="n">
        <x:v>24.59016393442623</x:v>
      </x:c>
    </x:row>
    <x:row r="49">
      <x:c r="A49" t="str">
        <x:v>CS300025</x:v>
      </x:c>
      <x:c r="B49" t="str">
        <x:v>자전거 및 기타운송장비</x:v>
      </x:c>
      <x:c r="C49" t="n">
        <x:v>5462381175</x:v>
      </x:c>
      <x:c r="D49" t="n">
        <x:v>53656</x:v>
      </x:c>
      <x:c r="E49" t="n">
        <x:v>24</x:v>
      </x:c>
      <x:c r="F49" t="n">
        <x:v>227599215.625</x:v>
      </x:c>
      <x:c r="G49" t="n">
        <x:v>21616173260</x:v>
      </x:c>
      <x:c r="H49" s="14" t="n">
        <x:v>-0.045278474068117025</x:v>
      </x:c>
      <x:c r="I49" s="14" t="n">
        <x:v>-0.12426466780440637</x:v>
      </x:c>
      <x:c r="J49" s="16" t="n">
        <x:v>22.950819672131146</x:v>
      </x:c>
    </x:row>
    <x:row r="50">
      <x:c r="A50" t="str">
        <x:v>CS200005</x:v>
      </x:c>
      <x:c r="B50" t="str">
        <x:v>스포츠 강습</x:v>
      </x:c>
      <x:c r="C50" t="n">
        <x:v>77238744835</x:v>
      </x:c>
      <x:c r="D50" t="n">
        <x:v>320365</x:v>
      </x:c>
      <x:c r="E50" t="n">
        <x:v>480</x:v>
      </x:c>
      <x:c r="F50" t="n">
        <x:v>160914051.73958334</x:v>
      </x:c>
      <x:c r="G50" t="n">
        <x:v>112657689624</x:v>
      </x:c>
      <x:c r="H50" s="14" t="n">
        <x:v>-0.04623989858708377</x:v>
      </x:c>
      <x:c r="I50" s="14" t="n">
        <x:v>-0.010403337161933757</x:v>
      </x:c>
      <x:c r="J50" s="16" t="n">
        <x:v>21.311475409836067</x:v>
      </x:c>
    </x:row>
    <x:row r="51">
      <x:c r="A51" t="str">
        <x:v>CS200034</x:v>
      </x:c>
      <x:c r="B51" t="str">
        <x:v>여관</x:v>
      </x:c>
      <x:c r="C51" t="n">
        <x:v>66787752855</x:v>
      </x:c>
      <x:c r="D51" t="n">
        <x:v>1052212</x:v>
      </x:c>
      <x:c r="E51" t="n">
        <x:v>205</x:v>
      </x:c>
      <x:c r="F51" t="n">
        <x:v>325793916.36585367</x:v>
      </x:c>
      <x:c r="G51" t="n">
        <x:v>59608662183</x:v>
      </x:c>
      <x:c r="H51" s="14" t="n">
        <x:v>-0.06163472659791347</x:v>
      </x:c>
      <x:c r="I51" s="14" t="n">
        <x:v>-0.04827226516076055</x:v>
      </x:c>
      <x:c r="J51" s="16" t="n">
        <x:v>19.672131147540984</x:v>
      </x:c>
    </x:row>
    <x:row r="52">
      <x:c r="A52" t="str">
        <x:v>CS300014</x:v>
      </x:c>
      <x:c r="B52" t="str">
        <x:v>신발</x:v>
      </x:c>
      <x:c r="C52" t="n">
        <x:v>124562883994</x:v>
      </x:c>
      <x:c r="D52" t="n">
        <x:v>1322535</x:v>
      </x:c>
      <x:c r="E52" t="n">
        <x:v>129</x:v>
      </x:c>
      <x:c r="F52" t="n">
        <x:v>965603751.8914728</x:v>
      </x:c>
      <x:c r="G52" t="n">
        <x:v>115119243871</x:v>
      </x:c>
      <x:c r="H52" s="14" t="n">
        <x:v>-0.07236465202542453</x:v>
      </x:c>
      <x:c r="I52" s="14" t="n">
        <x:v>-0.05911894962136688</x:v>
      </x:c>
      <x:c r="J52" s="16" t="n">
        <x:v>18.0327868852459</x:v>
      </x:c>
    </x:row>
    <x:row r="53">
      <x:c r="A53" t="str">
        <x:v>CS100007</x:v>
      </x:c>
      <x:c r="B53" t="str">
        <x:v>치킨전문점</x:v>
      </x:c>
      <x:c r="C53" t="n">
        <x:v>87362897734</x:v>
      </x:c>
      <x:c r="D53" t="n">
        <x:v>2364539</x:v>
      </x:c>
      <x:c r="E53" t="n">
        <x:v>503</x:v>
      </x:c>
      <x:c r="F53" t="n">
        <x:v>173683693.3081511</x:v>
      </x:c>
      <x:c r="G53" t="n">
        <x:v>109439208232</x:v>
      </x:c>
      <x:c r="H53" s="14" t="n">
        <x:v>-0.0724550541763268</x:v>
      </x:c>
      <x:c r="I53" s="14" t="n">
        <x:v>-0.037092372220345116</x:v>
      </x:c>
      <x:c r="J53" s="16" t="n">
        <x:v>16.39344262295082</x:v>
      </x:c>
    </x:row>
    <x:row r="54">
      <x:c r="A54" t="str">
        <x:v>CS300022</x:v>
      </x:c>
      <x:c r="B54" t="str">
        <x:v>화장품</x:v>
      </x:c>
      <x:c r="C54" t="n">
        <x:v>338727988507</x:v>
      </x:c>
      <x:c r="D54" t="n">
        <x:v>3999755</x:v>
      </x:c>
      <x:c r="E54" t="n">
        <x:v>485</x:v>
      </x:c>
      <x:c r="F54" t="n">
        <x:v>698408223.7257732</x:v>
      </x:c>
      <x:c r="G54" t="n">
        <x:v>331331123627</x:v>
      </x:c>
      <x:c r="H54" s="14" t="n">
        <x:v>-0.09644319570020132</x:v>
      </x:c>
      <x:c r="I54" s="14" t="n">
        <x:v>-0.05507322171491158</x:v>
      </x:c>
      <x:c r="J54" s="16" t="n">
        <x:v>14.754098360655737</x:v>
      </x:c>
    </x:row>
    <x:row r="55">
      <x:c r="A55" t="str">
        <x:v>CS100009</x:v>
      </x:c>
      <x:c r="B55" t="str">
        <x:v>호프-간이주점</x:v>
      </x:c>
      <x:c r="C55" t="n">
        <x:v>727658898205</x:v>
      </x:c>
      <x:c r="D55" t="n">
        <x:v>14902999</x:v>
      </x:c>
      <x:c r="E55" t="n">
        <x:v>882</x:v>
      </x:c>
      <x:c r="F55" t="n">
        <x:v>825010088.6678004</x:v>
      </x:c>
      <x:c r="G55" t="n">
        <x:v>743652153077</x:v>
      </x:c>
      <x:c r="H55" s="14" t="n">
        <x:v>-0.09956754672050205</x:v>
      </x:c>
      <x:c r="I55" s="14" t="n">
        <x:v>0.017869323230272016</x:v>
      </x:c>
      <x:c r="J55" s="16" t="n">
        <x:v>13.114754098360656</x:v>
      </x:c>
    </x:row>
    <x:row r="56">
      <x:c r="A56" t="str">
        <x:v>CS200007</x:v>
      </x:c>
      <x:c r="B56" t="str">
        <x:v>치과의원</x:v>
      </x:c>
      <x:c r="C56" t="n">
        <x:v>451956868408</x:v>
      </x:c>
      <x:c r="D56" t="n">
        <x:v>3006766</x:v>
      </x:c>
      <x:c r="E56" t="n">
        <x:v>376</x:v>
      </x:c>
      <x:c r="F56" t="n">
        <x:v>1202012947.893617</x:v>
      </x:c>
      <x:c r="G56" t="n">
        <x:v>584572868196</x:v>
      </x:c>
      <x:c r="H56" s="14" t="n">
        <x:v>-0.09996789807987227</x:v>
      </x:c>
      <x:c r="I56" s="14" t="n">
        <x:v>-0.02262230060507886</x:v>
      </x:c>
      <x:c r="J56" s="16" t="n">
        <x:v>11.475409836065573</x:v>
      </x:c>
    </x:row>
    <x:row r="57">
      <x:c r="A57" t="str">
        <x:v>CS200008</x:v>
      </x:c>
      <x:c r="B57" t="str">
        <x:v>한의원</x:v>
      </x:c>
      <x:c r="C57" t="n">
        <x:v>149120875302</x:v>
      </x:c>
      <x:c r="D57" t="n">
        <x:v>3631854</x:v>
      </x:c>
      <x:c r="E57" t="n">
        <x:v>308</x:v>
      </x:c>
      <x:c r="F57" t="n">
        <x:v>484158686.04545456</x:v>
      </x:c>
      <x:c r="G57" t="n">
        <x:v>208717561202</x:v>
      </x:c>
      <x:c r="H57" s="14" t="n">
        <x:v>-0.11853376587381492</x:v>
      </x:c>
      <x:c r="I57" s="14" t="n">
        <x:v>-0.03146924751688074</x:v>
      </x:c>
      <x:c r="J57" s="16" t="n">
        <x:v>9.836065573770492</x:v>
      </x:c>
    </x:row>
    <x:row r="58">
      <x:c r="A58" t="str">
        <x:v>CS300021</x:v>
      </x:c>
      <x:c r="B58" t="str">
        <x:v>문구</x:v>
      </x:c>
      <x:c r="C58" t="n">
        <x:v>252603433890</x:v>
      </x:c>
      <x:c r="D58" t="n">
        <x:v>7308659</x:v>
      </x:c>
      <x:c r="E58" t="n">
        <x:v>243</x:v>
      </x:c>
      <x:c r="F58" t="n">
        <x:v>1039520304.074074</x:v>
      </x:c>
      <x:c r="G58" t="n">
        <x:v>302241245204</x:v>
      </x:c>
      <x:c r="H58" s="14" t="n">
        <x:v>-0.12173752447550934</x:v>
      </x:c>
      <x:c r="I58" s="14" t="n">
        <x:v>-0.09215553033338975</x:v>
      </x:c>
      <x:c r="J58" s="16" t="n">
        <x:v>8.19672131147541</x:v>
      </x:c>
    </x:row>
    <x:row r="59">
      <x:c r="A59" t="str">
        <x:v>CS200017</x:v>
      </x:c>
      <x:c r="B59" t="str">
        <x:v>골프연습장</x:v>
      </x:c>
      <x:c r="C59" t="n">
        <x:v>28406566635</x:v>
      </x:c>
      <x:c r="D59" t="n">
        <x:v>558929</x:v>
      </x:c>
      <x:c r="E59" t="n">
        <x:v>140</x:v>
      </x:c>
      <x:c r="F59" t="n">
        <x:v>202904047.39285713</x:v>
      </x:c>
      <x:c r="G59" t="n">
        <x:v>57124633370</x:v>
      </x:c>
      <x:c r="H59" s="14" t="n">
        <x:v>-0.1389153607413347</x:v>
      </x:c>
      <x:c r="I59" s="14" t="n">
        <x:v>-0.09628766957422386</x:v>
      </x:c>
      <x:c r="J59" s="16" t="n">
        <x:v>6.557377049180328</x:v>
      </x:c>
    </x:row>
    <x:row r="60">
      <x:c r="A60" t="str">
        <x:v>CS200002</x:v>
      </x:c>
      <x:c r="B60" t="str">
        <x:v>외국어학원</x:v>
      </x:c>
      <x:c r="C60" t="n">
        <x:v>43952372096</x:v>
      </x:c>
      <x:c r="D60" t="n">
        <x:v>109440</x:v>
      </x:c>
      <x:c r="E60" t="n">
        <x:v>74</x:v>
      </x:c>
      <x:c r="F60" t="n">
        <x:v>593950974.2702702</x:v>
      </x:c>
      <x:c r="G60" t="n">
        <x:v>68586142529</x:v>
      </x:c>
      <x:c r="H60" s="14" t="n">
        <x:v>-0.17681132767060315</x:v>
      </x:c>
      <x:c r="I60" s="14" t="n">
        <x:v>-0.007513300004897028</x:v>
      </x:c>
      <x:c r="J60" s="16" t="n">
        <x:v>4.918032786885246</x:v>
      </x:c>
    </x:row>
    <x:row r="61">
      <x:c r="A61" t="str">
        <x:v>CS200032</x:v>
      </x:c>
      <x:c r="B61" t="str">
        <x:v>가전제품수리</x:v>
      </x:c>
      <x:c r="C61" t="n">
        <x:v>4998110508</x:v>
      </x:c>
      <x:c r="D61" t="n">
        <x:v>54554</x:v>
      </x:c>
      <x:c r="E61" t="n">
        <x:v>56</x:v>
      </x:c>
      <x:c r="F61" t="n">
        <x:v>89251973.35714285</x:v>
      </x:c>
      <x:c r="G61" t="n">
        <x:v>7912695257</x:v>
      </x:c>
      <x:c r="H61" s="14" t="n">
        <x:v>-0.18259177651289638</x:v>
      </x:c>
      <x:c r="I61" s="14" t="n">
        <x:v>-0.08477886844577631</x:v>
      </x:c>
      <x:c r="J61" s="16" t="n">
        <x:v>3.278688524590164</x:v>
      </x:c>
    </x:row>
    <x:row r="62">
      <x:c r="A62" t="str">
        <x:v>CS300043</x:v>
      </x:c>
      <x:c r="B62" t="str">
        <x:v>전자상거래업</x:v>
      </x:c>
      <x:c r="C62" t="n">
        <x:v>33200512603</x:v>
      </x:c>
      <x:c r="D62" t="n">
        <x:v>633278</x:v>
      </x:c>
      <x:c r="E62" t="n">
        <x:v>127</x:v>
      </x:c>
      <x:c r="F62" t="n">
        <x:v>261421359.07874015</x:v>
      </x:c>
      <x:c r="G62" t="n">
        <x:v>34861443144</x:v>
      </x:c>
      <x:c r="H62" s="14" t="n">
        <x:v>-0.21064042264234728</x:v>
      </x:c>
      <x:c r="I62" s="14" t="n">
        <x:v>0.02991765855946449</x:v>
      </x:c>
      <x:c r="J62" s="16" t="n">
        <x:v>1.639344262295082</x:v>
      </x:c>
    </x:row>
    <x:row r="63">
      <x:c r="A63" t="str">
        <x:v>CS200033</x:v>
      </x:c>
      <x:c r="B63" t="str">
        <x:v>부동산중개업</x:v>
      </x:c>
      <x:c r="C63" t="n">
        <x:v>4486761940</x:v>
      </x:c>
      <x:c r="D63" t="n">
        <x:v>420123</x:v>
      </x:c>
      <x:c r="E63" t="n">
        <x:v>23</x:v>
      </x:c>
      <x:c r="F63" t="n">
        <x:v>195076606.08695653</x:v>
      </x:c>
      <x:c r="G63" t="n">
        <x:v>4986248855</x:v>
      </x:c>
      <x:c r="H63" s="14" t="n">
        <x:v>-0.3240462295158053</x:v>
      </x:c>
      <x:c r="I63" s="14" t="n">
        <x:v>-0.09593347528587381</x:v>
      </x:c>
      <x:c r="J63" s="16" t="n">
        <x:v>0</x:v>
      </x:c>
    </x:row>
  </x:sheetData>
  <x:conditionalFormatting sqref="H2:H63">
    <x:cfRule type="colorScale" priority="1">
      <x:colorScale>
        <x:cfvo type="min"/>
        <x:cfvo type="percentile" val="50"/>
        <x:cfvo type="max"/>
        <x:color rgb="FFFDECEC"/>
        <x:color rgb="FFFFF4D6"/>
        <x:color rgb="FFE6F4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1527279f3f8469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29" t="str">
        <x:v>데이터 품질 점검 및 이상치 처리</x:v>
      </x:c>
      <x:c r="B1" s="29"/>
      <x:c r="C1" s="29"/>
      <x:c r="D1" s="29"/>
      <x:c r="E1" s="29"/>
    </x:row>
    <x:row r="2">
      <x:c r="A2" s="29"/>
      <x:c r="B2" s="29"/>
      <x:c r="C2" s="29"/>
      <x:c r="D2" s="29"/>
      <x:c r="E2" s="29"/>
    </x:row>
    <x:row r="4">
      <x:c r="A4" s="21" t="str">
        <x:v>데이터셋</x:v>
      </x:c>
      <x:c r="B4" s="21" t="str">
        <x:v>규모/범위</x:v>
      </x:c>
      <x:c r="C4" s="21" t="str">
        <x:v>정상성</x:v>
      </x:c>
      <x:c r="D4" s="21" t="str">
        <x:v>이슈</x:v>
      </x:c>
      <x:c r="E4" s="21" t="str">
        <x:v>처리방안</x:v>
      </x:c>
    </x:row>
    <x:row r="5">
      <x:c r="A5" s="34" t="str">
        <x:v>영역-상권</x:v>
      </x:c>
      <x:c r="B5" s="34" t="str">
        <x:v>1,650행</x:v>
      </x:c>
      <x:c r="C5" s="34" t="str">
        <x:v>상권코드 중복 0 / 결측 0</x:v>
      </x:c>
      <x:c r="D5" s="34" t="str">
        <x:v>상권 면적 편차 큼</x:v>
      </x:c>
      <x:c r="E5" s="34" t="str">
        <x:v>밀도지표 병행 필요</x:v>
      </x:c>
    </x:row>
    <x:row r="6">
      <x:c r="A6" s="34" t="str">
        <x:v>영역-상권</x:v>
      </x:c>
      <x:c r="B6" s="34" t="str">
        <x:v>7개 행정동명</x:v>
      </x:c>
      <x:c r="C6" s="34" t="str">
        <x:v>행정동명에 ? 문자 포함</x:v>
      </x:c>
      <x:c r="D6" s="34" t="str">
        <x:v>코드는 정상</x:v>
      </x:c>
      <x:c r="E6" s="34" t="str">
        <x:v>행정동 코드 JOIN 후 정상명 치환</x:v>
      </x:c>
    </x:row>
    <x:row r="7">
      <x:c r="A7" s="34" t="str">
        <x:v>점포-행정동 2021~2025</x:v>
      </x:c>
      <x:c r="B7" s="34" t="str">
        <x:v>704,470행</x:v>
      </x:c>
      <x:c r="C7" s="34" t="str">
        <x:v>PK 중복 0 / 결측 0</x:v>
      </x:c>
      <x:c r="D7" s="34" t="str">
        <x:v>개업률&gt;100% 3건, 폐업률&gt;100% 149건</x:v>
      </x:c>
      <x:c r="E7" s="34" t="str">
        <x:v>삭제 금지; 소규모 점포수 경고/완화</x:v>
      </x:c>
    </x:row>
    <x:row r="8">
      <x:c r="A8" s="34" t="str">
        <x:v>점포-행정동 2021~2025</x:v>
      </x:c>
      <x:c r="B8" s="34" t="str">
        <x:v>100개 업종</x:v>
      </x:c>
      <x:c r="C8" s="34" t="str">
        <x:v>유사업종점포수=점포수+프랜차이즈점포수 전행 일치</x:v>
      </x:c>
      <x:c r="D8" s="34" t="str">
        <x:v>상권이 아닌 행정동 단위</x:v>
      </x:c>
      <x:c r="E8" s="34" t="str">
        <x:v>경쟁환경 보조지표로만 사용</x:v>
      </x:c>
    </x:row>
    <x:row r="9">
      <x:c r="A9" s="34" t="str">
        <x:v>추정매출-상권 2025</x:v>
      </x:c>
      <x:c r="B9" s="34" t="str">
        <x:v>85,732행</x:v>
      </x:c>
      <x:c r="C9" s="34" t="str">
        <x:v>PK 중복 0 / 결측 0 / 음수 0</x:v>
      </x:c>
      <x:c r="D9" s="34" t="str">
        <x:v>성별/연령 합계 소액 반올림 차이</x:v>
      </x:c>
      <x:c r="E9" s="34" t="str">
        <x:v>허용오차 적용</x:v>
      </x:c>
    </x:row>
    <x:row r="10">
      <x:c r="A10" s="34" t="str">
        <x:v>추정매출-상권 2025</x:v>
      </x:c>
      <x:c r="B10" s="34" t="str">
        <x:v>1,577개 상권 / 62개 업종</x:v>
      </x:c>
      <x:c r="C10" s="34" t="str">
        <x:v>주중+주말, 요일합, 시간대합 전행 일치</x:v>
      </x:c>
      <x:c r="D10" s="34" t="str">
        <x:v>영역 대비 매출 미존재 상권 73개</x:v>
      </x:c>
      <x:c r="E10" s="34" t="str">
        <x:v>0이 아닌 NA로 관리</x:v>
      </x:c>
    </x:row>
    <x:row r="11">
      <x:c r="A11" s="34" t="str">
        <x:v>직장인구-상권</x:v>
      </x:c>
      <x:c r="B11" s="34" t="str">
        <x:v>36,027행</x:v>
      </x:c>
      <x:c r="C11" s="34" t="str">
        <x:v>PK 중복 0 / 결측 0</x:v>
      </x:c>
      <x:c r="D11" s="34" t="str">
        <x:v>2021Q1~2026Q2</x:v>
      </x:c>
      <x:c r="E11" s="34" t="str">
        <x:v>추천 산정은 2025Q4로 매출과 시점 통일</x:v>
      </x:c>
    </x:row>
    <x:row r="12">
      <x:c r="A12" s="34" t="str">
        <x:v>직장인구-상권</x:v>
      </x:c>
      <x:c r="B12" s="34" t="str">
        <x:v>1,641개 상권(2025Q4)</x:v>
      </x:c>
      <x:c r="C12" s="34" t="str">
        <x:v>성별합/연령합 전행 일치</x:v>
      </x:c>
      <x:c r="D12" s="34" t="str">
        <x:v>매출 Q4 행 중 직장인구 매칭 99.8%</x:v>
      </x:c>
      <x:c r="E12" s="34" t="str">
        <x:v>미매칭은 중립점수</x:v>
      </x:c>
    </x:row>
    <x:row r="13">
      <x:c r="A13" s="34" t="str">
        <x:v>추정매출-서울시</x:v>
      </x:c>
      <x:c r="B13" s="34" t="str">
        <x:v>1,386행 / 63업종</x:v>
      </x:c>
      <x:c r="C13" s="34" t="str">
        <x:v>PK 중복 0 / 결측 0</x:v>
      </x:c>
      <x:c r="D13" s="34" t="str">
        <x:v>2021Q1~2026Q2</x:v>
      </x:c>
      <x:c r="E13" s="34" t="str">
        <x:v>업종 장기·YoY 추세 벤치마크</x:v>
      </x:c>
    </x:row>
    <x:row r="14">
      <x:c r="A14" s="34" t="str">
        <x:v>점포-상권배후지</x:v>
      </x:c>
      <x:c r="B14" s="34" t="str">
        <x:v>분석 제외</x:v>
      </x:c>
      <x:c r="C14" s="34" t="str">
        <x:v>골목상권 중심 보조 데이터</x:v>
      </x:c>
      <x:c r="D14" s="34" t="str">
        <x:v>전체 상권과 커버리지 불일치</x:v>
      </x:c>
      <x:c r="E14" s="34" t="str">
        <x:v>MVP 대시보드에서 제외</x:v>
      </x:c>
    </x:row>
    <x:row r="15">
      <x:c r="A15" s="34" t="str">
        <x:v>행정구역 메타정보</x:v>
      </x:c>
      <x:c r="B15" s="34" t="str">
        <x:v>분석 제외</x:v>
      </x:c>
      <x:c r="C15" s="34" t="str">
        <x:v>실데이터가 아닌 컬럼 메타</x:v>
      </x:c>
      <x:c r="D15" s="34" t="str">
        <x:v>행정동 매핑에 직접 사용 불가</x:v>
      </x:c>
      <x:c r="E15" s="34" t="str">
        <x:v>제외</x:v>
      </x:c>
    </x:row>
    <x:row r="18">
      <x:c r="A18" s="19" t="str">
        <x:v>유형</x:v>
      </x:c>
      <x:c r="B18" s="19" t="str">
        <x:v>분기</x:v>
      </x:c>
      <x:c r="C18" s="19" t="str">
        <x:v>행정동코드</x:v>
      </x:c>
      <x:c r="D18" s="19" t="str">
        <x:v>업종코드</x:v>
      </x:c>
      <x:c r="E18" s="19" t="str">
        <x:v>비율</x:v>
      </x:c>
      <x:c r="F18" s="19" t="str">
        <x:v>유사업종점포수</x:v>
      </x:c>
      <x:c r="G18" s="19" t="str">
        <x:v>해당점포수</x:v>
      </x:c>
    </x:row>
    <x:row r="19">
      <x:c r="A19" t="str">
        <x:v>개업률&gt;100%</x:v>
      </x:c>
      <x:c r="B19" t="str">
        <x:v>20241</x:v>
      </x:c>
      <x:c r="C19" t="str">
        <x:v>11590560</x:v>
      </x:c>
      <x:c r="D19" t="str">
        <x:v>CS200034</x:v>
      </x:c>
      <x:c r="E19" t="n">
        <x:v>150</x:v>
      </x:c>
      <x:c r="F19" t="n">
        <x:v>2</x:v>
      </x:c>
      <x:c r="G19" t="n">
        <x:v>3</x:v>
      </x:c>
    </x:row>
    <x:row r="20">
      <x:c r="A20" t="str">
        <x:v>개업률&gt;100%</x:v>
      </x:c>
      <x:c r="B20" t="str">
        <x:v>20251</x:v>
      </x:c>
      <x:c r="C20" t="str">
        <x:v>11680630</x:v>
      </x:c>
      <x:c r="D20" t="str">
        <x:v>CS200039</x:v>
      </x:c>
      <x:c r="E20" t="n">
        <x:v>200</x:v>
      </x:c>
      <x:c r="F20" t="n">
        <x:v>1</x:v>
      </x:c>
      <x:c r="G20" t="n">
        <x:v>2</x:v>
      </x:c>
    </x:row>
    <x:row r="21">
      <x:c r="A21" t="str">
        <x:v>개업률&gt;100%</x:v>
      </x:c>
      <x:c r="B21" t="str">
        <x:v>20254</x:v>
      </x:c>
      <x:c r="C21" t="str">
        <x:v>11215740</x:v>
      </x:c>
      <x:c r="D21" t="str">
        <x:v>CS200017</x:v>
      </x:c>
      <x:c r="E21" t="n">
        <x:v>200</x:v>
      </x:c>
      <x:c r="F21" t="n">
        <x:v>1</x:v>
      </x:c>
      <x:c r="G21" t="n">
        <x:v>2</x:v>
      </x:c>
    </x:row>
    <x:row r="22">
      <x:c r="A22" t="str">
        <x:v>폐업률&gt;100%</x:v>
      </x:c>
      <x:c r="B22" t="str">
        <x:v>20211</x:v>
      </x:c>
      <x:c r="C22" t="str">
        <x:v>11110615</x:v>
      </x:c>
      <x:c r="D22" t="str">
        <x:v>CS200026</x:v>
      </x:c>
      <x:c r="E22" t="n">
        <x:v>200</x:v>
      </x:c>
      <x:c r="F22" t="n">
        <x:v>1</x:v>
      </x:c>
      <x:c r="G22" t="n">
        <x:v>2</x:v>
      </x:c>
    </x:row>
    <x:row r="23">
      <x:c r="A23" t="str">
        <x:v>폐업률&gt;100%</x:v>
      </x:c>
      <x:c r="B23" t="str">
        <x:v>20211</x:v>
      </x:c>
      <x:c r="C23" t="str">
        <x:v>11110640</x:v>
      </x:c>
      <x:c r="D23" t="str">
        <x:v>CS200042</x:v>
      </x:c>
      <x:c r="E23" t="n">
        <x:v>200</x:v>
      </x:c>
      <x:c r="F23" t="n">
        <x:v>1</x:v>
      </x:c>
      <x:c r="G23" t="n">
        <x:v>2</x:v>
      </x:c>
    </x:row>
    <x:row r="24">
      <x:c r="A24" t="str">
        <x:v>폐업률&gt;100%</x:v>
      </x:c>
      <x:c r="B24" t="str">
        <x:v>20211</x:v>
      </x:c>
      <x:c r="C24" t="str">
        <x:v>11110670</x:v>
      </x:c>
      <x:c r="D24" t="str">
        <x:v>CS300008</x:v>
      </x:c>
      <x:c r="E24" t="n">
        <x:v>200</x:v>
      </x:c>
      <x:c r="F24" t="n">
        <x:v>1</x:v>
      </x:c>
      <x:c r="G24" t="n">
        <x:v>2</x:v>
      </x:c>
    </x:row>
    <x:row r="25">
      <x:c r="A25" t="str">
        <x:v>폐업률&gt;100%</x:v>
      </x:c>
      <x:c r="B25" t="str">
        <x:v>20211</x:v>
      </x:c>
      <x:c r="C25" t="str">
        <x:v>11110700</x:v>
      </x:c>
      <x:c r="D25" t="str">
        <x:v>CS300020</x:v>
      </x:c>
      <x:c r="E25" t="n">
        <x:v>200</x:v>
      </x:c>
      <x:c r="F25" t="n">
        <x:v>1</x:v>
      </x:c>
      <x:c r="G25" t="n">
        <x:v>2</x:v>
      </x:c>
    </x:row>
    <x:row r="26">
      <x:c r="A26" t="str">
        <x:v>폐업률&gt;100%</x:v>
      </x:c>
      <x:c r="B26" t="str">
        <x:v>20211</x:v>
      </x:c>
      <x:c r="C26" t="str">
        <x:v>11200540</x:v>
      </x:c>
      <x:c r="D26" t="str">
        <x:v>CS300003</x:v>
      </x:c>
      <x:c r="E26" t="n">
        <x:v>200</x:v>
      </x:c>
      <x:c r="F26" t="n">
        <x:v>1</x:v>
      </x:c>
      <x:c r="G26" t="n">
        <x:v>2</x:v>
      </x:c>
    </x:row>
    <x:row r="27">
      <x:c r="A27" t="str">
        <x:v>폐업률&gt;100%</x:v>
      </x:c>
      <x:c r="B27" t="str">
        <x:v>20211</x:v>
      </x:c>
      <x:c r="C27" t="str">
        <x:v>11260660</x:v>
      </x:c>
      <x:c r="D27" t="str">
        <x:v>CS300031</x:v>
      </x:c>
      <x:c r="E27" t="n">
        <x:v>150</x:v>
      </x:c>
      <x:c r="F27" t="n">
        <x:v>2</x:v>
      </x:c>
      <x:c r="G27" t="n">
        <x:v>3</x:v>
      </x:c>
    </x:row>
    <x:row r="28">
      <x:c r="A28" t="str">
        <x:v>폐업률&gt;100%</x:v>
      </x:c>
      <x:c r="B28" t="str">
        <x:v>20211</x:v>
      </x:c>
      <x:c r="C28" t="str">
        <x:v>11590510</x:v>
      </x:c>
      <x:c r="D28" t="str">
        <x:v>CS200026</x:v>
      </x:c>
      <x:c r="E28" t="n">
        <x:v>200</x:v>
      </x:c>
      <x:c r="F28" t="n">
        <x:v>1</x:v>
      </x:c>
      <x:c r="G28" t="n">
        <x:v>2</x:v>
      </x:c>
    </x:row>
    <x:row r="29">
      <x:c r="A29" t="str">
        <x:v>폐업률&gt;100%</x:v>
      </x:c>
      <x:c r="B29" t="str">
        <x:v>20211</x:v>
      </x:c>
      <x:c r="C29" t="str">
        <x:v>11710580</x:v>
      </x:c>
      <x:c r="D29" t="str">
        <x:v>CS200002</x:v>
      </x:c>
      <x:c r="E29" t="n">
        <x:v>200</x:v>
      </x:c>
      <x:c r="F29" t="n">
        <x:v>1</x:v>
      </x:c>
      <x:c r="G29" t="n">
        <x:v>2</x:v>
      </x:c>
    </x:row>
    <x:row r="30">
      <x:c r="A30" t="str">
        <x:v>폐업률&gt;100%</x:v>
      </x:c>
      <x:c r="B30" t="str">
        <x:v>20212</x:v>
      </x:c>
      <x:c r="C30" t="str">
        <x:v>11110680</x:v>
      </x:c>
      <x:c r="D30" t="str">
        <x:v>CS200031</x:v>
      </x:c>
      <x:c r="E30" t="n">
        <x:v>200</x:v>
      </x:c>
      <x:c r="F30" t="n">
        <x:v>1</x:v>
      </x:c>
      <x:c r="G30" t="n">
        <x:v>2</x:v>
      </x:c>
    </x:row>
    <x:row r="31">
      <x:c r="A31" t="str">
        <x:v>폐업률&gt;100%</x:v>
      </x:c>
      <x:c r="B31" t="str">
        <x:v>20212</x:v>
      </x:c>
      <x:c r="C31" t="str">
        <x:v>11230600</x:v>
      </x:c>
      <x:c r="D31" t="str">
        <x:v>CS300040</x:v>
      </x:c>
      <x:c r="E31" t="n">
        <x:v>200</x:v>
      </x:c>
      <x:c r="F31" t="n">
        <x:v>1</x:v>
      </x:c>
      <x:c r="G31" t="n">
        <x:v>2</x:v>
      </x:c>
    </x:row>
    <x:row r="32">
      <x:c r="A32" t="str">
        <x:v>폐업률&gt;100%</x:v>
      </x:c>
      <x:c r="B32" t="str">
        <x:v>20212</x:v>
      </x:c>
      <x:c r="C32" t="str">
        <x:v>11260580</x:v>
      </x:c>
      <x:c r="D32" t="str">
        <x:v>CS300008</x:v>
      </x:c>
      <x:c r="E32" t="n">
        <x:v>200</x:v>
      </x:c>
      <x:c r="F32" t="n">
        <x:v>1</x:v>
      </x:c>
      <x:c r="G32" t="n">
        <x:v>2</x:v>
      </x:c>
    </x:row>
    <x:row r="33">
      <x:c r="A33" t="str">
        <x:v>폐업률&gt;100%</x:v>
      </x:c>
      <x:c r="B33" t="str">
        <x:v>20212</x:v>
      </x:c>
      <x:c r="C33" t="str">
        <x:v>11260620</x:v>
      </x:c>
      <x:c r="D33" t="str">
        <x:v>CS300006</x:v>
      </x:c>
      <x:c r="E33" t="n">
        <x:v>200</x:v>
      </x:c>
      <x:c r="F33" t="n">
        <x:v>1</x:v>
      </x:c>
      <x:c r="G33" t="n">
        <x:v>2</x:v>
      </x:c>
    </x:row>
    <x:row r="36">
      <x:c r="A36" s="38" t="str">
        <x:v>개·폐업률 100% 초과값은 오류로 일괄 삭제하지 않았습니다. 점포 수가 작은 업종에서는 분기 중 개·폐업 건수가 현재 점포 수를 넘을 수 있어, 추천점수에는 소표본을 완화한 '폐업압력'을 사용했습니다.</x:v>
      </x:c>
      <x:c r="B36" s="38"/>
      <x:c r="C36" s="38"/>
      <x:c r="D36" s="38"/>
      <x:c r="E36" s="38"/>
    </x:row>
    <x:row r="37">
      <x:c r="A37" s="38"/>
      <x:c r="B37" s="38"/>
      <x:c r="C37" s="38"/>
      <x:c r="D37" s="38"/>
      <x:c r="E37" s="38"/>
    </x:row>
    <x:row r="38">
      <x:c r="A38" s="38"/>
      <x:c r="B38" s="38"/>
      <x:c r="C38" s="38"/>
      <x:c r="D38" s="38"/>
      <x:c r="E38" s="38"/>
    </x:row>
    <x:row r="39">
      <x:c r="A39" s="38"/>
      <x:c r="B39" s="38"/>
      <x:c r="C39" s="38"/>
      <x:c r="D39" s="38"/>
      <x:c r="E39" s="38"/>
    </x:row>
  </x:sheetData>
  <x:mergeCells>
    <x:mergeCell ref="A1:E2"/>
    <x:mergeCell ref="A36:E3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  <x:col min="6" max="6" width="24" hidden="0" customWidth="1"/>
    <x:col min="7" max="7" width="20" hidden="0" customWidth="1"/>
  </x:cols>
  <x:sheetData>
    <x:row r="1">
      <x:c r="A1" s="29" t="str">
        <x:v>업종기회지수 산식 및 데이터 단위</x:v>
      </x:c>
      <x:c r="B1" s="29"/>
      <x:c r="C1" s="29"/>
      <x:c r="D1" s="29"/>
      <x:c r="E1" s="29"/>
      <x:c r="F1" s="29"/>
      <x:c r="G1" s="29"/>
    </x:row>
    <x:row r="2">
      <x:c r="A2" s="29"/>
      <x:c r="B2" s="29"/>
      <x:c r="C2" s="29"/>
      <x:c r="D2" s="29"/>
      <x:c r="E2" s="29"/>
      <x:c r="F2" s="29"/>
      <x:c r="G2" s="29"/>
    </x:row>
    <x:row r="4">
      <x:c r="A4" s="21" t="str">
        <x:v>항목</x:v>
      </x:c>
      <x:c r="B4" s="21" t="str">
        <x:v>가중치</x:v>
      </x:c>
      <x:c r="C4" s="21" t="str">
        <x:v>원지표</x:v>
      </x:c>
      <x:c r="D4" s="21" t="str">
        <x:v>비교 기준</x:v>
      </x:c>
      <x:c r="E4" s="21" t="str">
        <x:v>높을수록</x:v>
      </x:c>
      <x:c r="F4" s="21" t="str">
        <x:v>주의점</x:v>
      </x:c>
      <x:c r="G4" s="21" t="str">
        <x:v>사용 데이터</x:v>
      </x:c>
    </x:row>
    <x:row r="5">
      <x:c r="A5" s="34" t="str">
        <x:v>수요점수</x:v>
      </x:c>
      <x:c r="B5" s="34" t="str">
        <x:v>35%</x:v>
      </x:c>
      <x:c r="C5" s="34" t="str">
        <x:v>2025Q4 상권×업종 매출</x:v>
      </x:c>
      <x:c r="D5" s="34" t="str">
        <x:v>동일 업종 내 percentile</x:v>
      </x:c>
      <x:c r="E5" s="34" t="str">
        <x:v>유리</x:v>
      </x:c>
      <x:c r="F5" s="34" t="str">
        <x:v>업종 간 규모 차이 보정</x:v>
      </x:c>
      <x:c r="G5" s="34" t="str">
        <x:v>추정매출-상권</x:v>
      </x:c>
    </x:row>
    <x:row r="6">
      <x:c r="A6" s="34" t="str">
        <x:v>상권 모멘텀</x:v>
      </x:c>
      <x:c r="B6" s="34" t="str">
        <x:v>20%</x:v>
      </x:c>
      <x:c r="C6" s="34" t="str">
        <x:v>2025 분기별 로그매출 추세</x:v>
      </x:c>
      <x:c r="D6" s="34" t="str">
        <x:v>동일 업종 내 percentile</x:v>
      </x:c>
      <x:c r="E6" s="34" t="str">
        <x:v>유리</x:v>
      </x:c>
      <x:c r="F6" s="34" t="str">
        <x:v>3개 분기 미만 50점</x:v>
      </x:c>
      <x:c r="G6" s="34" t="str">
        <x:v>추정매출-상권</x:v>
      </x:c>
    </x:row>
    <x:row r="7">
      <x:c r="A7" s="34" t="str">
        <x:v>서울 업종추세</x:v>
      </x:c>
      <x:c r="B7" s="34" t="str">
        <x:v>15%</x:v>
      </x:c>
      <x:c r="C7" s="34" t="str">
        <x:v>2024Q4→2025Q4 서울 YoY</x:v>
      </x:c>
      <x:c r="D7" s="34" t="str">
        <x:v>업종 간 percentile</x:v>
      </x:c>
      <x:c r="E7" s="34" t="str">
        <x:v>유리</x:v>
      </x:c>
      <x:c r="F7" s="34" t="str">
        <x:v>거시 업종추세</x:v>
      </x:c>
      <x:c r="G7" s="34" t="str">
        <x:v>추정매출-서울시</x:v>
      </x:c>
    </x:row>
    <x:row r="8">
      <x:c r="A8" s="34" t="str">
        <x:v>경쟁여건</x:v>
      </x:c>
      <x:c r="B8" s="34" t="str">
        <x:v>15%</x:v>
      </x:c>
      <x:c r="C8" s="34" t="str">
        <x:v>행정동 유사업종 점포수</x:v>
      </x:c>
      <x:c r="D8" s="34" t="str">
        <x:v>동일 업종 내 역 percentile</x:v>
      </x:c>
      <x:c r="E8" s="34" t="str">
        <x:v>점포 적을수록</x:v>
      </x:c>
      <x:c r="F8" s="34" t="str">
        <x:v>상권 단위가 아님</x:v>
      </x:c>
      <x:c r="G8" s="34" t="str">
        <x:v>점포-행정동</x:v>
      </x:c>
    </x:row>
    <x:row r="9">
      <x:c r="A9" s="34" t="str">
        <x:v>안정성</x:v>
      </x:c>
      <x:c r="B9" s="34" t="str">
        <x:v>10%</x:v>
      </x:c>
      <x:c r="C9" s="34" t="str">
        <x:v>폐업점포수/(유사업종점포수+5)</x:v>
      </x:c>
      <x:c r="D9" s="34" t="str">
        <x:v>동일 업종 내 역 percentile</x:v>
      </x:c>
      <x:c r="E9" s="34" t="str">
        <x:v>낮을수록</x:v>
      </x:c>
      <x:c r="F9" s="34" t="str">
        <x:v>소표본 완화</x:v>
      </x:c>
      <x:c r="G9" s="34" t="str">
        <x:v>점포-행정동</x:v>
      </x:c>
    </x:row>
    <x:row r="10">
      <x:c r="A10" s="34" t="str">
        <x:v>직장수요</x:v>
      </x:c>
      <x:c r="B10" s="34" t="str">
        <x:v>5%</x:v>
      </x:c>
      <x:c r="C10" s="34" t="str">
        <x:v>직장인구/ha</x:v>
      </x:c>
      <x:c r="D10" s="34" t="str">
        <x:v>전체 상권 percentile</x:v>
      </x:c>
      <x:c r="E10" s="34" t="str">
        <x:v>높을수록</x:v>
      </x:c>
      <x:c r="F10" s="34" t="str">
        <x:v>주거·관광수요 미포함</x:v>
      </x:c>
      <x:c r="G10" s="34" t="str">
        <x:v>직장인구-상권</x:v>
      </x:c>
    </x:row>
    <x:row r="13">
      <x:c r="A13" s="44" t="str">
        <x:v>데이터 통합 원칙
• 영역·매출·직장인구는 상권코드로 결합
• 점포는 행정동코드+업종코드로 결합하지만 상권 점포수로 해석하지 않음
• 추천 기준시점은 2025 Q4
• 매출이 없는 상권은 0원이 아니라 NA 유지
• 실제 서비스 확장 시 최우선 추가 데이터는 '점포-상권', 그 다음은 유동인구·상주인구·소득/소비·임대료</x:v>
      </x:c>
      <x:c r="B13" s="44"/>
      <x:c r="C13" s="44"/>
      <x:c r="D13" s="44"/>
      <x:c r="E13" s="44"/>
      <x:c r="F13" s="44"/>
      <x:c r="G13" s="44"/>
    </x:row>
    <x:row r="14">
      <x:c r="A14" s="44"/>
      <x:c r="B14" s="44"/>
      <x:c r="C14" s="44"/>
      <x:c r="D14" s="44"/>
      <x:c r="E14" s="44"/>
      <x:c r="F14" s="44"/>
      <x:c r="G14" s="44"/>
    </x:row>
    <x:row r="15">
      <x:c r="A15" s="44"/>
      <x:c r="B15" s="44"/>
      <x:c r="C15" s="44"/>
      <x:c r="D15" s="44"/>
      <x:c r="E15" s="44"/>
      <x:c r="F15" s="44"/>
      <x:c r="G15" s="44"/>
    </x:row>
    <x:row r="16">
      <x:c r="A16" s="44"/>
      <x:c r="B16" s="44"/>
      <x:c r="C16" s="44"/>
      <x:c r="D16" s="44"/>
      <x:c r="E16" s="44"/>
      <x:c r="F16" s="44"/>
      <x:c r="G16" s="44"/>
    </x:row>
    <x:row r="17">
      <x:c r="A17" s="44"/>
      <x:c r="B17" s="44"/>
      <x:c r="C17" s="44"/>
      <x:c r="D17" s="44"/>
      <x:c r="E17" s="44"/>
      <x:c r="F17" s="44"/>
      <x:c r="G17" s="44"/>
    </x:row>
    <x:row r="18">
      <x:c r="A18" s="44"/>
      <x:c r="B18" s="44"/>
      <x:c r="C18" s="44"/>
      <x:c r="D18" s="44"/>
      <x:c r="E18" s="44"/>
      <x:c r="F18" s="44"/>
      <x:c r="G18" s="44"/>
    </x:row>
  </x:sheetData>
  <x:mergeCells>
    <x:mergeCell ref="A1:G2"/>
    <x:mergeCell ref="A13:G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48" t="str">
        <x:v>상권</x:v>
      </x:c>
      <x:c r="B1" s="48" t="str">
        <x:v>매출(억원)</x:v>
      </x:c>
      <x:c r="C1" s="48"/>
      <x:c r="D1" s="48" t="str">
        <x:v>상권</x:v>
      </x:c>
      <x:c r="E1" s="48" t="str">
        <x:v>업종</x:v>
      </x:c>
      <x:c r="F1" s="48" t="str">
        <x:v>기회지수</x:v>
      </x:c>
      <x:c r="G1" s="48"/>
      <x:c r="H1" s="48" t="str">
        <x:v>업종</x:v>
      </x:c>
      <x:c r="I1" s="48" t="str">
        <x:v>서울YoY</x:v>
      </x:c>
      <x:c r="J1" s="48"/>
      <x:c r="K1" s="48" t="str">
        <x:v>분기</x:v>
      </x:c>
      <x:c r="L1" s="48" t="str">
        <x:v>일반점포수</x:v>
      </x:c>
      <x:c r="M1" s="48" t="str">
        <x:v>유사업종점포수</x:v>
      </x:c>
      <x:c r="N1" s="48" t="str">
        <x:v>개업점포수</x:v>
      </x:c>
      <x:c r="O1" s="48" t="str">
        <x:v>폐업점포수</x:v>
      </x:c>
    </x:row>
    <x:row r="2">
      <x:c r="A2" t="str">
        <x:v>노량진역(노량진)</x:v>
      </x:c>
      <x:c r="B2" t="n">
        <x:v>12616.30232011</x:v>
      </x:c>
      <x:c r="D2" t="str">
        <x:v>노량진역(노량진)</x:v>
      </x:c>
      <x:c r="E2" t="str">
        <x:v>육류판매</x:v>
      </x:c>
      <x:c r="F2" t="n">
        <x:v>92.27646248945452</x:v>
      </x:c>
      <x:c r="H2" t="str">
        <x:v>육류판매</x:v>
      </x:c>
      <x:c r="I2" s="14" t="n">
        <x:v>0.23518223683931017</x:v>
      </x:c>
      <x:c r="K2" t="str">
        <x:v>20211</x:v>
      </x:c>
      <x:c r="L2" t="n">
        <x:v>567412</x:v>
      </x:c>
      <x:c r="M2" t="n">
        <x:v>619406</x:v>
      </x:c>
      <x:c r="N2" t="n">
        <x:v>17279</x:v>
      </x:c>
      <x:c r="O2" t="n">
        <x:v>16590</x:v>
      </x:c>
    </x:row>
    <x:row r="3">
      <x:c r="A3" t="str">
        <x:v>가산디지털단지</x:v>
      </x:c>
      <x:c r="B3" t="n">
        <x:v>8043.76684466</x:v>
      </x:c>
      <x:c r="D3" t="str">
        <x:v>대치역</x:v>
      </x:c>
      <x:c r="E3" t="str">
        <x:v>당구장</x:v>
      </x:c>
      <x:c r="F3" t="n">
        <x:v>91.38502716470495</x:v>
      </x:c>
      <x:c r="H3" t="str">
        <x:v>인테리어</x:v>
      </x:c>
      <x:c r="I3" s="14" t="n">
        <x:v>0.20213561276420866</x:v>
      </x:c>
      <x:c r="K3" t="str">
        <x:v>20212</x:v>
      </x:c>
      <x:c r="L3" t="n">
        <x:v>569975</x:v>
      </x:c>
      <x:c r="M3" t="n">
        <x:v>622356</x:v>
      </x:c>
      <x:c r="N3" t="n">
        <x:v>19835</x:v>
      </x:c>
      <x:c r="O3" t="n">
        <x:v>16885</x:v>
      </x:c>
    </x:row>
    <x:row r="4">
      <x:c r="A4" t="str">
        <x:v>용산전자상가(용산역)</x:v>
      </x:c>
      <x:c r="B4" t="n">
        <x:v>6689.85024792</x:v>
      </x:c>
      <x:c r="D4" t="str">
        <x:v>명동 남대문 북창동 다동 무교동 관광특구</x:v>
      </x:c>
      <x:c r="E4" t="str">
        <x:v>피부관리실</x:v>
      </x:c>
      <x:c r="F4" t="n">
        <x:v>91.1727771756019</x:v>
      </x:c>
      <x:c r="H4" t="str">
        <x:v>서적</x:v>
      </x:c>
      <x:c r="I4" s="14" t="n">
        <x:v>0.20039418624921757</x:v>
      </x:c>
      <x:c r="K4" t="str">
        <x:v>20213</x:v>
      </x:c>
      <x:c r="L4" t="n">
        <x:v>571862</x:v>
      </x:c>
      <x:c r="M4" t="n">
        <x:v>624545</x:v>
      </x:c>
      <x:c r="N4" t="n">
        <x:v>17317</x:v>
      </x:c>
      <x:c r="O4" t="n">
        <x:v>15128</x:v>
      </x:c>
    </x:row>
    <x:row r="5">
      <x:c r="A5" t="str">
        <x:v>명동 남대문 북창동 다동 무교동 관광특구</x:v>
      </x:c>
      <x:c r="B5" t="n">
        <x:v>5378.29815743</x:v>
      </x:c>
      <x:c r="D5" t="str">
        <x:v>삼성역</x:v>
      </x:c>
      <x:c r="E5" t="str">
        <x:v>인테리어</x:v>
      </x:c>
      <x:c r="F5" t="n">
        <x:v>88.10223557350807</x:v>
      </x:c>
      <x:c r="H5" t="str">
        <x:v>청과상</x:v>
      </x:c>
      <x:c r="I5" s="14" t="n">
        <x:v>0.19728256051488424</x:v>
      </x:c>
      <x:c r="K5" t="str">
        <x:v>20214</x:v>
      </x:c>
      <x:c r="L5" t="n">
        <x:v>580175</x:v>
      </x:c>
      <x:c r="M5" t="n">
        <x:v>633829</x:v>
      </x:c>
      <x:c r="N5" t="n">
        <x:v>24208</x:v>
      </x:c>
      <x:c r="O5" t="n">
        <x:v>14924</x:v>
      </x:c>
    </x:row>
    <x:row r="6">
      <x:c r="A6" t="str">
        <x:v>가락시장</x:v>
      </x:c>
      <x:c r="B6" t="n">
        <x:v>4592.14405791</x:v>
      </x:c>
      <x:c r="D6" t="str">
        <x:v>보라매공원</x:v>
      </x:c>
      <x:c r="E6" t="str">
        <x:v>시계및귀금속</x:v>
      </x:c>
      <x:c r="F6" t="n">
        <x:v>87.55543191839553</x:v>
      </x:c>
      <x:c r="H6" t="str">
        <x:v>완구</x:v>
      </x:c>
      <x:c r="I6" s="14" t="n">
        <x:v>0.13391619953678746</x:v>
      </x:c>
      <x:c r="K6" t="str">
        <x:v>20221</x:v>
      </x:c>
      <x:c r="L6" t="n">
        <x:v>582611</x:v>
      </x:c>
      <x:c r="M6" t="n">
        <x:v>636399</x:v>
      </x:c>
      <x:c r="N6" t="n">
        <x:v>16877</x:v>
      </x:c>
      <x:c r="O6" t="n">
        <x:v>14307</x:v>
      </x:c>
    </x:row>
    <x:row r="7">
      <x:c r="A7" t="str">
        <x:v>강남역</x:v>
      </x:c>
      <x:c r="B7" t="n">
        <x:v>4187.04504599</x:v>
      </x:c>
      <x:c r="D7" t="str">
        <x:v>총신대입구역(이수, 총신대)</x:v>
      </x:c>
      <x:c r="E7" t="str">
        <x:v>당구장</x:v>
      </x:c>
      <x:c r="F7" t="n">
        <x:v>87.35350144875952</x:v>
      </x:c>
      <x:c r="H7" t="str">
        <x:v>골프연습장</x:v>
      </x:c>
      <x:c r="I7" s="14" t="n">
        <x:v>-0.1389153607413347</x:v>
      </x:c>
      <x:c r="K7" t="str">
        <x:v>20222</x:v>
      </x:c>
      <x:c r="L7" t="n">
        <x:v>588304</x:v>
      </x:c>
      <x:c r="M7" t="n">
        <x:v>642621</x:v>
      </x:c>
      <x:c r="N7" t="n">
        <x:v>17764</x:v>
      </x:c>
      <x:c r="O7" t="n">
        <x:v>11542</x:v>
      </x:c>
    </x:row>
    <x:row r="8">
      <x:c r="A8" t="str">
        <x:v>잠실 관광특구</x:v>
      </x:c>
      <x:c r="B8" t="n">
        <x:v>3809.32087468</x:v>
      </x:c>
      <x:c r="D8" t="str">
        <x:v>모래내시장(서중시장)</x:v>
      </x:c>
      <x:c r="E8" t="str">
        <x:v>인테리어</x:v>
      </x:c>
      <x:c r="F8" t="n">
        <x:v>86.83090466388907</x:v>
      </x:c>
      <x:c r="H8" t="str">
        <x:v>외국어학원</x:v>
      </x:c>
      <x:c r="I8" s="14" t="n">
        <x:v>-0.17681132767060315</x:v>
      </x:c>
      <x:c r="K8" t="str">
        <x:v>20223</x:v>
      </x:c>
      <x:c r="L8" t="n">
        <x:v>587698</x:v>
      </x:c>
      <x:c r="M8" t="n">
        <x:v>641749</x:v>
      </x:c>
      <x:c r="N8" t="n">
        <x:v>17859</x:v>
      </x:c>
      <x:c r="O8" t="n">
        <x:v>18731</x:v>
      </x:c>
    </x:row>
    <x:row r="9">
      <x:c r="A9" t="str">
        <x:v>종로3가역</x:v>
      </x:c>
      <x:c r="B9" t="n">
        <x:v>3313.19763982</x:v>
      </x:c>
      <x:c r="D9" t="str">
        <x:v>삼성역</x:v>
      </x:c>
      <x:c r="E9" t="str">
        <x:v>가방</x:v>
      </x:c>
      <x:c r="F9" t="n">
        <x:v>86.51933856087194</x:v>
      </x:c>
      <x:c r="H9" t="str">
        <x:v>가전제품수리</x:v>
      </x:c>
      <x:c r="I9" s="14" t="n">
        <x:v>-0.18259177651289638</x:v>
      </x:c>
      <x:c r="K9" t="str">
        <x:v>20224</x:v>
      </x:c>
      <x:c r="L9" t="n">
        <x:v>596099</x:v>
      </x:c>
      <x:c r="M9" t="n">
        <x:v>651296</x:v>
      </x:c>
      <x:c r="N9" t="n">
        <x:v>25161</x:v>
      </x:c>
      <x:c r="O9" t="n">
        <x:v>15614</x:v>
      </x:c>
    </x:row>
    <x:row r="10">
      <x:c r="A10" t="str">
        <x:v>잠실역</x:v>
      </x:c>
      <x:c r="B10" t="n">
        <x:v>3219.8999143</x:v>
      </x:c>
      <x:c r="D10" t="str">
        <x:v>북촌(안국역)</x:v>
      </x:c>
      <x:c r="E10" t="str">
        <x:v>일반의류</x:v>
      </x:c>
      <x:c r="F10" t="n">
        <x:v>86.15703279054576</x:v>
      </x:c>
      <x:c r="H10" t="str">
        <x:v>전자상거래업</x:v>
      </x:c>
      <x:c r="I10" s="14" t="n">
        <x:v>-0.21064042264234728</x:v>
      </x:c>
      <x:c r="K10" t="str">
        <x:v>20231</x:v>
      </x:c>
      <x:c r="L10" t="n">
        <x:v>598218</x:v>
      </x:c>
      <x:c r="M10" t="n">
        <x:v>653419</x:v>
      </x:c>
      <x:c r="N10" t="n">
        <x:v>21766</x:v>
      </x:c>
      <x:c r="O10" t="n">
        <x:v>19643</x:v>
      </x:c>
    </x:row>
    <x:row r="11">
      <x:c r="A11" t="str">
        <x:v>종로?청계 관광특구</x:v>
      </x:c>
      <x:c r="B11" t="n">
        <x:v>2638.65637195</x:v>
      </x:c>
      <x:c r="D11" t="str">
        <x:v>망원월드컵시장</x:v>
      </x:c>
      <x:c r="E11" t="str">
        <x:v>인테리어</x:v>
      </x:c>
      <x:c r="F11" t="n">
        <x:v>85.78279413103216</x:v>
      </x:c>
      <x:c r="H11" t="str">
        <x:v>부동산중개업</x:v>
      </x:c>
      <x:c r="I11" s="14" t="n">
        <x:v>-0.3240462295158053</x:v>
      </x:c>
      <x:c r="K11" t="str">
        <x:v>20232</x:v>
      </x:c>
      <x:c r="L11" t="n">
        <x:v>602079</x:v>
      </x:c>
      <x:c r="M11" t="n">
        <x:v>657409</x:v>
      </x:c>
      <x:c r="N11" t="n">
        <x:v>21622</x:v>
      </x:c>
      <x:c r="O11" t="n">
        <x:v>17632</x:v>
      </x:c>
    </x:row>
    <x:row r="12">
      <x:c r="D12" t="str">
        <x:v>잠실나루역</x:v>
      </x:c>
      <x:c r="E12" t="str">
        <x:v>미용실</x:v>
      </x:c>
      <x:c r="F12" t="n">
        <x:v>85.51199100555961</x:v>
      </x:c>
      <x:c r="K12" t="str">
        <x:v>20233</x:v>
      </x:c>
      <x:c r="L12" t="n">
        <x:v>605466</x:v>
      </x:c>
      <x:c r="M12" t="n">
        <x:v>660768</x:v>
      </x:c>
      <x:c r="N12" t="n">
        <x:v>21493</x:v>
      </x:c>
      <x:c r="O12" t="n">
        <x:v>18134</x:v>
      </x:c>
    </x:row>
    <x:row r="13">
      <x:c r="D13" t="str">
        <x:v>암사역</x:v>
      </x:c>
      <x:c r="E13" t="str">
        <x:v>청과상</x:v>
      </x:c>
      <x:c r="F13" t="n">
        <x:v>85.27113878744561</x:v>
      </x:c>
      <x:c r="K13" t="str">
        <x:v>20234</x:v>
      </x:c>
      <x:c r="L13" t="n">
        <x:v>608156</x:v>
      </x:c>
      <x:c r="M13" t="n">
        <x:v>663473</x:v>
      </x:c>
      <x:c r="N13" t="n">
        <x:v>19499</x:v>
      </x:c>
      <x:c r="O13" t="n">
        <x:v>16794</x:v>
      </x:c>
    </x:row>
    <x:row r="14">
      <x:c r="D14" t="str">
        <x:v>명동 남대문 북창동 다동 무교동 관광특구</x:v>
      </x:c>
      <x:c r="E14" t="str">
        <x:v>애완동물</x:v>
      </x:c>
      <x:c r="F14" t="n">
        <x:v>85.07691500864442</x:v>
      </x:c>
      <x:c r="K14" t="str">
        <x:v>20241</x:v>
      </x:c>
      <x:c r="L14" t="n">
        <x:v>604133</x:v>
      </x:c>
      <x:c r="M14" t="n">
        <x:v>659669</x:v>
      </x:c>
      <x:c r="N14" t="n">
        <x:v>17931</x:v>
      </x:c>
      <x:c r="O14" t="n">
        <x:v>21735</x:v>
      </x:c>
    </x:row>
    <x:row r="15">
      <x:c r="D15" t="str">
        <x:v>남천초등학교</x:v>
      </x:c>
      <x:c r="E15" t="str">
        <x:v>인테리어</x:v>
      </x:c>
      <x:c r="F15" t="n">
        <x:v>85.06152578431379</x:v>
      </x:c>
      <x:c r="K15" t="str">
        <x:v>20242</x:v>
      </x:c>
      <x:c r="L15" t="n">
        <x:v>600912</x:v>
      </x:c>
      <x:c r="M15" t="n">
        <x:v>656265</x:v>
      </x:c>
      <x:c r="N15" t="n">
        <x:v>15305</x:v>
      </x:c>
      <x:c r="O15" t="n">
        <x:v>18709</x:v>
      </x:c>
    </x:row>
    <x:row r="16">
      <x:c r="D16" t="str">
        <x:v>영등포역 2번</x:v>
      </x:c>
      <x:c r="E16" t="str">
        <x:v>육류판매</x:v>
      </x:c>
      <x:c r="F16" t="n">
        <x:v>84.76471035605303</x:v>
      </x:c>
      <x:c r="K16" t="str">
        <x:v>20243</x:v>
      </x:c>
      <x:c r="L16" t="n">
        <x:v>596828</x:v>
      </x:c>
      <x:c r="M16" t="n">
        <x:v>651623</x:v>
      </x:c>
      <x:c r="N16" t="n">
        <x:v>13788</x:v>
      </x:c>
      <x:c r="O16" t="n">
        <x:v>18430</x:v>
      </x:c>
    </x:row>
    <x:row r="17">
      <x:c r="K17" t="str">
        <x:v>20244</x:v>
      </x:c>
      <x:c r="L17" t="n">
        <x:v>594391</x:v>
      </x:c>
      <x:c r="M17" t="n">
        <x:v>648848</x:v>
      </x:c>
      <x:c r="N17" t="n">
        <x:v>13283</x:v>
      </x:c>
      <x:c r="O17" t="n">
        <x:v>16023</x:v>
      </x:c>
    </x:row>
    <x:row r="18">
      <x:c r="K18" t="str">
        <x:v>20251</x:v>
      </x:c>
      <x:c r="L18" t="n">
        <x:v>586507</x:v>
      </x:c>
      <x:c r="M18" t="n">
        <x:v>640498</x:v>
      </x:c>
      <x:c r="N18" t="n">
        <x:v>11374</x:v>
      </x:c>
      <x:c r="O18" t="n">
        <x:v>19361</x:v>
      </x:c>
    </x:row>
    <x:row r="19">
      <x:c r="K19" t="str">
        <x:v>20252</x:v>
      </x:c>
      <x:c r="L19" t="n">
        <x:v>584246</x:v>
      </x:c>
      <x:c r="M19" t="n">
        <x:v>637986</x:v>
      </x:c>
      <x:c r="N19" t="n">
        <x:v>14076</x:v>
      </x:c>
      <x:c r="O19" t="n">
        <x:v>16101</x:v>
      </x:c>
    </x:row>
    <x:row r="20">
      <x:c r="K20" t="str">
        <x:v>20253</x:v>
      </x:c>
      <x:c r="L20" t="n">
        <x:v>582383</x:v>
      </x:c>
      <x:c r="M20" t="n">
        <x:v>635701</x:v>
      </x:c>
      <x:c r="N20" t="n">
        <x:v>14193</x:v>
      </x:c>
      <x:c r="O20" t="n">
        <x:v>16156</x:v>
      </x:c>
    </x:row>
    <x:row r="21">
      <x:c r="K21" t="str">
        <x:v>20254</x:v>
      </x:c>
      <x:c r="L21" t="n">
        <x:v>580341</x:v>
      </x:c>
      <x:c r="M21" t="n">
        <x:v>632830</x:v>
      </x:c>
      <x:c r="N21" t="n">
        <x:v>11708</x:v>
      </x:c>
      <x:c r="O21" t="n">
        <x:v>14358</x:v>
      </x:c>
    </x:row>
  </x:sheetData>
  <x:pageMargins left="0.7" right="0.7" top="0.75" bottom="0.75" header="0.3" footer="0.3"/>
</x:worksheet>
</file>